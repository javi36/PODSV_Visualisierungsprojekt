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backupFile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.Smaili_ZHAW/Desktop/ZHAW/4. Semester/PoDSV_Project Orientated Digital Storytelling and Visualization/PODSV_Visualisierungsprojekt/data/whopays/raw_whopays/"/>
    </mc:Choice>
  </mc:AlternateContent>
  <xr:revisionPtr revIDLastSave="0" documentId="8_{C2051760-7B1F-9E43-9F59-4520F0A12FAA}" xr6:coauthVersionLast="47" xr6:coauthVersionMax="47" xr10:uidLastSave="{00000000-0000-0000-0000-000000000000}"/>
  <bookViews>
    <workbookView xWindow="0" yWindow="500" windowWidth="38400" windowHeight="20000" tabRatio="601" xr2:uid="{959D7308-32C9-1042-8B7F-B076DBF54210}"/>
  </bookViews>
  <sheets>
    <sheet name="Info" sheetId="150" r:id="rId1"/>
    <sheet name="Bd" sheetId="929" r:id="rId2"/>
    <sheet name="B1d" sheetId="930" r:id="rId3"/>
    <sheet name="F1d" sheetId="893" r:id="rId4"/>
    <sheet name="F2d" sheetId="894" r:id="rId5"/>
    <sheet name="F3d" sheetId="943" r:id="rId6"/>
    <sheet name="I1 d" sheetId="944" r:id="rId7"/>
    <sheet name="I2 d" sheetId="933" r:id="rId8"/>
    <sheet name="I3 d" sheetId="945" r:id="rId9"/>
    <sheet name="I4_d" sheetId="946" r:id="rId10"/>
    <sheet name="J1_d" sheetId="940" r:id="rId11"/>
    <sheet name="J2_d" sheetId="939" r:id="rId12"/>
    <sheet name="T1d" sheetId="504" r:id="rId13"/>
    <sheet name="101d" sheetId="792" r:id="rId14"/>
    <sheet name="102d" sheetId="793" r:id="rId15"/>
    <sheet name="103d" sheetId="794" r:id="rId16"/>
    <sheet name="104d" sheetId="795" r:id="rId17"/>
    <sheet name="105d" sheetId="796" r:id="rId18"/>
    <sheet name="106d" sheetId="797" r:id="rId19"/>
    <sheet name="107d" sheetId="798" r:id="rId20"/>
    <sheet name="108d" sheetId="826" r:id="rId21"/>
    <sheet name="109d" sheetId="802" r:id="rId22"/>
    <sheet name="110d" sheetId="803" r:id="rId23"/>
    <sheet name="111d" sheetId="804" r:id="rId24"/>
    <sheet name="112d" sheetId="817" r:id="rId25"/>
    <sheet name="113d" sheetId="819" r:id="rId26"/>
    <sheet name="114d" sheetId="882" r:id="rId27"/>
    <sheet name="115d" sheetId="883" r:id="rId28"/>
    <sheet name="T2d" sheetId="482" r:id="rId29"/>
    <sheet name="201d" sheetId="827" r:id="rId30"/>
    <sheet name="202d" sheetId="862" r:id="rId31"/>
    <sheet name="203d" sheetId="863" r:id="rId32"/>
    <sheet name="204d" sheetId="779" r:id="rId33"/>
    <sheet name="205d" sheetId="782" r:id="rId34"/>
    <sheet name="206d" sheetId="783" r:id="rId35"/>
    <sheet name="207d" sheetId="780" r:id="rId36"/>
    <sheet name="208d" sheetId="784" r:id="rId37"/>
    <sheet name="209d" sheetId="785" r:id="rId38"/>
    <sheet name="210d" sheetId="786" r:id="rId39"/>
    <sheet name="211d" sheetId="787" r:id="rId40"/>
    <sheet name="212d" sheetId="788" r:id="rId41"/>
    <sheet name="213d" sheetId="781" r:id="rId42"/>
    <sheet name="214d" sheetId="831" r:id="rId43"/>
    <sheet name="215d" sheetId="865" r:id="rId44"/>
    <sheet name="216d" sheetId="825" r:id="rId45"/>
    <sheet name="217d" sheetId="820" r:id="rId46"/>
    <sheet name="218d" sheetId="823" r:id="rId47"/>
    <sheet name="219d" sheetId="821" r:id="rId48"/>
    <sheet name="220d" sheetId="818" r:id="rId49"/>
    <sheet name="221d" sheetId="864" r:id="rId50"/>
    <sheet name="222d" sheetId="829" r:id="rId51"/>
    <sheet name="223d" sheetId="830" r:id="rId52"/>
    <sheet name="T3d" sheetId="518" r:id="rId53"/>
    <sheet name="301d" sheetId="889" r:id="rId54"/>
    <sheet name="302d" sheetId="890" r:id="rId55"/>
    <sheet name="303d" sheetId="891" r:id="rId56"/>
    <sheet name="304d" sheetId="892" r:id="rId57"/>
    <sheet name="305d" sheetId="886" r:id="rId58"/>
    <sheet name="306d" sheetId="885" r:id="rId59"/>
    <sheet name="307d" sheetId="884" r:id="rId60"/>
    <sheet name="308d" sheetId="867" r:id="rId61"/>
    <sheet name="309d" sheetId="843" r:id="rId62"/>
    <sheet name="310d" sheetId="816" r:id="rId63"/>
    <sheet name="311d" sheetId="815" r:id="rId64"/>
    <sheet name="312d" sheetId="866" r:id="rId65"/>
    <sheet name="313d" sheetId="888" r:id="rId66"/>
    <sheet name="T4d" sheetId="896" r:id="rId67"/>
    <sheet name="401d" sheetId="897" r:id="rId68"/>
    <sheet name="402d" sheetId="898" r:id="rId69"/>
    <sheet name="403d" sheetId="899" r:id="rId70"/>
    <sheet name="404d" sheetId="900" r:id="rId71"/>
    <sheet name="405d" sheetId="901" r:id="rId72"/>
    <sheet name="406d" sheetId="903" r:id="rId73"/>
    <sheet name="407d" sheetId="904" r:id="rId74"/>
    <sheet name="408d" sheetId="902" r:id="rId75"/>
    <sheet name="409d" sheetId="905" r:id="rId76"/>
    <sheet name="410d" sheetId="910" r:id="rId77"/>
    <sheet name="T5d" sheetId="476" r:id="rId78"/>
    <sheet name="501d" sheetId="868" r:id="rId79"/>
    <sheet name="502d" sheetId="870" r:id="rId80"/>
    <sheet name="503d" sheetId="869" r:id="rId81"/>
    <sheet name="504d" sheetId="775" r:id="rId82"/>
    <sheet name="T6d" sheetId="527" r:id="rId83"/>
    <sheet name="601d" sheetId="842" r:id="rId84"/>
    <sheet name="602d" sheetId="841" r:id="rId85"/>
    <sheet name="603d" sheetId="840" r:id="rId86"/>
    <sheet name="604d" sheetId="839" r:id="rId87"/>
    <sheet name="605d" sheetId="838" r:id="rId88"/>
    <sheet name="606d" sheetId="837" r:id="rId89"/>
    <sheet name="T7d" sheetId="528" r:id="rId90"/>
    <sheet name="701d" sheetId="836" r:id="rId91"/>
    <sheet name="702d" sheetId="835" r:id="rId92"/>
    <sheet name="703d" sheetId="834" r:id="rId93"/>
    <sheet name="704d" sheetId="833" r:id="rId94"/>
    <sheet name="705d" sheetId="832" r:id="rId95"/>
    <sheet name="T8d" sheetId="517" r:id="rId96"/>
    <sheet name="801d" sheetId="846" r:id="rId97"/>
    <sheet name="802d" sheetId="847" r:id="rId98"/>
    <sheet name="803d" sheetId="845" r:id="rId99"/>
    <sheet name="804d" sheetId="813" r:id="rId100"/>
    <sheet name="805d" sheetId="809" r:id="rId101"/>
    <sheet name="806d" sheetId="810" r:id="rId102"/>
    <sheet name="807d" sheetId="812" r:id="rId103"/>
    <sheet name="808d" sheetId="811" r:id="rId104"/>
    <sheet name="809d" sheetId="808" r:id="rId105"/>
    <sheet name="810d" sheetId="807" r:id="rId106"/>
    <sheet name="811d" sheetId="806" r:id="rId107"/>
    <sheet name="812d" sheetId="805" r:id="rId108"/>
    <sheet name="813d" sheetId="887" r:id="rId109"/>
    <sheet name="T9d" sheetId="529" r:id="rId110"/>
    <sheet name="901d" sheetId="907" r:id="rId111"/>
    <sheet name="902d" sheetId="906" r:id="rId112"/>
    <sheet name="903d" sheetId="908" r:id="rId113"/>
    <sheet name="904d" sheetId="909" r:id="rId114"/>
    <sheet name="905d" sheetId="913" r:id="rId115"/>
    <sheet name="906d" sheetId="935" r:id="rId116"/>
    <sheet name="907d" sheetId="936" r:id="rId117"/>
    <sheet name="908d" sheetId="937" r:id="rId118"/>
    <sheet name="909d" sheetId="919" r:id="rId119"/>
    <sheet name="910d" sheetId="915" r:id="rId120"/>
    <sheet name="911d" sheetId="938" r:id="rId121"/>
    <sheet name="912d" sheetId="921" r:id="rId122"/>
    <sheet name="913d" sheetId="916" r:id="rId123"/>
    <sheet name="914d" sheetId="920" r:id="rId124"/>
    <sheet name="915d" sheetId="918" r:id="rId125"/>
    <sheet name="916d" sheetId="872" r:id="rId126"/>
    <sheet name="917d" sheetId="927" r:id="rId127"/>
    <sheet name="918d" sheetId="928" r:id="rId128"/>
    <sheet name="919d" sheetId="911" r:id="rId129"/>
    <sheet name="920d" sheetId="912" r:id="rId130"/>
    <sheet name="921d" sheetId="871" r:id="rId131"/>
    <sheet name="T10d" sheetId="494" r:id="rId132"/>
    <sheet name="1001d" sheetId="791" r:id="rId133"/>
    <sheet name="1002d" sheetId="789" r:id="rId134"/>
    <sheet name="1003d" sheetId="790" r:id="rId135"/>
    <sheet name="T11d" sheetId="478" r:id="rId136"/>
    <sheet name="1101d" sheetId="849" r:id="rId137"/>
    <sheet name="1102d" sheetId="851" r:id="rId138"/>
    <sheet name="1103d" sheetId="850" r:id="rId139"/>
    <sheet name="1104d" sheetId="852" r:id="rId140"/>
    <sheet name="1105d" sheetId="800" r:id="rId141"/>
    <sheet name="1106d" sheetId="799" r:id="rId142"/>
    <sheet name="1107d" sheetId="858" r:id="rId143"/>
    <sheet name="1108d" sheetId="880" r:id="rId144"/>
    <sheet name="1109d" sheetId="879" r:id="rId145"/>
    <sheet name="1110d" sheetId="855" r:id="rId146"/>
    <sheet name="1111d" sheetId="856" r:id="rId147"/>
    <sheet name="1112d" sheetId="854" r:id="rId148"/>
    <sheet name="1113d" sheetId="814" r:id="rId149"/>
    <sheet name="1114d" sheetId="942" r:id="rId150"/>
    <sheet name="1115d" sheetId="777" r:id="rId151"/>
    <sheet name="1116d" sheetId="876" r:id="rId152"/>
    <sheet name="1117d" sheetId="877" r:id="rId153"/>
  </sheets>
  <definedNames>
    <definedName name="_xlnm.Print_Area" localSheetId="132">'1001d'!$A$1:$G$28</definedName>
    <definedName name="_xlnm.Print_Area" localSheetId="133">'1002d'!$A$1:$G$29</definedName>
    <definedName name="_xlnm.Print_Area" localSheetId="134">'1003d'!$A$1:$H$34</definedName>
    <definedName name="_xlnm.Print_Area" localSheetId="13">'101d'!$A$1:$S$56</definedName>
    <definedName name="_xlnm.Print_Area" localSheetId="14">'102d'!$A$1:$E$39</definedName>
    <definedName name="_xlnm.Print_Area" localSheetId="15">'103d'!$A$1:$E$39</definedName>
    <definedName name="_xlnm.Print_Area" localSheetId="16">'104d'!$A$1:$E$39</definedName>
    <definedName name="_xlnm.Print_Area" localSheetId="17">'105d'!$A$1:$E$39</definedName>
    <definedName name="_xlnm.Print_Area" localSheetId="18">'106d'!$A$1:$E$39</definedName>
    <definedName name="_xlnm.Print_Area" localSheetId="19">'107d'!$A$1:$E$48</definedName>
    <definedName name="_xlnm.Print_Area" localSheetId="20">'108d'!$A$1:$F$25</definedName>
    <definedName name="_xlnm.Print_Area" localSheetId="21">'109d'!$A$1:$F$25</definedName>
    <definedName name="_xlnm.Print_Area" localSheetId="136">'1101d'!$A$1:$G$28</definedName>
    <definedName name="_xlnm.Print_Area" localSheetId="137">'1102d'!$A$1:$G$30</definedName>
    <definedName name="_xlnm.Print_Area" localSheetId="138">'1103d'!$A$1:$F$43</definedName>
    <definedName name="_xlnm.Print_Area" localSheetId="139">'1104d'!$A$1:$G$41</definedName>
    <definedName name="_xlnm.Print_Area" localSheetId="140">'1105d'!$A$1:$G$27</definedName>
    <definedName name="_xlnm.Print_Area" localSheetId="141">'1106d'!$A$1:$G$22</definedName>
    <definedName name="_xlnm.Print_Area" localSheetId="142">'1107d'!$A$1:$G$25</definedName>
    <definedName name="_xlnm.Print_Area" localSheetId="143">'1108d'!$A$1:$J$41</definedName>
    <definedName name="_xlnm.Print_Area" localSheetId="144">'1109d'!$A$1:$J$30</definedName>
    <definedName name="_xlnm.Print_Area" localSheetId="22">'110d'!$A$1:$H$25</definedName>
    <definedName name="_xlnm.Print_Area" localSheetId="145">'1110d'!$A$1:$G$19</definedName>
    <definedName name="_xlnm.Print_Area" localSheetId="146">'1111d'!$A$1:$D$18</definedName>
    <definedName name="_xlnm.Print_Area" localSheetId="147">'1112d'!$A$1:$F$19</definedName>
    <definedName name="_xlnm.Print_Area" localSheetId="148">'1113d'!$A$1:$F$38</definedName>
    <definedName name="_xlnm.Print_Area" localSheetId="149">'1114d'!$A$1:$G$58</definedName>
    <definedName name="_xlnm.Print_Area" localSheetId="150">'1115d'!$A$1:$G$32</definedName>
    <definedName name="_xlnm.Print_Area" localSheetId="151">'1116d'!$A$1:$G$42</definedName>
    <definedName name="_xlnm.Print_Area" localSheetId="152">'1117d'!$A$1:$I$25</definedName>
    <definedName name="_xlnm.Print_Area" localSheetId="23">'111d'!$A$1:$G$25</definedName>
    <definedName name="_xlnm.Print_Area" localSheetId="24">'112d'!$A$1:$G$28</definedName>
    <definedName name="_xlnm.Print_Area" localSheetId="25">'113d'!$A$1:$G$28</definedName>
    <definedName name="_xlnm.Print_Area" localSheetId="26">'114d'!$A$1:$N$42</definedName>
    <definedName name="_xlnm.Print_Area" localSheetId="27">'115d'!$A$1:$F$45</definedName>
    <definedName name="_xlnm.Print_Area" localSheetId="29">'201d'!$A$1:$G$25</definedName>
    <definedName name="_xlnm.Print_Area" localSheetId="30">'202d'!$A$1:$H$54</definedName>
    <definedName name="_xlnm.Print_Area" localSheetId="31">'203d'!$A$1:$M$42</definedName>
    <definedName name="_xlnm.Print_Area" localSheetId="32">'204d'!$A$1:$G$42</definedName>
    <definedName name="_xlnm.Print_Area" localSheetId="33">'205d'!$A$1:$G$41</definedName>
    <definedName name="_xlnm.Print_Area" localSheetId="34">'206d'!$A$1:$G$31</definedName>
    <definedName name="_xlnm.Print_Area" localSheetId="35">'207d'!$A$1:$G$42</definedName>
    <definedName name="_xlnm.Print_Area" localSheetId="36">'208d'!$A$1:$G$41</definedName>
    <definedName name="_xlnm.Print_Area" localSheetId="37">'209d'!$A$1:$G$31</definedName>
    <definedName name="_xlnm.Print_Area" localSheetId="38">'210d'!$A$1:$G$41</definedName>
    <definedName name="_xlnm.Print_Area" localSheetId="39">'211d'!$A$1:$G$31</definedName>
    <definedName name="_xlnm.Print_Area" localSheetId="40">'212d'!$A$1:$G$39</definedName>
    <definedName name="_xlnm.Print_Area" localSheetId="41">'213d'!$A$1:$G$41</definedName>
    <definedName name="_xlnm.Print_Area" localSheetId="42">'214d'!$A$1:$G$27</definedName>
    <definedName name="_xlnm.Print_Area" localSheetId="43">'215d'!$A$1:$G$52</definedName>
    <definedName name="_xlnm.Print_Area" localSheetId="44">'216d'!$A$1:$N$53</definedName>
    <definedName name="_xlnm.Print_Area" localSheetId="45">'217d'!$A$1:$H$37</definedName>
    <definedName name="_xlnm.Print_Area" localSheetId="46">'218d'!$A$1:$N$52</definedName>
    <definedName name="_xlnm.Print_Area" localSheetId="47">'219d'!$A$1:$H$37</definedName>
    <definedName name="_xlnm.Print_Area" localSheetId="48">'220d'!$A$1:$G$27</definedName>
    <definedName name="_xlnm.Print_Area" localSheetId="49">'221d'!$A$1:$H$53</definedName>
    <definedName name="_xlnm.Print_Area" localSheetId="50">'222d'!$A$1:$G$17</definedName>
    <definedName name="_xlnm.Print_Area" localSheetId="51">'223d'!$A$1:$H$20</definedName>
    <definedName name="_xlnm.Print_Area" localSheetId="53">'301d'!$A$1:$H$41</definedName>
    <definedName name="_xlnm.Print_Area" localSheetId="54">'302d'!$A$1:$H$45</definedName>
    <definedName name="_xlnm.Print_Area" localSheetId="55">'303d'!$A$1:$H$45</definedName>
    <definedName name="_xlnm.Print_Area" localSheetId="56">'304d'!$A$1:$H$45</definedName>
    <definedName name="_xlnm.Print_Area" localSheetId="57">'305d'!$A$1:$G$42</definedName>
    <definedName name="_xlnm.Print_Area" localSheetId="58">'306d'!$A$1:$G$42</definedName>
    <definedName name="_xlnm.Print_Area" localSheetId="59">'307d'!$A$1:$G$42</definedName>
    <definedName name="_xlnm.Print_Area" localSheetId="60">'308d'!$A$1:$M$40</definedName>
    <definedName name="_xlnm.Print_Area" localSheetId="61">'309d'!$A$2:$G$27</definedName>
    <definedName name="_xlnm.Print_Area" localSheetId="62">'310d'!$A$1:$G$17</definedName>
    <definedName name="_xlnm.Print_Area" localSheetId="63">'311d'!$A$1:$G$19</definedName>
    <definedName name="_xlnm.Print_Area" localSheetId="64">'312d'!$A$1:$G$52</definedName>
    <definedName name="_xlnm.Print_Area" localSheetId="65">'313d'!$A$1:$G$41</definedName>
    <definedName name="_xlnm.Print_Area" localSheetId="67" xml:space="preserve">  '401d'!$A$1:$H$30</definedName>
    <definedName name="_xlnm.Print_Area" localSheetId="68">'402d'!$A$1:$H$44</definedName>
    <definedName name="_xlnm.Print_Area" localSheetId="69">'403d'!$A$1:$F$33</definedName>
    <definedName name="_xlnm.Print_Area" localSheetId="70">'404d'!$A$1:$L$48</definedName>
    <definedName name="_xlnm.Print_Area" localSheetId="71">'405d'!$A$1:$J$43</definedName>
    <definedName name="_xlnm.Print_Area" localSheetId="72">'406d'!$A$1:$H$40</definedName>
    <definedName name="_xlnm.Print_Area" localSheetId="73">'407d'!$A$1:$I$37</definedName>
    <definedName name="_xlnm.Print_Area" localSheetId="74">'408d'!$A$1:$H$44</definedName>
    <definedName name="_xlnm.Print_Area" localSheetId="75">'409d'!$A$1:$H$42</definedName>
    <definedName name="_xlnm.Print_Area" localSheetId="76">'410d'!$A$1:$G$44</definedName>
    <definedName name="_xlnm.Print_Area" localSheetId="78">'501d'!$A$1:$AD$109</definedName>
    <definedName name="_xlnm.Print_Area" localSheetId="79">'502d'!$A$1:$K$96</definedName>
    <definedName name="_xlnm.Print_Area" localSheetId="80">'503d'!$A$1:$I$120</definedName>
    <definedName name="_xlnm.Print_Area" localSheetId="81">'504d'!$A$1:$I$33</definedName>
    <definedName name="_xlnm.Print_Area" localSheetId="83">'601d'!$A$1:$G$28</definedName>
    <definedName name="_xlnm.Print_Area" localSheetId="84">'602d'!$A$1:$G$25</definedName>
    <definedName name="_xlnm.Print_Area" localSheetId="85">'603d'!$A$1:$E$39</definedName>
    <definedName name="_xlnm.Print_Area" localSheetId="86">'604d'!$A$1:$E$37</definedName>
    <definedName name="_xlnm.Print_Area" localSheetId="87">'605d'!$A$1:$E$40</definedName>
    <definedName name="_xlnm.Print_Area" localSheetId="88">'606d'!$A$1:$E$40</definedName>
    <definedName name="_xlnm.Print_Area" localSheetId="90">'701d'!$A$1:$G$31</definedName>
    <definedName name="_xlnm.Print_Area" localSheetId="91">'702d'!$A$2:$F$23</definedName>
    <definedName name="_xlnm.Print_Area" localSheetId="92">'703d'!$A$1:$E$43</definedName>
    <definedName name="_xlnm.Print_Area" localSheetId="93">'704d'!$A$1:$E$37</definedName>
    <definedName name="_xlnm.Print_Area" localSheetId="94">'705d'!$A$1:$E$39</definedName>
    <definedName name="_xlnm.Print_Area" localSheetId="96">'801d'!$A$1:$H$28</definedName>
    <definedName name="_xlnm.Print_Area" localSheetId="97">'802d'!$A$1:$I$25</definedName>
    <definedName name="_xlnm.Print_Area" localSheetId="98">'803d'!$A$1:$H$28</definedName>
    <definedName name="_xlnm.Print_Area" localSheetId="99">'804d'!$A$1:$H$30</definedName>
    <definedName name="_xlnm.Print_Area" localSheetId="100">'805d'!$A$1:$D$48</definedName>
    <definedName name="_xlnm.Print_Area" localSheetId="101">'806d'!$A$1:$D$41</definedName>
    <definedName name="_xlnm.Print_Area" localSheetId="102">'807d'!$A$1:$G$29</definedName>
    <definedName name="_xlnm.Print_Area" localSheetId="103">'808d'!$A$1:$H$27</definedName>
    <definedName name="_xlnm.Print_Area" localSheetId="104">'809d'!$A$1:$D$33</definedName>
    <definedName name="_xlnm.Print_Area" localSheetId="105">'810d'!$A$1:$D$44</definedName>
    <definedName name="_xlnm.Print_Area" localSheetId="106">'811d'!$A$1:$D$31</definedName>
    <definedName name="_xlnm.Print_Area" localSheetId="107" xml:space="preserve">  '812d'!$A$1:$D$27</definedName>
    <definedName name="_xlnm.Print_Area" localSheetId="108">'813d'!$A$1:$E$17</definedName>
    <definedName name="_xlnm.Print_Area" localSheetId="110">'901d'!$A$1:$H$35</definedName>
    <definedName name="_xlnm.Print_Area" localSheetId="111">'902d'!$A$1:$H$34</definedName>
    <definedName name="_xlnm.Print_Area" localSheetId="112">'903d'!$A$1:$I$34</definedName>
    <definedName name="_xlnm.Print_Area" localSheetId="113">'904d'!$A$1:$I$32</definedName>
    <definedName name="_xlnm.Print_Area" localSheetId="114">'905d'!$A$1:$I$34</definedName>
    <definedName name="_xlnm.Print_Area" localSheetId="115">'906d'!$A$1:$S$44</definedName>
    <definedName name="_xlnm.Print_Area" localSheetId="116">'907d'!$A$1:$S$39</definedName>
    <definedName name="_xlnm.Print_Area" localSheetId="117">'908d'!$A$1:$T$110</definedName>
    <definedName name="_xlnm.Print_Area" localSheetId="118">'909d'!$A$1:$K$54</definedName>
    <definedName name="_xlnm.Print_Area" localSheetId="119">'910d'!$A$1:$I$29</definedName>
    <definedName name="_xlnm.Print_Area" localSheetId="120">'911d'!$A$1:$M$42</definedName>
    <definedName name="_xlnm.Print_Area" localSheetId="121">'912d'!$A$1:$I$54</definedName>
    <definedName name="_xlnm.Print_Area" localSheetId="122">'913d'!$A$1:$K$52</definedName>
    <definedName name="_xlnm.Print_Area" localSheetId="123">'914d'!$A$1:$M$30</definedName>
    <definedName name="_xlnm.Print_Area" localSheetId="124">'915d'!$A$1:$G$51</definedName>
    <definedName name="_xlnm.Print_Area" localSheetId="125">'916d'!$A$1:$G$32</definedName>
    <definedName name="_xlnm.Print_Area" localSheetId="126">'917d'!$A$1:$K$38</definedName>
    <definedName name="_xlnm.Print_Area" localSheetId="127">'918d'!$A$1:$I$38</definedName>
    <definedName name="_xlnm.Print_Area" localSheetId="128">'919d'!$A$1:$N$26</definedName>
    <definedName name="_xlnm.Print_Area" localSheetId="129">'920d'!$A$1:$N$43</definedName>
    <definedName name="_xlnm.Print_Area" localSheetId="130">'921d'!$A$1:$G$36</definedName>
    <definedName name="_xlnm.Print_Area" localSheetId="2" xml:space="preserve">    B1d!$A$1:$M$191</definedName>
    <definedName name="_xlnm.Print_Area" localSheetId="3">F1d!$A$1:$E$84</definedName>
    <definedName name="_xlnm.Print_Area" localSheetId="4">F2d!$A$1:$E$82</definedName>
    <definedName name="_xlnm.Print_Area" localSheetId="5">F3d!$A$1:$I$54</definedName>
    <definedName name="_xlnm.Print_Area" localSheetId="7">'I2 d'!$A$1:$M$37</definedName>
    <definedName name="_xlnm.Print_Area" localSheetId="8" xml:space="preserve">    'I3 d'!$A$1:$M$24</definedName>
    <definedName name="_xlnm.Print_Area" localSheetId="9" xml:space="preserve">  I4_d!$A$1:$N$86</definedName>
    <definedName name="_xlnm.Print_Area" localSheetId="0" xml:space="preserve">    Info!$A$1:$K$75</definedName>
    <definedName name="_xlnm.Print_Area" localSheetId="10">J1_d!$A$1:$N$65</definedName>
    <definedName name="_xlnm.Print_Area" localSheetId="11">J2_d!$A$1:$N$73</definedName>
    <definedName name="_xlnm.Print_Titles" localSheetId="78">'501d'!$A:$B,'501d'!$1:$10</definedName>
    <definedName name="_xlnm.Print_Titles" localSheetId="80">'503d'!$A:$A,'503d'!$1:$10</definedName>
    <definedName name="_xlnm.Print_Titles" localSheetId="81">'504d'!$A:$A,'504d'!$1:$7</definedName>
    <definedName name="_xlnm.Print_Titles" localSheetId="116">'907d'!$1:$7</definedName>
    <definedName name="_xlnm.Print_Titles" localSheetId="2">B1d!$5:$5</definedName>
    <definedName name="Z_E58FEA52_E3A2_4787_9824_12DA55A527FE_.wvu.Cols" localSheetId="75" hidden="1">'409d'!$J:$J</definedName>
    <definedName name="Z_E58FEA52_E3A2_4787_9824_12DA55A527FE_.wvu.PrintArea" localSheetId="75" hidden="1">'409d'!$A$1:$E$41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946" l="1"/>
  <c r="D8" i="946"/>
  <c r="E8" i="946"/>
  <c r="F8" i="946"/>
  <c r="G8" i="946"/>
  <c r="H8" i="946"/>
  <c r="I8" i="946"/>
  <c r="J8" i="946"/>
  <c r="K8" i="946"/>
  <c r="L8" i="946"/>
  <c r="J10" i="946"/>
  <c r="K10" i="946"/>
  <c r="L10" i="946"/>
  <c r="C14" i="946"/>
  <c r="D14" i="946"/>
  <c r="E14" i="946"/>
  <c r="F14" i="946"/>
  <c r="G14" i="946"/>
  <c r="H14" i="946"/>
  <c r="I14" i="946"/>
  <c r="J14" i="946"/>
  <c r="K14" i="946"/>
  <c r="L14" i="946"/>
  <c r="J16" i="946"/>
  <c r="K16" i="946"/>
  <c r="L16" i="946"/>
  <c r="C20" i="946"/>
  <c r="D20" i="946"/>
  <c r="E20" i="946"/>
  <c r="F20" i="946"/>
  <c r="G20" i="946"/>
  <c r="H20" i="946"/>
  <c r="I20" i="946"/>
  <c r="J20" i="946"/>
  <c r="K20" i="946"/>
  <c r="L20" i="946"/>
  <c r="J22" i="946"/>
  <c r="K22" i="946"/>
  <c r="L22" i="946"/>
  <c r="C26" i="946"/>
  <c r="D26" i="946"/>
  <c r="E26" i="946"/>
  <c r="F26" i="946"/>
  <c r="G26" i="946"/>
  <c r="H26" i="946"/>
  <c r="I26" i="946"/>
  <c r="J26" i="946"/>
  <c r="K26" i="946"/>
  <c r="L26" i="946"/>
  <c r="J28" i="946"/>
  <c r="K28" i="946"/>
  <c r="L28" i="946"/>
  <c r="C32" i="946"/>
  <c r="D32" i="946"/>
  <c r="E32" i="946"/>
  <c r="F32" i="946"/>
  <c r="G32" i="946"/>
  <c r="H32" i="946"/>
  <c r="I32" i="946"/>
  <c r="J32" i="946"/>
  <c r="K32" i="946"/>
  <c r="L32" i="946"/>
  <c r="J34" i="946"/>
  <c r="K34" i="946"/>
  <c r="L34" i="946"/>
  <c r="C38" i="946"/>
  <c r="D38" i="946"/>
  <c r="E38" i="946"/>
  <c r="F38" i="946"/>
  <c r="G38" i="946"/>
  <c r="H38" i="946"/>
  <c r="I38" i="946"/>
  <c r="J38" i="946"/>
  <c r="K38" i="946"/>
  <c r="L38" i="946"/>
  <c r="J40" i="946"/>
  <c r="K40" i="946"/>
  <c r="L40" i="946"/>
  <c r="C44" i="946"/>
  <c r="D44" i="946"/>
  <c r="E44" i="946"/>
  <c r="F44" i="946"/>
  <c r="G44" i="946"/>
  <c r="H44" i="946"/>
  <c r="I44" i="946"/>
  <c r="J44" i="946"/>
  <c r="K44" i="946"/>
  <c r="L44" i="946"/>
  <c r="J46" i="946"/>
  <c r="K46" i="946"/>
  <c r="L46" i="946"/>
  <c r="C50" i="946"/>
  <c r="D50" i="946"/>
  <c r="E50" i="946"/>
  <c r="F50" i="946"/>
  <c r="G50" i="946"/>
  <c r="H50" i="946"/>
  <c r="I50" i="946"/>
  <c r="J50" i="946"/>
  <c r="K50" i="946"/>
  <c r="L50" i="946"/>
  <c r="J52" i="946"/>
  <c r="K52" i="946"/>
  <c r="L52" i="946"/>
  <c r="C56" i="946"/>
  <c r="D56" i="946"/>
  <c r="E56" i="946"/>
  <c r="F56" i="946"/>
  <c r="G56" i="946"/>
  <c r="H56" i="946"/>
  <c r="I56" i="946"/>
  <c r="J56" i="946"/>
  <c r="K56" i="946"/>
  <c r="L56" i="946"/>
  <c r="J58" i="946"/>
  <c r="K58" i="946"/>
  <c r="L58" i="946"/>
  <c r="J64" i="946"/>
  <c r="K64" i="946"/>
  <c r="L64" i="946"/>
  <c r="D51" i="944"/>
  <c r="I51" i="944"/>
  <c r="D52" i="944"/>
  <c r="I52" i="944"/>
  <c r="D53" i="944"/>
  <c r="I53" i="944"/>
  <c r="D54" i="944"/>
  <c r="I54" i="944"/>
  <c r="D55" i="944"/>
  <c r="I55" i="944"/>
  <c r="D56" i="944"/>
  <c r="I56" i="944"/>
  <c r="D57" i="944"/>
  <c r="I57" i="944"/>
  <c r="D58" i="944"/>
  <c r="I58" i="944"/>
  <c r="D59" i="944"/>
  <c r="I59" i="944"/>
  <c r="D60" i="944"/>
  <c r="I60" i="944"/>
  <c r="I61" i="944"/>
  <c r="I62" i="944"/>
  <c r="I63" i="944"/>
  <c r="I64" i="944"/>
  <c r="D65" i="944"/>
  <c r="I65" i="944"/>
  <c r="D66" i="944"/>
  <c r="I66" i="944"/>
  <c r="D67" i="944"/>
  <c r="I67" i="944"/>
  <c r="D68" i="944"/>
  <c r="I68" i="944"/>
  <c r="D69" i="944"/>
  <c r="I69" i="944"/>
  <c r="D70" i="944"/>
  <c r="I70" i="944"/>
  <c r="D71" i="944"/>
  <c r="I71" i="944"/>
  <c r="D72" i="944"/>
  <c r="I72" i="944"/>
  <c r="D73" i="944"/>
  <c r="I73" i="944"/>
  <c r="D74" i="944"/>
  <c r="I74" i="944"/>
  <c r="D75" i="944"/>
  <c r="I75" i="944"/>
  <c r="D76" i="944"/>
  <c r="I76" i="944"/>
  <c r="D77" i="944"/>
  <c r="I77" i="944"/>
  <c r="D78" i="944"/>
  <c r="D79" i="944"/>
  <c r="D81" i="944"/>
  <c r="B12" i="940"/>
  <c r="B13" i="940"/>
  <c r="B14" i="940"/>
  <c r="B17" i="940"/>
  <c r="B18" i="940"/>
  <c r="B19" i="940"/>
  <c r="B22" i="940"/>
  <c r="B23" i="940"/>
  <c r="B24" i="940"/>
  <c r="B27" i="940"/>
  <c r="B28" i="940"/>
  <c r="B29" i="940"/>
  <c r="B32" i="940"/>
  <c r="B33" i="940"/>
  <c r="B34" i="940"/>
  <c r="B37" i="940"/>
  <c r="B38" i="940"/>
  <c r="B39" i="940"/>
  <c r="B42" i="940"/>
  <c r="B43" i="940"/>
  <c r="B44" i="940"/>
  <c r="L6" i="939"/>
  <c r="L7" i="939"/>
  <c r="C8" i="939"/>
  <c r="D8" i="939"/>
  <c r="E8" i="939"/>
  <c r="F8" i="939"/>
  <c r="G8" i="939"/>
  <c r="H8" i="939"/>
  <c r="I8" i="939"/>
  <c r="J8" i="939"/>
  <c r="K8" i="939"/>
  <c r="L11" i="939"/>
  <c r="B12" i="939"/>
  <c r="L12" i="939"/>
  <c r="B13" i="939"/>
  <c r="C13" i="939"/>
  <c r="D13" i="939"/>
  <c r="E13" i="939"/>
  <c r="F13" i="939"/>
  <c r="G13" i="939"/>
  <c r="H13" i="939"/>
  <c r="I13" i="939"/>
  <c r="J13" i="939"/>
  <c r="K13" i="939"/>
  <c r="B14" i="939"/>
  <c r="L16" i="939"/>
  <c r="B17" i="939"/>
  <c r="L17" i="939"/>
  <c r="B18" i="939"/>
  <c r="C18" i="939"/>
  <c r="D18" i="939"/>
  <c r="E18" i="939"/>
  <c r="F18" i="939"/>
  <c r="G18" i="939"/>
  <c r="H18" i="939"/>
  <c r="I18" i="939"/>
  <c r="J18" i="939"/>
  <c r="K18" i="939"/>
  <c r="B19" i="939"/>
  <c r="L21" i="939"/>
  <c r="B22" i="939"/>
  <c r="L22" i="939"/>
  <c r="B23" i="939"/>
  <c r="C23" i="939"/>
  <c r="D23" i="939"/>
  <c r="E23" i="939"/>
  <c r="F23" i="939"/>
  <c r="G23" i="939"/>
  <c r="H23" i="939"/>
  <c r="I23" i="939"/>
  <c r="J23" i="939"/>
  <c r="K23" i="939"/>
  <c r="B24" i="939"/>
  <c r="L26" i="939"/>
  <c r="B27" i="939"/>
  <c r="L27" i="939"/>
  <c r="B28" i="939"/>
  <c r="C28" i="939"/>
  <c r="D28" i="939"/>
  <c r="E28" i="939"/>
  <c r="F28" i="939"/>
  <c r="G28" i="939"/>
  <c r="H28" i="939"/>
  <c r="I28" i="939"/>
  <c r="J28" i="939"/>
  <c r="K28" i="939"/>
  <c r="B29" i="939"/>
  <c r="L31" i="939"/>
  <c r="B32" i="939"/>
  <c r="L32" i="939"/>
  <c r="B33" i="939"/>
  <c r="C33" i="939"/>
  <c r="D33" i="939"/>
  <c r="E33" i="939"/>
  <c r="F33" i="939"/>
  <c r="G33" i="939"/>
  <c r="H33" i="939"/>
  <c r="I33" i="939"/>
  <c r="J33" i="939"/>
  <c r="K33" i="939"/>
  <c r="B34" i="939"/>
  <c r="L36" i="939"/>
  <c r="B37" i="939"/>
  <c r="L37" i="939"/>
  <c r="B38" i="939"/>
  <c r="C38" i="939"/>
  <c r="D38" i="939"/>
  <c r="E38" i="939"/>
  <c r="F38" i="939"/>
  <c r="G38" i="939"/>
  <c r="H38" i="939"/>
  <c r="I38" i="939"/>
  <c r="J38" i="939"/>
  <c r="K38" i="939"/>
  <c r="B39" i="939"/>
  <c r="L41" i="939"/>
  <c r="B42" i="939"/>
  <c r="L42" i="939"/>
  <c r="B43" i="939"/>
  <c r="C43" i="939"/>
  <c r="D43" i="939"/>
  <c r="E43" i="939"/>
  <c r="F43" i="939"/>
  <c r="G43" i="939"/>
  <c r="H43" i="939"/>
  <c r="I43" i="939"/>
  <c r="J43" i="939"/>
  <c r="K43" i="939"/>
  <c r="B44" i="939"/>
  <c r="L46" i="939"/>
  <c r="B47" i="939"/>
  <c r="L47" i="939"/>
  <c r="B48" i="939"/>
  <c r="C48" i="939"/>
  <c r="D48" i="939"/>
  <c r="E48" i="939"/>
  <c r="F48" i="939"/>
  <c r="G48" i="939"/>
  <c r="H48" i="939"/>
  <c r="I48" i="939"/>
  <c r="J48" i="939"/>
  <c r="K48" i="939"/>
  <c r="B49" i="939"/>
  <c r="L51" i="939"/>
  <c r="B52" i="939"/>
  <c r="L52" i="939"/>
  <c r="B53" i="939"/>
  <c r="C53" i="939"/>
  <c r="D53" i="939"/>
  <c r="E53" i="939"/>
  <c r="F53" i="939"/>
  <c r="G53" i="939"/>
  <c r="H53" i="939"/>
  <c r="I53" i="939"/>
  <c r="J53" i="939"/>
  <c r="K53" i="939"/>
  <c r="B54" i="939"/>
  <c r="L56" i="939"/>
  <c r="B57" i="939"/>
  <c r="L57" i="939"/>
  <c r="B58" i="939"/>
  <c r="C58" i="939"/>
  <c r="D58" i="939"/>
  <c r="E58" i="939"/>
  <c r="F58" i="939"/>
  <c r="G58" i="939"/>
  <c r="H58" i="939"/>
  <c r="I58" i="939"/>
  <c r="J58" i="939"/>
  <c r="K58" i="939"/>
  <c r="B59" i="939"/>
  <c r="A189" i="930"/>
  <c r="B189" i="930"/>
  <c r="C189" i="930"/>
  <c r="D189" i="930"/>
  <c r="F189" i="930"/>
  <c r="G189" i="930"/>
  <c r="H189" i="930"/>
  <c r="I189" i="930"/>
  <c r="J189" i="930"/>
  <c r="K189" i="930"/>
  <c r="L189" i="930"/>
  <c r="M189" i="930"/>
  <c r="D3" i="929"/>
  <c r="E3" i="929"/>
  <c r="G3" i="929" s="1"/>
  <c r="K3" i="929" s="1"/>
  <c r="I3" i="929"/>
  <c r="M3" i="929"/>
  <c r="S8" i="919"/>
  <c r="V8" i="919"/>
  <c r="S9" i="919"/>
  <c r="V9" i="919"/>
  <c r="S10" i="919"/>
  <c r="V10" i="919"/>
  <c r="S11" i="919"/>
  <c r="V11" i="919"/>
  <c r="S12" i="919"/>
  <c r="V12" i="919"/>
  <c r="S13" i="919"/>
  <c r="V13" i="919"/>
  <c r="S14" i="919"/>
  <c r="V14" i="919"/>
  <c r="S15" i="919"/>
  <c r="V15" i="919"/>
  <c r="S16" i="919"/>
  <c r="V16" i="919"/>
  <c r="S17" i="919"/>
  <c r="V17" i="919"/>
  <c r="S18" i="919"/>
  <c r="V18" i="919"/>
  <c r="S19" i="919"/>
  <c r="V19" i="919"/>
  <c r="S20" i="919"/>
  <c r="V20" i="919"/>
  <c r="S21" i="919"/>
  <c r="V21" i="919"/>
  <c r="S22" i="919"/>
  <c r="V22" i="919"/>
  <c r="S23" i="919"/>
  <c r="V23" i="919"/>
  <c r="S24" i="919"/>
  <c r="V24" i="919"/>
  <c r="S25" i="919"/>
  <c r="V25" i="919"/>
  <c r="S26" i="919"/>
  <c r="V26" i="919"/>
  <c r="S27" i="919"/>
  <c r="V27" i="919"/>
  <c r="S28" i="919"/>
  <c r="V28" i="919"/>
  <c r="S29" i="919"/>
  <c r="V29" i="919"/>
  <c r="S30" i="919"/>
  <c r="V30" i="919"/>
  <c r="S31" i="919"/>
  <c r="V31" i="919"/>
  <c r="S32" i="919"/>
  <c r="V32" i="919"/>
  <c r="S33" i="919"/>
  <c r="V33" i="919"/>
  <c r="N34" i="919"/>
  <c r="O34" i="919"/>
  <c r="P34" i="919"/>
  <c r="Q34" i="919"/>
  <c r="S34" i="919"/>
  <c r="T34" i="919"/>
  <c r="V34" i="919" s="1"/>
  <c r="A46" i="918"/>
  <c r="C71" i="893"/>
  <c r="C72" i="893"/>
  <c r="C73" i="893"/>
  <c r="C74" i="893"/>
  <c r="C75" i="89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Informatik</author>
  </authors>
  <commentList>
    <comment ref="H6" authorId="0" shapeId="0" xr:uid="{A567EF4C-3D49-C74A-9AF2-92D83BCCBFEF}">
      <text>
        <r>
          <rPr>
            <b/>
            <sz val="8"/>
            <color indexed="81"/>
            <rFont val="Tahoma"/>
            <family val="2"/>
          </rPr>
          <t>Cap / 22.10.01</t>
        </r>
        <r>
          <rPr>
            <sz val="8"/>
            <color indexed="81"/>
            <rFont val="Tahoma"/>
            <family val="2"/>
          </rPr>
          <t xml:space="preserve">
gemäss Auswertung 1999 vom 22.10.01</t>
        </r>
      </text>
    </comment>
  </commentList>
</comments>
</file>

<file path=xl/sharedStrings.xml><?xml version="1.0" encoding="utf-8"?>
<sst xmlns="http://schemas.openxmlformats.org/spreadsheetml/2006/main" count="8622" uniqueCount="2550">
  <si>
    <t>9.20</t>
  </si>
  <si>
    <t>Publikation 1996</t>
  </si>
  <si>
    <t>Publikation 1997</t>
  </si>
  <si>
    <t>Publikation 1998</t>
  </si>
  <si>
    <t>Publikation 1999</t>
  </si>
  <si>
    <t>Publikation 2001</t>
  </si>
  <si>
    <t>Publikation 2002</t>
  </si>
  <si>
    <t>Publikation 2003</t>
  </si>
  <si>
    <t>Publikation 2004</t>
  </si>
  <si>
    <t>A 01</t>
  </si>
  <si>
    <t>A 02 A</t>
  </si>
  <si>
    <t>A 02 B</t>
  </si>
  <si>
    <t>A 03 A</t>
  </si>
  <si>
    <t>A 03 B</t>
  </si>
  <si>
    <t>A 04 A</t>
  </si>
  <si>
    <t>A 04 B</t>
  </si>
  <si>
    <t>A 05 A</t>
  </si>
  <si>
    <t>A 05 B</t>
  </si>
  <si>
    <t>A 06</t>
  </si>
  <si>
    <t>A 07</t>
  </si>
  <si>
    <t>A 08 A</t>
  </si>
  <si>
    <t>A 08 B</t>
  </si>
  <si>
    <t>A 09 A</t>
  </si>
  <si>
    <t>A 09 B</t>
  </si>
  <si>
    <t>A 10</t>
  </si>
  <si>
    <t>A 11</t>
  </si>
  <si>
    <t>A 12 A</t>
  </si>
  <si>
    <t>A 12 B</t>
  </si>
  <si>
    <t>A 13 B</t>
  </si>
  <si>
    <t>A 13 A</t>
  </si>
  <si>
    <t>B 01</t>
  </si>
  <si>
    <t>B 02</t>
  </si>
  <si>
    <t>B 03 A</t>
  </si>
  <si>
    <t>B 03 B</t>
  </si>
  <si>
    <t>B 04 A</t>
  </si>
  <si>
    <t>B 04 B</t>
  </si>
  <si>
    <t>B 05 A</t>
  </si>
  <si>
    <t>B 05 B</t>
  </si>
  <si>
    <t>B 06 A</t>
  </si>
  <si>
    <t>B 06 B</t>
  </si>
  <si>
    <t>B 07 A</t>
  </si>
  <si>
    <t>B 07 B</t>
  </si>
  <si>
    <t>B 08 A</t>
  </si>
  <si>
    <t>B 08 B</t>
  </si>
  <si>
    <t>B 09 A</t>
  </si>
  <si>
    <t>B 09 B</t>
  </si>
  <si>
    <t>B 10 A</t>
  </si>
  <si>
    <t>B 10 B</t>
  </si>
  <si>
    <t>B 11 A</t>
  </si>
  <si>
    <t>B 11 B</t>
  </si>
  <si>
    <t>B 12 A</t>
  </si>
  <si>
    <t>B 12 B</t>
  </si>
  <si>
    <t>B 13 A</t>
  </si>
  <si>
    <t>B 13 B</t>
  </si>
  <si>
    <t>B 14</t>
  </si>
  <si>
    <t>B 15</t>
  </si>
  <si>
    <t>B 16</t>
  </si>
  <si>
    <t>B 17</t>
  </si>
  <si>
    <t>B 18</t>
  </si>
  <si>
    <t>C 01 A</t>
  </si>
  <si>
    <t>C 01 B</t>
  </si>
  <si>
    <t>6: Freiwillige Taggeldversicherung KVG</t>
  </si>
  <si>
    <t>Versicherer, Versicherte, Prämien und Leistungen nach Einzel- u. Kollektivverträgen</t>
  </si>
  <si>
    <t xml:space="preserve">Betriebsrechnung der Einzel- und Kollektivversicherung insgesamt </t>
  </si>
  <si>
    <t xml:space="preserve">Betriebsrechnung der Einzelversicherung </t>
  </si>
  <si>
    <t>Betriebsrechnung der Kollektivversicherung</t>
  </si>
  <si>
    <t>7: Andere Versicherungen der vom BAG anerkannten Krankenversicherer</t>
  </si>
  <si>
    <t>Indikatoren der Betriebsrechnung der anderen Versicherungen</t>
  </si>
  <si>
    <t>Betriebsrechnung der Zusatzversicherungen VVG</t>
  </si>
  <si>
    <t xml:space="preserve">Betriebsrechnung der Krankenpflegeversicherung Liechtenstein </t>
  </si>
  <si>
    <t>Betriebsrechnung der Zusatzversicherungen Versicherte wohnhaft im Ausland</t>
  </si>
  <si>
    <t>9: Zusatzinformationen zum Gesundheitswesen</t>
  </si>
  <si>
    <t xml:space="preserve">Leistungen (brutto) in Fr. je versicherte Person nach Versicherungsform </t>
  </si>
  <si>
    <t>Publikation 2006</t>
  </si>
  <si>
    <t>Sektion Statistik und Mathematik</t>
  </si>
  <si>
    <t>© Bundesamt für Gesundheit (BAG)</t>
  </si>
  <si>
    <r>
      <t xml:space="preserve">Kinder </t>
    </r>
    <r>
      <rPr>
        <vertAlign val="superscript"/>
        <sz val="11"/>
        <rFont val="Arial"/>
        <family val="2"/>
      </rPr>
      <t>5</t>
    </r>
  </si>
  <si>
    <r>
      <t xml:space="preserve">Versicherte </t>
    </r>
    <r>
      <rPr>
        <vertAlign val="superscript"/>
        <sz val="11"/>
        <rFont val="Arial"/>
        <family val="2"/>
      </rPr>
      <t>1</t>
    </r>
  </si>
  <si>
    <r>
      <t xml:space="preserve">Erkrankte </t>
    </r>
    <r>
      <rPr>
        <vertAlign val="superscript"/>
        <sz val="11"/>
        <rFont val="Arial"/>
        <family val="2"/>
      </rPr>
      <t>2</t>
    </r>
  </si>
  <si>
    <r>
      <t xml:space="preserve">Einweisungen </t>
    </r>
    <r>
      <rPr>
        <vertAlign val="superscript"/>
        <sz val="11"/>
        <rFont val="Arial"/>
        <family val="2"/>
      </rPr>
      <t>3</t>
    </r>
  </si>
  <si>
    <r>
      <t xml:space="preserve">Spitaltage </t>
    </r>
    <r>
      <rPr>
        <vertAlign val="superscript"/>
        <sz val="11"/>
        <rFont val="Arial"/>
        <family val="2"/>
      </rPr>
      <t>4</t>
    </r>
  </si>
  <si>
    <t>Einwei-</t>
  </si>
  <si>
    <t>1) Anzahl versicherte Personen, welche im Berichtsjahr mindestens einmal ambulante oder stationäre Kosten verursacht haben.</t>
  </si>
  <si>
    <t>2) Die Zeitreihen der Einweisungen und besonders der Spitaltage sind von beschränkter Aussagekraft;</t>
  </si>
  <si>
    <t xml:space="preserve">    Durchschnittsbestand = Stand aller Monate zusammengezählt und geteilt durch 12.</t>
  </si>
  <si>
    <t>2) Betriebsrechnung: siehe T 1.07.</t>
  </si>
  <si>
    <t>3) GrenzgängerInnen, sowie ihre nichterwerbstätigen Familienangehörigen (Versicherte gemäss Art. 3 KVV).</t>
  </si>
  <si>
    <t>Quelle: A: Formular EF3 [T 3.1 &amp; 3.8.1 &amp; 3.8.4] / B: Formular EF1 [1.12 D] / C: Formular EF1 [1.12 E]</t>
  </si>
  <si>
    <r>
      <t xml:space="preserve">A. KVG-Versicherte mit Wohnsitz in der Schweiz und schweizerischer Prämie (inkl. Versicherte gemäss Art. 4 und 5 KVV) </t>
    </r>
    <r>
      <rPr>
        <b/>
        <vertAlign val="superscript"/>
        <sz val="12"/>
        <rFont val="55 Helvetica Roman"/>
      </rPr>
      <t>1</t>
    </r>
  </si>
  <si>
    <r>
      <t xml:space="preserve">B. KVG-Versicherte mit Wohnsitz in einem EG-Staat, in Island oder in Norwegen, inklusive GrenzgängerInnen </t>
    </r>
    <r>
      <rPr>
        <b/>
        <vertAlign val="superscript"/>
        <sz val="12"/>
        <rFont val="Arial"/>
        <family val="2"/>
      </rPr>
      <t>2</t>
    </r>
  </si>
  <si>
    <r>
      <t xml:space="preserve">C. KVG-Versicherte mit Wohnsitz in einem EG-Staat, in Island oder in Norwegen, nur GrenzgängerInnen </t>
    </r>
    <r>
      <rPr>
        <b/>
        <vertAlign val="superscript"/>
        <sz val="12"/>
        <rFont val="Arial"/>
        <family val="2"/>
      </rPr>
      <t>3</t>
    </r>
  </si>
  <si>
    <t>Abweichung</t>
  </si>
  <si>
    <t>vom Gesamt-</t>
  </si>
  <si>
    <t>durchschnitt</t>
  </si>
  <si>
    <t>Eingeschränkte Wahl (z.B. HMO)</t>
  </si>
  <si>
    <t>Quelle: T 3.10 / T 11.01</t>
  </si>
  <si>
    <t>1) Schätzung des mittleren Versichertenbestandes (ausgenommen Zeile Total) aufgrund der Aufteilung der Versicherten per 31.12 in T 11.05</t>
  </si>
  <si>
    <r>
      <t>T 3.11  Prämiensoll in Franken je versicherte Person nach Versicherungsform</t>
    </r>
    <r>
      <rPr>
        <b/>
        <vertAlign val="superscript"/>
        <sz val="12"/>
        <rFont val="Arial"/>
        <family val="2"/>
      </rPr>
      <t xml:space="preserve"> 1</t>
    </r>
  </si>
  <si>
    <t xml:space="preserve">T 3.10  Prämiensoll in Franken nach Versicherungsform </t>
  </si>
  <si>
    <t>Quelle: Formular EF3 [T 3.4]</t>
  </si>
  <si>
    <t>T 1.12 Stand der Reserven per 31.12. ab 1998</t>
  </si>
  <si>
    <t>Stand</t>
  </si>
  <si>
    <t>Reserve-</t>
  </si>
  <si>
    <t>pro ver-</t>
  </si>
  <si>
    <t>sicherte Per-</t>
  </si>
  <si>
    <t>son in Fr.</t>
  </si>
  <si>
    <t>1) Vgl. Tabelle 11.13A.</t>
  </si>
  <si>
    <t>2) Reserven in % des Prämiensolls (vgl. Tabelle 3.10).</t>
  </si>
  <si>
    <t>Quelle: T 8.10 [290 + 290.9]; T 11.13A; T 3.10</t>
  </si>
  <si>
    <r>
      <t xml:space="preserve">Reserven </t>
    </r>
    <r>
      <rPr>
        <vertAlign val="superscript"/>
        <sz val="11"/>
        <rFont val="Arial"/>
        <family val="2"/>
      </rPr>
      <t>1</t>
    </r>
  </si>
  <si>
    <r>
      <t xml:space="preserve">quote </t>
    </r>
    <r>
      <rPr>
        <vertAlign val="superscript"/>
        <sz val="11"/>
        <rFont val="Arial"/>
        <family val="2"/>
      </rPr>
      <t>2</t>
    </r>
  </si>
  <si>
    <t>1) Bezahlte Leistungen der Versicherer = Leistungen (brutto) der Versicherer minus Kostenbeteiligungen der Versicherten.</t>
  </si>
  <si>
    <t>Quelle: T 1.03; 1.04; 1.05; 1.06 [30-33]</t>
  </si>
  <si>
    <r>
      <t xml:space="preserve">T 2.20  Bezahlte Leistungen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 Mio. Franken nach Versicherungsform ab 1998</t>
    </r>
  </si>
  <si>
    <t>T 1.13  Stand der Rückstellungen per 31.12. für unerledigte Versicherungsfälle ab 1998</t>
  </si>
  <si>
    <t>Stand Rück-</t>
  </si>
  <si>
    <t>Rückstellungen</t>
  </si>
  <si>
    <t>Rück-</t>
  </si>
  <si>
    <t>stellungen pro</t>
  </si>
  <si>
    <t>in % der be-</t>
  </si>
  <si>
    <t>stellungen</t>
  </si>
  <si>
    <t>versicherte</t>
  </si>
  <si>
    <t>zahlten Lei-</t>
  </si>
  <si>
    <t>2) Vgl. Tabelle 2.20.</t>
  </si>
  <si>
    <t>Quelle: T 8.10 [270]; T 11.13A; T 2.20</t>
  </si>
  <si>
    <r>
      <t xml:space="preserve">Person in Fr. </t>
    </r>
    <r>
      <rPr>
        <vertAlign val="superscript"/>
        <sz val="11"/>
        <rFont val="Arial"/>
        <family val="2"/>
      </rPr>
      <t>1</t>
    </r>
  </si>
  <si>
    <r>
      <t xml:space="preserve">stungen </t>
    </r>
    <r>
      <rPr>
        <vertAlign val="superscript"/>
        <sz val="11"/>
        <rFont val="Arial"/>
        <family val="2"/>
      </rPr>
      <t>2</t>
    </r>
  </si>
  <si>
    <t>Index der Krankenpflegekosten, der Krankenversicherungsausgaben der Versicherten sowie der Löhne ab 1998</t>
  </si>
  <si>
    <t>Kosten des Gesundheitswesens in der Schweiz aus der Sicht der sozialen Sicherheit ab 1998</t>
  </si>
  <si>
    <t>Kosten des Gesundheitswesens in der Schweiz nach Direktzahler ab 1998</t>
  </si>
  <si>
    <t>Kosten des Gesundheitswesens in der Schweiz nach Leistungserbringer ab 1998</t>
  </si>
  <si>
    <t>Kosten des Gesundheitswesens in der Schweiz nach Leistungen ab 1998</t>
  </si>
  <si>
    <t>Kosten des Gesundheitswesens in der Schweiz aus der Sicht der Volkswirtschaft und pro Einwohner ab 1998</t>
  </si>
  <si>
    <t>Kosten des Gesundheitswesens in der Schweiz aus der Sicht der Krankenversicherungsprämien ab 1998</t>
  </si>
  <si>
    <t>Kosten des Gesundheitswesens in der Schweiz aus der Sicht der Krankenversicherungsleistungen ab 1998</t>
  </si>
  <si>
    <t>Details des Finanzierungssaldos ab 1998</t>
  </si>
  <si>
    <t>Entwicklung der Wohnbevölkerung, der Ärzte mit Praxistätigkeit und der Apotheken ab 1998</t>
  </si>
  <si>
    <t>Aufteilung der Versicherten nach Art der Spitalzusatzversicherungen ab 1998</t>
  </si>
  <si>
    <t>Entwicklung der Preisindizes für Gesundheitspflege ab 1998</t>
  </si>
  <si>
    <t>Index der Krankenversicherungsprämien nach Versicherungsart ab 1998</t>
  </si>
  <si>
    <t>Totaler Beitrag je versicherte Person nach Versicherungsform in der OKP ab 1998</t>
  </si>
  <si>
    <t>Taggeldversicherung KVG / VVG ab 1998</t>
  </si>
  <si>
    <t>Krankenversicherung (KVG-Versicherer und Privatversicherer) ab 1998</t>
  </si>
  <si>
    <t>Gesundheitskosten ausgewählter OECD–Länder in % des BIP ab 1998</t>
  </si>
  <si>
    <t>Sozialleistungen für die Gesundheitsversorgung : Internationaler Vergleich in % des BIP ab 1998</t>
  </si>
  <si>
    <t>Erkrankte, Spitaleinweisungen und Spitaltage in der OKP ab 1998</t>
  </si>
  <si>
    <t>Kantonale Durchschnittsprämien pro Versicherten pro Jahr ab 1998</t>
  </si>
  <si>
    <t>Prämiensoll nach Versicherungsform ab 1998</t>
  </si>
  <si>
    <t>Prämiensoll je versicherte Person nach Versicherungsform ab 1998</t>
  </si>
  <si>
    <t>Monatliche Durchschnittsprämien ab 1996 : CH</t>
  </si>
  <si>
    <t>31.7.09: 8.04-&gt;8.12, 11.05,11.06, 11.13</t>
  </si>
  <si>
    <t xml:space="preserve">30.7.09: 1.01-&gt;1.13, 2.20, 3.10, 3.11 </t>
  </si>
  <si>
    <t>nicht mehr</t>
  </si>
  <si>
    <t>Neuer</t>
  </si>
  <si>
    <t>24.8.09: 2.02, 2.03, 2.15, 2.21, 3.08, 3.12</t>
  </si>
  <si>
    <t>Neue</t>
  </si>
  <si>
    <t>Neues</t>
  </si>
  <si>
    <t>Zusammenschluss oder Transfer mit</t>
  </si>
  <si>
    <t>Nr.</t>
  </si>
  <si>
    <t>in der</t>
  </si>
  <si>
    <t>Versicherer</t>
  </si>
  <si>
    <t>Namen</t>
  </si>
  <si>
    <t>BAG-Nr. / Versicherer</t>
  </si>
  <si>
    <t>gebiet</t>
  </si>
  <si>
    <t>Total</t>
  </si>
  <si>
    <t>1) Nach dem Entzug der Anerkennung als Krankenversicherer wurden die Leistungen durch den Insolvenzfonds (Gemeinsame Einrichtung) erbracht.</t>
  </si>
  <si>
    <r>
      <t xml:space="preserve">BAG-Liste </t>
    </r>
    <r>
      <rPr>
        <vertAlign val="superscript"/>
        <sz val="10"/>
        <rFont val="Arial"/>
        <family val="2"/>
      </rPr>
      <t>1</t>
    </r>
  </si>
  <si>
    <t>11: Versicherte in der OKP</t>
  </si>
  <si>
    <t>Versichertenbestand nach Wohnkanton per 31.12.</t>
  </si>
  <si>
    <t>(Beilage B2</t>
  </si>
  <si>
    <t xml:space="preserve"> www.bag.admin.ch/pyramiden            </t>
  </si>
  <si>
    <t>Kranken- &amp; Unfallkasse Rothenburg</t>
  </si>
  <si>
    <t>Quelle: BFS, Sektion Preise und Verbrauch.</t>
  </si>
  <si>
    <r>
      <t xml:space="preserve">T 9.12  Entwicklung der Preisindizes für Gesundheitspflege ab 1998  (1996 = 100) </t>
    </r>
    <r>
      <rPr>
        <b/>
        <vertAlign val="superscript"/>
        <sz val="12"/>
        <rFont val="Arial"/>
        <family val="2"/>
      </rPr>
      <t>1</t>
    </r>
  </si>
  <si>
    <t>Prämienermässigung an Versicherte (-)</t>
  </si>
  <si>
    <t>Sonstige Betriebserträge</t>
  </si>
  <si>
    <t>Total Versicherungsertrag</t>
  </si>
  <si>
    <t>Leistungen</t>
  </si>
  <si>
    <t>Kostenbeteiligung der Versicherten (-)</t>
  </si>
  <si>
    <t>30-33</t>
  </si>
  <si>
    <t>Bezahlte Leistungen</t>
  </si>
  <si>
    <t>Spital ambulant</t>
  </si>
  <si>
    <t>Medikamente Arzt</t>
  </si>
  <si>
    <t>Medikamente Apotheke</t>
  </si>
  <si>
    <t>Spitex</t>
  </si>
  <si>
    <t>Physiotherapie</t>
  </si>
  <si>
    <t>Labor</t>
  </si>
  <si>
    <t>Chiropraktik</t>
  </si>
  <si>
    <t>Mittel und Gegenstände</t>
  </si>
  <si>
    <t>Komplementärmedizin</t>
  </si>
  <si>
    <t>und Grenz-</t>
  </si>
  <si>
    <t>gänger</t>
  </si>
  <si>
    <t>Quelle: Bundesbeiträge: Verteilungsmodell BAG für das Jahr 2008.</t>
  </si>
  <si>
    <t xml:space="preserve">1) Mittlere Wohnbevölkerung 2006 [Durchschnittliche Wohnbevölkerung in einem bestimmten Gebiet nach wirtschaftlichem Wohnsitz; </t>
  </si>
  <si>
    <t xml:space="preserve">  Quelle: BFS Sektion Bevölkerungsentwicklung] + versicherte Grenzgänger 2006 und deren Familienangehörige [Quelle: EF S{3} 2006].</t>
  </si>
  <si>
    <r>
      <t>T 4.08 KVG-Verteilmodell</t>
    </r>
    <r>
      <rPr>
        <b/>
        <sz val="12"/>
        <rFont val="Arial"/>
        <family val="2"/>
      </rPr>
      <t xml:space="preserve">: Berechnungsbasis sowie Bundes- und Kantonsbeiträge </t>
    </r>
  </si>
  <si>
    <r>
      <t xml:space="preserve">gänger </t>
    </r>
    <r>
      <rPr>
        <vertAlign val="superscript"/>
        <sz val="11"/>
        <rFont val="Arial"/>
        <family val="2"/>
      </rPr>
      <t>1</t>
    </r>
  </si>
  <si>
    <r>
      <t xml:space="preserve">völkerung </t>
    </r>
    <r>
      <rPr>
        <vertAlign val="superscript"/>
        <sz val="11"/>
        <rFont val="Arial"/>
        <family val="2"/>
      </rPr>
      <t>1</t>
    </r>
  </si>
  <si>
    <t xml:space="preserve">T 4.06 Bezügerquoten nach Kantonen in % </t>
  </si>
  <si>
    <t>Durchschnittlicher Versichertenbestand</t>
  </si>
  <si>
    <t>Quelle: T 11.16 &amp; T 4.02</t>
  </si>
  <si>
    <t>T 4.07 Budgetierte und ausbezahlte Subventionen ab 1998</t>
  </si>
  <si>
    <t>Subven-</t>
  </si>
  <si>
    <t>Reduktions-</t>
  </si>
  <si>
    <t>Subventions-</t>
  </si>
  <si>
    <t>Ausbezahlte</t>
  </si>
  <si>
    <t>budget nach</t>
  </si>
  <si>
    <t>* davon Anteil</t>
  </si>
  <si>
    <t>Subventionen</t>
  </si>
  <si>
    <t>Durchschnitt</t>
  </si>
  <si>
    <t>der Kantone</t>
  </si>
  <si>
    <t>CH in %</t>
  </si>
  <si>
    <t>Quelle: Fussnote 1) &amp; T 4.08 &amp; T 4.09</t>
  </si>
  <si>
    <t xml:space="preserve">1) Maximaler Subventionsbetrag von Bund und Kantonen gemäss KVG-Verteilmodell: </t>
  </si>
  <si>
    <t xml:space="preserve">   Art. 106 KVG &amp; Bundesbeschlüsse über die Bundesbeiträge in der Krankenversicherung.</t>
  </si>
  <si>
    <t xml:space="preserve">   Ab 1.1.2008 wird die Prämienverbilligung nach der Neugestaltung des Finanzausgleichs und der Aufgabenteilung</t>
  </si>
  <si>
    <t xml:space="preserve">   zwischen Bund und Kantonen (NFA) berechnet. Vgl. Erläuterungen im Anhang.</t>
  </si>
  <si>
    <t>2) Vgl. Art. 66 Abs. 5 KVG: "Der Kanton darf den (...) von ihm zu übernehmenden Betrag um maximal 50 Prozent kürzen, wenn</t>
  </si>
  <si>
    <t>die Prämienverbilligung für Versicherte in bescheidenen wirtschaftlichen Verhältnissen trotzdem sichergestellt ist. Der Beitrag</t>
  </si>
  <si>
    <t>des Bundes an diesen Kanton wird im gleichen Verhältnis gekürzt".</t>
  </si>
  <si>
    <t>Neues System ab 1.1.2008: keine Kürzung mehr durch die Kantone.</t>
  </si>
  <si>
    <t>3) Subventionsbudget = maximaler Subventionsbetrag abzüglich der Kürzungsbeträge von Kantonen und Bund (vgl. Fussnote 2).</t>
  </si>
  <si>
    <t>4) Effektiv im Berichtsjahr an die Haushalte/BezügerInnen ausbezahlte Prämienverbilligungen nach KVG.</t>
  </si>
  <si>
    <t xml:space="preserve">     Die Werte für 1996 und 2004 wurden revidiert.</t>
  </si>
  <si>
    <r>
      <t xml:space="preserve">tionsziel </t>
    </r>
    <r>
      <rPr>
        <vertAlign val="superscript"/>
        <sz val="11"/>
        <rFont val="Arial"/>
        <family val="2"/>
      </rPr>
      <t>1</t>
    </r>
  </si>
  <si>
    <r>
      <t xml:space="preserve">faktor 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:</t>
    </r>
  </si>
  <si>
    <r>
      <t xml:space="preserve">Kürzungen </t>
    </r>
    <r>
      <rPr>
        <vertAlign val="superscript"/>
        <sz val="11"/>
        <rFont val="Arial"/>
        <family val="2"/>
      </rPr>
      <t>3</t>
    </r>
  </si>
  <si>
    <r>
      <t xml:space="preserve">nach KVG </t>
    </r>
    <r>
      <rPr>
        <vertAlign val="superscript"/>
        <sz val="11"/>
        <rFont val="Arial"/>
        <family val="2"/>
      </rPr>
      <t>4</t>
    </r>
  </si>
  <si>
    <t>T 4.09 Prämienverbilligung OKP : effektiv ausgerichtete Beiträge nach Kantonen</t>
  </si>
  <si>
    <t>nach KVG</t>
  </si>
  <si>
    <t>Beiträge *</t>
  </si>
  <si>
    <t>und früher</t>
  </si>
  <si>
    <t>Quelle: Formular PV1 &amp; T 4.02 &amp; T 4.04</t>
  </si>
  <si>
    <t>1) Effektiv im Berichtsjahr an die Haushalte/BezügerInnen ausbezahlte Prämienverbilligungen nach KVG. Bund und Kantone.</t>
  </si>
  <si>
    <r>
      <t xml:space="preserve">nach KVG </t>
    </r>
    <r>
      <rPr>
        <b/>
        <vertAlign val="superscript"/>
        <sz val="11"/>
        <rFont val="Arial"/>
        <family val="2"/>
      </rPr>
      <t>1</t>
    </r>
  </si>
  <si>
    <t>Datenstand : 26.10.09</t>
  </si>
  <si>
    <t>Datenstand: 26.10.09</t>
  </si>
  <si>
    <t>KVG-Verteilmodell 2008</t>
  </si>
  <si>
    <t>für 2008</t>
  </si>
  <si>
    <t>für 2007</t>
  </si>
  <si>
    <t>7’557’609</t>
  </si>
  <si>
    <t>13’674</t>
  </si>
  <si>
    <t>7’571’283</t>
  </si>
  <si>
    <t>– Forderungen bei Partnern brutto</t>
  </si>
  <si>
    <t>– Wertberichtigung / Delkredere</t>
  </si>
  <si>
    <t>9.10.09: 11.17</t>
  </si>
  <si>
    <t>Beilage F1 :</t>
  </si>
  <si>
    <t>Entwicklung der Franchisen, Prämienrabatte und Selbstbehalte ab 1996</t>
  </si>
  <si>
    <t>1996-1997</t>
  </si>
  <si>
    <t>Selbstbehalt</t>
  </si>
  <si>
    <t>10% max. 600.-</t>
  </si>
  <si>
    <t>Franchise</t>
  </si>
  <si>
    <t>maximaler Prämienrabatt in %</t>
  </si>
  <si>
    <t>ordentlich 150.-</t>
  </si>
  <si>
    <t>1) 300.-</t>
  </si>
  <si>
    <t>2) 600.-</t>
  </si>
  <si>
    <t>3) 1200.-</t>
  </si>
  <si>
    <t>Versicherte mit Grundversicherung</t>
  </si>
  <si>
    <t>Versicherte ohne Grundversicherung</t>
  </si>
  <si>
    <t>Besondere</t>
  </si>
  <si>
    <t>Spital halbprivat,</t>
  </si>
  <si>
    <t>per 31.12</t>
  </si>
  <si>
    <t>privat und gleich-</t>
  </si>
  <si>
    <t>ganze CH</t>
  </si>
  <si>
    <t>wertige Produkte</t>
  </si>
  <si>
    <t>1) Quelle (-&gt; 2007): Die privaten Versicherungseinrichtungen in der Schweiz (BPV), detaillierte Fassung der Tabelle AS03N.</t>
  </si>
  <si>
    <t xml:space="preserve">   Mit Vorsicht zu interpretieren. Es sind keine Informationen zu der Einteilung spezieller Versicherungsangebote vorhanden (vgl. Fussnote 5).</t>
  </si>
  <si>
    <t>2) Quelle: Bundesamt für Gesundheit (BAG), Formular EF3 [3.7.3].</t>
  </si>
  <si>
    <t xml:space="preserve">   Es können nur Versicherte berücksichtigt werden, welche die Zusatzversicherung beim gleichen Versicherer abgeschlossen haben wie die obligatorische Krankenpflegeversicherung.</t>
  </si>
  <si>
    <t>3) Quelle: T 11.06.</t>
  </si>
  <si>
    <t>4) Quelle: Bundesamt für Gesundheit (BAG), Formular EF3 [3.7.3].</t>
  </si>
  <si>
    <t xml:space="preserve">   Nur Versicherte, welche die Zusatzversicherung beim anderen Versicherer abgeschlossen haben als die obligatorische Krankenpflegeversicherung.</t>
  </si>
  <si>
    <t>5) Besondere Versicherungsangebote :</t>
  </si>
  <si>
    <t>- Spitalzimmerversicherung für die freie Wahl von Ein- oder Zweibettzimmern in der allgemeinen Spitalabteilung</t>
  </si>
  <si>
    <t>- Behandlungskostenversicherung bei Spitalaufenthalten mit einem definierten Maximalbetrag pro Jahr.</t>
  </si>
  <si>
    <t>6) KVG + Privatversicherer. Quelle (-&gt; 2007): BPV: www.bpv.admin.ch &gt; Themen &gt; Krankenzusatzversicherung &gt; Zahlen und Fakten.   Mit Vorsicht zu interpretieren.</t>
  </si>
  <si>
    <r>
      <t xml:space="preserve"> KVG-Versicherer </t>
    </r>
    <r>
      <rPr>
        <b/>
        <vertAlign val="superscript"/>
        <sz val="11"/>
        <rFont val="Arial"/>
        <family val="2"/>
      </rPr>
      <t>2</t>
    </r>
  </si>
  <si>
    <r>
      <t xml:space="preserve"> KVG-Versicherer </t>
    </r>
    <r>
      <rPr>
        <b/>
        <vertAlign val="superscript"/>
        <sz val="11"/>
        <rFont val="Arial"/>
        <family val="2"/>
      </rPr>
      <t>4</t>
    </r>
  </si>
  <si>
    <r>
      <t xml:space="preserve"> Privatversicherer </t>
    </r>
    <r>
      <rPr>
        <b/>
        <vertAlign val="superscript"/>
        <sz val="11"/>
        <rFont val="Arial"/>
        <family val="2"/>
      </rPr>
      <t>1</t>
    </r>
  </si>
  <si>
    <r>
      <t xml:space="preserve">Versicherer </t>
    </r>
    <r>
      <rPr>
        <b/>
        <vertAlign val="superscript"/>
        <sz val="11"/>
        <rFont val="Arial"/>
        <family val="2"/>
      </rPr>
      <t>6</t>
    </r>
  </si>
  <si>
    <r>
      <t xml:space="preserve">Angebote </t>
    </r>
    <r>
      <rPr>
        <vertAlign val="superscript"/>
        <sz val="11"/>
        <rFont val="Arial"/>
        <family val="2"/>
      </rPr>
      <t>5</t>
    </r>
  </si>
  <si>
    <t>Finanzierungsträger</t>
  </si>
  <si>
    <t>Durchschnittl.</t>
  </si>
  <si>
    <t>Schätzung</t>
  </si>
  <si>
    <t>des Gesundheitswesens</t>
  </si>
  <si>
    <t>jährl.</t>
  </si>
  <si>
    <t>Übrige Systeme der sozialen Sicherheit</t>
  </si>
  <si>
    <t>Obligatorische Krankenpflegeversicherung KVG</t>
  </si>
  <si>
    <t xml:space="preserve"> Übriger Aufwand</t>
  </si>
  <si>
    <t xml:space="preserve"> Verwaltungskosten (inkl. Prävention) </t>
  </si>
  <si>
    <t>1) - 18) und Quellen: siehe Fussnoten unter der Tabelle 9.08.</t>
  </si>
  <si>
    <r>
      <t xml:space="preserve">2008 </t>
    </r>
    <r>
      <rPr>
        <i/>
        <vertAlign val="superscript"/>
        <sz val="10"/>
        <rFont val="Arial"/>
        <family val="2"/>
      </rPr>
      <t>17</t>
    </r>
  </si>
  <si>
    <r>
      <t xml:space="preserve">Staat </t>
    </r>
    <r>
      <rPr>
        <b/>
        <vertAlign val="superscript"/>
        <sz val="10"/>
        <rFont val="Arial"/>
        <family val="2"/>
      </rPr>
      <t>1</t>
    </r>
  </si>
  <si>
    <r>
      <t xml:space="preserve">Sozialversicherungen </t>
    </r>
    <r>
      <rPr>
        <b/>
        <vertAlign val="superscript"/>
        <sz val="10"/>
        <rFont val="Arial"/>
        <family val="2"/>
      </rPr>
      <t>2</t>
    </r>
  </si>
  <si>
    <r>
      <t xml:space="preserve">     Ergänzungsleistungen </t>
    </r>
    <r>
      <rPr>
        <b/>
        <vertAlign val="superscript"/>
        <sz val="9"/>
        <rFont val="Arial"/>
        <family val="2"/>
      </rPr>
      <t>7</t>
    </r>
  </si>
  <si>
    <r>
      <t xml:space="preserve">     Sozialhilfe </t>
    </r>
    <r>
      <rPr>
        <b/>
        <vertAlign val="superscript"/>
        <sz val="9"/>
        <rFont val="Arial"/>
        <family val="2"/>
      </rPr>
      <t>7</t>
    </r>
  </si>
  <si>
    <r>
      <t xml:space="preserve">     Hilflosenentschädigungen </t>
    </r>
    <r>
      <rPr>
        <b/>
        <vertAlign val="superscript"/>
        <sz val="9"/>
        <rFont val="Arial"/>
        <family val="2"/>
      </rPr>
      <t>7</t>
    </r>
  </si>
  <si>
    <r>
      <t xml:space="preserve">Brutto Krankenversicherungleistungen 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 xml:space="preserve"> </t>
    </r>
  </si>
  <si>
    <r>
      <t xml:space="preserve">       davon Kostenbeteiligung </t>
    </r>
    <r>
      <rPr>
        <b/>
        <vertAlign val="superscript"/>
        <sz val="8"/>
        <rFont val="Arial"/>
        <family val="2"/>
      </rPr>
      <t>11</t>
    </r>
  </si>
  <si>
    <r>
      <t xml:space="preserve">      davon Prämienverbilligung KVG </t>
    </r>
    <r>
      <rPr>
        <b/>
        <vertAlign val="superscript"/>
        <sz val="8"/>
        <rFont val="Arial"/>
        <family val="2"/>
      </rPr>
      <t>13</t>
    </r>
  </si>
  <si>
    <r>
      <t xml:space="preserve">Zusatzversicherungen VVG der KVG-Versicherer </t>
    </r>
    <r>
      <rPr>
        <vertAlign val="superscript"/>
        <sz val="9"/>
        <rFont val="Arial"/>
        <family val="2"/>
      </rPr>
      <t>5</t>
    </r>
  </si>
  <si>
    <r>
      <t xml:space="preserve">      davon Kostenbeteiligung </t>
    </r>
    <r>
      <rPr>
        <b/>
        <vertAlign val="superscript"/>
        <sz val="8"/>
        <rFont val="Arial"/>
        <family val="2"/>
      </rPr>
      <t>11</t>
    </r>
  </si>
  <si>
    <r>
      <t xml:space="preserve">Zusatzversicherungen VVG der Privatversicherer </t>
    </r>
    <r>
      <rPr>
        <vertAlign val="superscript"/>
        <sz val="9"/>
        <rFont val="Arial"/>
        <family val="2"/>
      </rPr>
      <t>6</t>
    </r>
  </si>
  <si>
    <r>
      <t xml:space="preserve">Andere </t>
    </r>
    <r>
      <rPr>
        <b/>
        <vertAlign val="superscript"/>
        <sz val="10"/>
        <rFont val="Arial"/>
        <family val="2"/>
      </rPr>
      <t>16</t>
    </r>
  </si>
  <si>
    <r>
      <t xml:space="preserve">Out of pocket (Haushalte) </t>
    </r>
    <r>
      <rPr>
        <b/>
        <vertAlign val="superscript"/>
        <sz val="10"/>
        <rFont val="Arial"/>
        <family val="2"/>
      </rPr>
      <t>8</t>
    </r>
  </si>
  <si>
    <r>
      <t xml:space="preserve">Übrige private Finanzierung </t>
    </r>
    <r>
      <rPr>
        <b/>
        <vertAlign val="superscript"/>
        <sz val="10"/>
        <rFont val="Arial"/>
        <family val="2"/>
      </rPr>
      <t>9</t>
    </r>
  </si>
  <si>
    <r>
      <t xml:space="preserve">Total Kosten des Gesundheitswesens </t>
    </r>
    <r>
      <rPr>
        <b/>
        <vertAlign val="superscript"/>
        <sz val="10"/>
        <rFont val="Arial"/>
        <family val="2"/>
      </rPr>
      <t>12</t>
    </r>
  </si>
  <si>
    <t>Bund</t>
  </si>
  <si>
    <t>Kantone</t>
  </si>
  <si>
    <t>Gemeinden</t>
  </si>
  <si>
    <t>Unfallversicherung UVG</t>
  </si>
  <si>
    <t>Militärversicherung</t>
  </si>
  <si>
    <t xml:space="preserve">  Krankenversicherungsprämien </t>
  </si>
  <si>
    <t xml:space="preserve">Zusatzversicherungen VVG der KVG-Versicherer </t>
  </si>
  <si>
    <t>1) - 15) und Quellen: siehe Fussnoten unter der Tabelle 9.08.</t>
  </si>
  <si>
    <r>
      <t xml:space="preserve">2008 </t>
    </r>
    <r>
      <rPr>
        <b/>
        <i/>
        <vertAlign val="superscript"/>
        <sz val="10"/>
        <rFont val="Arial"/>
        <family val="2"/>
      </rPr>
      <t>14</t>
    </r>
  </si>
  <si>
    <r>
      <t xml:space="preserve">AHV / IV </t>
    </r>
    <r>
      <rPr>
        <b/>
        <vertAlign val="superscript"/>
        <sz val="10"/>
        <rFont val="Arial"/>
        <family val="2"/>
      </rPr>
      <t>3</t>
    </r>
  </si>
  <si>
    <r>
      <t xml:space="preserve">Finanzierungssaldo für die Krankenversicherung </t>
    </r>
    <r>
      <rPr>
        <b/>
        <vertAlign val="superscript"/>
        <sz val="10"/>
        <rFont val="Arial"/>
        <family val="2"/>
      </rPr>
      <t>4</t>
    </r>
  </si>
  <si>
    <r>
      <t xml:space="preserve">  Prämienverbilligung KVG </t>
    </r>
    <r>
      <rPr>
        <b/>
        <vertAlign val="superscript"/>
        <sz val="10"/>
        <rFont val="Arial"/>
        <family val="2"/>
      </rPr>
      <t>13</t>
    </r>
  </si>
  <si>
    <r>
      <t xml:space="preserve">  Ergänzungsleistungen </t>
    </r>
    <r>
      <rPr>
        <b/>
        <vertAlign val="superscript"/>
        <sz val="10"/>
        <rFont val="Arial"/>
        <family val="2"/>
      </rPr>
      <t>7</t>
    </r>
  </si>
  <si>
    <r>
      <t xml:space="preserve">  Sozialhilfe </t>
    </r>
    <r>
      <rPr>
        <b/>
        <vertAlign val="superscript"/>
        <sz val="10"/>
        <rFont val="Arial"/>
        <family val="2"/>
      </rPr>
      <t>7</t>
    </r>
  </si>
  <si>
    <r>
      <t xml:space="preserve">  Hilflosenentschädigungen </t>
    </r>
    <r>
      <rPr>
        <b/>
        <vertAlign val="superscript"/>
        <sz val="10"/>
        <rFont val="Arial"/>
        <family val="2"/>
      </rPr>
      <t>7</t>
    </r>
  </si>
  <si>
    <r>
      <t xml:space="preserve">Netto Prämien der obligatorischen Krankenpflegeversicherung KVG </t>
    </r>
    <r>
      <rPr>
        <b/>
        <vertAlign val="superscript"/>
        <sz val="8"/>
        <rFont val="Arial"/>
        <family val="2"/>
      </rPr>
      <t>10</t>
    </r>
  </si>
  <si>
    <r>
      <t xml:space="preserve">Zusatzversicherungen VVG der KVG-Versicherer </t>
    </r>
    <r>
      <rPr>
        <b/>
        <vertAlign val="superscript"/>
        <sz val="8"/>
        <rFont val="Arial"/>
        <family val="2"/>
      </rPr>
      <t>5</t>
    </r>
  </si>
  <si>
    <r>
      <t xml:space="preserve">Zusatzversicherungen VVG der Privatversicherer </t>
    </r>
    <r>
      <rPr>
        <b/>
        <vertAlign val="superscript"/>
        <sz val="8"/>
        <rFont val="Arial"/>
        <family val="2"/>
      </rPr>
      <t>6</t>
    </r>
  </si>
  <si>
    <t>G 03 B</t>
  </si>
  <si>
    <t>G 04</t>
  </si>
  <si>
    <t>G 06</t>
  </si>
  <si>
    <t>Verbindlichkeiten bei Rückversicherern</t>
  </si>
  <si>
    <t>Verbindlichkeiten bei der Gemeinsamen Einrichtung KVG</t>
  </si>
  <si>
    <t>Verbindlichkeiten bei anderen Versicherern</t>
  </si>
  <si>
    <t>Übrige Verbindlichkeiten und passive Rechnungsabgrenzung</t>
  </si>
  <si>
    <t>Rückstellung für unerledigte Versicherungsfälle, Risikoausgleich, nicht versicherungstechn. Rückstellungen, Rücklagen aus Fusionen</t>
  </si>
  <si>
    <t xml:space="preserve">Oblig. Krankenpflegevers. (ohne Kto. 270.2 und 270.3)  </t>
  </si>
  <si>
    <t>Nicht versicherungstechnische Rückstellungen KVG</t>
  </si>
  <si>
    <t>Oblig. Krankenpflegevers. (effektive Kosten gemäss Verordnung (EWG) Nr. 574/72 Art. 93)</t>
  </si>
  <si>
    <t>Oblig. Krankenpflegevers. (Pauschalkosten gem. Verordnung (EWG) Nr. 574/72 Art. 94 und 95)</t>
  </si>
  <si>
    <t>– Freiwillige Taggeldversicherung nach KVG</t>
  </si>
  <si>
    <t>– Aktive Rückversicherung</t>
  </si>
  <si>
    <t>– Zusatzversicherungen inkl. Taggeld VVG</t>
  </si>
  <si>
    <t>– Nicht versicherungstechnische Rückstellungen VVG</t>
  </si>
  <si>
    <t>– Risikoausgleich</t>
  </si>
  <si>
    <t>– Zweckgebundene Rücklagen aus Fusionen</t>
  </si>
  <si>
    <t>Fonds und Eigenkapital</t>
  </si>
  <si>
    <t>Fonds</t>
  </si>
  <si>
    <t>– Reglementierte Fonds</t>
  </si>
  <si>
    <t>– Immobilien (Renovationen, Umbauten)</t>
  </si>
  <si>
    <t>– EDV-Projekte</t>
  </si>
  <si>
    <t>Eigenkapital</t>
  </si>
  <si>
    <t xml:space="preserve">Reserven Oblig. Krankenpflegeversicherung (ohne Konto 290.5) </t>
  </si>
  <si>
    <t>Aktienkapital</t>
  </si>
  <si>
    <t>– Reserven Taggeldversicherung nach KVG</t>
  </si>
  <si>
    <t>– Reserven Aktive Rückversicherung</t>
  </si>
  <si>
    <t>– Zusatzversicherung VVG, inkl. Taggeld VVG</t>
  </si>
  <si>
    <t>– Einkaufssummen fusionierter Versicherer</t>
  </si>
  <si>
    <t>Total Passiven</t>
  </si>
  <si>
    <t>Quelle: Formular EF1 [4,5]</t>
  </si>
  <si>
    <t>T 8.09  Bilanz: Aktiven der Versicherer per 31.12.</t>
  </si>
  <si>
    <t>Umlaufvermögen</t>
  </si>
  <si>
    <t>Flüssige Mittel</t>
  </si>
  <si>
    <t>Forderungen bei Versicherten</t>
  </si>
  <si>
    <t>– Forderungen bei Versicherten brutto</t>
  </si>
  <si>
    <t xml:space="preserve">– Wertberichtigung / Delkredere </t>
  </si>
  <si>
    <t>Forderungen bei Partnern</t>
  </si>
  <si>
    <r>
      <t xml:space="preserve">    Bezahlte Leistungen der Versicherer = Leistungen der Versicherer </t>
    </r>
    <r>
      <rPr>
        <b/>
        <sz val="10"/>
        <rFont val="Arial"/>
        <family val="2"/>
      </rPr>
      <t>ohne</t>
    </r>
    <r>
      <rPr>
        <sz val="10"/>
        <rFont val="Arial"/>
        <family val="2"/>
      </rPr>
      <t xml:space="preserve"> Kostenbeteiligungen der Versicherten.</t>
    </r>
  </si>
  <si>
    <t>Quelle: 1997-&gt;2007: DATENPOOL santésuisse [Auswertung BAG ; Abdeckungsgrad der Erhebung  : siehe Beilage I ] / 2008: T 2.12</t>
  </si>
  <si>
    <t>Quelle: T 2.02 &amp; T 2.21</t>
  </si>
  <si>
    <t>Datenstand (1997-&gt;2007) : siehe Beilage I / 2008: 1.7.09</t>
  </si>
  <si>
    <t>T 3.12  Prämiensoll in Franken je versicherte Person nach Versicherungsform ab 1998</t>
  </si>
  <si>
    <t>Quelle: T 3.11</t>
  </si>
  <si>
    <r>
      <t xml:space="preserve">Alle Versicherte </t>
    </r>
    <r>
      <rPr>
        <b/>
        <vertAlign val="superscript"/>
        <sz val="11"/>
        <rFont val="Arial"/>
        <family val="2"/>
      </rPr>
      <t>1</t>
    </r>
  </si>
  <si>
    <r>
      <t xml:space="preserve">Zusätzliche Angaben : nach Altersgruppe (Total) 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</t>
    </r>
  </si>
  <si>
    <t>27.4.10: 1.01</t>
  </si>
  <si>
    <t>Datenstand: 27.4.10</t>
  </si>
  <si>
    <r>
      <t xml:space="preserve">Quelle: T 8.02, 11.01, </t>
    </r>
    <r>
      <rPr>
        <sz val="10"/>
        <color indexed="10"/>
        <rFont val="Arial"/>
        <family val="2"/>
      </rPr>
      <t xml:space="preserve">9.21, 3.12, 2.18, 2.21, 5.01, 1.12, 1.13, 3.10, 2.16, 2.01, 2.20, 1.10, 1.02, 1.13, 1.12 </t>
    </r>
  </si>
  <si>
    <r>
      <t>T 9.06 Kosten des Gesundheitswesens in der Schweiz aus der Sicht der Krankenversicherungs</t>
    </r>
    <r>
      <rPr>
        <b/>
        <i/>
        <sz val="12"/>
        <rFont val="Arial"/>
        <family val="2"/>
      </rPr>
      <t>prämien</t>
    </r>
    <r>
      <rPr>
        <b/>
        <vertAlign val="superscript"/>
        <sz val="12"/>
        <rFont val="Arial"/>
        <family val="2"/>
      </rPr>
      <t xml:space="preserve"> 15 </t>
    </r>
    <r>
      <rPr>
        <b/>
        <sz val="12"/>
        <rFont val="Arial"/>
        <family val="2"/>
      </rPr>
      <t>in Millionen Franken ab 1998</t>
    </r>
  </si>
  <si>
    <r>
      <t>T 9.07 Kosten des Gesundheitswesens in der Schweiz aus der Sicht der Krankenversicherungs</t>
    </r>
    <r>
      <rPr>
        <b/>
        <i/>
        <sz val="12"/>
        <rFont val="Arial"/>
        <family val="2"/>
      </rPr>
      <t>leistungen</t>
    </r>
    <r>
      <rPr>
        <b/>
        <sz val="12"/>
        <rFont val="Arial"/>
        <family val="2"/>
      </rPr>
      <t xml:space="preserve"> </t>
    </r>
    <r>
      <rPr>
        <b/>
        <vertAlign val="superscript"/>
        <sz val="12"/>
        <rFont val="Arial"/>
        <family val="2"/>
      </rPr>
      <t>18</t>
    </r>
    <r>
      <rPr>
        <b/>
        <sz val="12"/>
        <rFont val="Arial"/>
        <family val="2"/>
      </rPr>
      <t xml:space="preserve"> in Millionen Franken ab 1998</t>
    </r>
  </si>
  <si>
    <r>
      <t xml:space="preserve">  g) Gesamtleistungen  </t>
    </r>
    <r>
      <rPr>
        <b/>
        <vertAlign val="superscript"/>
        <sz val="10"/>
        <rFont val="Arial"/>
        <family val="2"/>
      </rPr>
      <t>8</t>
    </r>
  </si>
  <si>
    <t xml:space="preserve">  Unvollständige Daten; geschätzte Werte.</t>
  </si>
  <si>
    <r>
      <t>Erkrankte je 100 Versicherte</t>
    </r>
    <r>
      <rPr>
        <sz val="11"/>
        <color indexed="10"/>
        <rFont val="Arial"/>
        <family val="2"/>
      </rPr>
      <t xml:space="preserve"> </t>
    </r>
    <r>
      <rPr>
        <vertAlign val="superscript"/>
        <sz val="11"/>
        <color indexed="10"/>
        <rFont val="Arial"/>
        <family val="2"/>
      </rPr>
      <t>2</t>
    </r>
  </si>
  <si>
    <t xml:space="preserve">1) Anzahl Versicherte, die im betrachteten Jahr betrieben wurden sowie das den Betreibungen unterliegende Prämienvolumen, </t>
  </si>
  <si>
    <t>2)  „Versicherte mit sistierten Leistungen“ sind Versicherte für die ein Leistungsstopp verhängt wurde, weil sie ihre Prämien nicht bezahlt haben.</t>
  </si>
  <si>
    <r>
      <t xml:space="preserve">Versicherte mit Betreibung </t>
    </r>
    <r>
      <rPr>
        <vertAlign val="superscript"/>
        <sz val="11"/>
        <rFont val="Arial"/>
        <family val="2"/>
      </rPr>
      <t>1</t>
    </r>
  </si>
  <si>
    <r>
      <t xml:space="preserve">Versicherte mit sistierten Leistungen </t>
    </r>
    <r>
      <rPr>
        <vertAlign val="superscript"/>
        <sz val="11"/>
        <rFont val="Arial"/>
        <family val="2"/>
      </rPr>
      <t>2</t>
    </r>
  </si>
  <si>
    <t xml:space="preserve">Quelle: DATENPOOL santésuisse [Auswertung BAG ; Abdeckungsgrad der Erhebung  : siehe Beilage I ] </t>
  </si>
  <si>
    <t>2) Schätzung des mittleren Versichertenbestandes (ausgenommen Spalte Total) aufgrund der Aufteilung der Versicherten per 31.12 in T 11.05</t>
  </si>
  <si>
    <t>3) Zusätzliche Angaben nach Altersgruppe pro Kanton: www.bag.admin.ch/pyramiden</t>
  </si>
  <si>
    <r>
      <t xml:space="preserve">T 2.21 Bezahlte Leistungen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Franken je versicherte Person nach Versicherungsform ab 1998</t>
    </r>
  </si>
  <si>
    <r>
      <t>Alle Versicherte</t>
    </r>
    <r>
      <rPr>
        <b/>
        <vertAlign val="superscript"/>
        <sz val="11"/>
        <rFont val="Arial"/>
        <family val="2"/>
      </rPr>
      <t xml:space="preserve"> 2</t>
    </r>
  </si>
  <si>
    <r>
      <t xml:space="preserve">Zusätzliche Angaben : nach Altersgruppe (Total) </t>
    </r>
    <r>
      <rPr>
        <b/>
        <vertAlign val="superscript"/>
        <sz val="12"/>
        <rFont val="Arial"/>
        <family val="2"/>
      </rPr>
      <t>3</t>
    </r>
  </si>
  <si>
    <t>Quelle: T 2.01 / T 11.01 &amp; T 11.05</t>
  </si>
  <si>
    <r>
      <t xml:space="preserve">T 2.02  Kostenbeteiligung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je versicherte Person in Franken nach Versicherungsform ab 1998</t>
    </r>
  </si>
  <si>
    <r>
      <t xml:space="preserve">Alle Versicherte </t>
    </r>
    <r>
      <rPr>
        <b/>
        <vertAlign val="superscript"/>
        <sz val="11"/>
        <rFont val="Arial"/>
        <family val="2"/>
      </rPr>
      <t>2</t>
    </r>
  </si>
  <si>
    <t>T 2.15  Leistungen (brutto) in Franken je versicherte Person nach Versicherungsform ab 1998</t>
  </si>
  <si>
    <t>Quelle: T 2.23</t>
  </si>
  <si>
    <t>1) Schätzung des mittleren Versichertenbestandes (ausgenommen Spalte Total) aufgrund der Aufteilung der Versicherten per 31.12 in T 11.05</t>
  </si>
  <si>
    <t>2) Zusätzliche Angaben nach Altersgruppe pro Kanton: www.bag.admin.ch/pyramiden</t>
  </si>
  <si>
    <r>
      <t>Alle Versicherte</t>
    </r>
    <r>
      <rPr>
        <b/>
        <vertAlign val="superscript"/>
        <sz val="11"/>
        <rFont val="Arial"/>
        <family val="2"/>
      </rPr>
      <t xml:space="preserve"> 1</t>
    </r>
  </si>
  <si>
    <r>
      <t xml:space="preserve">Zusätzliche Angaben : nach Altersgruppe (Total) </t>
    </r>
    <r>
      <rPr>
        <b/>
        <vertAlign val="superscript"/>
        <sz val="12"/>
        <rFont val="Arial"/>
        <family val="2"/>
      </rPr>
      <t>2</t>
    </r>
  </si>
  <si>
    <t>Datenstand : siehe Beilage I</t>
  </si>
  <si>
    <t>Freiwillige</t>
  </si>
  <si>
    <t>Krankenpflege-</t>
  </si>
  <si>
    <t>Taggeld-</t>
  </si>
  <si>
    <t>KVG</t>
  </si>
  <si>
    <t>versicherung</t>
  </si>
  <si>
    <t>1) Nur obligatorische Krankenpflegeversicherung = A - C ; nur freiwillige Taggeldversicherung = A - B</t>
  </si>
  <si>
    <t>Quelle: T 5.01; T 5.03; T 5.04</t>
  </si>
  <si>
    <r>
      <t xml:space="preserve">    Anzahl KVG-Versicherer </t>
    </r>
    <r>
      <rPr>
        <vertAlign val="superscript"/>
        <sz val="11"/>
        <rFont val="Arial"/>
        <family val="2"/>
      </rPr>
      <t>1</t>
    </r>
  </si>
  <si>
    <r>
      <t xml:space="preserve">OKP </t>
    </r>
    <r>
      <rPr>
        <b/>
        <i/>
        <sz val="11"/>
        <rFont val="Arial"/>
        <family val="2"/>
      </rPr>
      <t>und</t>
    </r>
  </si>
  <si>
    <t>T 8.02  Anzahl Versicherer OKP nach Grösse ab 1998</t>
  </si>
  <si>
    <t>1 – 5'000</t>
  </si>
  <si>
    <t>5'001 –</t>
  </si>
  <si>
    <t>10'001 –</t>
  </si>
  <si>
    <t xml:space="preserve">50'001 – </t>
  </si>
  <si>
    <t xml:space="preserve">100'001 – </t>
  </si>
  <si>
    <t>mehr als</t>
  </si>
  <si>
    <t>Quelle: T 5.01</t>
  </si>
  <si>
    <t>T 5.02 Erklärungen und Quellen für Aufsichtsdaten OKP (T 5.01)</t>
  </si>
  <si>
    <t>0) Nur OKP Versicherer</t>
  </si>
  <si>
    <t>1) Durchschnittlicher Versichertenbestand (nur OKP Versicherer)</t>
  </si>
  <si>
    <t xml:space="preserve">Durchschnittsbestand = Mittelwert aller Monate </t>
  </si>
  <si>
    <t>2) Einnahmen Total (in Mio. Fr.)</t>
  </si>
  <si>
    <t>Prämiensoll, Subventionen und Prämienverbilligungen, Erlösminderungen (Rabatte und Skonti) sowie die übrigen Erträge (Kapital- und Liegenschaftserträge).</t>
  </si>
  <si>
    <t>3A + 3B) Prämien (in Mio. Fr., je versicherte Person in Fr.)</t>
  </si>
  <si>
    <t>Prämiensoll = Prämiensumme gemäss den genehmigten Prämientarifen.</t>
  </si>
  <si>
    <t>4A + 4B + 4C) Risikoausgleich (in Mio. Fr., je versicherte Person in Fr., und in % der Einnahmen)</t>
  </si>
  <si>
    <t xml:space="preserve">Über den Risikoausgleich erhalten Versicherer mit überdurchschnittlich kostenverursachenden Versicherten (Frauen, ältere Personen) Beiträge, </t>
  </si>
  <si>
    <t>welche von den Versicherern mit unterdurchschnittlich kostenverursachenden Versicherten (Männer, jüngere Personen) finanziert werden.</t>
  </si>
  <si>
    <t xml:space="preserve">Eine positive Prozentzahl bedeutet, dass der Versicherer in den Risikoausgleich einzahlen muss, ein negativer Wert steht bei Versicherern, </t>
  </si>
  <si>
    <t>welche aus dem Risikoausgleich Mittel beziehen können.</t>
  </si>
  <si>
    <t>5A + 5B) Leistungen (netto) der Versicherer (in Mio. Fr. und je versicherte Person in Fr.)</t>
  </si>
  <si>
    <t>Nettoleistungen = Bezahlte Leistungen der Versicherer an die Leistungserbringer (Ärzte, Spitäler, Apotheken, usw.)</t>
  </si>
  <si>
    <t>nach Abzug der Kostenbeteiligung der Versicherten (Franchise / Selbstbehalt / Tagespauschale im Spital).</t>
  </si>
  <si>
    <t>6A + 6B) Verwaltungsaufwand &amp; Abschreibungen (in % der Ausgaben und je versicherte Person in Fr.)</t>
  </si>
  <si>
    <t xml:space="preserve">Personalaufwand inkl. Sozialleistungen, Verwaltungsräumlichkeiten und Betriebseinrichtungen, EDV-Kosten, Versicherungsprämien </t>
  </si>
  <si>
    <t>(Mobiliar, Haftpflicht usw.), Werbung sowie Abschreibungen. Ausgaben = Total des Versicherungs- und Betriebsaufwands.</t>
  </si>
  <si>
    <t>7) Gesamtergebnis (je versicherte Person in Fr.)</t>
  </si>
  <si>
    <t>Das Gesamtbetriebsergebnis entspricht dem Saldo der Einnahmen (Total des Gesamtertrags) und der Ausgaben (Total des Versicherungs- und Betriebsaufwands).</t>
  </si>
  <si>
    <t>8A + 8B) Rückstellungen (in Mio. Fr. und je versicherte Person in Fr.)</t>
  </si>
  <si>
    <t xml:space="preserve">Rückstellungen für unerledigte Versicherungsfälle, welche am Ende des Jahres für diejenigen Leistungen gebildet werden müssen, </t>
  </si>
  <si>
    <t>Beilage F3 :</t>
  </si>
  <si>
    <t>Erwachsene (ab 26 Jahren) : effektive Zunahme 2010</t>
  </si>
  <si>
    <t>Gesamtausgaben in Fr. :</t>
  </si>
  <si>
    <t>Max. Gewinn (+) / Verlust (-) in Fr. / % gegenüber der ordentlichen Franchise :</t>
  </si>
  <si>
    <t>mit Leistungen von 0.-</t>
  </si>
  <si>
    <t>mit Leistungen von 9500.-</t>
  </si>
  <si>
    <t xml:space="preserve">ordentlich 300.- </t>
  </si>
  <si>
    <t xml:space="preserve">1) 500.- </t>
  </si>
  <si>
    <t xml:space="preserve">2) 1000.- </t>
  </si>
  <si>
    <t>Junge Erwachsene (19-25 Jahre) : effektive Zunahme 2010</t>
  </si>
  <si>
    <t>Kinder (0-18 Jahre) : effektive Zunahme 2010</t>
  </si>
  <si>
    <t>Gesamtausgaben in Fr.  :</t>
  </si>
  <si>
    <t>Max. Gewinn (+) / Verlust (-) in Fr. / %  gegenüber der ordentlichen Franchise :</t>
  </si>
  <si>
    <t>mit Leistungen von 4100.-</t>
  </si>
  <si>
    <t xml:space="preserve">4) 400.- </t>
  </si>
  <si>
    <t xml:space="preserve">6) 600.- </t>
  </si>
  <si>
    <t>Datenstand: 30.12.2009</t>
  </si>
  <si>
    <t>Quelle: T 3.01; Anhang F1 &amp; F2.</t>
  </si>
  <si>
    <t xml:space="preserve">1) Der tatsächliche Anstieg ist abhängig von der Prämienhöhe und den Leistungen. Hier wird er angegeben für die schweizerische Durchschnittsprämie für </t>
  </si>
  <si>
    <t>null Leistungen (0.-) und maximale Leistungen (ab diesem Betrag nehmen die Ausgaben der Versicherten mit der höchsten Franchise nicht mehr zu).</t>
  </si>
  <si>
    <t>Es wird von der Hypothese ausgegangen, dass der gesetzlich maximale Prämienrabatt für die wählbaren Franchisen gewährt wird.</t>
  </si>
  <si>
    <t xml:space="preserve">Ist dem nicht so, sieht der tatsächliche Anstieg anders aus. </t>
  </si>
  <si>
    <t>Berechnungsmethode:</t>
  </si>
  <si>
    <t>- Man berechnet den Gesamtanstieg (Prämie + Kostenbeteiligung, d.h. Franchise + Selbstbehalt [10 % vereinfacht gesagt]) für jede Franchisenhöhe gemäss Leistungen;</t>
  </si>
  <si>
    <t>- danach wird der effektive Anstieg in % im Vergleich zum Vorjahr bestimmt;</t>
  </si>
  <si>
    <t>- der maximale Gewinn oder Verlust für das laufende Jahr berechnet sich aus dem Gesamtanstieg für die ordentliche Franchise.</t>
  </si>
  <si>
    <t>Anstieg 1996-&gt;2009: siehe STAT KV 03-&gt;07 (Beilagen).</t>
  </si>
  <si>
    <t xml:space="preserve">2) Es handelt sich um eine Schätzung der monatlichen Durchschnittsprämie in Franken ausgehend von den Versicherungstarifen mit ordentlicher Franchise </t>
  </si>
  <si>
    <t>einschliesslich Unfalldeckung und den Versichertenbeständen nach Kantonen und Prämienregion.</t>
  </si>
  <si>
    <r>
      <t xml:space="preserve">Zunahme der Gesamtausgaben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der Versicherten (Prämien + Kostenbeteiligung) als Folge der Änderungen der Franchisen, der Prämienrabatte und des Selbstbehalts </t>
    </r>
  </si>
  <si>
    <r>
      <t xml:space="preserve">Durchschnittsprämie CH </t>
    </r>
    <r>
      <rPr>
        <b/>
        <i/>
        <vertAlign val="superscript"/>
        <sz val="10"/>
        <rFont val="Arial"/>
        <family val="2"/>
      </rPr>
      <t>2</t>
    </r>
    <r>
      <rPr>
        <b/>
        <i/>
        <sz val="10"/>
        <rFont val="Arial"/>
        <family val="2"/>
      </rPr>
      <t xml:space="preserve"> : 351.05</t>
    </r>
  </si>
  <si>
    <r>
      <t xml:space="preserve">Durchschnittsprämie CH </t>
    </r>
    <r>
      <rPr>
        <b/>
        <i/>
        <vertAlign val="superscript"/>
        <sz val="10"/>
        <rFont val="Arial"/>
        <family val="2"/>
      </rPr>
      <t>2</t>
    </r>
    <r>
      <rPr>
        <b/>
        <i/>
        <sz val="10"/>
        <rFont val="Arial"/>
        <family val="2"/>
      </rPr>
      <t xml:space="preserve"> : 293.85</t>
    </r>
  </si>
  <si>
    <r>
      <t xml:space="preserve">Durchschnittsprämie CH </t>
    </r>
    <r>
      <rPr>
        <b/>
        <i/>
        <vertAlign val="superscript"/>
        <sz val="10"/>
        <rFont val="Arial"/>
        <family val="2"/>
      </rPr>
      <t>2</t>
    </r>
    <r>
      <rPr>
        <b/>
        <i/>
        <sz val="10"/>
        <rFont val="Arial"/>
        <family val="2"/>
      </rPr>
      <t xml:space="preserve"> : 84.05</t>
    </r>
  </si>
  <si>
    <t>Beilagen F1-&gt;F3</t>
  </si>
  <si>
    <t>Entwicklung der Franchisen, Prämienrabatte und Selbstbehalte und Zunahme der Gesamtausgaben ab 1996</t>
  </si>
  <si>
    <t>Datenpool santésuisse: Abdeckungsgrad, Datenstand und Genauigkeit der Daten 1998-2008</t>
  </si>
  <si>
    <t>Schätzungen aus dem Prämiengenehmigungsverfahren: Eckwerte 2000-2010</t>
  </si>
  <si>
    <t xml:space="preserve">Auswertung der Daten des DATENPOOLS von santésuisse durch das BAG für die Statistik der Krankenversicherung (STAT KV) </t>
  </si>
  <si>
    <t xml:space="preserve">Für den Risikoausgleich gelten im Vergleich zu den EF123-Formularen zum Teil unterschiedliche Regelungen in Bezug auf die </t>
  </si>
  <si>
    <t xml:space="preserve">Berücksichtigung einzelner Versichertengruppen. Es kommt zu Differenzen beim Versichertenbestand. </t>
  </si>
  <si>
    <t xml:space="preserve">Detaillierte Erklärungen in der Fussnote 2 von T 11.14. </t>
  </si>
  <si>
    <t>Beilage I4</t>
  </si>
  <si>
    <t>Schätzungen der Bruttoleistungen des Datenpools von santésuisse: Hauptkostengruppen CH [in Franken je versicherte Person]</t>
  </si>
  <si>
    <t>Ver. 2007-08 in %</t>
  </si>
  <si>
    <t>e1 Zeitreihen</t>
  </si>
  <si>
    <t>Abweichung e1</t>
  </si>
  <si>
    <t>e2 Kostenmonitoring</t>
  </si>
  <si>
    <t>Abweichung e2</t>
  </si>
  <si>
    <t>- 1 - 10: In der KV-Statistik (T 2.18) publizierte Werte basierend auf den Formularen EF123 (Vollerhebung)</t>
  </si>
  <si>
    <t xml:space="preserve">- e1: Geschätzte Werte auf der Basis der Auswertungen der Jahresangaben des Datenpools von santésuisse, die in der Applikation „Zeitreihen“ des BAG präsentiert werden </t>
  </si>
  <si>
    <t xml:space="preserve">  unter: www.bag.admin.ch/pyramiden. Für Datenstand und Abdeckungsgrad siehe Anhänge I1 und I2.</t>
  </si>
  <si>
    <t>- Abweichung e1: Differenz zwischen den e1-Werten und den in der KV-Statistik des BAG publizierten Werten</t>
  </si>
  <si>
    <t xml:space="preserve">- e2: Geschätzte Jahreswerte auf der Basis der Daten des Datenpools von santésuisse, die quartalsweise vom BAG im Rahmen </t>
  </si>
  <si>
    <t xml:space="preserve">  des Kostenmonitorings publiziert werden publiziert werden unter: www.bag.admin.ch/kmt</t>
  </si>
  <si>
    <t xml:space="preserve">  2005-06-07: Datenstand am 30.12.08 unter www.bag.admin.ch/kmt; Abdeckungsgrad siehe Anhänge I1 und I2</t>
  </si>
  <si>
    <t xml:space="preserve">  2008: Datenstand am 30.12.09 unter www.bag.admin.ch/kmt; Abdeckungsgrad 92.4% (Details nach Kanton unter www.bag.admin.ch/kmt)</t>
  </si>
  <si>
    <t xml:space="preserve">  Infolge der Änderung des Abdeckungsgrades zwischen 2007 und 2008 ist die Veränderung zwischen diesen Jahren nicht aussagekräftig.</t>
  </si>
  <si>
    <t xml:space="preserve">  www.bag.admin.ch/kmt enthält für 2007 revidierte Werte mit einem ähnlichen Abdeckungsgrad wie 2008, die es erlauben, </t>
  </si>
  <si>
    <t xml:space="preserve">  die obenstehenden korrigierten Veränderungsraten zwischen 2007 und 2008 zu berechnen.</t>
  </si>
  <si>
    <t>- Abweichung e2: Differenz zwischen den e2-Werten und den in der KV-Statistik des BAG publizierten Werten</t>
  </si>
  <si>
    <t xml:space="preserve">Differenzen zwischen den Zahlen der verschiedenen Datenquellen entstehen aufgrund unterschiedlicher Auswertungskonzepte: </t>
  </si>
  <si>
    <t xml:space="preserve">- Die Daten des Kostenmonitorings werden nach Leistungserbringer ausgewertet, die Daten der EF-Formulare und Jahresdaten Datenpool hingegen nach Leistungsart, </t>
  </si>
  <si>
    <t xml:space="preserve">  allerdings nicht immer nach den gleichen Kriterien (z.B. Arzt ambulant mit oder ohne Laborkosten, Physio etc.).</t>
  </si>
  <si>
    <t>- Der Abdeckungsgrad, der von der Anzahl der Versicherer abhängt, die sich an der Erhebung von santésuisse beteiligen, hat einen wichtigen Einfluss auf die absoluten Beträge der Leistungen.</t>
  </si>
  <si>
    <t>- Der Einfluss des Abdeckungsgrads auf die jährlichen Veränderungen  in % fällt weniger ins Gewicht, solange er von Jahr zu Jahr ähnlich bleibt.</t>
  </si>
  <si>
    <t>Neuheiten im Jahr 2008 (22)</t>
  </si>
  <si>
    <t>14.1.10: 9.06-&gt;9.08,9.11,9.17,9.18,B,B1,F3,I1-&gt;I4,J2</t>
  </si>
  <si>
    <t>14.1.10: T9d,9.22--&gt;9.16,11.14</t>
  </si>
  <si>
    <t>Sumiswalder Kranken- und Unfallkasse</t>
  </si>
  <si>
    <t>Caisse-Maladie EOS</t>
  </si>
  <si>
    <t>Krankenkasse Steffisburg</t>
  </si>
  <si>
    <t>Carena Schweiz</t>
  </si>
  <si>
    <t>Krankenkasse Malters</t>
  </si>
  <si>
    <t>Avenir Assurances</t>
  </si>
  <si>
    <t>Caisse-maladie Hermes</t>
  </si>
  <si>
    <t>PANORAMA Kranken- und Unfallversicherung</t>
  </si>
  <si>
    <t>Krankenkasse Embd</t>
  </si>
  <si>
    <t>Krankenkasse Lötschental</t>
  </si>
  <si>
    <t>Krankenkasse Stalden</t>
  </si>
  <si>
    <t>Kolping Krankenkasse AG</t>
  </si>
  <si>
    <t>Krankenkasse Elm</t>
  </si>
  <si>
    <t>KLuG Krankenversicherung</t>
  </si>
  <si>
    <t>Krankenkasse Staldenried</t>
  </si>
  <si>
    <t>Sanavals Gesundheitskasse</t>
  </si>
  <si>
    <t>Krankenkasse SLKK</t>
  </si>
  <si>
    <t>sodalis Krankenversicherer</t>
  </si>
  <si>
    <t>Progrès Versicherungen AG</t>
  </si>
  <si>
    <t>Krankenkasse Zeneggen</t>
  </si>
  <si>
    <t>Krankenkasse Turbenthal</t>
  </si>
  <si>
    <t>kmu-Krankenversicherung</t>
  </si>
  <si>
    <t>Krankenkasse Simplon</t>
  </si>
  <si>
    <t>SWICA Krankenversicherung</t>
  </si>
  <si>
    <t>Fondation Natura Assurances.ch</t>
  </si>
  <si>
    <t>Krankenkasse Cervino</t>
  </si>
  <si>
    <t>Mutuel Assurances</t>
  </si>
  <si>
    <t>Sanitas Grundversicherungen AG</t>
  </si>
  <si>
    <t>Intras - Caisse Maladie</t>
  </si>
  <si>
    <t>aerosana versicherungen</t>
  </si>
  <si>
    <t>Visana</t>
  </si>
  <si>
    <t>Agrisano</t>
  </si>
  <si>
    <t>Helsana Versicherungen AG</t>
  </si>
  <si>
    <t>innova Krankenversicherung AG</t>
  </si>
  <si>
    <t>avanex Versicherungen AG</t>
  </si>
  <si>
    <t>sansan Versicherungen AG</t>
  </si>
  <si>
    <t>sana24</t>
  </si>
  <si>
    <t>Arcosana AG</t>
  </si>
  <si>
    <t>Versicherte mit Arbeitsort in der Schweiz (Grenzgänger) sowie ihre nicht erwerbstätigen Familienangehörigen.</t>
  </si>
  <si>
    <t>- Im Risikoausgleich nicht zu berücksichtigen sind:</t>
  </si>
  <si>
    <t>Empfänger einer schweizerischen Rente und ihre nicht erwerbstätigen Familienangehörigen;</t>
  </si>
  <si>
    <t>Empfänger einer Leistung der schweizerischen Arbeitslosenversicherung und ihre nicht erwerbstätigen Familienangehörigen.</t>
  </si>
  <si>
    <t>Nicht erwerbstätige Familienangehörige von in der Schweiz erwerbstätigen und wohnenden Personen.</t>
  </si>
  <si>
    <r>
      <t xml:space="preserve">T 11.14  Durchschnittlicher Versichertenbestand </t>
    </r>
    <r>
      <rPr>
        <b/>
        <vertAlign val="superscript"/>
        <sz val="12"/>
        <rFont val="Arial"/>
        <family val="2"/>
      </rPr>
      <t>1, 2</t>
    </r>
    <r>
      <rPr>
        <b/>
        <sz val="12"/>
        <rFont val="Arial"/>
        <family val="2"/>
      </rPr>
      <t xml:space="preserve">  nach Kantonen und Altergruppen</t>
    </r>
  </si>
  <si>
    <t>Ambulante</t>
  </si>
  <si>
    <t>Behandlung</t>
  </si>
  <si>
    <t>davon</t>
  </si>
  <si>
    <t>Arzt</t>
  </si>
  <si>
    <t>Spital</t>
  </si>
  <si>
    <t>Medikamente</t>
  </si>
  <si>
    <t>Mittel und</t>
  </si>
  <si>
    <t>Betriebsbeiträge</t>
  </si>
  <si>
    <t>Komplementär-</t>
  </si>
  <si>
    <t>(ambulant)</t>
  </si>
  <si>
    <t>(Arzt)</t>
  </si>
  <si>
    <t>(Apotheke)</t>
  </si>
  <si>
    <t>Gegenstände</t>
  </si>
  <si>
    <t>an HMO's</t>
  </si>
  <si>
    <t>medizin</t>
  </si>
  <si>
    <t>Jahresdurch-schnittliche Veränderung 1998-2008</t>
  </si>
  <si>
    <t>«Intra-muros»</t>
  </si>
  <si>
    <t xml:space="preserve">Spital </t>
  </si>
  <si>
    <t>Pflegeheim</t>
  </si>
  <si>
    <t>(stationär)</t>
  </si>
  <si>
    <t>2) Werte neu berechnet anhand der mittleren Versichertenbestände vom 1996 bis 2005.</t>
  </si>
  <si>
    <t>Quelle: T 2.16 / 11.01</t>
  </si>
  <si>
    <r>
      <t xml:space="preserve">T 2.18  Leistungen (brutto) in Franken je versicherte Person nach Kostengruppen ab 1998 </t>
    </r>
    <r>
      <rPr>
        <b/>
        <vertAlign val="superscript"/>
        <sz val="12"/>
        <rFont val="Arial"/>
        <family val="2"/>
      </rPr>
      <t>1 2</t>
    </r>
  </si>
  <si>
    <t>Quelle : Kantone: Genehmigungsverfahren für Krankenversicherungsprämien, BAG / CH : STAT KV 04-07 &amp; Aufsichtsdaten 1997-2003</t>
  </si>
  <si>
    <t>1) Berechnete Werte für den Mindestsatz der Reserven</t>
  </si>
  <si>
    <t xml:space="preserve">   CH: siehe T 5.01 &amp; T 5.02</t>
  </si>
  <si>
    <t xml:space="preserve">   Kantone: für einen Kanton z summiert man die Beträge “(Verhältnis des Prämienvolumens im Kanton z des Versicherers y /  </t>
  </si>
  <si>
    <t xml:space="preserve">   Prämienvolumen CH des Versicherers y) * gesetzliche Mindestreserve CH des Versicherers y“ über sämtliche im Kanton z tätigen Versicherer.</t>
  </si>
  <si>
    <r>
      <t xml:space="preserve">T 3.06  Verteilung der kantonalen monatlichen Durchschnittsprämien </t>
    </r>
    <r>
      <rPr>
        <b/>
        <vertAlign val="superscript"/>
        <sz val="12"/>
        <rFont val="Arial"/>
        <family val="2"/>
      </rPr>
      <t>1</t>
    </r>
  </si>
  <si>
    <t>Quelle: Formular EF3 [3.8.3] &amp; T 11.13</t>
  </si>
  <si>
    <t>T 11.11 Zahlungsausstände für OKP-Prämien</t>
  </si>
  <si>
    <t>Anzahl Versicherte</t>
  </si>
  <si>
    <t>Prämienvolumen in Franken</t>
  </si>
  <si>
    <t>Quelle: Formular EF3 [3.10.4]</t>
  </si>
  <si>
    <t>Tätigkeits-</t>
  </si>
  <si>
    <t>Schätzungen aus dem Prämiengenehmigungsverfahren: Hauptwerte [in Mio. Fr. ausser Versicherte in Tausend]</t>
  </si>
  <si>
    <t>Auszugsweiser Abdruck unter Quellenangabe (Name der Publikation, Jahr, Nummer der Tabelle) gestattet.</t>
  </si>
  <si>
    <t>(EF2 Konto 37 Krankheit + Unfall Seiten 2.2 -&gt; 2.7) / [ 1 ]</t>
  </si>
  <si>
    <t>11A</t>
  </si>
  <si>
    <t>Versicherte = [1] ; % gemäss Tabelle 9A</t>
  </si>
  <si>
    <t>4C</t>
  </si>
  <si>
    <t>(EF2 Konto 37 Krankheit + Unfall Seiten 2.2 -&gt; 2.7) / [ 2 ]</t>
  </si>
  <si>
    <t>11B</t>
  </si>
  <si>
    <t xml:space="preserve">wenn [9A] &gt;= [11A] : [9A] - [11A] </t>
  </si>
  <si>
    <t>5A</t>
  </si>
  <si>
    <t>EF2 Konto 30-33 Krankheit + Unfall Seiten 2.2 -&gt; 2.7</t>
  </si>
  <si>
    <t>11C</t>
  </si>
  <si>
    <t xml:space="preserve">wenn [9A] &lt; [11A] : [9A] - [11A] </t>
  </si>
  <si>
    <t>5B</t>
  </si>
  <si>
    <t>= ( [ 5A ] / [ 1 ] )</t>
  </si>
  <si>
    <t>=  [ 5A ] + [ 13A ]</t>
  </si>
  <si>
    <t xml:space="preserve">(EF2 Konten 40-47 + 48 Krankheit + Unfall Seiten 2.2 -&gt; 2.7) / </t>
  </si>
  <si>
    <t>= ( [ 12A ] / [ 1 ] )</t>
  </si>
  <si>
    <t>(EF2 Konten 40-47 + 48 Krankheit + Unfall Seiten 2.2 -&gt; 2.7) / [ 1 ] in %</t>
  </si>
  <si>
    <t>= - (EF2 Konto 32 Krankheit + Unfall Seiten 2.2 -&gt; 2.7)</t>
  </si>
  <si>
    <t>= ( [ 13A ] / [ 1 ] )</t>
  </si>
  <si>
    <t>Krankheit + Unfall Seiten 2.2 -&gt; 2.7 / ( [ 1 ] )</t>
  </si>
  <si>
    <t>(EF2 Konto 3/4 Krankheit + Unfall Seiten 2.2 -&gt; 2.7)</t>
  </si>
  <si>
    <t>EF1 Seite 4 Konto 270</t>
  </si>
  <si>
    <t>= ( [ 5B ] / [ 3B ] ) in %</t>
  </si>
  <si>
    <r>
      <t>≤ 250'</t>
    </r>
    <r>
      <rPr>
        <sz val="10"/>
        <color indexed="8"/>
        <rFont val="Arial"/>
        <family val="2"/>
      </rPr>
      <t>000</t>
    </r>
  </si>
  <si>
    <r>
      <t>&gt; 250'</t>
    </r>
    <r>
      <rPr>
        <sz val="10"/>
        <color indexed="8"/>
        <rFont val="Arial"/>
        <family val="2"/>
      </rPr>
      <t>000</t>
    </r>
  </si>
  <si>
    <r>
      <t>mit</t>
    </r>
    <r>
      <rPr>
        <sz val="10"/>
        <color indexed="8"/>
        <rFont val="Arial"/>
        <family val="2"/>
      </rPr>
      <t xml:space="preserve"> Kostenbeteiligung der Versicherten (Franchise / Selbstbehalt / Tagespauschale im Spital).</t>
    </r>
  </si>
  <si>
    <t>7.8.09: 3.09, 5.02, 8.01 -&gt; 8.03, 8.13</t>
  </si>
  <si>
    <t>1) Versichertenbestand per 31.12: siehe T 11.02.</t>
  </si>
  <si>
    <t>Quelle: Eurostat, European social statistics - Data 2009 : epp.eurostat.ec.europa.eu</t>
  </si>
  <si>
    <t>Topics &gt;  Database &gt; Browse &gt; Population and social conditions &gt; Living conditions and welfare  &gt; Social protection &gt; Social protection expenditure  &gt;</t>
  </si>
  <si>
    <t xml:space="preserve"> Expenditure - Tables by benefits and currency, by function  &gt; Tables by benefits and currency - sickness/health care function</t>
  </si>
  <si>
    <r>
      <t xml:space="preserve">T 9.20  Sozialschutzleistungen für die Gesundheitsversorgung 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: Internationaler Vergleich in % des BIP ab 1998</t>
    </r>
  </si>
  <si>
    <r>
      <t xml:space="preserve">UE-15 </t>
    </r>
    <r>
      <rPr>
        <vertAlign val="superscript"/>
        <sz val="11"/>
        <rFont val="Arial"/>
        <family val="2"/>
      </rPr>
      <t>1</t>
    </r>
  </si>
  <si>
    <r>
      <t xml:space="preserve">EUR-12 </t>
    </r>
    <r>
      <rPr>
        <vertAlign val="superscript"/>
        <sz val="11"/>
        <rFont val="Arial"/>
        <family val="2"/>
      </rPr>
      <t>1</t>
    </r>
  </si>
  <si>
    <r>
      <t>Schweiz</t>
    </r>
    <r>
      <rPr>
        <b/>
        <vertAlign val="superscript"/>
        <sz val="11"/>
        <rFont val="Arial"/>
        <family val="2"/>
      </rPr>
      <t xml:space="preserve"> 3</t>
    </r>
  </si>
  <si>
    <t>Unter-</t>
  </si>
  <si>
    <t>Total pro</t>
  </si>
  <si>
    <t>Einwohner</t>
  </si>
  <si>
    <t>1) Beiträge an Leistungserbringer; Gesundheitswesen,Verwaltung und Prävention; Verbilligung KVG-Prämien; Andere Soziale Sicherheit.</t>
  </si>
  <si>
    <t>*) Versicherer mit weniger als 50 000 Versicherten sind verpflichtet, eine Rückversicherung abzuschliessen.</t>
  </si>
  <si>
    <t>**) Dabei dürfen Versicherer mit einer entsprechenden Rückversicherung oder Defizitgarantie den Mindestsatz der Reserven unterschreiten.</t>
  </si>
  <si>
    <t>10) VVG Zusatzversicherungen : Prämien (in Mio. Fr.)</t>
  </si>
  <si>
    <t>KVG-Versicherer, welche eigene VVG-Zusatzversicherungen anbieten.</t>
  </si>
  <si>
    <t>11A + 11B + 11C) Gesetzlich vorgeschriebene Reserve</t>
  </si>
  <si>
    <t>(in Millionen Fanken, Höher als die gesetzliche vorgeschriebene Reserve, Tiefer als die gesetzliche vorgeschriebene Reserve)</t>
  </si>
  <si>
    <t>Siehe auch 9A.</t>
  </si>
  <si>
    <t>12A + 12B) Leistungen (brutto) der Versicherer (in Mio. Fr. und je versicherte Person in Fr.)</t>
  </si>
  <si>
    <t>Bruttoleistungen = Leistungen der Versicherer an die Leistungserbringer (Ärzte, Spitäler, Apotheken, usw.)</t>
  </si>
  <si>
    <t>13A + 13B) Kostenbeteiligung der Versicherten (in Mio. Fr. und je versicherte Person in Fr.)</t>
  </si>
  <si>
    <t>Kostenbeteiligung der Versicherten : Franchise / Selbstbehalt / Tagespauschale im Spital.</t>
  </si>
  <si>
    <t>Berücksichtigt nur die bei dem Versicherer eingereichten Rechnungen.</t>
  </si>
  <si>
    <t>14) Ausgaben Total (in Mio. Fr.)</t>
  </si>
  <si>
    <t>Ausgaben = Total Versicherungs- und Betriebsaufwand.</t>
  </si>
  <si>
    <t>15) Verhältnis Nettoleistungen / Prämien in %</t>
  </si>
  <si>
    <t>Quelle: Formulare EF 1 2 3</t>
  </si>
  <si>
    <t xml:space="preserve">BAG-Nr. nur wenn EF1.12A Total  &gt; 0 </t>
  </si>
  <si>
    <t xml:space="preserve">EF1.12A Total nur wenn &gt; 0 </t>
  </si>
  <si>
    <t>=( [ 8A ] / [ 1 ] ) in %</t>
  </si>
  <si>
    <t>EF2 Konten 6 + 7 Krankheit + Unfall Seiten 2.2 -&gt; 2.7</t>
  </si>
  <si>
    <t>EF1 Seite 5 Konten 290 + 290.9</t>
  </si>
  <si>
    <t>EF2 Konto 61 Krankheit + Unfall Seiten 2.2 -&gt; 2.7</t>
  </si>
  <si>
    <t>= ( [ 9A ] / [ 1 ] ) in %</t>
  </si>
  <si>
    <t>= ( [ 3A ] / [ 1 ] )</t>
  </si>
  <si>
    <t>9C</t>
  </si>
  <si>
    <t>= ( [ 9A ] / [ 3 ] ) in %</t>
  </si>
  <si>
    <t>4A</t>
  </si>
  <si>
    <t>EF2 Konto 37 Krankheit + Unfall Seiten 2.2 -&gt; 2.7</t>
  </si>
  <si>
    <t xml:space="preserve">EF2 Seite 2.8 VVG Konto 63 Krankheit + Unfall </t>
  </si>
  <si>
    <t>4B</t>
  </si>
  <si>
    <t>1) Anzahl OKP Versicherer, die für das Ausgleichsjahr eine Abgabe an den Risikoausgleich leisten mussten (Nettozahler),</t>
  </si>
  <si>
    <t xml:space="preserve">    resp. einen Beitrag aus dem Risikoausgleich erhielten (Nettoempfänger).</t>
  </si>
  <si>
    <r>
      <t xml:space="preserve">zahler </t>
    </r>
    <r>
      <rPr>
        <vertAlign val="superscript"/>
        <sz val="11"/>
        <rFont val="Arial"/>
        <family val="2"/>
      </rPr>
      <t>1</t>
    </r>
  </si>
  <si>
    <r>
      <t xml:space="preserve">empfänger </t>
    </r>
    <r>
      <rPr>
        <vertAlign val="superscript"/>
        <sz val="11"/>
        <rFont val="Arial"/>
        <family val="2"/>
      </rPr>
      <t>1</t>
    </r>
  </si>
  <si>
    <t>Obligatorische Krankenpflegeversicherung ab 1998 : wichtigste Indikatoren</t>
  </si>
  <si>
    <t>Gesamtbetriebsergebnis  nach Versicherungsform ab 1998</t>
  </si>
  <si>
    <t>Gesamtbetriebsergebnis  je versicherte Person nach Versicherungsform ab 1998</t>
  </si>
  <si>
    <t>Verwaltungsaufwand / Abschreibungen  nach Versicherungsform ab 1998</t>
  </si>
  <si>
    <t xml:space="preserve">Verwaltungsaufwand / Abschreibungen  je versicherte Person nach Versicherungsform ab 1998 </t>
  </si>
  <si>
    <t>Stand der Reserven per 31.12. ab 1998</t>
  </si>
  <si>
    <t xml:space="preserve">Stand der Rückstellungen per 31.12. für unerledigte Versicherungsfälle ab 1998 </t>
  </si>
  <si>
    <t>Kalkulatorische Reserven OKP pro Kanton in % der Prämien ab 1998</t>
  </si>
  <si>
    <t>T 1.01 Obligatorische Krankenpflegeversicherung ab 1998: wichtigste Indikatoren</t>
  </si>
  <si>
    <t>Merkmale</t>
  </si>
  <si>
    <t>Veränderung 2007 - 2008 in %</t>
  </si>
  <si>
    <t>Jahresdurch-schnittliche Veränderung 1998 - 2008 in %</t>
  </si>
  <si>
    <t>– Anzahl Versicherer OKP</t>
  </si>
  <si>
    <t>– Durchschnittlicher Versichertenbestand in 1'000</t>
  </si>
  <si>
    <t>3A</t>
  </si>
  <si>
    <t>– Anzahl Erkrankte in 1'000</t>
  </si>
  <si>
    <t>3B</t>
  </si>
  <si>
    <t>– Anzahl Erkrankte je 100 Versicherte</t>
  </si>
  <si>
    <t>– Anzahl Spitaleinweisungen in 1'000</t>
  </si>
  <si>
    <t>– Anzahl Spitaltage in 1'000</t>
  </si>
  <si>
    <t>6B</t>
  </si>
  <si>
    <t>– Prämiensoll pro Versicherte(n) in Fr.</t>
  </si>
  <si>
    <t>7B</t>
  </si>
  <si>
    <t>7C</t>
  </si>
  <si>
    <t>–– davon ambulante Leistungen in Fr.</t>
  </si>
  <si>
    <t>7D</t>
  </si>
  <si>
    <t>–– davon stationäre Leistungen in Fr.</t>
  </si>
  <si>
    <t>8B</t>
  </si>
  <si>
    <t>– Kostenbeteiligung pro Versicherten in Fr.</t>
  </si>
  <si>
    <t>9B</t>
  </si>
  <si>
    <t>10B</t>
  </si>
  <si>
    <t>– Verwaltungsaufwand / Abschreibungen pro Versicherten in Fr.</t>
  </si>
  <si>
    <t>12B</t>
  </si>
  <si>
    <t>– Rückstellungen per 31.12. pro Versicherten in Fr.</t>
  </si>
  <si>
    <t>13B</t>
  </si>
  <si>
    <t>– Reserven per 31.12. pro Versicherten in Fr.</t>
  </si>
  <si>
    <t>6A</t>
  </si>
  <si>
    <t>– Prämiensoll in Mio. Fr.</t>
  </si>
  <si>
    <t>7A</t>
  </si>
  <si>
    <t>8A</t>
  </si>
  <si>
    <t>– Kostenbeteiligung in Mio. Fr.</t>
  </si>
  <si>
    <t>9A</t>
  </si>
  <si>
    <t>10A</t>
  </si>
  <si>
    <r>
      <t xml:space="preserve">bei der Kategorie „Eingeschränkte Wahl des Leistungserbringers“ </t>
    </r>
    <r>
      <rPr>
        <sz val="10"/>
        <color indexed="10"/>
        <rFont val="Arial"/>
        <family val="2"/>
      </rPr>
      <t>massgebend, auch</t>
    </r>
    <r>
      <rPr>
        <sz val="10"/>
        <rFont val="Arial"/>
        <family val="2"/>
      </rPr>
      <t xml:space="preserve"> wenn </t>
    </r>
  </si>
  <si>
    <t>Statistik der obligatorischen Krankenversicherung 2008</t>
  </si>
  <si>
    <t>STAT KV: Berichte: PDF 1996-2007, Tabellen: XLS 1996-2007, Grafiken: XLS 2005-2007 auf der Internet-Adresse</t>
  </si>
  <si>
    <t>Übergangsschlüssel Tabellen  2007 -&gt; 1996 )</t>
  </si>
  <si>
    <t>Übergangsschlüssel Tabellen  2008 -&gt; 1996</t>
  </si>
  <si>
    <t xml:space="preserve">Übergangsschlüssel Tabellen 2007 -&gt; 2008 / 2008 -&gt; 2007             </t>
  </si>
  <si>
    <t>Statistik der obligatorischen Krankenversicherung 2008, Bundesamt für Gesundheit</t>
  </si>
  <si>
    <t>Anzahl Versicherte OKP nach Grösse der Versicherer ab 1998</t>
  </si>
  <si>
    <t>Aufteilung der Versicherten (Kinder und Erwachsene) nach Versicherungsform ab 1998</t>
  </si>
  <si>
    <t>Durchschnittlicher Versichertenbestand ab 1998</t>
  </si>
  <si>
    <t>Versichertenbestand ab 1998 per 31.12.</t>
  </si>
  <si>
    <t>Versichertenbestand per 31.12 nach Versicherungsform ab 1998</t>
  </si>
  <si>
    <t>Verteilung der Versicherungsformen in % - Versicherte ab 19 Jahren seit 1998</t>
  </si>
  <si>
    <t>01.01.08</t>
  </si>
  <si>
    <t>x</t>
  </si>
  <si>
    <t xml:space="preserve"> Krankenkasse Luzerner Hinterland</t>
  </si>
  <si>
    <t>ÖKK Lugnez II</t>
  </si>
  <si>
    <t>Sanavals</t>
  </si>
  <si>
    <t>– Verwaltungsaufwand / Abschreibungen in Mio. Fr.</t>
  </si>
  <si>
    <t>– Gesamtbetriebsergebnis in Mio. Fr.</t>
  </si>
  <si>
    <t>12A</t>
  </si>
  <si>
    <t>– Rückstellungen: Stand per 31.12. in Mio. Fr.</t>
  </si>
  <si>
    <t>12C</t>
  </si>
  <si>
    <t>13A</t>
  </si>
  <si>
    <t>– Reserven: Stand per 31.12. in Mio. Fr.</t>
  </si>
  <si>
    <t>13C</t>
  </si>
  <si>
    <t>1) Leistungen brutto = Leistungen inkl. Kostenbeteiligung der Versicherten.</t>
  </si>
  <si>
    <t>3) Rückstellungen in Prozent der bezahlten Leistungen.</t>
  </si>
  <si>
    <t>4) Reserven in Prozent des Prämiensolls.</t>
  </si>
  <si>
    <t>oder</t>
  </si>
  <si>
    <t>Formulare EF123:</t>
  </si>
  <si>
    <t>Anzahl Versicherer mit EF 1.12 A Total &gt; 0</t>
  </si>
  <si>
    <t>= [ 8A ] / [ 2 ]</t>
  </si>
  <si>
    <t xml:space="preserve">Durchschnittlicher Versichertenbestand EF 1.12 A Total  </t>
  </si>
  <si>
    <t>= [ 7A ] - [ 8A ]</t>
  </si>
  <si>
    <t>EF3  T 3.7.1</t>
  </si>
  <si>
    <t>= [ 3A ] / [ 2 ] * 100</t>
  </si>
  <si>
    <t>= [ 7B ] - [ 8B ]</t>
  </si>
  <si>
    <t>EF3  T 3.7.2</t>
  </si>
  <si>
    <t>EF2 Konten 40-47 + 48 K+U Seiten 2.2 -&gt; 2.7</t>
  </si>
  <si>
    <t>= [ 10A ] / [ 2 ]</t>
  </si>
  <si>
    <t>EF3  T 3.4</t>
  </si>
  <si>
    <t xml:space="preserve">EF2 Konto Gesamtbetriebsergebnis Krankheit + Unfall Seiten 2.2 -&gt; 2.7 </t>
  </si>
  <si>
    <t>= [ 6A ] / [ 2 ]</t>
  </si>
  <si>
    <t>EF 1.4 Konto 270</t>
  </si>
  <si>
    <t>EF3  T 3.6</t>
  </si>
  <si>
    <t>= [ 12A ] / [ 2 ]</t>
  </si>
  <si>
    <t>= [ 7A ] / [ 2 ]</t>
  </si>
  <si>
    <t>= [ 12A ] / [ 9A ] * 100 in %</t>
  </si>
  <si>
    <t>EF3  T 3.6 / [ 2 ]</t>
  </si>
  <si>
    <t>EF 1.5 Konten 290 + 290.9</t>
  </si>
  <si>
    <t>EF3 T 3.6 / [ 2 ]</t>
  </si>
  <si>
    <t>= [ 13A ] / [ 2 ]</t>
  </si>
  <si>
    <t>EF2 Konto 32 K+U Seiten 2.2 -&gt; 2.7</t>
  </si>
  <si>
    <t>= [ 13A ] / [ 6A ] * 100 in %</t>
  </si>
  <si>
    <r>
      <t xml:space="preserve">– Bezahlte Leistungen 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pro Versicherten in  Fr.</t>
    </r>
  </si>
  <si>
    <r>
      <t xml:space="preserve">– Bezahlte Leistungen </t>
    </r>
    <r>
      <rPr>
        <vertAlign val="superscript"/>
        <sz val="11"/>
        <rFont val="Arial"/>
        <family val="2"/>
      </rPr>
      <t xml:space="preserve">2  </t>
    </r>
    <r>
      <rPr>
        <sz val="11"/>
        <rFont val="Arial"/>
        <family val="2"/>
      </rPr>
      <t>in Mio. Fr.</t>
    </r>
  </si>
  <si>
    <r>
      <t xml:space="preserve">– Rückstellungenquote 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 xml:space="preserve"> per 31.12. in %</t>
    </r>
  </si>
  <si>
    <r>
      <t xml:space="preserve">– Reservequote </t>
    </r>
    <r>
      <rPr>
        <vertAlign val="superscript"/>
        <sz val="11"/>
        <rFont val="Arial"/>
        <family val="2"/>
      </rPr>
      <t>4</t>
    </r>
    <r>
      <rPr>
        <sz val="11"/>
        <rFont val="Arial"/>
        <family val="2"/>
      </rPr>
      <t xml:space="preserve"> per 31.12. in %</t>
    </r>
  </si>
  <si>
    <t>Datenstand : 30.7.09</t>
  </si>
  <si>
    <t>Kontengruppen</t>
  </si>
  <si>
    <t>Krankheit</t>
  </si>
  <si>
    <t>Unfall</t>
  </si>
  <si>
    <t>in Fr.</t>
  </si>
  <si>
    <t>Prämien</t>
  </si>
  <si>
    <t>Erlösminderungen für Prämien (-)</t>
  </si>
  <si>
    <t>Andere Beitragsanteile</t>
  </si>
  <si>
    <t>60-65</t>
  </si>
  <si>
    <t>Brutto-Prämien</t>
  </si>
  <si>
    <t>Prämienanteile der Rückversicherer (-)</t>
  </si>
  <si>
    <t>60-66</t>
  </si>
  <si>
    <t>Eigene Versicherungsprämien</t>
  </si>
  <si>
    <t>Prämienverbilligung / sonstige Beiträge</t>
  </si>
  <si>
    <t>Datenstand: 14.1.10</t>
  </si>
  <si>
    <t>901-921</t>
  </si>
  <si>
    <t>T 9.17 Taggeldversicherung KVG / VVG ab 1998 in Mio. Fr.</t>
  </si>
  <si>
    <t>KVG-Versicherer</t>
  </si>
  <si>
    <t>Privat-versicherer</t>
  </si>
  <si>
    <t>freiwillige</t>
  </si>
  <si>
    <t>Prämien = verdiente Prämien brutto; Leistungen = Zahlungen für Versicherungsfälle .</t>
  </si>
  <si>
    <t>1) Quelle: T 6.04 Brutto-Prämien [60-65] und bezahlte Leistungen [30-33]. Mit Unfallversicherung.</t>
  </si>
  <si>
    <t>2) Quelle: T 7.03 : Krankentaggeld VVG (BAG). Mit Unfallversicherung.</t>
  </si>
  <si>
    <t xml:space="preserve">     (-&gt; 2003: Bundesamt für Privatversicherungen [BPV]. Ohne Unfallversicherung)</t>
  </si>
  <si>
    <t xml:space="preserve">    (-&gt; 2007: Die privaten Versicherungseinrichtungen in der Schweiz (BPV), detaillierte Fassung der Tabelle AS03N. Ohne Unfallversicherung)</t>
  </si>
  <si>
    <r>
      <t xml:space="preserve">VVG </t>
    </r>
    <r>
      <rPr>
        <vertAlign val="superscript"/>
        <sz val="11"/>
        <rFont val="Arial"/>
        <family val="2"/>
      </rPr>
      <t>2</t>
    </r>
  </si>
  <si>
    <r>
      <t xml:space="preserve">KVG </t>
    </r>
    <r>
      <rPr>
        <vertAlign val="superscript"/>
        <sz val="11"/>
        <rFont val="Arial"/>
        <family val="2"/>
      </rPr>
      <t>1</t>
    </r>
  </si>
  <si>
    <t>T 9.11 Versicherte mit einer Spitalzusatzversicherung ab 1998 in % der OKP-Versicherten</t>
  </si>
  <si>
    <t xml:space="preserve">Total der </t>
  </si>
  <si>
    <t>Beilage B: Übergangsschlüssel Tabellen T  2007 -&gt; 2008 / 2008 -&gt; 2007</t>
  </si>
  <si>
    <t>Publikation 2008</t>
  </si>
  <si>
    <t>1.10</t>
  </si>
  <si>
    <t>9.16</t>
  </si>
  <si>
    <t>11.17</t>
  </si>
  <si>
    <t>4.09</t>
  </si>
  <si>
    <t>(130 Tabellen)</t>
  </si>
  <si>
    <t>nicht vorhanden</t>
  </si>
  <si>
    <t>Daten pro Kanton (27)</t>
  </si>
  <si>
    <t>neu im Jahr 2008 (2)</t>
  </si>
  <si>
    <t>Übergangsschlüssel Tabellen 2008 -&gt; 1996 : siehe Beilage B1 Version STAT KV 2008 Tabellen XLS auf dem www.</t>
  </si>
  <si>
    <t>Übergangsschlüssel Tabellen *  2008 -&gt; 1996</t>
  </si>
  <si>
    <t>Beilage J2</t>
  </si>
  <si>
    <t>Schätzungen aus dem Prämiengenehmigungsverfahren: Hauptkostengruppen [in Mio. Fr.]</t>
  </si>
  <si>
    <t>Ärzte (ambulant)</t>
  </si>
  <si>
    <t>Spitäler (ambulant)</t>
  </si>
  <si>
    <t>Medikamente (Ärzte)</t>
  </si>
  <si>
    <t>Medikamente (Apotheken)</t>
  </si>
  <si>
    <t>Laboratorien</t>
  </si>
  <si>
    <t>Spitäler (stationär)</t>
  </si>
  <si>
    <t>Alters- und Pflegeheime</t>
  </si>
  <si>
    <t>- 1-11: publizierte Werte aus den Formularen EF123</t>
  </si>
  <si>
    <r>
      <t xml:space="preserve">- Zur Genauigkeit der geschätzten Werte </t>
    </r>
    <r>
      <rPr>
        <u/>
        <sz val="8"/>
        <rFont val="Arial"/>
        <family val="2"/>
      </rPr>
      <t>pro versicherte Person</t>
    </r>
    <r>
      <rPr>
        <sz val="8"/>
        <rFont val="Arial"/>
        <family val="2"/>
      </rPr>
      <t>: Sie berechnen sich nach dem gleichen Grundsatz wie auf der vorangehenden Seite erklärt.</t>
    </r>
  </si>
  <si>
    <t xml:space="preserve">    an die Versicherten für die Prämienverbilligung); Kostenbeteiligungen; "Out of pocket".</t>
  </si>
  <si>
    <t>T 1.08 Gesamtbetriebsergebnis in Franken nach Versicherungsform ab 1998</t>
  </si>
  <si>
    <t>Wahl</t>
  </si>
  <si>
    <t>Quelle: T 1.03, 1.04, 1.05, 1.06</t>
  </si>
  <si>
    <t>T 1.09  Gesamtbetriebsergebnis in Franken je versicherte Person nach Versicherungsform ab 1998</t>
  </si>
  <si>
    <t>Jahr</t>
  </si>
  <si>
    <t>Versiche-</t>
  </si>
  <si>
    <t>schränk-</t>
  </si>
  <si>
    <t>rung</t>
  </si>
  <si>
    <t>te Wahl</t>
  </si>
  <si>
    <t>Quelle: T 1.08 / T 11.05</t>
  </si>
  <si>
    <t>1) Sofern keine Aufteilung nach den anderen aufgeführten Kostengruppen möglich ist.</t>
  </si>
  <si>
    <t>2) Intra-muros Behandlung; andere Gruppen = ambulante Behandlung.</t>
  </si>
  <si>
    <t>T 11.17  Anzahl Versicherte OKP nach Grösse der Versicherer ab 1998</t>
  </si>
  <si>
    <t>Verteilung der Versicherungsformen in % nach Kanton - Versicherte ab 19 Jahren</t>
  </si>
  <si>
    <t>1101-1117</t>
  </si>
  <si>
    <t>Ordentl.</t>
  </si>
  <si>
    <t>Andere</t>
  </si>
  <si>
    <t>500 Fr.</t>
  </si>
  <si>
    <t>1000 Fr.</t>
  </si>
  <si>
    <t>1500 Fr.</t>
  </si>
  <si>
    <t>2000 Fr.</t>
  </si>
  <si>
    <t>2500 Fr.</t>
  </si>
  <si>
    <t>rungsformen</t>
  </si>
  <si>
    <t>300 Fr.</t>
  </si>
  <si>
    <t>texte de base pour T 11.07 11.09 et 11.10</t>
  </si>
  <si>
    <t>I</t>
  </si>
  <si>
    <t>II</t>
  </si>
  <si>
    <t>III</t>
  </si>
  <si>
    <t>IV</t>
  </si>
  <si>
    <t>V</t>
  </si>
  <si>
    <t>1) 1997: ordentliche Jahresfranchise: 150.- ; wählbare Jahresfranchisen: 300.-  600.-  1200.-  1500.-</t>
  </si>
  <si>
    <t xml:space="preserve">    1998-2003: ordentliche Jahresfranchise: 230.- ; wählbare Jahresfranchisen: 400.-  600.-  1200.-  1500.-</t>
  </si>
  <si>
    <t xml:space="preserve">    2004: ordentliche Jahresfranchise: 300.- ; wählbare Jahresfranchisen: 400.-  600.-  1200.-  1500.-</t>
  </si>
  <si>
    <r>
      <t xml:space="preserve">in Fr. </t>
    </r>
    <r>
      <rPr>
        <vertAlign val="superscript"/>
        <sz val="10"/>
        <color indexed="10"/>
        <rFont val="Arial"/>
        <family val="2"/>
      </rPr>
      <t>2</t>
    </r>
  </si>
  <si>
    <r>
      <t xml:space="preserve">2) </t>
    </r>
    <r>
      <rPr>
        <b/>
        <sz val="10"/>
        <color indexed="10"/>
        <rFont val="Arial"/>
        <family val="2"/>
      </rPr>
      <t>Unvollständige Daten.</t>
    </r>
  </si>
  <si>
    <r>
      <t xml:space="preserve">in Mio. Fr. </t>
    </r>
    <r>
      <rPr>
        <vertAlign val="superscript"/>
        <sz val="9"/>
        <color indexed="10"/>
        <rFont val="Arial"/>
        <family val="2"/>
      </rPr>
      <t>2</t>
    </r>
  </si>
  <si>
    <t>1) Für alle Versicherungsformen.</t>
  </si>
  <si>
    <t>301-313</t>
  </si>
  <si>
    <r>
      <t xml:space="preserve">T 3.13 Kantonale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pro Versicherten pro Versicherungsmonat nach Altersgruppen</t>
    </r>
  </si>
  <si>
    <t>Kantonale Durchschnittsprämien pro Versicherten nach Altersgruppen</t>
  </si>
  <si>
    <t>1) Ab 2001, nur obligatorische Grundversicherung OKP.</t>
  </si>
  <si>
    <t>2) Total Personen.</t>
  </si>
  <si>
    <r>
      <t xml:space="preserve">Vorjahr </t>
    </r>
    <r>
      <rPr>
        <vertAlign val="superscript"/>
        <sz val="9"/>
        <rFont val="Arial"/>
        <family val="2"/>
      </rPr>
      <t>2</t>
    </r>
  </si>
  <si>
    <t>T 8.01 Anzahl KVG Versicherer ab 1998</t>
  </si>
  <si>
    <t>A</t>
  </si>
  <si>
    <t>B</t>
  </si>
  <si>
    <t>C</t>
  </si>
  <si>
    <t>D</t>
  </si>
  <si>
    <t xml:space="preserve">Anzahl </t>
  </si>
  <si>
    <t>Zuwachs</t>
  </si>
  <si>
    <t>Abgang</t>
  </si>
  <si>
    <t>Obligatorische</t>
  </si>
  <si>
    <t>Quelle: T 2.20 / T 11.01 &amp; T 11.05</t>
  </si>
  <si>
    <t xml:space="preserve">Erwachsene </t>
  </si>
  <si>
    <t>(26 Jahre und mehr)</t>
  </si>
  <si>
    <t>1) Personen, die das 18. Altersjahr noch nicht vollendet haben.</t>
  </si>
  <si>
    <t>2) Bis 2001: inbegriffen Versicherte mit Wohnsitz oder Aufenthalt im Ausland gemäss Art. 3, 4 und 5 KVV;</t>
  </si>
  <si>
    <t xml:space="preserve">    ab 2002: mit Personen mit Wohnsitz oder Aufenthalt im Ausland gemäss Art. 4 und 5 KVV aber ohne Versicherte,</t>
  </si>
  <si>
    <t xml:space="preserve">    die dem Versicherungsobligatorium unterstehen und in einem EU- oder EFTA-Staat Wohnsitz haben (EWG).</t>
  </si>
  <si>
    <t>Quelle: T 11.03</t>
  </si>
  <si>
    <r>
      <t xml:space="preserve">Kinder </t>
    </r>
    <r>
      <rPr>
        <vertAlign val="superscript"/>
        <sz val="11"/>
        <rFont val="Arial"/>
        <family val="2"/>
      </rPr>
      <t>1</t>
    </r>
  </si>
  <si>
    <t>Altersklassen</t>
  </si>
  <si>
    <t>Anzahl</t>
  </si>
  <si>
    <t xml:space="preserve">  0 - 5</t>
  </si>
  <si>
    <t xml:space="preserve">  6 - 10</t>
  </si>
  <si>
    <t>11 - 15</t>
  </si>
  <si>
    <t>16 - 18</t>
  </si>
  <si>
    <t>Total 0 - 18</t>
  </si>
  <si>
    <t>19 - 20</t>
  </si>
  <si>
    <t>21 - 25</t>
  </si>
  <si>
    <t>Total 19 - 65</t>
  </si>
  <si>
    <t>91 - 95</t>
  </si>
  <si>
    <t>96 - 100</t>
  </si>
  <si>
    <t>&gt; 100</t>
  </si>
  <si>
    <t>Total 66 und mehr</t>
  </si>
  <si>
    <t>Quelle: Formular EF3 [T 3.1]</t>
  </si>
  <si>
    <r>
      <t xml:space="preserve">T 11.04  Versichertenbestand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nach Alter und Geschlecht per 31.12.</t>
    </r>
  </si>
  <si>
    <t>T 11.07 Verteilung der Versicherten (Kinder und Erwachsene) nach Versicherungsform ab 1998</t>
  </si>
  <si>
    <t>Quelle: T 11.05</t>
  </si>
  <si>
    <t>Versichertenbestand KVG, Personen mit Wohnsitz in der Schweiz und schweizerischer Prämie (inkl. Versicherte gemäss Art. 4 und 5 KVV)</t>
  </si>
  <si>
    <t>Quelle: Formular EF3 [T 3.8.2]</t>
  </si>
  <si>
    <t>Datenstand: 30.12.09</t>
  </si>
  <si>
    <t>T 9.19  Gesundheitskosten ausgewählter OECD–Länder in % des BIP ab 1998</t>
  </si>
  <si>
    <t>Land</t>
  </si>
  <si>
    <t>Australien</t>
  </si>
  <si>
    <t>Belgien</t>
  </si>
  <si>
    <t>Dänemark</t>
  </si>
  <si>
    <t>Deutschland</t>
  </si>
  <si>
    <t>Finnland</t>
  </si>
  <si>
    <t>Frankreich</t>
  </si>
  <si>
    <t>Grossbritannien</t>
  </si>
  <si>
    <t>Italien</t>
  </si>
  <si>
    <t>Japan</t>
  </si>
  <si>
    <t>Niederlande</t>
  </si>
  <si>
    <t>Norwegen</t>
  </si>
  <si>
    <t>Österreich</t>
  </si>
  <si>
    <t>Schweden</t>
  </si>
  <si>
    <t>Spanien</t>
  </si>
  <si>
    <t>USA</t>
  </si>
  <si>
    <t>Quelle: www.oecd.org/home/   Topics &gt; Health &gt; OECD Health Data 2009 -</t>
  </si>
  <si>
    <t xml:space="preserve"> Frequently Requested Data &gt; Total expenditure on health, % gross domestic product </t>
  </si>
  <si>
    <t>Risikoausgleich in der OKP</t>
  </si>
  <si>
    <t>H 04 A</t>
  </si>
  <si>
    <t>G 04 B</t>
  </si>
  <si>
    <t>H 04 B</t>
  </si>
  <si>
    <t>G 05</t>
  </si>
  <si>
    <t>H 05</t>
  </si>
  <si>
    <t>G 07</t>
  </si>
  <si>
    <t>G 08</t>
  </si>
  <si>
    <t>H 08</t>
  </si>
  <si>
    <t>9.10</t>
  </si>
  <si>
    <t>G 09</t>
  </si>
  <si>
    <t>H 09</t>
  </si>
  <si>
    <t>G 01 A</t>
  </si>
  <si>
    <t>G 03 A</t>
  </si>
  <si>
    <t xml:space="preserve">   Ab 2008 werden zu diesem Thema keine Daten mehr durch die FINMA veröffentlicht.</t>
  </si>
  <si>
    <t>Aufsichtsdaten OKP gemäss Art. 31 KVV (Stand 1.1.08) / gemäss Art. 28b KVV (Stand 1.1.09)</t>
  </si>
  <si>
    <t>7.8.09: 1.12, 2.19, 5.02</t>
  </si>
  <si>
    <t>CSS Kranken-Versicherung AG</t>
  </si>
  <si>
    <t>SUPRA CAISSE-MALADIE</t>
  </si>
  <si>
    <t>Caisse Maladie de la Fonction Publique</t>
  </si>
  <si>
    <t>PROVITA Gesundheitsversicherung AG</t>
  </si>
  <si>
    <t>pro Altersgruppe</t>
  </si>
  <si>
    <t>0 – 18</t>
  </si>
  <si>
    <t>19 – 25</t>
  </si>
  <si>
    <t>26 – 30</t>
  </si>
  <si>
    <t>31 – 35</t>
  </si>
  <si>
    <t>36 – 40</t>
  </si>
  <si>
    <t>41 – 45</t>
  </si>
  <si>
    <t>46 – 50</t>
  </si>
  <si>
    <t>51 – 55</t>
  </si>
  <si>
    <t>56 – 60</t>
  </si>
  <si>
    <t>61 – 65</t>
  </si>
  <si>
    <t>66 – 70</t>
  </si>
  <si>
    <t>71 – 75</t>
  </si>
  <si>
    <t>76 – 80</t>
  </si>
  <si>
    <t>81 – 85</t>
  </si>
  <si>
    <t>86 – 90</t>
  </si>
  <si>
    <t>91 und mehr</t>
  </si>
  <si>
    <t>Alter unbekannt</t>
  </si>
  <si>
    <t>Quelle: Formular PV2 [2.1] &amp; T 11.15</t>
  </si>
  <si>
    <t>1) Anzahl Bezüger Männer/Frauen geschätzt für BS, SO und TG und damit auch für CH als Folge unvollständiger Angaben.</t>
  </si>
  <si>
    <r>
      <t xml:space="preserve">T 4.03 Anzahl Bezüger nach Geschlecht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und Altersgruppen</t>
    </r>
  </si>
  <si>
    <t xml:space="preserve">  [ x Erwachsene + y Kinder ]</t>
  </si>
  <si>
    <t>1+0</t>
  </si>
  <si>
    <t>1+1</t>
  </si>
  <si>
    <t>1+2</t>
  </si>
  <si>
    <t>1+≥3</t>
  </si>
  <si>
    <t>2+0</t>
  </si>
  <si>
    <t>2+1</t>
  </si>
  <si>
    <t>2+2</t>
  </si>
  <si>
    <t>2+≥3</t>
  </si>
  <si>
    <t>Quelle: Formular PV2 [2.2]</t>
  </si>
  <si>
    <t>VS &amp; BE</t>
  </si>
  <si>
    <t>Allgemeine Krankenkasse Brugg</t>
  </si>
  <si>
    <t>Publisana</t>
  </si>
  <si>
    <t>Quelle: Verzeichnisse der zugelassenen Krankenversicherer BAG 01/08 04/08 06/08 10/08 (www.bag.admin.ch)</t>
  </si>
  <si>
    <t>Datenstand : 1.7.09</t>
  </si>
  <si>
    <t>Reserven Oblig. Krankenpflegeversicherung EG und EFTA (ohne Liechtenstein)</t>
  </si>
  <si>
    <t>Reserven Freiw.Taggeldversicherung KVG</t>
  </si>
  <si>
    <t xml:space="preserve">Reserven Aktive Rückversicherung nach KVG </t>
  </si>
  <si>
    <t>Zusatzversicherung VVG, inkl. Taggeld VVG</t>
  </si>
  <si>
    <t xml:space="preserve">Total </t>
  </si>
  <si>
    <t>Quelle: Formular EF1 [10]</t>
  </si>
  <si>
    <t>Anzahl Versicherer ab 1998</t>
  </si>
  <si>
    <t>Anzahl Versicherer OKP nach Grösse ab 1998</t>
  </si>
  <si>
    <t>Stellen- und Personalbestand der Versicherer ab 1998</t>
  </si>
  <si>
    <t>Ertrag, Aufwand und Ergebnis der Versicherer ab 1998</t>
  </si>
  <si>
    <t>Aktiven und Passiven der Versicherer ab 1998</t>
  </si>
  <si>
    <t>Eigenkapital, Kapitalanlagen, Grundstücke und Gebäude der Versicherer ab 1998</t>
  </si>
  <si>
    <t>T 8.11  Aufstellung über Kapitalanlagen, Grundstücke und Gebäude per 31.12.</t>
  </si>
  <si>
    <t>Anteile</t>
  </si>
  <si>
    <t xml:space="preserve">Kapitalanlagen </t>
  </si>
  <si>
    <t>Anlagen bei öffentlich-rechtlichen Körperschaften und bei Banken und Sparkassen</t>
  </si>
  <si>
    <t>Wertpapiere und andere an der Börse kotierte Anlagen</t>
  </si>
  <si>
    <t xml:space="preserve">Anlagen in grundpfandgesicherten Darlehen </t>
  </si>
  <si>
    <t>Anlagen und Guthaben von Betriebskrankenkassen im eigenen Betrieb</t>
  </si>
  <si>
    <t>Anlagen bei Institutionen, die der Durchführung der sozialen Krankenversicherung dienen</t>
  </si>
  <si>
    <t xml:space="preserve">Sonstige Wertschriften </t>
  </si>
  <si>
    <t>Wertberichtigung Kapitalanlagen</t>
  </si>
  <si>
    <t>Kapitalanlagen  - Gesamttotal</t>
  </si>
  <si>
    <t>Grundstücke und Gebäude</t>
  </si>
  <si>
    <t xml:space="preserve">Grundstücke </t>
  </si>
  <si>
    <t>Gebäude für Verwaltungszwecke</t>
  </si>
  <si>
    <r>
      <t xml:space="preserve">T 9.15 Totaler Beitrag je versicherte Person (Prämie + Kostenbeteiligung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>) nach Versicherungsform ab 1998</t>
    </r>
  </si>
  <si>
    <t>Zusätzliche Angaben : nach Altersgruppe (Total)</t>
  </si>
  <si>
    <t xml:space="preserve">     Inklusiv Fachärzte für innere Medizin, die als Grundversorger tätig sind (ab 2007).</t>
  </si>
  <si>
    <t>3) Ohne Fachärzte für innere Medizin, die als Grundversorger tätig sind (ab 2007).</t>
  </si>
  <si>
    <r>
      <t xml:space="preserve">Kantonale monatliche Durchschnittsprämien für Erwachsene pro Prämienregion </t>
    </r>
    <r>
      <rPr>
        <sz val="9"/>
        <color indexed="10"/>
        <rFont val="Arial"/>
        <family val="2"/>
      </rPr>
      <t>2010</t>
    </r>
  </si>
  <si>
    <r>
      <t xml:space="preserve">Kantonale monatliche Durchschnittsprämien für Kinder pro Prämienregion </t>
    </r>
    <r>
      <rPr>
        <sz val="9"/>
        <color indexed="10"/>
        <rFont val="Arial"/>
        <family val="2"/>
      </rPr>
      <t>2010</t>
    </r>
  </si>
  <si>
    <r>
      <t xml:space="preserve">Verteilung der kantonalen monatlichen Durchschnittsprämien für Erwachsene </t>
    </r>
    <r>
      <rPr>
        <sz val="9"/>
        <color indexed="10"/>
        <rFont val="Arial"/>
        <family val="2"/>
      </rPr>
      <t>2010</t>
    </r>
  </si>
  <si>
    <r>
      <t xml:space="preserve">Verteilung der kantonalen monatlichen Durchschnittsprämien für junge Erwachsene </t>
    </r>
    <r>
      <rPr>
        <sz val="9"/>
        <color indexed="10"/>
        <rFont val="Arial"/>
        <family val="2"/>
      </rPr>
      <t>2010</t>
    </r>
  </si>
  <si>
    <r>
      <t xml:space="preserve">Verteilung der kantonalen monatlichen Durchschnittsprämien für Kinder </t>
    </r>
    <r>
      <rPr>
        <sz val="9"/>
        <color indexed="10"/>
        <rFont val="Arial"/>
        <family val="2"/>
      </rPr>
      <t>2010</t>
    </r>
  </si>
  <si>
    <r>
      <t xml:space="preserve">Kantonale monatliche Durchschnittsprämien für junge Erwachsene pro Prämienregion </t>
    </r>
    <r>
      <rPr>
        <sz val="9"/>
        <color indexed="10"/>
        <rFont val="Arial"/>
        <family val="2"/>
      </rPr>
      <t>2010</t>
    </r>
  </si>
  <si>
    <t>8.1.10: T3d, T4d, 5.04</t>
  </si>
  <si>
    <t>13.11.09: 5.04, 6.03, 11.06</t>
  </si>
  <si>
    <t xml:space="preserve">T 11.10  Versicherteneintritte / Versicherungswechsler KVG nach Geschlecht </t>
  </si>
  <si>
    <t xml:space="preserve">In % am </t>
  </si>
  <si>
    <t>durchschnittlichen</t>
  </si>
  <si>
    <t>Versichertenbestand</t>
  </si>
  <si>
    <t>davon Neugeborene</t>
  </si>
  <si>
    <t xml:space="preserve">   Ab 2008 ohne die Ärzte, die weder im ambulanten noch im stationären Sektor arbeiten (Versicherungen, Bundesverwaltung usw.).</t>
  </si>
  <si>
    <t>4) Quelle: FMH, Ärztestatistik.</t>
  </si>
  <si>
    <r>
      <t xml:space="preserve">T 1.06  Betriebsrechnung der Versicherungen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mit eingeschränkter Wahl des Leistungserbringers </t>
    </r>
  </si>
  <si>
    <t xml:space="preserve">Prämien für Effektivkosten </t>
  </si>
  <si>
    <t xml:space="preserve">Prämien für Pauschalkosten </t>
  </si>
  <si>
    <t>Leistungen (Effektivkosten)</t>
  </si>
  <si>
    <t>Leistungen (Pauschalkosten)</t>
  </si>
  <si>
    <t>Rückstellungen für Pauschalkosten</t>
  </si>
  <si>
    <t>Leistungen (31.1 + 31.2)</t>
  </si>
  <si>
    <t>Kostenbeteiligung der Versicherten (32)    (-)</t>
  </si>
  <si>
    <t>Bezahlte Leistungen (30-33)</t>
  </si>
  <si>
    <t>1) Ohne Liechstenstein. Versichertenbestand : siehe T 11.13.</t>
  </si>
  <si>
    <t>2) GrenzgängerInnen, sowie ihre nichterwerbstätigen Familienangehörigen (Versicherte gemäss Art. 3 KVV).</t>
  </si>
  <si>
    <t>Quelle: Formular EF2 [T.E] &amp; EF1 [1.12]</t>
  </si>
  <si>
    <r>
      <t xml:space="preserve">T 1.07  Betriebsrechnung der obligatorischen Krankenpflegeversicherung Personen mit Wohnsitz in einem EG-Staat, in Island oder in Norwegen, inklusive GrenzgängerInnen </t>
    </r>
    <r>
      <rPr>
        <b/>
        <vertAlign val="superscript"/>
        <sz val="12"/>
        <rFont val="Arial"/>
        <family val="2"/>
      </rPr>
      <t>1</t>
    </r>
  </si>
  <si>
    <r>
      <t xml:space="preserve">Nur GrenzgängerInnen </t>
    </r>
    <r>
      <rPr>
        <b/>
        <vertAlign val="superscript"/>
        <sz val="12"/>
        <rFont val="Arial"/>
        <family val="2"/>
      </rPr>
      <t>2</t>
    </r>
  </si>
  <si>
    <t>Versicherungsform</t>
  </si>
  <si>
    <t>Anteil am</t>
  </si>
  <si>
    <t>Gesamt-</t>
  </si>
  <si>
    <t>total in %</t>
  </si>
  <si>
    <t>Ordentliche Jahresfranchise</t>
  </si>
  <si>
    <t xml:space="preserve">Kalkulatorische Reserven OKP pro Kanton in % der Prämien </t>
  </si>
  <si>
    <t>Bruttokosten nach Kantonen</t>
  </si>
  <si>
    <t>Bruttokosten pro Versicherten pro Versicherungsmonat nach Kantonen</t>
  </si>
  <si>
    <t xml:space="preserve">Bruttokosten pro Versicherten pro Versicherungsmonat nach Altersgruppen und Geschlecht </t>
  </si>
  <si>
    <t>Effektive Kosten nach Kantonen</t>
  </si>
  <si>
    <t xml:space="preserve">Effektive Kosten pro Versicherten pro Versicherungsmonat nach Kantonen </t>
  </si>
  <si>
    <t>Effektive Kosten pro Versicherten pro Versicherungsmonat nach Altersgruppen und Geschlecht</t>
  </si>
  <si>
    <t>Kostenbeteiligung pro Versicherten pro Jahr nach Kantonen</t>
  </si>
  <si>
    <t>Kostenbeteiligung pro Versicherten pro Jahr nach Altersgruppen und Geschlecht</t>
  </si>
  <si>
    <t>Effektive Kosten pro Versicherten pro Versicherungsmonat nach Kantonen und Altersgruppen</t>
  </si>
  <si>
    <t>Kostenbeteiligung pro Versicherten pro Jahr nach Kantonen und Altersgruppen</t>
  </si>
  <si>
    <t xml:space="preserve">Leistungen (brutto) nach Kostengruppen </t>
  </si>
  <si>
    <t>Leistungen (brutto)  je versicherte Person nach Kostengruppen</t>
  </si>
  <si>
    <t xml:space="preserve">Leistungen (brutto) in Fr. nach Versicherungsform </t>
  </si>
  <si>
    <t>Beilagen J1-2</t>
  </si>
  <si>
    <t>10: Risikoausgleich in der OKP</t>
  </si>
  <si>
    <t>Risikoausgleich pro Versicherten und Versicherungsmonat nach Altersgruppen und Geschlecht</t>
  </si>
  <si>
    <t>Eidgenössisches Departement des Innern EDI</t>
  </si>
  <si>
    <r>
      <t xml:space="preserve">Teil  Tabellen </t>
    </r>
    <r>
      <rPr>
        <b/>
        <sz val="14"/>
        <rFont val="55 Helvetica Roman"/>
      </rPr>
      <t>(XLS)</t>
    </r>
  </si>
  <si>
    <t>Erkrankte, Spitaleinweisungen und Spitaltage in der OKP</t>
  </si>
  <si>
    <t>G 06 + G 07</t>
  </si>
  <si>
    <t>-</t>
  </si>
  <si>
    <t>1.50</t>
  </si>
  <si>
    <t>701-705</t>
  </si>
  <si>
    <t>10.01</t>
  </si>
  <si>
    <t>10.02</t>
  </si>
  <si>
    <t>10.03</t>
  </si>
  <si>
    <t>Beilage B1</t>
  </si>
  <si>
    <t>Teil 11</t>
  </si>
  <si>
    <t>Versicherte in der OKP</t>
  </si>
  <si>
    <t>Publikation 2005</t>
  </si>
  <si>
    <t>4.10</t>
  </si>
  <si>
    <t>2.20</t>
  </si>
  <si>
    <t>8.10</t>
  </si>
  <si>
    <t>8.11</t>
  </si>
  <si>
    <t>11.10</t>
  </si>
  <si>
    <t>9.22</t>
  </si>
  <si>
    <t>2) Medizinische Laboruntersuchungen (in medizinischen Labors); Radiologie; Transport und Rettung; Andere.</t>
  </si>
  <si>
    <t>3) Arzneimittel durch Detailhandel; Arzneimittel durch Ärzte; Therapeutische Apparate.</t>
  </si>
  <si>
    <t>4) Alkohol- und Drogenmissbrauch; Schulgesundheit, usw.</t>
  </si>
  <si>
    <t>5) Schätzung KOF Konjunkturforschungsstelle ETHZ [Medienmitteilung 12/09].</t>
  </si>
  <si>
    <r>
      <t xml:space="preserve">T 9.04  Kosten des Gesundheitswesens in der Schweiz nach Leistungen </t>
    </r>
    <r>
      <rPr>
        <b/>
        <vertAlign val="superscript"/>
        <sz val="12"/>
        <rFont val="Arial"/>
        <family val="2"/>
      </rPr>
      <t>6</t>
    </r>
    <r>
      <rPr>
        <b/>
        <sz val="12"/>
        <rFont val="Arial"/>
        <family val="2"/>
      </rPr>
      <t xml:space="preserve"> in Mio. Fr. ab 1998</t>
    </r>
  </si>
  <si>
    <r>
      <t xml:space="preserve">Prävention </t>
    </r>
    <r>
      <rPr>
        <vertAlign val="superscript"/>
        <sz val="11"/>
        <rFont val="Arial"/>
        <family val="2"/>
      </rPr>
      <t>4</t>
    </r>
  </si>
  <si>
    <r>
      <t xml:space="preserve">Leistungen </t>
    </r>
    <r>
      <rPr>
        <vertAlign val="superscript"/>
        <sz val="11"/>
        <rFont val="Arial"/>
        <family val="2"/>
      </rPr>
      <t>2</t>
    </r>
  </si>
  <si>
    <r>
      <t xml:space="preserve">heitsgüter </t>
    </r>
    <r>
      <rPr>
        <vertAlign val="superscript"/>
        <sz val="11"/>
        <rFont val="Arial"/>
        <family val="2"/>
      </rPr>
      <t>3</t>
    </r>
  </si>
  <si>
    <r>
      <t xml:space="preserve">Behandlung </t>
    </r>
    <r>
      <rPr>
        <vertAlign val="superscript"/>
        <sz val="11"/>
        <rFont val="Arial"/>
        <family val="2"/>
      </rPr>
      <t>1</t>
    </r>
  </si>
  <si>
    <r>
      <t xml:space="preserve">2008 </t>
    </r>
    <r>
      <rPr>
        <i/>
        <vertAlign val="superscript"/>
        <sz val="11"/>
        <rFont val="Arial"/>
        <family val="2"/>
      </rPr>
      <t>5</t>
    </r>
  </si>
  <si>
    <t>10.12.09: 9.01 -&gt; 9.04</t>
  </si>
  <si>
    <t>Datenstand: 1.12.09</t>
  </si>
  <si>
    <t>– Grundstücke und Gebäude brutto</t>
  </si>
  <si>
    <t>– Wertberichtigung</t>
  </si>
  <si>
    <t>Betriebseinrichtungen und Fahrzeuge</t>
  </si>
  <si>
    <t>– Betriebseinrichtungen und Fahrzeuge brutto</t>
  </si>
  <si>
    <t>Total Aktiven</t>
  </si>
  <si>
    <t>Quelle: Formular EF1 [3]</t>
  </si>
  <si>
    <t xml:space="preserve">T 8.05 Gesamtbetriebsrechnung: Ertrag der Versicherer </t>
  </si>
  <si>
    <t>– Taggeld</t>
  </si>
  <si>
    <t>– Überschussbeteiligung auf Kollektivversicherung Taggeld</t>
  </si>
  <si>
    <t>60 – 63</t>
  </si>
  <si>
    <t>Prämiensoll</t>
  </si>
  <si>
    <t xml:space="preserve">T 2.17  Leistungen (brutto) in Franken nach Kostengruppen </t>
  </si>
  <si>
    <t>Kostengruppen</t>
  </si>
  <si>
    <t>in 1000 Fr.</t>
  </si>
  <si>
    <t>Arzt ambulant</t>
  </si>
  <si>
    <r>
      <t xml:space="preserve">1) Bruttokosten = Leistungen (brutto) der Versicherer in der OKP </t>
    </r>
    <r>
      <rPr>
        <b/>
        <sz val="10"/>
        <rFont val="Arial"/>
        <family val="2"/>
      </rPr>
      <t>mit</t>
    </r>
    <r>
      <rPr>
        <sz val="10"/>
        <rFont val="Arial"/>
        <family val="2"/>
      </rPr>
      <t xml:space="preserve"> Kostenbeteiligung durch die Versicherten;</t>
    </r>
  </si>
  <si>
    <t xml:space="preserve">Kostenbeteiligung der Versicherten in Fr. nach Versicherungsform ab 1998 </t>
  </si>
  <si>
    <t xml:space="preserve">Kostenbeteiligung je versicherte Person in Fr. nach Versicherungsform ab 1998 </t>
  </si>
  <si>
    <t>Kantonale bezahlte Leistungen pro Versicherten pro Jahr in Franken ab 1998</t>
  </si>
  <si>
    <t>Leistungen (brutto)  nach Versicherungsform ab 1998</t>
  </si>
  <si>
    <t>Leistungen (brutto)  je versicherte Person nach Versicherungsform ab 1998</t>
  </si>
  <si>
    <t>Leistungen (brutto)  nach Kostengruppen ab 1998</t>
  </si>
  <si>
    <t xml:space="preserve">Leistungen (brutto) je versicherte Person nach Kostengruppen ab 1998 </t>
  </si>
  <si>
    <t>Bezahlte Leistungen nach Versicherungsform ab 1998</t>
  </si>
  <si>
    <t>Bezahlte Leistungen je versicherte Person nach Versicherungsform ab 1998</t>
  </si>
  <si>
    <t xml:space="preserve">  (vgl. hierzu auch Tabelle 2.20).</t>
  </si>
  <si>
    <r>
      <t xml:space="preserve">T 2.07  Effektive Kosten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 Fr. nach Kantonen </t>
    </r>
  </si>
  <si>
    <r>
      <t xml:space="preserve">1) Effektive Kosten = (bezahlte) Leistungen der Versicherer in der OKP </t>
    </r>
    <r>
      <rPr>
        <b/>
        <sz val="10"/>
        <rFont val="Arial"/>
        <family val="2"/>
      </rPr>
      <t>ohne</t>
    </r>
    <r>
      <rPr>
        <sz val="10"/>
        <rFont val="Arial"/>
        <family val="2"/>
      </rPr>
      <t xml:space="preserve"> Kostenbeteiligung durch die Versicherten;</t>
    </r>
  </si>
  <si>
    <t>1) Berücksichtigt nur die bei dem Versicherer eingereichten Rechnungen</t>
  </si>
  <si>
    <r>
      <t xml:space="preserve">T 2.13 Kostenbeteiligung 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pro Versicherten pro Jahr nach Kantonen und Altersgruppen</t>
    </r>
  </si>
  <si>
    <t>Quelle: T 2.04 / T 11.16</t>
  </si>
  <si>
    <r>
      <t xml:space="preserve">T 2.05  Bruttokosten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 Fr. pro Versicherten pro Versicherungsmonat nach Kantonen</t>
    </r>
  </si>
  <si>
    <r>
      <t xml:space="preserve">1) Bruttokosten = Leistungen (brutto) der Versicherer in der OKP </t>
    </r>
    <r>
      <rPr>
        <b/>
        <sz val="10"/>
        <rFont val="Arial"/>
        <family val="2"/>
      </rPr>
      <t>mit</t>
    </r>
    <r>
      <rPr>
        <sz val="10"/>
        <rFont val="Arial"/>
        <family val="2"/>
      </rPr>
      <t xml:space="preserve"> Kostenbeteiligung durch die Versicherten.</t>
    </r>
  </si>
  <si>
    <r>
      <t xml:space="preserve">T 2.06  Bruttokosten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Versicherungsmonat nach Altersgruppen und Geschlecht</t>
    </r>
  </si>
  <si>
    <t>Quelle: T 2.07 / T 11.16</t>
  </si>
  <si>
    <r>
      <t xml:space="preserve">T 2.08  Effektive 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Versicherungsmonat nach Kantonen</t>
    </r>
  </si>
  <si>
    <r>
      <t xml:space="preserve">1) Effektive Kosten = (bezahlte) Leistungen der Versicherer in der OKP </t>
    </r>
    <r>
      <rPr>
        <b/>
        <sz val="10"/>
        <rFont val="Arial"/>
        <family val="2"/>
      </rPr>
      <t>ohne</t>
    </r>
    <r>
      <rPr>
        <sz val="10"/>
        <rFont val="Arial"/>
        <family val="2"/>
      </rPr>
      <t xml:space="preserve"> Kostenbeteiligung durch die Versicherten.</t>
    </r>
  </si>
  <si>
    <r>
      <t xml:space="preserve">T 2.09  Effektive 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Versicherungsmonat nach Altersgruppen und Geschlecht</t>
    </r>
  </si>
  <si>
    <t>Quelle: T 2.05 - T 2.08</t>
  </si>
  <si>
    <t>1) Berücksichtigt nur die bei dem Versicherer eingereichten Rechnungen.</t>
  </si>
  <si>
    <r>
      <t xml:space="preserve">T 2.10  Kostenbeteiligung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pro Versicherten pro Jahr in Fr. nach Kantonen</t>
    </r>
  </si>
  <si>
    <t>Quelle: T 2.06 - T 2.09</t>
  </si>
  <si>
    <t>Sozial-</t>
  </si>
  <si>
    <t>Privat-</t>
  </si>
  <si>
    <t>Private</t>
  </si>
  <si>
    <t>Total </t>
  </si>
  <si>
    <t>Haus-</t>
  </si>
  <si>
    <t>private</t>
  </si>
  <si>
    <t>rungen</t>
  </si>
  <si>
    <t>Finanzie-</t>
  </si>
  <si>
    <t>1) Öffentliche Sicherheit, Rettungsdienste, Stationäre Betriebe, Ambulante Krankenpflege, Verwaltung, Prävention (usw.).</t>
  </si>
  <si>
    <t>2) Krankenversicherung KVG (Grundversicherung); Unfallversicherung UVG; AHV-IV; Militärversicherung.</t>
  </si>
  <si>
    <t>3) KVG-Versicherer &amp; private Versicherer.</t>
  </si>
  <si>
    <t>4) Kostenbeteiligung &amp; "Out of pocket".</t>
  </si>
  <si>
    <t xml:space="preserve">5) Spenden und Vermächtnisse an Institutionen ohne Erwerbscharakter (Pflegeheim, Institution für Behinderte, </t>
  </si>
  <si>
    <t xml:space="preserve">     Spitexorganisation usw.) </t>
  </si>
  <si>
    <r>
      <t xml:space="preserve">T 9.02  Kosten des Gesundheitswesens in der Schweiz nach Direktzahler </t>
    </r>
    <r>
      <rPr>
        <b/>
        <vertAlign val="superscript"/>
        <sz val="12"/>
        <rFont val="Arial"/>
        <family val="2"/>
      </rPr>
      <t>6</t>
    </r>
    <r>
      <rPr>
        <b/>
        <sz val="12"/>
        <rFont val="Arial"/>
        <family val="2"/>
      </rPr>
      <t xml:space="preserve"> in Mio. Fr. ab 1998</t>
    </r>
  </si>
  <si>
    <r>
      <t xml:space="preserve">Staat </t>
    </r>
    <r>
      <rPr>
        <vertAlign val="superscript"/>
        <sz val="11"/>
        <rFont val="Arial"/>
        <family val="2"/>
      </rPr>
      <t>1</t>
    </r>
  </si>
  <si>
    <r>
      <t xml:space="preserve">rungen </t>
    </r>
    <r>
      <rPr>
        <vertAlign val="superscript"/>
        <sz val="11"/>
        <rFont val="Arial"/>
        <family val="2"/>
      </rPr>
      <t>2</t>
    </r>
  </si>
  <si>
    <r>
      <t xml:space="preserve">halte </t>
    </r>
    <r>
      <rPr>
        <vertAlign val="superscript"/>
        <sz val="11"/>
        <rFont val="Arial"/>
        <family val="2"/>
      </rPr>
      <t>4</t>
    </r>
  </si>
  <si>
    <r>
      <t xml:space="preserve">VVG </t>
    </r>
    <r>
      <rPr>
        <vertAlign val="superscript"/>
        <sz val="11"/>
        <rFont val="Arial"/>
        <family val="2"/>
      </rPr>
      <t>3</t>
    </r>
  </si>
  <si>
    <r>
      <t xml:space="preserve">rung </t>
    </r>
    <r>
      <rPr>
        <vertAlign val="superscript"/>
        <sz val="11"/>
        <rFont val="Arial"/>
        <family val="2"/>
      </rPr>
      <t>5</t>
    </r>
  </si>
  <si>
    <r>
      <t xml:space="preserve">2008 </t>
    </r>
    <r>
      <rPr>
        <i/>
        <vertAlign val="superscript"/>
        <sz val="11"/>
        <rFont val="Arial"/>
        <family val="2"/>
      </rPr>
      <t>7</t>
    </r>
  </si>
  <si>
    <t>Regimes der</t>
  </si>
  <si>
    <t>sozialen</t>
  </si>
  <si>
    <t>Daten Vorjahr</t>
  </si>
  <si>
    <t>Ärzte:</t>
  </si>
  <si>
    <t>Dichte der</t>
  </si>
  <si>
    <t>Medika-</t>
  </si>
  <si>
    <t>Apo-</t>
  </si>
  <si>
    <t>Aerzte-</t>
  </si>
  <si>
    <t>Wohn-</t>
  </si>
  <si>
    <t>Allge-</t>
  </si>
  <si>
    <t>Spezial-</t>
  </si>
  <si>
    <t>Ärzte mit</t>
  </si>
  <si>
    <t>Apothe-</t>
  </si>
  <si>
    <t>menten-</t>
  </si>
  <si>
    <t>theken-</t>
  </si>
  <si>
    <t>Anzahl Ärzte (linke Skala)</t>
  </si>
  <si>
    <t>Anzahl Apotheken (rechte Skala)</t>
  </si>
  <si>
    <t>bevölke-</t>
  </si>
  <si>
    <t>mein-</t>
  </si>
  <si>
    <t>ärzte</t>
  </si>
  <si>
    <t>Praxistä-</t>
  </si>
  <si>
    <t>äzte</t>
  </si>
  <si>
    <t>ken</t>
  </si>
  <si>
    <t>praktiker</t>
  </si>
  <si>
    <t>FMH</t>
  </si>
  <si>
    <t>tigkeit</t>
  </si>
  <si>
    <t>Datenstand: 6.1.10</t>
  </si>
  <si>
    <t>1) Quellen: BFS, Bevölkerungsentwicklung; FMH, Ärztestatistik (Ärzte mit Praxistätigkeit), Schweizerischerer Apothekerverein.</t>
  </si>
  <si>
    <t>1) Durchschnittliche Wohnbevölkerung in einem bestimmten Gebiet nach wirtschaftlichem Wohnsitz.</t>
  </si>
  <si>
    <t>2) Anzahl Einwohner pro Arzt mit Praxistätigkeit resp. Anzahl Einwohner pro Apotheke (Öffentliche Apotheken).</t>
  </si>
  <si>
    <t xml:space="preserve">    Quelle: BFS Sektion Bevölkerungsentwicklung</t>
  </si>
  <si>
    <t>2) Summe der Ärzte (mit Praxistätigkeit) mit Facharzttitel in Allgemeinmedizin und der Ärzte (mit Praxistätigkeit) ohne Facharzttitel.</t>
  </si>
  <si>
    <t>5) Anzahl Ärzte mit Praxistätigkeit pro 1'000 Einwohner.</t>
  </si>
  <si>
    <t>6) Veränderung der Dichte.</t>
  </si>
  <si>
    <t>7) Quelle: Schweizerischer Apothekerverein SAV.</t>
  </si>
  <si>
    <t>8) Anzahl Apotheken (Öffentliche Apotheken) pro 10'000 Einwohner.</t>
  </si>
  <si>
    <t xml:space="preserve">die auf den Formularen EF 123 nicht verfügbar sind, in der STAT KV und im Internet, zur Verfügung zu stellen. </t>
  </si>
  <si>
    <t>(Zeitreihen nach Kanton oder Altersgruppe: www.bag.admin.ch/pyramiden)</t>
  </si>
  <si>
    <t xml:space="preserve">und Wohnort der versicherten Person erstellt wird und somit verschieden ist: www.bag.admin.ch/kmt). </t>
  </si>
  <si>
    <t xml:space="preserve">Diese Auswertung basiert auf der Gesamtheit der Versicherten, für die Alter, Geschlecht, Kanton,   </t>
  </si>
  <si>
    <t xml:space="preserve">Versicherungsform und Franchisenhöhe bekannt sind. </t>
  </si>
  <si>
    <t>Es werden nur die im Berichtsjahr gültigen Höhen der Wahlfranchisen ausgewiesen.</t>
  </si>
  <si>
    <t>-&gt; Diese Abgrenzung der Gesamtheit der Versicherten kann zu Abweichungen im Vergleich zu anderen Auswertungen führen.</t>
  </si>
  <si>
    <t xml:space="preserve">Da die Daten von santésuisse nicht auf einer Vollerhebung basieren (siehe nachfolgende Berechnung des Deckungsgrades), </t>
  </si>
  <si>
    <t>sind nur die durchschnittlichen Werte pro versicherte Person für Vergleiche relevant und werden vom BAG veröffentlicht.</t>
  </si>
  <si>
    <t>Berechnung des Abdeckungsgrades in %</t>
  </si>
  <si>
    <t>- nach Kanton (siehe I2)</t>
  </si>
  <si>
    <t>Anzahl der im Datenpool erfassten Versicherten (gemäss der oben definierten Gesamtheit der Versicherten) /</t>
  </si>
  <si>
    <t xml:space="preserve">  durchschnittlicher Versichertenbestand (Quelle: Risikoausgleich, T 11.14)</t>
  </si>
  <si>
    <t>- nach Altersgruppe (siehe I3)</t>
  </si>
  <si>
    <t xml:space="preserve"> durchschnittlicher Versichertenbestand (Quelle: Risikoausgleich, T 11.15)</t>
  </si>
  <si>
    <t>Stand der Daten:</t>
  </si>
  <si>
    <t>1997-2000: 16.4.02; 2001-2002: 24.4.03; 2003: 28.4.04; 2004: 4.6.05; 2005: 16.5.06; 2006: 25.4.07; 2007: 25.4.08; 2008: 27.2.09</t>
  </si>
  <si>
    <t>Die Daten entsprechen der Version der Jahresdaten des Datenpools, die für die Auswertung des BAG verwendert wurde.</t>
  </si>
  <si>
    <t>Das BAG nimmt keine Revision der veröffentlichen Daten vor, wenn santésuisse ihre Daten im Nachhinein korrigiert.</t>
  </si>
  <si>
    <t>Genauigkeit der Daten:</t>
  </si>
  <si>
    <t>Die Tatsache, dass der Datenpool nicht auf der Gesamtheit der Versicherten und Versicherer basiert, kann eine gewisse Ungenauigkeit der</t>
  </si>
  <si>
    <t>Daten zur Folge haben. Intuitiv kann man verstehen, dass diese Ungenauigkeit grundsätzlich zunimmt, je schwächer der Abdeckungsgrad</t>
  </si>
  <si>
    <t>und je kleiner die Zahl der für die Berechnung eines Wertes berücksichtigten Versicherten ist.</t>
  </si>
  <si>
    <t>Die Genauigkeit der Daten des Datenpools in Funktion des Abdeckungsgrads analytisch einzuschätzen, ist jedoch kein triviales Problem.</t>
  </si>
  <si>
    <t xml:space="preserve">Wir beschränken uns hier darauf, im Sinne eines Beispiels die Genauigkeit von 3 Serien darzustellen, für die </t>
  </si>
  <si>
    <t>"Referenzwerte" vorliegen, da sie aus der abschliessenden Vollerhebung mit den Formularen EF 123 oder dem Risikoausgleich stammen.</t>
  </si>
  <si>
    <t>Prämiensoll pro versicherte Person</t>
  </si>
  <si>
    <t>Kostenbeteiligung 2005</t>
  </si>
  <si>
    <t>T 3.12 STAT KV</t>
  </si>
  <si>
    <t>Datenpool</t>
  </si>
  <si>
    <t>Abweichung Datenpool - STAT KV</t>
  </si>
  <si>
    <t>T 2.13 STAT KV</t>
  </si>
  <si>
    <t>Nettoleistungen 2005</t>
  </si>
  <si>
    <t>T 2.09 STAT KV (*12)</t>
  </si>
  <si>
    <t>Im Anhang I4 werden die Abweichungen für die Hauptkostengruppen (Bruttokosten je versicherte Person) der OKP zwischen den Werten des</t>
  </si>
  <si>
    <t>Datenpools von santésuisse (Jahresdaten der Zeitreihen und Jahreszusammenfassung des Kostenmonitorings) und den Werten der KV-Statistik dargestellt.</t>
  </si>
  <si>
    <r>
      <t xml:space="preserve">Der gewählte Ansatz ist jener der Auswertung der </t>
    </r>
    <r>
      <rPr>
        <u/>
        <sz val="10"/>
        <rFont val="Arial"/>
        <family val="2"/>
      </rPr>
      <t>Jahres</t>
    </r>
    <r>
      <rPr>
        <sz val="10"/>
        <rFont val="Arial"/>
        <family val="2"/>
      </rPr>
      <t>Daten des DATENPOOLS nach Leistungsart</t>
    </r>
  </si>
  <si>
    <r>
      <t xml:space="preserve">und Wohnort der versicherten Person (im Gegensatz zu den </t>
    </r>
    <r>
      <rPr>
        <u/>
        <sz val="10"/>
        <rFont val="Arial"/>
        <family val="2"/>
      </rPr>
      <t>Monats</t>
    </r>
    <r>
      <rPr>
        <sz val="10"/>
        <rFont val="Arial"/>
        <family val="2"/>
      </rPr>
      <t>Daten für das Kostenmonitoring, das nach Leistungserbringer</t>
    </r>
  </si>
  <si>
    <t>Beilage I2</t>
  </si>
  <si>
    <t>Abdeckungsgrad des Datenpools von santésuisse nach Kanton *</t>
  </si>
  <si>
    <t xml:space="preserve">ZH </t>
  </si>
  <si>
    <t xml:space="preserve">BE </t>
  </si>
  <si>
    <t xml:space="preserve">LU </t>
  </si>
  <si>
    <t xml:space="preserve">UR </t>
  </si>
  <si>
    <t xml:space="preserve">SZ </t>
  </si>
  <si>
    <t xml:space="preserve">OW </t>
  </si>
  <si>
    <t xml:space="preserve">NW </t>
  </si>
  <si>
    <t xml:space="preserve">GL </t>
  </si>
  <si>
    <t xml:space="preserve">ZG </t>
  </si>
  <si>
    <t xml:space="preserve">FR </t>
  </si>
  <si>
    <t xml:space="preserve">SO </t>
  </si>
  <si>
    <t>BS **</t>
  </si>
  <si>
    <t>BL **</t>
  </si>
  <si>
    <t xml:space="preserve">SH </t>
  </si>
  <si>
    <t xml:space="preserve">AR </t>
  </si>
  <si>
    <t xml:space="preserve">AI </t>
  </si>
  <si>
    <t xml:space="preserve">SG </t>
  </si>
  <si>
    <t xml:space="preserve">GR </t>
  </si>
  <si>
    <t xml:space="preserve">AG </t>
  </si>
  <si>
    <t xml:space="preserve">TG </t>
  </si>
  <si>
    <t xml:space="preserve">TI </t>
  </si>
  <si>
    <t xml:space="preserve">VD </t>
  </si>
  <si>
    <t xml:space="preserve">VS </t>
  </si>
  <si>
    <t xml:space="preserve">NE </t>
  </si>
  <si>
    <t xml:space="preserve">GE </t>
  </si>
  <si>
    <t xml:space="preserve">JU </t>
  </si>
  <si>
    <t xml:space="preserve">CH </t>
  </si>
  <si>
    <t>* Werte vom BAG berechnet</t>
  </si>
  <si>
    <t>** Fehler im Datenpool für BS und BL 1997 – 2002 (1 Gemeinde von BL wurde BS zugeordnet [betrifft Münchenstein])</t>
  </si>
  <si>
    <t>Beilage I3</t>
  </si>
  <si>
    <t>Abdeckungsgrad des Datenpools von santésuisse nach Altersgruppen *</t>
  </si>
  <si>
    <t xml:space="preserve">26-30 Jahre </t>
  </si>
  <si>
    <t xml:space="preserve">31-35 Jahre </t>
  </si>
  <si>
    <t xml:space="preserve">36-40 Jahre </t>
  </si>
  <si>
    <t xml:space="preserve">41-45 Jahre </t>
  </si>
  <si>
    <t xml:space="preserve">46-50 Jahre </t>
  </si>
  <si>
    <t xml:space="preserve">51-55 Jahre </t>
  </si>
  <si>
    <t xml:space="preserve">56-60 Jahre </t>
  </si>
  <si>
    <t xml:space="preserve">61-65 Jahre </t>
  </si>
  <si>
    <t xml:space="preserve">66-70 Jahre </t>
  </si>
  <si>
    <t xml:space="preserve">71-75 Jahre </t>
  </si>
  <si>
    <t xml:space="preserve">76-80 Jahre </t>
  </si>
  <si>
    <t xml:space="preserve">81-85 Jahre </t>
  </si>
  <si>
    <t xml:space="preserve">86-90 Jahre </t>
  </si>
  <si>
    <t>0-18 Jahre</t>
  </si>
  <si>
    <t>19-25 Jahre</t>
  </si>
  <si>
    <r>
      <t xml:space="preserve">T 2.11  Kostenbeteiligung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pro Jahr nach Altersgruppen und Geschlecht</t>
    </r>
  </si>
  <si>
    <t>T 2.12 Effektive Kosten pro Versicherten pro Versicherungsmonat nach Kantonen und Altersgruppen</t>
  </si>
  <si>
    <t>1.7.09: B2, 5.04, 11.14-&gt;11.16, 2.04-&gt;2.13</t>
  </si>
  <si>
    <t>8.7.09: 10.01-&gt;10.03</t>
  </si>
  <si>
    <t>Risikoausgleich: Bruttoumverteilung und Nettoumverteilung ab 1998</t>
  </si>
  <si>
    <t>Risikoausgleich: Nettozahler und Nettoempfänger ab 1998</t>
  </si>
  <si>
    <t>T 10.02  Risikoausgleich: Bruttoumverteilung und Nettoumverteilung in Mio. Fr. ab 1998</t>
  </si>
  <si>
    <t>Aus-</t>
  </si>
  <si>
    <t>gleichs-</t>
  </si>
  <si>
    <t>nach Ge-</t>
  </si>
  <si>
    <t>nach</t>
  </si>
  <si>
    <t>zwischen</t>
  </si>
  <si>
    <t>jahr</t>
  </si>
  <si>
    <t>schlecht</t>
  </si>
  <si>
    <t>Alter</t>
  </si>
  <si>
    <t>Versicherern</t>
  </si>
  <si>
    <t xml:space="preserve">Vorjahr </t>
  </si>
  <si>
    <t>1) Theoretisch-statistische Grösse: Gesamtschweizerische Umverteilung von Männern zu Frauen resp. von jüngeren</t>
  </si>
  <si>
    <t>Versicherten (19 – 55-jährige Personen) zu älteren Versicherten (56-jährige und ältere Personen).</t>
  </si>
  <si>
    <t>2) Effektiv erfolgte Umverteilung zwischen den Versicherern (von Nettozahlern zu Nettoempfängern; vgl. Tabelle 10.01).</t>
  </si>
  <si>
    <r>
      <t xml:space="preserve">Bruttoumverteilung </t>
    </r>
    <r>
      <rPr>
        <vertAlign val="superscript"/>
        <sz val="11"/>
        <rFont val="Arial"/>
        <family val="2"/>
      </rPr>
      <t>1</t>
    </r>
  </si>
  <si>
    <r>
      <t xml:space="preserve">Nettoumverteilung </t>
    </r>
    <r>
      <rPr>
        <vertAlign val="superscript"/>
        <sz val="11"/>
        <rFont val="Arial"/>
        <family val="2"/>
      </rPr>
      <t>2</t>
    </r>
  </si>
  <si>
    <t xml:space="preserve">1) Bei der Berechnung der Abgaben und Beiträge werden die effektiven Durchschnittskosten jeder Risikogruppe mit den </t>
  </si>
  <si>
    <t>effektiven Durchschnittskosten aller erwachsenen Versicherten im Alter von 19 und mehr Jahren (Referenzgruppe) verglichen.</t>
  </si>
  <si>
    <t xml:space="preserve">Sind die effektiven Durchschnittskosten der jeweiligen Risikogruppe höher als die Durchschnittskosten der Referenzgruppe, </t>
  </si>
  <si>
    <t>so erhält der Versicherer für jeden Versicherten in dieser Risikogruppe einen Beitrag (+). Umgekehrt hat er eine Abgabe (-) zu leisten.</t>
  </si>
  <si>
    <t>Kinder (0-18 Jahre) werden für die Berechnung des Risikoausgleichs nicht miteinbezogen.</t>
  </si>
  <si>
    <r>
      <t xml:space="preserve">T 10.03  Risikoausgleich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pro Versicherten und Versicherungsmonat nach Altersgruppen und Geschlecht</t>
    </r>
  </si>
  <si>
    <t>–</t>
  </si>
  <si>
    <t>T 10.01  Risikoausgleich: Nettozahler und Nettoempfänger ab 1998</t>
  </si>
  <si>
    <t>Netto-</t>
  </si>
  <si>
    <t>Anteil</t>
  </si>
  <si>
    <t>am Total</t>
  </si>
  <si>
    <t>22.10.09: 5.01 -&gt; 5.03</t>
  </si>
  <si>
    <r>
      <t xml:space="preserve">1) Es gibt OKP-Versicherer, die in der freiwilligen KVG-Krankentaggeld keine Versicherten haben. Name des Versicherers eventuell gekürzt. </t>
    </r>
    <r>
      <rPr>
        <sz val="10"/>
        <color indexed="10"/>
        <rFont val="Arial"/>
        <family val="2"/>
      </rPr>
      <t>Name gültig 2008.</t>
    </r>
  </si>
  <si>
    <t>AQUILANA VERSICHERUNGEN</t>
  </si>
  <si>
    <t>Moove Sympany AG</t>
  </si>
  <si>
    <t>Krankenkasse Luchsingen</t>
  </si>
  <si>
    <t>Bezirkskrankenkasse Einsiedeln</t>
  </si>
  <si>
    <t>CMBB</t>
  </si>
  <si>
    <t>CONCORDIA Kranken- und Unfallversicherung AG</t>
  </si>
  <si>
    <t>ATUPRI</t>
  </si>
  <si>
    <t>Krankenkasse Luzerner Hinterland</t>
  </si>
  <si>
    <t>Krankenkasse KPT AG</t>
  </si>
  <si>
    <t>Xundheit</t>
  </si>
  <si>
    <t xml:space="preserve">ÖKK </t>
  </si>
  <si>
    <t>Vivao Sympany AG</t>
  </si>
  <si>
    <t>KKV St. Moritz</t>
  </si>
  <si>
    <t>Krankenkasse Flaachtal</t>
  </si>
  <si>
    <t>Krankenkasse Goms</t>
  </si>
  <si>
    <t>KK Easy Sana</t>
  </si>
  <si>
    <t>Krankenkasse des Saastales</t>
  </si>
  <si>
    <t>CMP Lumnezia I</t>
  </si>
  <si>
    <t>EGK-Gesundheitskasse</t>
  </si>
  <si>
    <t>vita surselva</t>
  </si>
  <si>
    <t>Schattenberge</t>
  </si>
  <si>
    <t>KKV</t>
  </si>
  <si>
    <t>Wincare Versicherungen AG</t>
  </si>
  <si>
    <t>AVANTIS Assureur maladie</t>
  </si>
  <si>
    <t>CM de Troistorrents</t>
  </si>
  <si>
    <t>KK Wädenswil</t>
  </si>
  <si>
    <t>Krankenkasse Birchmeier</t>
  </si>
  <si>
    <t>Krankenkasse Stoffel Mels KKS</t>
  </si>
  <si>
    <t>GALENOS</t>
  </si>
  <si>
    <t>Vivao Sympany Schweiz AG</t>
  </si>
  <si>
    <t>rhenusana</t>
  </si>
  <si>
    <t>Taggeldkasse bildende Künstler/Innen</t>
  </si>
  <si>
    <t>AMB</t>
  </si>
  <si>
    <t>HOTELA</t>
  </si>
  <si>
    <t>KSM</t>
  </si>
  <si>
    <t>Philos Caisse-maladie et accident</t>
  </si>
  <si>
    <t>Caisse-maladie Universa</t>
  </si>
  <si>
    <t>Krankengeldversicherung für Mitarbeiter der fenaco</t>
  </si>
  <si>
    <r>
      <t xml:space="preserve">Name des Versicherers eventuell gekürzt, </t>
    </r>
    <r>
      <rPr>
        <sz val="10"/>
        <color indexed="10"/>
        <rFont val="Arial"/>
        <family val="2"/>
      </rPr>
      <t>Name gültig 2008.</t>
    </r>
  </si>
  <si>
    <t>KK Gondo-Zwischbergen</t>
  </si>
  <si>
    <t>CM de la Vallée d'Entremont</t>
  </si>
  <si>
    <t>KK INSTITUT INGENBOHL</t>
  </si>
  <si>
    <t>Auxilia Kranken-Vers. AG</t>
  </si>
  <si>
    <t>ASSURA</t>
  </si>
  <si>
    <t>CONCORDIA Kranken- und Unfallversicherung</t>
  </si>
  <si>
    <t>Unterschied effektiver Wert - minimaler gesetzlicher Wert</t>
  </si>
  <si>
    <t>in Fr. pro Versicherten</t>
  </si>
  <si>
    <t>1.10.09: 8.13</t>
  </si>
  <si>
    <t>Mittleres Brutto-</t>
  </si>
  <si>
    <r>
      <t xml:space="preserve">EF2 Konten Gesamtbetriebsergebnis </t>
    </r>
    <r>
      <rPr>
        <sz val="9"/>
        <color indexed="10"/>
        <rFont val="Arial"/>
        <family val="2"/>
      </rPr>
      <t>{</t>
    </r>
    <r>
      <rPr>
        <sz val="9"/>
        <rFont val="Arial"/>
        <family val="2"/>
      </rPr>
      <t>ohne Position</t>
    </r>
    <r>
      <rPr>
        <sz val="9"/>
        <color indexed="10"/>
        <rFont val="Arial"/>
        <family val="2"/>
      </rPr>
      <t>}</t>
    </r>
  </si>
  <si>
    <t>2.3.10: 5.02, 2.17, 2.19</t>
  </si>
  <si>
    <r>
      <t xml:space="preserve">Übrige Leistungen ambulant </t>
    </r>
    <r>
      <rPr>
        <vertAlign val="superscript"/>
        <sz val="11"/>
        <rFont val="Arial"/>
        <family val="2"/>
      </rPr>
      <t>5</t>
    </r>
  </si>
  <si>
    <r>
      <t xml:space="preserve">Übrige Leistungen stationär </t>
    </r>
    <r>
      <rPr>
        <vertAlign val="superscript"/>
        <sz val="11"/>
        <rFont val="Arial"/>
        <family val="2"/>
      </rPr>
      <t>2 4</t>
    </r>
  </si>
  <si>
    <t>4) Zum Beispiel Heilbäder.</t>
  </si>
  <si>
    <t>5) Zum Beispiel Logopädie, Ergotherapie, Transport-/Rettungsunternehmen.</t>
  </si>
  <si>
    <t>G 10</t>
  </si>
  <si>
    <t>G 11</t>
  </si>
  <si>
    <t>G 12</t>
  </si>
  <si>
    <t>2.10</t>
  </si>
  <si>
    <t xml:space="preserve">* : Teil Tabellen </t>
  </si>
  <si>
    <t xml:space="preserve">Publikation 2000 </t>
  </si>
  <si>
    <t>F 02 -&gt; F 05</t>
  </si>
  <si>
    <t>F 01 -&gt; F 03</t>
  </si>
  <si>
    <t>3.11</t>
  </si>
  <si>
    <t>3.12</t>
  </si>
  <si>
    <t>3.13</t>
  </si>
  <si>
    <t>5.01 -&gt; 5.03</t>
  </si>
  <si>
    <t>5.00</t>
  </si>
  <si>
    <t>H 06 + H 07</t>
  </si>
  <si>
    <t>C 02 A</t>
  </si>
  <si>
    <t>C 02 B</t>
  </si>
  <si>
    <t>C 03</t>
  </si>
  <si>
    <t>C 04</t>
  </si>
  <si>
    <t>C 05</t>
  </si>
  <si>
    <t>D 01 A</t>
  </si>
  <si>
    <t>D 01 B</t>
  </si>
  <si>
    <t>D 02</t>
  </si>
  <si>
    <t>D 03</t>
  </si>
  <si>
    <t>D 04</t>
  </si>
  <si>
    <t>E 01 A</t>
  </si>
  <si>
    <t>E 01 B</t>
  </si>
  <si>
    <t xml:space="preserve">E 01 </t>
  </si>
  <si>
    <t>E 02</t>
  </si>
  <si>
    <t>201-223</t>
  </si>
  <si>
    <t>9.21</t>
  </si>
  <si>
    <t>Verfügbar am:</t>
  </si>
  <si>
    <t>Vom Bund anerkannte Versicherungsträger</t>
  </si>
  <si>
    <t xml:space="preserve">Tabellen </t>
  </si>
  <si>
    <t>Teil 1</t>
  </si>
  <si>
    <t>Teil 2</t>
  </si>
  <si>
    <t>Leistungen und Kostenbeteiligung in der OKP</t>
  </si>
  <si>
    <t>Teil 3</t>
  </si>
  <si>
    <t>Prämien in der OKP</t>
  </si>
  <si>
    <t>Teil 4</t>
  </si>
  <si>
    <t>Prämienverbilligung in der OKP</t>
  </si>
  <si>
    <t>Teil 5</t>
  </si>
  <si>
    <t>Aufsichtsdaten OKP</t>
  </si>
  <si>
    <t>Teil 6</t>
  </si>
  <si>
    <t>601-606</t>
  </si>
  <si>
    <t>Freiwillige Taggeldversicherung KVG</t>
  </si>
  <si>
    <t>Teil 7</t>
  </si>
  <si>
    <t>Teil 8</t>
  </si>
  <si>
    <t>Teil 9</t>
  </si>
  <si>
    <t>Zusatzinformationen zum Gesundheitswesen</t>
  </si>
  <si>
    <t>Zusatzversicherungen VVG der vom BAG anerkannten Krankenversicherer</t>
  </si>
  <si>
    <t>Beilage B</t>
  </si>
  <si>
    <t>3.10</t>
  </si>
  <si>
    <t>Finanzen und obligatorische Krankenpflegeversicherung (OKP)</t>
  </si>
  <si>
    <t>E 03</t>
  </si>
  <si>
    <t>E 04</t>
  </si>
  <si>
    <t>E 05</t>
  </si>
  <si>
    <t>E 06</t>
  </si>
  <si>
    <t>E 07</t>
  </si>
  <si>
    <t>E 08</t>
  </si>
  <si>
    <t>E 09</t>
  </si>
  <si>
    <t>E 10</t>
  </si>
  <si>
    <t>E 11</t>
  </si>
  <si>
    <t>F 01</t>
  </si>
  <si>
    <t>F 02</t>
  </si>
  <si>
    <t>F 03</t>
  </si>
  <si>
    <t>F 04</t>
  </si>
  <si>
    <t>G 01</t>
  </si>
  <si>
    <t>T 3.09  Prämiensoll in Mio. Franken nach Versicherungsform ab 1998</t>
  </si>
  <si>
    <t>1) Vgl. Fussnote 3) von Tabelle 11.02.</t>
  </si>
  <si>
    <t>Quelle: T 3.10</t>
  </si>
  <si>
    <t>H 01</t>
  </si>
  <si>
    <t>G 02 A</t>
  </si>
  <si>
    <t>H 02 A</t>
  </si>
  <si>
    <t>G 02 B</t>
  </si>
  <si>
    <t>H 02 B</t>
  </si>
  <si>
    <t>G 03</t>
  </si>
  <si>
    <t>H 03</t>
  </si>
  <si>
    <t>G 04 A</t>
  </si>
  <si>
    <r>
      <t xml:space="preserve">Korrigierte Tabellen :      </t>
    </r>
    <r>
      <rPr>
        <sz val="11"/>
        <color indexed="10"/>
        <rFont val="55 Helvetica Roman"/>
      </rPr>
      <t>(Korrekturen in roter Farbe)</t>
    </r>
    <r>
      <rPr>
        <sz val="11"/>
        <rFont val="55 Helvetica Roman"/>
      </rPr>
      <t xml:space="preserve">  </t>
    </r>
    <r>
      <rPr>
        <b/>
        <sz val="11"/>
        <rFont val="55 Helvetica Roman"/>
      </rPr>
      <t xml:space="preserve">   </t>
    </r>
    <r>
      <rPr>
        <b/>
        <sz val="11"/>
        <color indexed="9"/>
        <rFont val="55 Helvetica Roman"/>
      </rPr>
      <t xml:space="preserve">     (gegenüber PDF Version und der gedruckten Version) :</t>
    </r>
  </si>
  <si>
    <t>5: Individuelle Daten pro Versicherer</t>
  </si>
  <si>
    <t>Aufsichtsdaten der Krankenversicherer OKP</t>
  </si>
  <si>
    <t>Erklärungen und Quellen für die Aufsichtsdaten</t>
  </si>
  <si>
    <t>8: Gesamtgeschäft der vom BAG anerkannten Krankenversicherer</t>
  </si>
  <si>
    <t>Gesamtbetriebsrechnung: Ertrag der Versicherer</t>
  </si>
  <si>
    <t xml:space="preserve">Gesamtbetriebsrechnung: Aufwand der Versicherer </t>
  </si>
  <si>
    <t>Bilanz: Aktiven der Versicherer per 31.12.</t>
  </si>
  <si>
    <t>Bilanz: Passiven der Versicherer per 31.12.</t>
  </si>
  <si>
    <t>Aufstellung über Kapitalanlagen, Grundstücke und Gebäude per 31.12.</t>
  </si>
  <si>
    <t>Ergebnisverteilung per 31.12.</t>
  </si>
  <si>
    <t>3: Prämientarife in der OKP</t>
  </si>
  <si>
    <t xml:space="preserve">KVG-Versicherer: Daten zur freiwilligen Taggeldversicherung </t>
  </si>
  <si>
    <t>Mutationen bei den Krankenversicherern</t>
  </si>
  <si>
    <t>T 5.04  Mutationen bei den Krankenversicherern</t>
  </si>
  <si>
    <t>BAG-</t>
  </si>
  <si>
    <t>Name des Versicherers</t>
  </si>
  <si>
    <t>Datum</t>
  </si>
  <si>
    <t xml:space="preserve">Prämiensoll nach Versicherungsform </t>
  </si>
  <si>
    <t>Prämiensoll je versicherte Person nach Versicherungsform</t>
  </si>
  <si>
    <t>1: Finanzen und obligatorische Krankenpflegeversicherung (OKP)</t>
  </si>
  <si>
    <t xml:space="preserve">Betriebsrechnung der obligatorischen Krankenpflegeversicherung KVG insgesamt </t>
  </si>
  <si>
    <t xml:space="preserve">Quelle : DATENPOOL santésuisse [Auswertung BAG ; Abdeckungsgrad der Erhebung : siehe Beilage I ] </t>
  </si>
  <si>
    <t>T 1.10 Verwaltungsaufwand / Abschreibungen in Franken nach Versicherungsform ab 1998</t>
  </si>
  <si>
    <t>In % des</t>
  </si>
  <si>
    <t>Versicherungs-</t>
  </si>
  <si>
    <t>und Betriebsauf-</t>
  </si>
  <si>
    <t>wand</t>
  </si>
  <si>
    <t>wands</t>
  </si>
  <si>
    <t>T 2.01  Kostenbeteiligung der Versicherten in Mio. Franken nach Versicherungsform ab 1998</t>
  </si>
  <si>
    <t>Quelle: T 1.03; 1.04; 1.05; 1.06 [32]</t>
  </si>
  <si>
    <t xml:space="preserve">T 2.22  Leistungen (brutto) in Franken nach Versicherungsform </t>
  </si>
  <si>
    <t>Quelle: Formular EF3 [T 3.5]</t>
  </si>
  <si>
    <t>T 2.23 Leistungen (brutto) in Franken je versicherte Person nach Versicherungsform</t>
  </si>
  <si>
    <t>Quelle: T 2.22 / T 11.06 &amp; T 11.01</t>
  </si>
  <si>
    <t>1) Schätzung des mittleren Versichertenbestandes (ausgenommen Zeile Total)</t>
  </si>
  <si>
    <t xml:space="preserve">    aufgrund der Aufteilung der Versicherten per 31.12 in T 11.06</t>
  </si>
  <si>
    <r>
      <t xml:space="preserve">Versicherungsform </t>
    </r>
    <r>
      <rPr>
        <vertAlign val="superscript"/>
        <sz val="11"/>
        <rFont val="Arial"/>
        <family val="2"/>
      </rPr>
      <t>1</t>
    </r>
  </si>
  <si>
    <r>
      <t xml:space="preserve">     unabhängig davon, ob die Prämien schlussendlich durch das Betreibungsverfahren eingebracht werden konnten. </t>
    </r>
    <r>
      <rPr>
        <b/>
        <sz val="10"/>
        <rFont val="Arial"/>
        <family val="2"/>
      </rPr>
      <t>Unvollständige Daten.</t>
    </r>
  </si>
  <si>
    <r>
      <t xml:space="preserve">     Angegeben ist auch das Total der ausstehenden Prämien dieser Versicherten in Franken. </t>
    </r>
    <r>
      <rPr>
        <b/>
        <sz val="10"/>
        <rFont val="Arial"/>
        <family val="2"/>
      </rPr>
      <t>Unvollständige Daten.</t>
    </r>
  </si>
  <si>
    <r>
      <t xml:space="preserve">     Personen, die </t>
    </r>
    <r>
      <rPr>
        <u/>
        <sz val="10"/>
        <rFont val="Arial"/>
        <family val="2"/>
      </rPr>
      <t>Militärdienst</t>
    </r>
    <r>
      <rPr>
        <sz val="10"/>
        <rFont val="Arial"/>
        <family val="2"/>
      </rPr>
      <t xml:space="preserve"> leisten und deshalb sistiert wurden, sind in dieser Tabelle </t>
    </r>
    <r>
      <rPr>
        <u/>
        <sz val="10"/>
        <rFont val="Arial"/>
        <family val="2"/>
      </rPr>
      <t>nicht</t>
    </r>
    <r>
      <rPr>
        <sz val="10"/>
        <rFont val="Arial"/>
        <family val="2"/>
      </rPr>
      <t xml:space="preserve"> aufzuführt.</t>
    </r>
  </si>
  <si>
    <t>(in %)</t>
  </si>
  <si>
    <t>(Durchschnittlicher</t>
  </si>
  <si>
    <t>Versichertenbestand)</t>
  </si>
  <si>
    <t>T 11.12 Versichertenbestand KVG nach Geschlecht  am 1.1.2009</t>
  </si>
  <si>
    <t>1) Versichertenbestand am 31.12. Die Werte 1997 bis 1999 des Versichertenbestands wurden revidiert.</t>
  </si>
  <si>
    <r>
      <t xml:space="preserve">bestand </t>
    </r>
    <r>
      <rPr>
        <vertAlign val="superscript"/>
        <sz val="11"/>
        <rFont val="Arial"/>
        <family val="2"/>
      </rPr>
      <t>1</t>
    </r>
  </si>
  <si>
    <r>
      <t xml:space="preserve">in Fr. </t>
    </r>
    <r>
      <rPr>
        <vertAlign val="superscript"/>
        <sz val="11"/>
        <rFont val="Arial"/>
        <family val="2"/>
      </rPr>
      <t>1</t>
    </r>
  </si>
  <si>
    <r>
      <t xml:space="preserve">    </t>
    </r>
    <r>
      <rPr>
        <u/>
        <sz val="10"/>
        <rFont val="Arial"/>
        <family val="2"/>
      </rPr>
      <t>Nur Einzelversicherung.</t>
    </r>
  </si>
  <si>
    <t>Datenstand: 30.7.09</t>
  </si>
  <si>
    <t/>
  </si>
  <si>
    <t>Prämien, Leistungen, Versichertenbestand und Versichererbestand ab 1998</t>
  </si>
  <si>
    <t>Ertrag, Aufwand und Ergebnis ab 1998</t>
  </si>
  <si>
    <t>1) Vgl. Fussnoten 1) und 2) von Tabelle 2.16.</t>
  </si>
  <si>
    <t>2.9.09: 5.01, 5.03</t>
  </si>
  <si>
    <t>T 5.01 Aufsichtsdaten OKP</t>
  </si>
  <si>
    <t>Name des OKP Versicherers</t>
  </si>
  <si>
    <t>Durchsch-</t>
  </si>
  <si>
    <t>Kosten-</t>
  </si>
  <si>
    <t>Brutto-</t>
  </si>
  <si>
    <t>Risikoaus–</t>
  </si>
  <si>
    <t>Verwaltungs-</t>
  </si>
  <si>
    <t>Gesamter-</t>
  </si>
  <si>
    <t>Stand der</t>
  </si>
  <si>
    <t>Verhältnis</t>
  </si>
  <si>
    <t>Einnahmen</t>
  </si>
  <si>
    <t>Ausgaben</t>
  </si>
  <si>
    <t>Risiko–</t>
  </si>
  <si>
    <t>Gesetzlich</t>
  </si>
  <si>
    <t>Höher als die</t>
  </si>
  <si>
    <t>Tiefer als die</t>
  </si>
  <si>
    <t>nittlicher</t>
  </si>
  <si>
    <t xml:space="preserve">je versicherte </t>
  </si>
  <si>
    <t>beteiligung</t>
  </si>
  <si>
    <t>leistungen</t>
  </si>
  <si>
    <t>gleich</t>
  </si>
  <si>
    <t xml:space="preserve">aufwand + </t>
  </si>
  <si>
    <t>gebnis je</t>
  </si>
  <si>
    <t xml:space="preserve"> Rückstel-</t>
  </si>
  <si>
    <t>gleich in %</t>
  </si>
  <si>
    <t>in % der</t>
  </si>
  <si>
    <t>ausgleich</t>
  </si>
  <si>
    <t>vorgeschrie-</t>
  </si>
  <si>
    <t>gesetzlich</t>
  </si>
  <si>
    <t>Versicher-</t>
  </si>
  <si>
    <t xml:space="preserve">Person </t>
  </si>
  <si>
    <t>je versicherte</t>
  </si>
  <si>
    <t>Abschrei-</t>
  </si>
  <si>
    <t>lungen je</t>
  </si>
  <si>
    <t>leistungen /</t>
  </si>
  <si>
    <t>der Ein-</t>
  </si>
  <si>
    <t>lungen</t>
  </si>
  <si>
    <t xml:space="preserve"> in Mio. Fr.</t>
  </si>
  <si>
    <t>sicherungen:</t>
  </si>
  <si>
    <t>bene Reserve</t>
  </si>
  <si>
    <t>tenbestand</t>
  </si>
  <si>
    <t>bungen je</t>
  </si>
  <si>
    <t xml:space="preserve"> Person</t>
  </si>
  <si>
    <t>nahmen</t>
  </si>
  <si>
    <t>bungen</t>
  </si>
  <si>
    <t>Person</t>
  </si>
  <si>
    <t xml:space="preserve"> in % der </t>
  </si>
  <si>
    <t>(+) in Mio. Fr.</t>
  </si>
  <si>
    <t>(-) in Mio. Fr.</t>
  </si>
  <si>
    <t>Person in Fr.</t>
  </si>
  <si>
    <t>Quelle und Erklärungen: T 5.02</t>
  </si>
  <si>
    <t>T 5.03 KVG Versicherer: Daten zur freiwilligen Taggeldversicherung</t>
  </si>
  <si>
    <t>* : KVG-Versi-</t>
  </si>
  <si>
    <t>cherer nur mit</t>
  </si>
  <si>
    <t xml:space="preserve">freiwilliger </t>
  </si>
  <si>
    <t>in Tausend</t>
  </si>
  <si>
    <t>Fr.</t>
  </si>
  <si>
    <t>Quelle: Formular EF123</t>
  </si>
  <si>
    <t>BAG-Nr. nur wenn [2] oder [3] &gt; 0</t>
  </si>
  <si>
    <t xml:space="preserve">* wenn EF 1.12A Total = 0 </t>
  </si>
  <si>
    <t>EF3 Total T 3.9.2</t>
  </si>
  <si>
    <t>EF3 Total T 3.9.3</t>
  </si>
  <si>
    <t>4</t>
  </si>
  <si>
    <t xml:space="preserve">EF2 Konten 40-47 + 48 Krankheit + Unfall Seiten 2.0 -&gt; 2.1 </t>
  </si>
  <si>
    <t>EF2 Konten Gesamtbetriebergebnis ohne Position Krankheit + Unfall Seiten 2.0 -&gt; 2.1</t>
  </si>
  <si>
    <t>EF1 [1.4] Konto 271</t>
  </si>
  <si>
    <t>EF1 [1.5] Konto 291</t>
  </si>
  <si>
    <r>
      <t xml:space="preserve">Name des KVG-Versicherers </t>
    </r>
    <r>
      <rPr>
        <vertAlign val="superscript"/>
        <sz val="10"/>
        <rFont val="Arial"/>
        <family val="2"/>
      </rPr>
      <t>1</t>
    </r>
  </si>
  <si>
    <r>
      <t xml:space="preserve">  Kostenbeteiligung </t>
    </r>
    <r>
      <rPr>
        <b/>
        <vertAlign val="superscript"/>
        <sz val="10"/>
        <rFont val="Arial"/>
        <family val="2"/>
      </rPr>
      <t>11</t>
    </r>
  </si>
  <si>
    <r>
      <t xml:space="preserve">  Out of pocket </t>
    </r>
    <r>
      <rPr>
        <b/>
        <vertAlign val="superscript"/>
        <sz val="10"/>
        <rFont val="Arial"/>
        <family val="2"/>
      </rPr>
      <t>8</t>
    </r>
  </si>
  <si>
    <t>T 9.08 Details des Finanzierungssaldos in Millionen Franken ab 1998</t>
  </si>
  <si>
    <t xml:space="preserve">Durchschnittl. </t>
  </si>
  <si>
    <t>Krankenversicherer</t>
  </si>
  <si>
    <t>Zusatzversicherungen VVG der Privatversicherer</t>
  </si>
  <si>
    <t>Fussnoten T 9.06:</t>
  </si>
  <si>
    <t>1) Subventionen oder direkte Leistungen an das Gesundheitswesen (an die Leistungserbringer (Spitäler), an die</t>
  </si>
  <si>
    <t xml:space="preserve">   sozialmedizinischen Institutionen, an die Spitex- und Rettungsdienste) und die Öffentliche Gesundheit, Verwaltung und Prävention.</t>
  </si>
  <si>
    <t xml:space="preserve">   Quelle: Kosten des Gesundheitswesens [nach Direktzahlern], BFS. Schätzungen: KOF [Medienmitteilung 12/09].</t>
  </si>
  <si>
    <t>2) Leistungen/Zahlungen nur an das Gesundheitswesen.</t>
  </si>
  <si>
    <t xml:space="preserve">   Quelle: Kosten des Gesundheitswesens [aus der Sicht der sozialen Sicherheit], BFS. Schätzungen: BAG: Entwicklung gemäss jährl. Veränderung 2006-2007.</t>
  </si>
  <si>
    <t>3) Individuelle Sachleistungen und Subventionen an die IV-Institutionen; von der AHV bezahlte Hilfsmittel.</t>
  </si>
  <si>
    <t>4) Quelle: T 9.08.</t>
  </si>
  <si>
    <t>5) Ohne Prämien für Taggelder KVG oder VVG. Quelle: T 9.08.</t>
  </si>
  <si>
    <t>6) Ohne Prämien für Taggelder für Verdienstausfall nach VVG. Quelle: T 9.08.</t>
  </si>
  <si>
    <t>7) Quelle: Kosten des Gesundheitswesens [aus der Sicht der sozialen Sicherheit], BFS.</t>
  </si>
  <si>
    <t xml:space="preserve">     Schätzungen: BAG: Entwicklung gemäss jährl. Veränderung 1998-2007.</t>
  </si>
  <si>
    <t xml:space="preserve">8) Zahnpflege, Pensionskosten in Pflegeheimen, Spitexdienste und rezeptfreie Medikamente </t>
  </si>
  <si>
    <t xml:space="preserve">    ("over the counter") bilden die Hauptkosten zur vollen oder teilweisen Last der Haushalte.</t>
  </si>
  <si>
    <t xml:space="preserve">   Wert berechnet wie das Total der Kosten des Gesundheitswesens - Summe der anderen Positionen.</t>
  </si>
  <si>
    <t>9) Spenden und Legate an Organisationen ohne Erwerbszweck wie Pflegeheime für Betagte, Institutionen für Behinderte, Spitexorganisationen, Gesundheitsligen.</t>
  </si>
  <si>
    <t xml:space="preserve">     Quelle: Kosten des Gesundheitswesens [nach Direktzahlern], BFS. Schätzungen: KOF [Medienmitteilung 12/09].</t>
  </si>
  <si>
    <t>11) Quelle: T 9.08.</t>
  </si>
  <si>
    <t>12) Quelle: Kosten des Gesundheitswesens [nach Direktzahlern], BFS. Schätzungen: KOF [Medienmitteilung 12/09].</t>
  </si>
  <si>
    <t>13) Quelle: T 4.07 (Subventionsbudget nach Kürzungen).</t>
  </si>
  <si>
    <t>Fussnoten T 9.07:</t>
  </si>
  <si>
    <t xml:space="preserve">1) - 13) Vgl. Fussnoten von Tabelle 9.06. </t>
  </si>
  <si>
    <t>14) Ohne Prämienverbilligung KVG (in den Bruttoprämien der obligatorischen Krankenpflegeversicherung enthalten).</t>
  </si>
  <si>
    <t>15) Leistungen I der Krankenversicherer [T 9.08 a) ] + Kostenbeteiligung [T 9.08 f) ].</t>
  </si>
  <si>
    <t>16) Siehe T 9.08 : b) Übriger Aufwand und d) Verwaltungskosten (inkl. Prävention).</t>
  </si>
  <si>
    <t>Fussnoten T 9.08:</t>
  </si>
  <si>
    <t>1) Ohne Taggelder (für Verdienstausfall) KVG oder VVG.</t>
  </si>
  <si>
    <t>2) Quelle: T 1.02 [30-33] &amp; T 7.03 [30-33] ohne Taggeld VVG-Prämien oder T 9.18.</t>
  </si>
  <si>
    <t>3) = c) - a). Übriger Versicherungsaufwand gemäss Kosten des Gesundheitswesens, BFS. Schätzungen [BAG] : T 1.02 [34] / T 7.03 [34] / 0.</t>
  </si>
  <si>
    <t>4) = e) - d). Schätzungen [BAG] = a) + b).</t>
  </si>
  <si>
    <t>5) Verwaltungskosten (inkl. Prävention). Quelle: Kosten des Gesundheitswesens [nach Leistungserbringern und Direktzahlern, interne detaillierte Version BFS]. Schätzungen [BAG]: basierend auf dem 2007 festgestellten Verhältnis [d) / a)].</t>
  </si>
  <si>
    <t>6) Quelle: Kosten des Gesundheitswesens [nach Direktzahlern], BFS. Schätzungen [BAG] = c) + d).</t>
  </si>
  <si>
    <t>7) Quelle: T 1.02 [32]; T 7.03 [32], keine Informationen für Privatversicherer [0].</t>
  </si>
  <si>
    <t>8) = e) + f)</t>
  </si>
  <si>
    <t>9) Quelle: T 1.02 [60-65] (Bruttoprämien  inklusive Prämienverbilligung KVG) &amp; T 7.03 [60-65] ohne Taggeld VVG-Prämien oder T 9.18.</t>
  </si>
  <si>
    <t>10) = h) + f)</t>
  </si>
  <si>
    <t>11) Finanzierungssaldo: Differenz zwischen den Leistungen III der Versicherer an das Gesundheitswesen und den Prämieneinzahlungen der Haushalte.</t>
  </si>
  <si>
    <t xml:space="preserve">    Aus der Sicht des Finanzgleichgewichts handelt es sich um die Kapitaleinkommen, die ausserordentlichen Einkommen, die Gewinne und die Veränderungen von Reserven.</t>
  </si>
  <si>
    <t xml:space="preserve">    Ein positiver Saldo bedeutet grundsätzlich einen Abbau, ein negativer Saldo eine Erhöhung der Reserven. = e) - h) oder g) - i).</t>
  </si>
  <si>
    <r>
      <t xml:space="preserve">Krankenversicherung </t>
    </r>
    <r>
      <rPr>
        <b/>
        <i/>
        <vertAlign val="superscript"/>
        <sz val="10"/>
        <rFont val="Arial"/>
        <family val="2"/>
      </rPr>
      <t>1</t>
    </r>
  </si>
  <si>
    <r>
      <t xml:space="preserve">2008 </t>
    </r>
    <r>
      <rPr>
        <b/>
        <i/>
        <vertAlign val="superscript"/>
        <sz val="10"/>
        <rFont val="Arial"/>
        <family val="2"/>
      </rPr>
      <t>12</t>
    </r>
  </si>
  <si>
    <r>
      <t xml:space="preserve">  a) Leistungen der Krankenversicherer I </t>
    </r>
    <r>
      <rPr>
        <b/>
        <vertAlign val="superscript"/>
        <sz val="10"/>
        <rFont val="Arial"/>
        <family val="2"/>
      </rPr>
      <t>2</t>
    </r>
  </si>
  <si>
    <r>
      <t xml:space="preserve">  b) Übriger Aufwand </t>
    </r>
    <r>
      <rPr>
        <b/>
        <vertAlign val="superscript"/>
        <sz val="10"/>
        <rFont val="Arial"/>
        <family val="2"/>
      </rPr>
      <t>3</t>
    </r>
  </si>
  <si>
    <r>
      <t xml:space="preserve">  c) Leistungen II </t>
    </r>
    <r>
      <rPr>
        <b/>
        <vertAlign val="superscript"/>
        <sz val="10"/>
        <rFont val="Arial"/>
        <family val="2"/>
      </rPr>
      <t>4</t>
    </r>
  </si>
  <si>
    <r>
      <t xml:space="preserve">  d) Verwaltungskosten (inkl. Prävention)  </t>
    </r>
    <r>
      <rPr>
        <b/>
        <vertAlign val="superscript"/>
        <sz val="10"/>
        <rFont val="Arial"/>
        <family val="2"/>
      </rPr>
      <t>5</t>
    </r>
  </si>
  <si>
    <r>
      <t xml:space="preserve">  e) Leistungen III  </t>
    </r>
    <r>
      <rPr>
        <b/>
        <vertAlign val="superscript"/>
        <sz val="10"/>
        <rFont val="Arial"/>
        <family val="2"/>
      </rPr>
      <t>6</t>
    </r>
  </si>
  <si>
    <r>
      <t xml:space="preserve">  f) Kostenbeteiligung </t>
    </r>
    <r>
      <rPr>
        <b/>
        <vertAlign val="superscript"/>
        <sz val="10"/>
        <rFont val="Arial"/>
        <family val="2"/>
      </rPr>
      <t>7</t>
    </r>
  </si>
  <si>
    <r>
      <t xml:space="preserve">  h) Prämien der Haushalte </t>
    </r>
    <r>
      <rPr>
        <b/>
        <vertAlign val="superscript"/>
        <sz val="10"/>
        <rFont val="Arial"/>
        <family val="2"/>
      </rPr>
      <t>9</t>
    </r>
  </si>
  <si>
    <r>
      <t xml:space="preserve">Obligatorische Krankenpflegeversicherung KVG </t>
    </r>
    <r>
      <rPr>
        <vertAlign val="superscript"/>
        <sz val="8"/>
        <rFont val="Arial"/>
        <family val="2"/>
      </rPr>
      <t>3</t>
    </r>
  </si>
  <si>
    <r>
      <t xml:space="preserve">  i) Gesamtbeitrag </t>
    </r>
    <r>
      <rPr>
        <b/>
        <vertAlign val="superscript"/>
        <sz val="10"/>
        <rFont val="Arial"/>
        <family val="2"/>
      </rPr>
      <t>10</t>
    </r>
  </si>
  <si>
    <r>
      <t xml:space="preserve">j) Finanzierungssaldo </t>
    </r>
    <r>
      <rPr>
        <b/>
        <vertAlign val="superscript"/>
        <sz val="10"/>
        <rFont val="Arial"/>
        <family val="2"/>
      </rPr>
      <t>11</t>
    </r>
  </si>
  <si>
    <r>
      <t xml:space="preserve">10) NettoPrämien der Haushalte = Bruttoprämien obligatorische Krankenpflegeversicherung (T 9.08 </t>
    </r>
    <r>
      <rPr>
        <vertAlign val="superscript"/>
        <sz val="10"/>
        <rFont val="Arial"/>
        <family val="2"/>
      </rPr>
      <t>h</t>
    </r>
    <r>
      <rPr>
        <sz val="10"/>
        <rFont val="Arial"/>
        <family val="2"/>
      </rPr>
      <t xml:space="preserve"> ) - Prämienverbilligung KVG an Versicherte (T 9.06 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 ).</t>
    </r>
  </si>
  <si>
    <r>
      <t xml:space="preserve">14) Schätzungen </t>
    </r>
    <r>
      <rPr>
        <i/>
        <sz val="10"/>
        <rFont val="Arial"/>
        <family val="2"/>
      </rPr>
      <t>(kursiv)</t>
    </r>
    <r>
      <rPr>
        <sz val="10"/>
        <rFont val="Arial"/>
        <family val="2"/>
      </rPr>
      <t xml:space="preserve"> KOF &amp; BAG].</t>
    </r>
  </si>
  <si>
    <r>
      <t>15) Neue BFS-Berechnungsmethode im 2008 -&gt; vom BFS revidierte Werte für 1996-&gt;2006 [</t>
    </r>
    <r>
      <rPr>
        <vertAlign val="superscript"/>
        <sz val="10"/>
        <rFont val="Arial"/>
        <family val="2"/>
      </rPr>
      <t>1, 2, 7, 8, 9, 12</t>
    </r>
    <r>
      <rPr>
        <sz val="10"/>
        <rFont val="Arial"/>
        <family val="2"/>
      </rPr>
      <t>].</t>
    </r>
  </si>
  <si>
    <r>
      <t xml:space="preserve">17) Schätzungen </t>
    </r>
    <r>
      <rPr>
        <i/>
        <sz val="10"/>
        <rFont val="Arial"/>
        <family val="2"/>
      </rPr>
      <t>(kursiv)</t>
    </r>
    <r>
      <rPr>
        <sz val="10"/>
        <rFont val="Arial"/>
        <family val="2"/>
      </rPr>
      <t xml:space="preserve"> [KOF &amp; BAG].</t>
    </r>
  </si>
  <si>
    <r>
      <t>18) Neue BFS-Berechnungsmethode im 2008 -&gt; vom BFS revidierte Werte für 1996-&gt;2006  [</t>
    </r>
    <r>
      <rPr>
        <vertAlign val="superscript"/>
        <sz val="10"/>
        <rFont val="Arial"/>
        <family val="2"/>
      </rPr>
      <t>1, 2, 8, 9, 12</t>
    </r>
    <r>
      <rPr>
        <sz val="10"/>
        <rFont val="Arial"/>
        <family val="2"/>
      </rPr>
      <t>].</t>
    </r>
  </si>
  <si>
    <r>
      <t xml:space="preserve">12) Schätzungen </t>
    </r>
    <r>
      <rPr>
        <i/>
        <sz val="10"/>
        <rFont val="Arial"/>
        <family val="2"/>
      </rPr>
      <t>(kursiv)</t>
    </r>
    <r>
      <rPr>
        <sz val="10"/>
        <rFont val="Arial"/>
        <family val="2"/>
      </rPr>
      <t xml:space="preserve"> [BAG].</t>
    </r>
  </si>
  <si>
    <t>3) Quelle: Die privaten Versicherungseinrichtungen in der Schweiz (FINMA), Total der Tabelle AS03N [Ohne Unfallversicherung] - Total KVG Versicherer Versicherung VVG [Spalte 2].</t>
  </si>
  <si>
    <t xml:space="preserve">    Die Zusatzversicherungen gemäss VVG der KVG-Versicherer (Krankenkassen) sind nicht in diesen Zahlen inbegriffen (siehe Spalte 2).</t>
  </si>
  <si>
    <t>Grund-</t>
  </si>
  <si>
    <t>2) Quelle: Die privaten Versicherungseinrichtungen in der Schweiz (FINMA), Total der Tabelle AS03N [Ohne Unfallversicherung] - Total KVG Versicherer Versicherung VVG [Spalte 2].</t>
  </si>
  <si>
    <t>3) VVG Zusatzversicherungen der KVG-Versicherer (Krankenkassen). Mit Unfallversicherung.</t>
  </si>
  <si>
    <t xml:space="preserve">   Quelle: T 7.03 Brutto-Prämien [60-65] und bezahlte Leistungen [30-33] (BAG) - Krankentaggeld VVG </t>
  </si>
  <si>
    <t xml:space="preserve">   (-&gt; 2003: Bundesamt für Privatversicherungen [BPV]).</t>
  </si>
  <si>
    <t>4) Quelle: T 1.02 Brutto-Prämien [60-65] und bezahlte Leistungen [30-33]. Mit Unfallversicherung.</t>
  </si>
  <si>
    <r>
      <t xml:space="preserve">T 9.18  Krankenversicherung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(KVG-Versicherer und Privatversicherer) ab 1998 in Mio. Fr.</t>
    </r>
  </si>
  <si>
    <r>
      <t xml:space="preserve">Privat-versicherer </t>
    </r>
    <r>
      <rPr>
        <b/>
        <vertAlign val="superscript"/>
        <sz val="11"/>
        <rFont val="Arial"/>
        <family val="2"/>
      </rPr>
      <t>2</t>
    </r>
  </si>
  <si>
    <r>
      <t>versicherung</t>
    </r>
    <r>
      <rPr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4</t>
    </r>
  </si>
  <si>
    <r>
      <t xml:space="preserve">sicherung </t>
    </r>
    <r>
      <rPr>
        <vertAlign val="superscript"/>
        <sz val="11"/>
        <rFont val="Arial"/>
        <family val="2"/>
      </rPr>
      <t>3</t>
    </r>
  </si>
  <si>
    <r>
      <t>1) Krankenpflegeversicherung: Prämien und Leistungen ohne Taggeldversicherung</t>
    </r>
    <r>
      <rPr>
        <sz val="10"/>
        <rFont val="Arial"/>
        <family val="2"/>
      </rPr>
      <t>.</t>
    </r>
  </si>
  <si>
    <r>
      <t>T 9.16</t>
    </r>
    <r>
      <rPr>
        <b/>
        <sz val="12"/>
        <rFont val="Arial"/>
        <family val="2"/>
      </rPr>
      <t xml:space="preserve"> Erkrankte, Spitaleinweisungen und Spitaltage ab 1998</t>
    </r>
  </si>
  <si>
    <t>2006-2007</t>
  </si>
  <si>
    <t>1998-2007</t>
  </si>
  <si>
    <t>Datenstand : 18.9.09</t>
  </si>
  <si>
    <t>18.9.09: 11.11, 11.16</t>
  </si>
  <si>
    <r>
      <t xml:space="preserve">T 11.16  Durchschnittlicher Versichertenbestand </t>
    </r>
    <r>
      <rPr>
        <b/>
        <vertAlign val="superscript"/>
        <sz val="12"/>
        <rFont val="Arial"/>
        <family val="2"/>
      </rPr>
      <t>1, 2</t>
    </r>
    <r>
      <rPr>
        <b/>
        <sz val="12"/>
        <rFont val="Arial"/>
        <family val="2"/>
      </rPr>
      <t xml:space="preserve">  nach Kantonen</t>
    </r>
  </si>
  <si>
    <t>Erwach-</t>
  </si>
  <si>
    <t>sene</t>
  </si>
  <si>
    <t>(vgl. hierzu auch Tabellen 2.14, 2.16 et 2.17).</t>
  </si>
  <si>
    <r>
      <t xml:space="preserve">T 2.04  Bruttokosten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in Fr. nach Kantonen</t>
    </r>
  </si>
  <si>
    <t>vollständig (130 / 130 T.)</t>
  </si>
  <si>
    <t>Sonstige Aufwendungen für Leistungen</t>
  </si>
  <si>
    <t>Rückstellungen für unerledigte Versicherungsfälle</t>
  </si>
  <si>
    <t>30-35</t>
  </si>
  <si>
    <t>Brutto-Leistungen</t>
  </si>
  <si>
    <t>Leistungsanteile der Rückversicherer (-)</t>
  </si>
  <si>
    <t>Risikoausgleich</t>
  </si>
  <si>
    <t>Total Versicherungsaufwand</t>
  </si>
  <si>
    <t>40-47</t>
  </si>
  <si>
    <t>Verwaltungsaufwand</t>
  </si>
  <si>
    <t>Abschreibungen</t>
  </si>
  <si>
    <t>Sonstige Betriebsaufwendungen</t>
  </si>
  <si>
    <t>Total Betriebsaufwand</t>
  </si>
  <si>
    <t>3/4</t>
  </si>
  <si>
    <t>Total Versicherungs- und Betriebsaufwand</t>
  </si>
  <si>
    <t>Versicherungsbetriebsergebnis</t>
  </si>
  <si>
    <t>Neutraler Aufwand / Ertrag</t>
  </si>
  <si>
    <t>Gesamtbetriebsergebnis</t>
  </si>
  <si>
    <t>1) Vgl. Fussnote 2) von Tabelle 11.02.</t>
  </si>
  <si>
    <t>Quelle: Formular EF2 [Summe 2.2 bis 2.7]</t>
  </si>
  <si>
    <r>
      <t xml:space="preserve">T 1.02  Betriebsrechnung der obligatorischen Krankenpflegeversicherung KVG insgesamt </t>
    </r>
    <r>
      <rPr>
        <b/>
        <vertAlign val="superscript"/>
        <sz val="12"/>
        <rFont val="Arial"/>
        <family val="2"/>
      </rPr>
      <t>1</t>
    </r>
  </si>
  <si>
    <t>1) Siehe Fussnote 1) in T 1.02</t>
  </si>
  <si>
    <t>Quelle: Formular EF2 [ 2.2 ]</t>
  </si>
  <si>
    <r>
      <t xml:space="preserve">T 1.03  Betriebsrechnung der Versicherung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mit ordentlicher Franchise </t>
    </r>
  </si>
  <si>
    <t>Quelle: Formular EF2 [ 2.3]</t>
  </si>
  <si>
    <r>
      <t xml:space="preserve">T 1.04  Betriebsrechnung der Versicherungen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mit wählbarer Franchise </t>
    </r>
  </si>
  <si>
    <t>Quelle: Formular EF2 [ 2.4]</t>
  </si>
  <si>
    <r>
      <t xml:space="preserve">T 1.05  Betriebsrechnung der BONUS-Versicherung </t>
    </r>
    <r>
      <rPr>
        <b/>
        <vertAlign val="superscript"/>
        <sz val="12"/>
        <rFont val="Arial"/>
        <family val="2"/>
      </rPr>
      <t>1</t>
    </r>
  </si>
  <si>
    <t>Quelle: Formular EF2 [Summe 2.5 bis 2.7]</t>
  </si>
  <si>
    <t>Quelle: 1997-&gt;2007: DATENPOOL santésuisse [Auswertung BAG ; Abdeckungsgrad der Erhebung  : siehe Beilage I ] / 2008: T 2.13</t>
  </si>
  <si>
    <t>Quelle: 1997-&gt;2007: DATENPOOL santésuisse [Auswertung BAG ; Abdeckungsgrad der Erhebung  : siehe Beilage I ] / 2008: T 2.08</t>
  </si>
  <si>
    <t>1) Für alle Versicherten für alle Versicherungsformen.</t>
  </si>
  <si>
    <r>
      <t xml:space="preserve">T 2.03 Kantonale bezahlte Leistungen </t>
    </r>
    <r>
      <rPr>
        <b/>
        <vertAlign val="superscript"/>
        <sz val="12"/>
        <rFont val="Arial"/>
        <family val="2"/>
      </rPr>
      <t xml:space="preserve">1 2 </t>
    </r>
    <r>
      <rPr>
        <b/>
        <sz val="12"/>
        <rFont val="Arial"/>
        <family val="2"/>
      </rPr>
      <t xml:space="preserve"> pro Versicherten pro Jahr in Franken ab 1998</t>
    </r>
  </si>
  <si>
    <t>2) Bezahlte Leistungen = Leistungen netto = Leistungen der Versicherer abzüglich Kostenbeteiligung der Versicherten.</t>
  </si>
  <si>
    <r>
      <t xml:space="preserve">– Leistungen </t>
    </r>
    <r>
      <rPr>
        <sz val="11"/>
        <color indexed="10"/>
        <rFont val="Arial"/>
        <family val="2"/>
      </rPr>
      <t>(brutto)</t>
    </r>
    <r>
      <rPr>
        <sz val="11"/>
        <rFont val="Arial"/>
        <family val="2"/>
      </rPr>
      <t xml:space="preserve"> 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in Mio. Fr.</t>
    </r>
  </si>
  <si>
    <r>
      <t xml:space="preserve">– Leistungen </t>
    </r>
    <r>
      <rPr>
        <sz val="11"/>
        <color indexed="10"/>
        <rFont val="Arial"/>
        <family val="2"/>
      </rPr>
      <t>(brutto)</t>
    </r>
    <r>
      <rPr>
        <sz val="11"/>
        <rFont val="Arial"/>
        <family val="2"/>
      </rPr>
      <t xml:space="preserve"> 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pro Versicherte(n) in Fr.</t>
    </r>
  </si>
  <si>
    <t>3) Kategorie "Medikamente Spital ambulant" : gehört zur Kategorie "Spital ambulant".</t>
  </si>
  <si>
    <t xml:space="preserve">Quelle: Formular EF3 [T 3.6] </t>
  </si>
  <si>
    <r>
      <t xml:space="preserve">Spital stationär </t>
    </r>
    <r>
      <rPr>
        <vertAlign val="superscript"/>
        <sz val="11"/>
        <rFont val="Arial"/>
        <family val="2"/>
      </rPr>
      <t>2</t>
    </r>
  </si>
  <si>
    <r>
      <t xml:space="preserve">Pflegeheim </t>
    </r>
    <r>
      <rPr>
        <vertAlign val="superscript"/>
        <sz val="11"/>
        <rFont val="Arial"/>
        <family val="2"/>
      </rPr>
      <t>2</t>
    </r>
  </si>
  <si>
    <r>
      <t xml:space="preserve">Betriebsbeiträge an HMO's </t>
    </r>
    <r>
      <rPr>
        <vertAlign val="superscript"/>
        <sz val="11"/>
        <rFont val="Arial"/>
        <family val="2"/>
      </rPr>
      <t>1</t>
    </r>
  </si>
  <si>
    <r>
      <t xml:space="preserve">davon Medikamente Spital ambulant </t>
    </r>
    <r>
      <rPr>
        <i/>
        <vertAlign val="superscript"/>
        <sz val="11"/>
        <rFont val="Arial"/>
        <family val="2"/>
      </rPr>
      <t>3</t>
    </r>
  </si>
  <si>
    <t>T 2.19  Leistungen (brutto) in Franken je versicherte Person nach Kostengruppen</t>
  </si>
  <si>
    <t>Quelle: T 2.17 / T 11.01</t>
  </si>
  <si>
    <t xml:space="preserve">- </t>
  </si>
  <si>
    <t xml:space="preserve">   Den minimalen gesetzlichen Reservesatz für den Kanton z erhält man, indem man die oben berechnete Summe durch die Summe der </t>
  </si>
  <si>
    <t xml:space="preserve">   Prämien aller im Kanton z tätigen Versicherer dividiert.</t>
  </si>
  <si>
    <r>
      <t xml:space="preserve">minimaler gesetzlich vorgeschriebener Wert </t>
    </r>
    <r>
      <rPr>
        <vertAlign val="superscript"/>
        <sz val="11"/>
        <rFont val="Arial"/>
        <family val="2"/>
      </rPr>
      <t>1</t>
    </r>
  </si>
  <si>
    <t>CH effektiv</t>
  </si>
  <si>
    <t>Quelle : Kantone: Genehmigungsverfahren für Krankenversicherungsprämien BAG / CH: T 5.01 STAT KV 04-08 und Aufsichtsdaten 1998-2003</t>
  </si>
  <si>
    <t>1) Effektive Werte.</t>
  </si>
  <si>
    <t>2) Gemäss den gesetzlichen Bestimmungen berechneter Mindestreservesatz (siehe T 5.01 &amp; T 5.02).</t>
  </si>
  <si>
    <r>
      <t xml:space="preserve">T 1.14 Kalkulatorische Reserven OKP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pro Kanton in % der Prämien ab 1998</t>
    </r>
  </si>
  <si>
    <t>1) Zusätzliche Angaben für Kinder: www.bag.admin.ch/pyramiden</t>
  </si>
  <si>
    <r>
      <t xml:space="preserve">T 11.08 Verteilung der Versicherungsformen in % nach Kanton - Versicherte ab 19 Jahren </t>
    </r>
    <r>
      <rPr>
        <b/>
        <vertAlign val="superscript"/>
        <sz val="12"/>
        <rFont val="Arial"/>
        <family val="2"/>
      </rPr>
      <t>1</t>
    </r>
  </si>
  <si>
    <t>1) Als «Intra-muros» Behandlung gelten die Kategorien "Spital stationär", "Pflegeheime" und "übrige Leistungen stationär";</t>
  </si>
  <si>
    <t>Durchschnittlicher Versichertenbestand KVG und Durchschnittsalter nach Geschlecht</t>
  </si>
  <si>
    <t xml:space="preserve">Beilage B1: </t>
  </si>
  <si>
    <t>6) Quelle: T 3.12. Entwicklung pro versicherte Person für alle Versicherungsmodelle.</t>
  </si>
  <si>
    <r>
      <t xml:space="preserve">index </t>
    </r>
    <r>
      <rPr>
        <vertAlign val="superscript"/>
        <sz val="11"/>
        <rFont val="Arial"/>
        <family val="2"/>
      </rPr>
      <t>5</t>
    </r>
  </si>
  <si>
    <r>
      <t xml:space="preserve">index </t>
    </r>
    <r>
      <rPr>
        <vertAlign val="superscript"/>
        <sz val="11"/>
        <rFont val="Arial"/>
        <family val="2"/>
      </rPr>
      <t>2</t>
    </r>
  </si>
  <si>
    <r>
      <t xml:space="preserve">OKP </t>
    </r>
    <r>
      <rPr>
        <vertAlign val="superscript"/>
        <sz val="11"/>
        <rFont val="Arial"/>
        <family val="2"/>
      </rPr>
      <t>1</t>
    </r>
  </si>
  <si>
    <r>
      <t xml:space="preserve">OKP Index </t>
    </r>
    <r>
      <rPr>
        <vertAlign val="superscript"/>
        <sz val="11"/>
        <rFont val="Arial"/>
        <family val="2"/>
      </rPr>
      <t>3</t>
    </r>
  </si>
  <si>
    <r>
      <t xml:space="preserve">Index </t>
    </r>
    <r>
      <rPr>
        <vertAlign val="superscript"/>
        <sz val="11"/>
        <rFont val="Arial"/>
        <family val="2"/>
      </rPr>
      <t>6</t>
    </r>
  </si>
  <si>
    <r>
      <t xml:space="preserve">Index </t>
    </r>
    <r>
      <rPr>
        <vertAlign val="superscript"/>
        <sz val="11"/>
        <rFont val="Arial"/>
        <family val="2"/>
      </rPr>
      <t>4</t>
    </r>
  </si>
  <si>
    <r>
      <t xml:space="preserve">2) Quelle: T 9.05. Entwicklung pro Einwohner. </t>
    </r>
    <r>
      <rPr>
        <i/>
        <sz val="10"/>
        <rFont val="Arial"/>
        <family val="2"/>
      </rPr>
      <t>2008: Schätzung [KOF, Medienmitteilung 12/09].</t>
    </r>
  </si>
  <si>
    <t>Ärztliche Leistungen</t>
  </si>
  <si>
    <t>Zahnärztliche Leistungen</t>
  </si>
  <si>
    <t>Spital-leistungen</t>
  </si>
  <si>
    <t>Medizinische Apparate</t>
  </si>
  <si>
    <t>Andere Gesundheits-leistungen</t>
  </si>
  <si>
    <t>Gesundheits-pflege (Total)</t>
  </si>
  <si>
    <t>Vorjahresveränderung der Preisindizes für Gesundheitspflege</t>
  </si>
  <si>
    <t>1) Basis des Indexes der Konsumentenpreise: Dezember 2005 = 100. Indizes neu berechnet auf der Basis Jahresdurchschnitt 1996 = 100.</t>
  </si>
  <si>
    <t>Methode zur Ermittlung des Index  "Gesundheitspflege":</t>
  </si>
  <si>
    <t>- Gesundheitskosten: Gewichtung nach den 6 in der Folge aufgeführten Teilindizes:</t>
  </si>
  <si>
    <t xml:space="preserve"> - Medikamente: Kostenermittlung bei rund 200 Medikamenten in den 10 umsatzstärksten Behandlungskategorien</t>
  </si>
  <si>
    <t xml:space="preserve"> - Ärztliche Leistungen: Gewichtung nach 26 kantonalen Indizes; </t>
  </si>
  <si>
    <t xml:space="preserve">   für jeden Kanton werden die 30 umsatzstärksten Tarifpositionen ermittelt </t>
  </si>
  <si>
    <t xml:space="preserve"> - Zahnärztliche Leistungen: Kostenermittlung von 11 typischen Leistungsarten in 16 Gemeinden, bei ca. 50 Zahnärzten</t>
  </si>
  <si>
    <t xml:space="preserve"> - Spitalleistungen: Gewichtung nach 26 kantonalen Indizes unter Berücksichtigung der Tarife für stationäre und ambulante Dienste.</t>
  </si>
  <si>
    <t xml:space="preserve">   Betrachtet wurden öffentliche und private Akutspitäler und Psychiatrieeinrichtungen.</t>
  </si>
  <si>
    <t xml:space="preserve"> - Medizinische Geräte: Kostenermittlung nach den typischen Leistungen in den Bereichen Augenoptik (Brillen und </t>
  </si>
  <si>
    <t xml:space="preserve">   Kontaktlinsen in 16 Gemeinden), Hörgeräte (Kostenfeststellung nach den 6 - nach BAG-Tarif - meistverkauften Geräten)</t>
  </si>
  <si>
    <t xml:space="preserve">  und andere medizinische Geräte (z.B. Gehhilfen, Stützen usw.)</t>
  </si>
  <si>
    <t xml:space="preserve"> - Andere Gesundheitsleistungen: Kostenermittlung nach den typischen Leistungen in den Bereichen Physiotherapie, Labor und Spitex. </t>
  </si>
  <si>
    <t>Beilage I1</t>
  </si>
  <si>
    <t xml:space="preserve">Das BAG wertet die jährlichen Daten des DATENPOOLS von santésuisse aus, insbesondere um Daten nach Kanton oder Altersgruppe, </t>
  </si>
  <si>
    <t xml:space="preserve">Es handelt sich hierbei um geschuldete Leistungen, welche die Versicherer im folgenden Jahr noch zu erbringen haben; sie stellen somit keine Reserven dar. </t>
  </si>
  <si>
    <t>9A + 9B + 9C) Reserven (in Mio. Fr., je versicherte Person in Fr., in % des Prämiensolls)</t>
  </si>
  <si>
    <t>Sicherheits- und Schwankungsreserven = Mittel, die dem Versicherer zur Sicherstellung der langfristigen eigenen Zahlungsfähigkeit dienen.</t>
  </si>
  <si>
    <t>Je nach Grösse des Versicherers müssen folgende Mindestsätze (Reserven in % des jährlichen Prämiensolls) erreicht werden (Art. 78 KVV):</t>
  </si>
  <si>
    <t>≤ 100</t>
  </si>
  <si>
    <t>≤ 500</t>
  </si>
  <si>
    <t>≤ 1'000</t>
  </si>
  <si>
    <t>≤ 2'500</t>
  </si>
  <si>
    <t>≤ 5'000</t>
  </si>
  <si>
    <t>≤ 10'000</t>
  </si>
  <si>
    <t>≤ 50'000</t>
  </si>
  <si>
    <t>1996 -&gt; 2003 **</t>
  </si>
  <si>
    <t>≤  50'000</t>
  </si>
  <si>
    <t>≤  150'000</t>
  </si>
  <si>
    <t>≤  250'000</t>
  </si>
  <si>
    <t>&gt; 250'000</t>
  </si>
  <si>
    <t>2004 -&gt; 2006</t>
  </si>
  <si>
    <t>20% *</t>
  </si>
  <si>
    <t>4) Anzahl Spitaltage im Spital stationär; zu zählen sind die Spitaltage in Spitälern zur kurzfristigen</t>
  </si>
  <si>
    <t xml:space="preserve">    und zur langfristigen Behandlung körperlich Kranker sowie die Spitaltage in psychiatrischen Kliniken;</t>
  </si>
  <si>
    <t xml:space="preserve">    nicht zu zählen sind hingegen die Tage in Pflegeheimen.</t>
  </si>
  <si>
    <t>5) Personen, die das 18. Altersjahr noch nicht vollendet haben (vgl. Art. 61 Abs. 3 KVG); bei der</t>
  </si>
  <si>
    <t xml:space="preserve">    "Mutterschaft" von "Kindern" ist die Mutterschaft von noch nicht 18-jährigen Frauen gemeint.</t>
  </si>
  <si>
    <t>Quelle: Formular EF3 [T 3.2 &amp; 3.7.1 &amp; 3.7.2]</t>
  </si>
  <si>
    <t>T 2.14  Leistungen (brutto) in Mio. Franken nach Versicherungsform ab 1998</t>
  </si>
  <si>
    <t>Quelle: T 2.22</t>
  </si>
  <si>
    <t>Ertrag, Aufwand und Ergebnis der anderen Versicherungen insgesamt ab 1998</t>
  </si>
  <si>
    <t>1) Ohne T 7.04</t>
  </si>
  <si>
    <t>Quelle: Formular EF2 [2.10]</t>
  </si>
  <si>
    <r>
      <t xml:space="preserve">T 7.05  Betriebsrechnung der Zusatzversicherungen Versicherte wohnhaft im Ausland </t>
    </r>
    <r>
      <rPr>
        <b/>
        <vertAlign val="superscript"/>
        <sz val="12"/>
        <rFont val="Arial"/>
        <family val="2"/>
      </rPr>
      <t>1</t>
    </r>
  </si>
  <si>
    <t xml:space="preserve">T 7.04  Betriebsrechnung der Krankenpflegeversicherung Liechtenstein </t>
  </si>
  <si>
    <t>Quelle: Formular EF2 [2.9]</t>
  </si>
  <si>
    <t>davon Taggeldversicherung VVG</t>
  </si>
  <si>
    <t xml:space="preserve">Brutto-Prämien (60-65) </t>
  </si>
  <si>
    <t xml:space="preserve">Bezahlte Leistungen (30-33) </t>
  </si>
  <si>
    <t>1) Gemäss Art. 13 und 14 KVV, ohne  T 7.04 und 7.05.</t>
  </si>
  <si>
    <t>Quelle: Formular EF2 [2.8] &amp; EF1 [1.12C]</t>
  </si>
  <si>
    <r>
      <t xml:space="preserve">T 7.03  Betriebsrechnung der Zusatzversicherungen VVG </t>
    </r>
    <r>
      <rPr>
        <b/>
        <vertAlign val="superscript"/>
        <sz val="12"/>
        <rFont val="Arial"/>
        <family val="2"/>
      </rPr>
      <t>1</t>
    </r>
  </si>
  <si>
    <t xml:space="preserve">T 7.02  Indikatoren der Betriebsrechnung der anderen Versicherungen in Franken </t>
  </si>
  <si>
    <t>Zusatzversi-</t>
  </si>
  <si>
    <t>Kranken-</t>
  </si>
  <si>
    <t>Zusatzver-</t>
  </si>
  <si>
    <t>cherungen</t>
  </si>
  <si>
    <t>pflegever-</t>
  </si>
  <si>
    <t>sicherungen</t>
  </si>
  <si>
    <t>VVG</t>
  </si>
  <si>
    <t>sicherung</t>
  </si>
  <si>
    <t>Versicherte</t>
  </si>
  <si>
    <t>Liechten-</t>
  </si>
  <si>
    <t>wohnhaft</t>
  </si>
  <si>
    <t>stein</t>
  </si>
  <si>
    <t xml:space="preserve"> im Ausland</t>
  </si>
  <si>
    <t>Versicherungsertrag</t>
  </si>
  <si>
    <t>davon Brutto-Prämien</t>
  </si>
  <si>
    <t>Neutraler Aufwand/Ertrag</t>
  </si>
  <si>
    <t>Total des Gesamtertrags</t>
  </si>
  <si>
    <t>Versicherungsaufwand</t>
  </si>
  <si>
    <t>davon Brutto-Leistungen</t>
  </si>
  <si>
    <t>Betriebsaufwand</t>
  </si>
  <si>
    <t>Total Vers.- und Betriebsaufwand</t>
  </si>
  <si>
    <t>Quelle: T 7.03, 7.04, 7.05</t>
  </si>
  <si>
    <t>ergebnis</t>
  </si>
  <si>
    <t>1) Zusammenzug der «Zusatzversicherungen VVG»,</t>
  </si>
  <si>
    <t>«Krankenpflegeversicherung Liechtenstein» und «Zusatzversicherungen Versicherte wohnhaft im Ausland».</t>
  </si>
  <si>
    <t>2) Vorjahresvergleiche sind nur mit Vorbehalt möglich, da jene Zusatzversicherungen VAG, welche auch unternehmensrechtlich</t>
  </si>
  <si>
    <t>Betriebsrechnung der Versicherung mit ordentlicher Franchise</t>
  </si>
  <si>
    <t xml:space="preserve">Betriebsrechnung der Versicherungen mit wählbarer Franchise </t>
  </si>
  <si>
    <t>15.10.09: 9.21, 9.22</t>
  </si>
  <si>
    <t>in den Genuss einer reduzierten Prämie. Als Folge hiervon musste die reduzierte Prämie relativ stark auf 2001 hin erhöht werden.</t>
  </si>
  <si>
    <t>4) Die Werte für 1996 wurden revidiert. Sie wurden mittels der Veränderungen 1996/97 der Durchschnittsprämien der Erwachsenen geschätzt.</t>
  </si>
  <si>
    <r>
      <t xml:space="preserve">T 3.01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OKP in Franken ab 1996 : CH</t>
    </r>
  </si>
  <si>
    <r>
      <t xml:space="preserve">(26 J. und älter) </t>
    </r>
    <r>
      <rPr>
        <vertAlign val="superscript"/>
        <sz val="11"/>
        <rFont val="Arial"/>
        <family val="2"/>
      </rPr>
      <t>2</t>
    </r>
  </si>
  <si>
    <r>
      <t xml:space="preserve">(0-18 Jahre) </t>
    </r>
    <r>
      <rPr>
        <vertAlign val="superscript"/>
        <sz val="11"/>
        <rFont val="Arial"/>
        <family val="2"/>
      </rPr>
      <t>4</t>
    </r>
  </si>
  <si>
    <r>
      <t xml:space="preserve">(19-25 Jahre) </t>
    </r>
    <r>
      <rPr>
        <vertAlign val="superscript"/>
        <sz val="11"/>
        <rFont val="Arial"/>
        <family val="2"/>
      </rPr>
      <t>3</t>
    </r>
  </si>
  <si>
    <r>
      <t xml:space="preserve">Ausgewiesen wird die </t>
    </r>
    <r>
      <rPr>
        <b/>
        <sz val="10"/>
        <rFont val="Arial"/>
        <family val="2"/>
      </rPr>
      <t>geschätzte</t>
    </r>
    <r>
      <rPr>
        <sz val="10"/>
        <rFont val="Arial"/>
        <family val="2"/>
      </rPr>
      <t xml:space="preserve"> monatliche Durchschnittsprämie </t>
    </r>
    <r>
      <rPr>
        <b/>
        <sz val="10"/>
        <rFont val="Arial"/>
        <family val="2"/>
      </rPr>
      <t>OKP</t>
    </r>
    <r>
      <rPr>
        <sz val="10"/>
        <rFont val="Arial"/>
        <family val="2"/>
      </rPr>
      <t xml:space="preserve"> in Franken; die Berechnungen beruhen auf den Prämientarifen</t>
    </r>
  </si>
  <si>
    <r>
      <t xml:space="preserve"> </t>
    </r>
    <r>
      <rPr>
        <b/>
        <sz val="10"/>
        <rFont val="Arial"/>
        <family val="2"/>
      </rPr>
      <t>inklusive Unfalldeckung der ordentlichen Franchise</t>
    </r>
    <r>
      <rPr>
        <sz val="10"/>
        <rFont val="Arial"/>
        <family val="2"/>
      </rPr>
      <t xml:space="preserve"> und auf den Versichertenbeständen nach Kantonen, nach Versicherer </t>
    </r>
  </si>
  <si>
    <t>R1</t>
  </si>
  <si>
    <t>R2</t>
  </si>
  <si>
    <t>R3</t>
  </si>
  <si>
    <t>RU</t>
  </si>
  <si>
    <t>Jahresdurch-</t>
  </si>
  <si>
    <t>schnittliche</t>
  </si>
  <si>
    <t>Veränderung</t>
  </si>
  <si>
    <t>2) Die Krankenkassen dürfen innerhalb eines Kantons bis zu drei unterschiedliche Regionaltarife anwenden (R1, R2, R3).</t>
  </si>
  <si>
    <t>Einige Kantone haben nur eine Region: die Krankenkassen wenden eine Einheitsprämie an (RU).</t>
  </si>
  <si>
    <t>3) Prämien publiziert im OKP Prämienwegweiser 2010 vom BAG.</t>
  </si>
  <si>
    <r>
      <t xml:space="preserve">T 3.02  Kantonale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pro Prämienregion </t>
    </r>
    <r>
      <rPr>
        <b/>
        <vertAlign val="superscript"/>
        <sz val="12"/>
        <rFont val="Arial"/>
        <family val="2"/>
      </rPr>
      <t>2</t>
    </r>
  </si>
  <si>
    <r>
      <t xml:space="preserve">Total </t>
    </r>
    <r>
      <rPr>
        <b/>
        <vertAlign val="superscript"/>
        <sz val="11"/>
        <rFont val="Arial"/>
        <family val="2"/>
      </rPr>
      <t>3</t>
    </r>
  </si>
  <si>
    <r>
      <t xml:space="preserve">T 3.03  Kantonale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pro Prämienregion </t>
    </r>
    <r>
      <rPr>
        <b/>
        <vertAlign val="superscript"/>
        <sz val="12"/>
        <rFont val="Arial"/>
        <family val="2"/>
      </rPr>
      <t>2</t>
    </r>
  </si>
  <si>
    <r>
      <t xml:space="preserve">T 3.04 Kantonale monatliche Durchschnittsprämien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pro Prämienregion </t>
    </r>
    <r>
      <rPr>
        <b/>
        <vertAlign val="superscript"/>
        <sz val="12"/>
        <rFont val="Arial"/>
        <family val="2"/>
      </rPr>
      <t>2</t>
    </r>
  </si>
  <si>
    <t>für junge Erwachsene (19 -25 Jahre) in Franken für 2010</t>
  </si>
  <si>
    <t>2000 - 2010</t>
  </si>
  <si>
    <t>1.10.09: 1.14, 1.15, 3.05 -&gt; 3.07</t>
  </si>
  <si>
    <t>Forderungen bei Rückversicherern</t>
  </si>
  <si>
    <t>Forderungen von Subventionen, Prämienverbilligung, Risikoausgleich und anderen Beiträgen</t>
  </si>
  <si>
    <t>Vorausbezahlte Versicherungsleistungen, Regress und Rückerstattungsansprüche</t>
  </si>
  <si>
    <t>Übrige Forderungen und aktive Rechnungsabgrenzung</t>
  </si>
  <si>
    <t>Anlagevermögen</t>
  </si>
  <si>
    <t>Kapitalanlagen</t>
  </si>
  <si>
    <t>– Kapitalanlagen brutto</t>
  </si>
  <si>
    <t xml:space="preserve">– Wertberichtigung </t>
  </si>
  <si>
    <t>401-410</t>
  </si>
  <si>
    <t>KVG-Verteilmodell: Bundesbeiträge 2008 - 2010</t>
  </si>
  <si>
    <t>Leistungen Total</t>
  </si>
  <si>
    <t>davon Leistungen Mutterschaft</t>
  </si>
  <si>
    <t>Altersgruppen</t>
  </si>
  <si>
    <t>Männlich</t>
  </si>
  <si>
    <t>in %</t>
  </si>
  <si>
    <t>Weiblich</t>
  </si>
  <si>
    <t>des Totals</t>
  </si>
  <si>
    <t>gegenüber</t>
  </si>
  <si>
    <t>0 - 18</t>
  </si>
  <si>
    <t>19 - 25</t>
  </si>
  <si>
    <t>26 - 30</t>
  </si>
  <si>
    <t>31 - 35</t>
  </si>
  <si>
    <t>36 - 40</t>
  </si>
  <si>
    <t>41 - 45</t>
  </si>
  <si>
    <t>46 - 50</t>
  </si>
  <si>
    <t>51 - 55</t>
  </si>
  <si>
    <t>56 - 60</t>
  </si>
  <si>
    <t>61 - 65</t>
  </si>
  <si>
    <t>66 - 70</t>
  </si>
  <si>
    <t>71 - 75</t>
  </si>
  <si>
    <t>76 - 80</t>
  </si>
  <si>
    <t>81 - 85</t>
  </si>
  <si>
    <t>86 - 90</t>
  </si>
  <si>
    <t>&gt; 90</t>
  </si>
  <si>
    <t>2) Vgl. Fussnote 2) von Tabelle 11.14.</t>
  </si>
  <si>
    <r>
      <t xml:space="preserve">T 11.15 Durchschnittlicher Versichertenbestand </t>
    </r>
    <r>
      <rPr>
        <b/>
        <vertAlign val="superscript"/>
        <sz val="12"/>
        <rFont val="Arial"/>
        <family val="2"/>
      </rPr>
      <t>1, 2</t>
    </r>
    <r>
      <rPr>
        <b/>
        <sz val="12"/>
        <rFont val="Arial"/>
        <family val="2"/>
      </rPr>
      <t xml:space="preserve">  nach Altersgruppen und Geschlecht</t>
    </r>
  </si>
  <si>
    <t>Männer</t>
  </si>
  <si>
    <t>Frauen</t>
  </si>
  <si>
    <t>Kinder und</t>
  </si>
  <si>
    <t>Datenstand: 1.10.09</t>
  </si>
  <si>
    <t xml:space="preserve">T 1.15 Kalkulatorische Reserven OKP pro Kanton in % der Prämien </t>
  </si>
  <si>
    <t>effektiver Wert</t>
  </si>
  <si>
    <t xml:space="preserve">Unterschied effektiver Wert - minimaler gesetzlicher Wert </t>
  </si>
  <si>
    <t>2.11.09: 4.01 -&gt; 4.09</t>
  </si>
  <si>
    <t>4: Prämienverbilligung in der OKP</t>
  </si>
  <si>
    <t>Anzahl Bezüger, subventionierte Haushalte sowie ausgerichtete Subventionen ab 1998</t>
  </si>
  <si>
    <t>Anzahl Bezüger und ausbezahlter Betrag nach Kantonen</t>
  </si>
  <si>
    <t>Anzahl Bezüger nach Geschlecht und Altersgruppen</t>
  </si>
  <si>
    <t xml:space="preserve">Anzahl subventionierte Haushalte nach Haushaltstyp und Kantonen </t>
  </si>
  <si>
    <t>Anzahl subventionierte Haushalte nach ausbezahltem Jahresbetrag und Kantonen</t>
  </si>
  <si>
    <t>Bezügerquoten nach Kantonen</t>
  </si>
  <si>
    <t>Budgetierte und ausbezahlte Subventionen ab 1998</t>
  </si>
  <si>
    <t xml:space="preserve">KVG-Verteilmodell: Berechnungsbasis sowie Bundes- und Kantonsbeiträge </t>
  </si>
  <si>
    <t xml:space="preserve">Prämienverbilligung OKP : effektiv ausgerichtete Beiträge nach Kantonen </t>
  </si>
  <si>
    <t>Bezüger-</t>
  </si>
  <si>
    <t>Anzahl sub-</t>
  </si>
  <si>
    <t>Subvention</t>
  </si>
  <si>
    <t>Innen-</t>
  </si>
  <si>
    <t>ventionierte</t>
  </si>
  <si>
    <t>pro Haushalt</t>
  </si>
  <si>
    <t>pro Bezüger</t>
  </si>
  <si>
    <t>Innen</t>
  </si>
  <si>
    <t>Haushalte</t>
  </si>
  <si>
    <t>Quelle:  T 4.02 &amp; 4.04 &amp; 4.06 &amp; 4.09</t>
  </si>
  <si>
    <t>1) Bezüger: Angaben 2007 unvollständig für SO und TG und damit auch für CH.</t>
  </si>
  <si>
    <t xml:space="preserve">    Haushalte: Angaben 2008 unvollständig für BS und damit auch für CH.</t>
  </si>
  <si>
    <t xml:space="preserve">2)  1996-&gt;2007: Anzahl Bezüger in Prozent der mittleren Wohnbevölkerung. </t>
  </si>
  <si>
    <t xml:space="preserve">     2008-&gt;: Anzahl Bezüger in Prozent des durschnittlichen Versichertenbestandes.</t>
  </si>
  <si>
    <r>
      <t xml:space="preserve">T 4.01 Anzahl Bezüger, Bezügerquoten, subventionierte Haushalte sowie ausgerichtete Subventionen nach KVG ab 1998 </t>
    </r>
    <r>
      <rPr>
        <b/>
        <vertAlign val="superscript"/>
        <sz val="12"/>
        <rFont val="Arial"/>
        <family val="2"/>
      </rPr>
      <t>1</t>
    </r>
  </si>
  <si>
    <t>T 4.02 Anzahl Bezüger und ausbezahlter Betrag nach Kantonen</t>
  </si>
  <si>
    <t xml:space="preserve">davon </t>
  </si>
  <si>
    <t>Männliche</t>
  </si>
  <si>
    <t>Weibliche</t>
  </si>
  <si>
    <t>Bezüger, deren</t>
  </si>
  <si>
    <t>Ergänzungs-</t>
  </si>
  <si>
    <t>Sozialhilfe-</t>
  </si>
  <si>
    <t>OKP Prämien</t>
  </si>
  <si>
    <t>Leistungs-</t>
  </si>
  <si>
    <t>Bezüger</t>
  </si>
  <si>
    <t>vollumfänglich</t>
  </si>
  <si>
    <t>verbilligt werden</t>
  </si>
  <si>
    <t>Quelle: Formular PV2 [2.1]</t>
  </si>
  <si>
    <t>1) Anzahl Personen, an welche im Berichtsjahr Subventionen nach KVG ausgerichtet wurden.</t>
  </si>
  <si>
    <t xml:space="preserve">    Anzahl Bezüger Männer/Frauen geschätzt für BS, SO und TG und damit auch für CH als Folge unvollständiger Angaben.</t>
  </si>
  <si>
    <t>2) Angaben 2007 unvollständig für SO und TG und damit auch für CH.</t>
  </si>
  <si>
    <r>
      <t xml:space="preserve">Bezüger </t>
    </r>
    <r>
      <rPr>
        <vertAlign val="superscript"/>
        <sz val="11"/>
        <rFont val="Arial"/>
        <family val="2"/>
      </rPr>
      <t>1</t>
    </r>
  </si>
  <si>
    <t>Altersgruppe</t>
  </si>
  <si>
    <t xml:space="preserve">Bezügerquoten </t>
  </si>
  <si>
    <t>welche von den Versicherten bereits in Anspruch genommen worden sind, für die sie aber noch keine Rechnungen erhalten haben.</t>
  </si>
  <si>
    <t xml:space="preserve"> als ambulante Kosten gelten alle übrigen Kategorien.</t>
  </si>
  <si>
    <t>der Versicherten sind unterhalb dieser Prämie</t>
  </si>
  <si>
    <t>der Versicherten sind unterhalb und oberhalb dieser Prämie</t>
  </si>
  <si>
    <t>der Versicherten sind oberhalb dieser Prämie</t>
  </si>
  <si>
    <t>Quelle: Genehmigungsverfahren für Krankenversicherungsprämien, BAG.</t>
  </si>
  <si>
    <t>1) Vgl. Fussnote 1) von Tabelle 3.01.</t>
  </si>
  <si>
    <r>
      <t>T 3.07  Verteilung der kantonalen monatlichen Durchschnittsprämien</t>
    </r>
    <r>
      <rPr>
        <b/>
        <vertAlign val="superscript"/>
        <sz val="12"/>
        <rFont val="Arial"/>
        <family val="2"/>
      </rPr>
      <t xml:space="preserve"> 1</t>
    </r>
  </si>
  <si>
    <r>
      <t xml:space="preserve">CH gesetzlich </t>
    </r>
    <r>
      <rPr>
        <b/>
        <i/>
        <vertAlign val="superscript"/>
        <sz val="11"/>
        <rFont val="Arial"/>
        <family val="2"/>
      </rPr>
      <t>2</t>
    </r>
  </si>
  <si>
    <t>Datenstand: CH: 30.7.09 / Kantone : 1.10.09</t>
  </si>
  <si>
    <t>2) Werte 1997 teilweise geschätzt, Werte 1999 mit Datenstand Oktober 2001 revidiert.</t>
  </si>
  <si>
    <t>Quelle : T 2.17</t>
  </si>
  <si>
    <r>
      <t xml:space="preserve">Jahr </t>
    </r>
    <r>
      <rPr>
        <vertAlign val="superscript"/>
        <sz val="11"/>
        <rFont val="Arial"/>
        <family val="2"/>
      </rPr>
      <t>2</t>
    </r>
  </si>
  <si>
    <r>
      <t xml:space="preserve">Behandlung </t>
    </r>
    <r>
      <rPr>
        <b/>
        <vertAlign val="superscript"/>
        <sz val="11"/>
        <rFont val="Arial"/>
        <family val="2"/>
      </rPr>
      <t>1</t>
    </r>
  </si>
  <si>
    <t>T 2.16  Leistungen (brutto) in Mio. Franken nach Kostengruppen ab 1998</t>
  </si>
  <si>
    <t>4.8.09: 1.08</t>
  </si>
  <si>
    <t>Erlösminderungen auf Prämien</t>
  </si>
  <si>
    <t>Andere Prämienanteile</t>
  </si>
  <si>
    <t>60 – 65</t>
  </si>
  <si>
    <t>Prämienanteile der Rückversicherer</t>
  </si>
  <si>
    <t>60 – 66</t>
  </si>
  <si>
    <t>Prämienverbilligung und sonstige Beiträge / Subventionen</t>
  </si>
  <si>
    <t>– Beiträge zur Prämienverbilligung (Art. 65 KVG)</t>
  </si>
  <si>
    <t>– Beiträge anderer Institutionen z.G. der Versicherten</t>
  </si>
  <si>
    <t>– Beiträge z.G. des Versicheres</t>
  </si>
  <si>
    <t>– Beiträge an Insolvenzfonds</t>
  </si>
  <si>
    <t>Prämienermässigung an Versicherte</t>
  </si>
  <si>
    <t>67 – 68</t>
  </si>
  <si>
    <t>Eigene Subventionen und Beiträge</t>
  </si>
  <si>
    <t>Liegenschaftsrechnung</t>
  </si>
  <si>
    <t>– Liegenschaftsergebnis</t>
  </si>
  <si>
    <t>Neutraler Aufwand und Ertrag</t>
  </si>
  <si>
    <t>– Kapitalertrag</t>
  </si>
  <si>
    <t>– Kapitalaufwand</t>
  </si>
  <si>
    <t>– Wertberichtigung auf Wertschriften</t>
  </si>
  <si>
    <t>– Nicht rückzuerstattende Abgabeerträge VOC und HEL</t>
  </si>
  <si>
    <t>– Übriger neutraler Aufwand und Ertrag</t>
  </si>
  <si>
    <t>Einkommens-, Vermögens-, Ertrags- und Kapitalsteuer VVG</t>
  </si>
  <si>
    <t>Total neutraler Aufwand/Ertrag</t>
  </si>
  <si>
    <t>6 / 7</t>
  </si>
  <si>
    <t>Total des Gesamtertrages</t>
  </si>
  <si>
    <t>800 – 801</t>
  </si>
  <si>
    <t>Rückschlag Gesamtbetriebsrechnung</t>
  </si>
  <si>
    <t>Gesamt-Total</t>
  </si>
  <si>
    <t>1) Mit Versicherten, die dem Versicherungsobligatorium unterstehen und in einem EU- oder EFTA-Staat Wohnsitz haben (EWG);</t>
  </si>
  <si>
    <t>[T 1.02 + T 1.07].</t>
  </si>
  <si>
    <t xml:space="preserve">2) Jene Zusatzversicherungen VVG, welche auch unternehmensrechtlich vom KVG-Bereich eines Versicherers abgetrennt werden, </t>
  </si>
  <si>
    <t>entziehen sich der Sicht der BAG-Krankenversicherungsstatistik.</t>
  </si>
  <si>
    <t>Quelle: Formular EF1 [8,9]</t>
  </si>
  <si>
    <r>
      <t xml:space="preserve">Obligatorische Krankenpflegeversicherung KVG </t>
    </r>
    <r>
      <rPr>
        <vertAlign val="superscript"/>
        <sz val="11"/>
        <rFont val="Arial"/>
        <family val="2"/>
      </rPr>
      <t>1</t>
    </r>
  </si>
  <si>
    <r>
      <t xml:space="preserve">Zusatzversicherungen VVG, inkl. Taggeld VVG </t>
    </r>
    <r>
      <rPr>
        <vertAlign val="superscript"/>
        <sz val="11"/>
        <rFont val="Arial"/>
        <family val="2"/>
      </rPr>
      <t>2</t>
    </r>
  </si>
  <si>
    <t xml:space="preserve">T 8.06  Gesamtbetriebsrechnung: Aufwand der Versicherer </t>
  </si>
  <si>
    <t>Kostenbeteiligung der Versicherten</t>
  </si>
  <si>
    <t>30 – 33</t>
  </si>
  <si>
    <t>Veränderung der Rückstellungen für unerledigte Versicherungsfälle / versicherungstechnische Rückstellungen</t>
  </si>
  <si>
    <t>30 – 35</t>
  </si>
  <si>
    <t>Leistungsanteile der Rückversicherer</t>
  </si>
  <si>
    <t>– Personalaufwand inkl. Sozialleistungen</t>
  </si>
  <si>
    <t>– Verwaltungsräumlichkeiten und Betriebseinrichtungen</t>
  </si>
  <si>
    <t>– EDV-Kosten</t>
  </si>
  <si>
    <t>– Versicherungsprämien und Verbandsbeiträge</t>
  </si>
  <si>
    <t>– Marketing und Werbung inkl. Provisionen KVG</t>
  </si>
  <si>
    <t>– Marketing und Werbung inkl. Provisionen VVG</t>
  </si>
  <si>
    <t>– Übriger Verwaltungsaufwand</t>
  </si>
  <si>
    <t>– Erhaltene Verwaltungsentschädigung</t>
  </si>
  <si>
    <t>40 – 47</t>
  </si>
  <si>
    <t>Total Verwaltungsaufwand</t>
  </si>
  <si>
    <t>3 / 4</t>
  </si>
  <si>
    <t>Vorschlag Gesamtbetriebsrechnung</t>
  </si>
  <si>
    <t>Quelle: Formular EF1 [6,7]</t>
  </si>
  <si>
    <t>T 8.08  Eigenkapital, Kapitalanlagen, Grundstücke und Gebäude der Versicherer ab 1998</t>
  </si>
  <si>
    <t>Eigenkapital-</t>
  </si>
  <si>
    <t>Kapital-</t>
  </si>
  <si>
    <t>Grundstücke</t>
  </si>
  <si>
    <t>in Mio. Fr.</t>
  </si>
  <si>
    <t>anlagen</t>
  </si>
  <si>
    <t>und Gebäude</t>
  </si>
  <si>
    <t xml:space="preserve">1) Eigenkapital in % des Prämiensolls. </t>
  </si>
  <si>
    <t>Quelle: T 8.10 [29] ; T 8.05 [60-63] ; T 8.11 [17, 18]</t>
  </si>
  <si>
    <r>
      <t xml:space="preserve">quote </t>
    </r>
    <r>
      <rPr>
        <vertAlign val="superscript"/>
        <sz val="11"/>
        <rFont val="Arial"/>
        <family val="2"/>
      </rPr>
      <t>1</t>
    </r>
  </si>
  <si>
    <t>T 8.07 Aktiven und Passiven der Versicherer in Mio. Franken ab 1998</t>
  </si>
  <si>
    <t>Aktiven</t>
  </si>
  <si>
    <t>Passiven</t>
  </si>
  <si>
    <t>Bilanz-</t>
  </si>
  <si>
    <t>Umlauf-</t>
  </si>
  <si>
    <t>Anlage-</t>
  </si>
  <si>
    <t>Fremd-</t>
  </si>
  <si>
    <t>Fonds und</t>
  </si>
  <si>
    <t>summe</t>
  </si>
  <si>
    <t>vermögen</t>
  </si>
  <si>
    <t>kapital</t>
  </si>
  <si>
    <t>Reserven</t>
  </si>
  <si>
    <t>laufende Aufdatierung</t>
  </si>
  <si>
    <t>(0 - 100%)</t>
  </si>
  <si>
    <t>Gesamtgeschäft der vom BAG anerkannten Krankenversicherer</t>
  </si>
  <si>
    <r>
      <t>B</t>
    </r>
    <r>
      <rPr>
        <b/>
        <i/>
        <sz val="12"/>
        <rFont val="55 Helvetica Roman"/>
      </rPr>
      <t xml:space="preserve">     Bundesamt für Gesundheit</t>
    </r>
  </si>
  <si>
    <t>501-504</t>
  </si>
  <si>
    <t>Teil 10</t>
  </si>
  <si>
    <t>1001-1003</t>
  </si>
  <si>
    <t xml:space="preserve">Belgien </t>
  </si>
  <si>
    <t>Griechenland</t>
  </si>
  <si>
    <t>Irland</t>
  </si>
  <si>
    <t>Luxemburg</t>
  </si>
  <si>
    <t>Portugal</t>
  </si>
  <si>
    <t>Vereinigtes Königreich</t>
  </si>
  <si>
    <t>Island</t>
  </si>
  <si>
    <t>Datenstand: 3.12.08</t>
  </si>
  <si>
    <t xml:space="preserve">1) EUR-12: Die Euro-Zone umfasst Belgien, Deutschland, Finnland, Frankreich, Griechenland, Irland, Italien, </t>
  </si>
  <si>
    <t xml:space="preserve">    Luxemburg, Niederlande, Österreich, Portugal und Spanien.</t>
  </si>
  <si>
    <t xml:space="preserve">    EU-15: EUR-12 plus Dänemark, Schweden und das Vereinigte Königreich.</t>
  </si>
  <si>
    <t>2) Der Sozialschutz umfasst alle Maßnahmen öffentlicher oder privater Stellen, die darauf abzielen, Haushalte</t>
  </si>
  <si>
    <t xml:space="preserve">    oder Einzelne vor bestimmten festgelegten Risiken zu schützen.</t>
  </si>
  <si>
    <t xml:space="preserve">3) Für die Definition der für die Schweiz ausgewiesenen Leistungen siehe </t>
  </si>
  <si>
    <t>Gesamtrechnung der Sozialen Sichereit: Methoden und Konzepte, BFS, Neuenburg, 2002.</t>
  </si>
  <si>
    <t>Hier ist zu beachten, dass die Kostenbeteiligung der Versicherten (in der Schweiz im Rahmen des KVG obligatorisch)</t>
  </si>
  <si>
    <t>und die Prämienverbilligung in den Zahlen nicht berücksichtigt sind.</t>
  </si>
  <si>
    <t xml:space="preserve">Werte in der Schweiz in 2001 : </t>
  </si>
  <si>
    <t>Kostenbeteiligung der Versicherten = 0,57% des BIP ; Prämienverbilligung = 0,63% des BIP.</t>
  </si>
  <si>
    <t>der Grund liegt darin, dass vor 1999 nicht von allen Versicherern die Einweisungen und Tage in Pflegeheime(n) vollständig ausge-</t>
  </si>
  <si>
    <t>schieden werden konnten. So ist insbesondere auch die starke Abnahme der Spitaltage zwischen 1998 und 1999 auf diese</t>
  </si>
  <si>
    <t>"Nicht-mehr-Berücksichtigung" von Pflegeheimtagen durch grosse Versicherer zurückzuführen und darf somit nicht als echte</t>
  </si>
  <si>
    <t>Abnahme der Spitaltage im Spital stationär fehlinterpretiert werden.</t>
  </si>
  <si>
    <t>Quelle: T 9.21</t>
  </si>
  <si>
    <r>
      <t xml:space="preserve">Erkrankte </t>
    </r>
    <r>
      <rPr>
        <vertAlign val="superscript"/>
        <sz val="11"/>
        <rFont val="Arial"/>
        <family val="2"/>
      </rPr>
      <t>1</t>
    </r>
  </si>
  <si>
    <r>
      <t>Spitaltage</t>
    </r>
    <r>
      <rPr>
        <vertAlign val="superscript"/>
        <sz val="11"/>
        <rFont val="Arial"/>
        <family val="2"/>
      </rPr>
      <t xml:space="preserve"> 2</t>
    </r>
  </si>
  <si>
    <r>
      <t xml:space="preserve">sungen </t>
    </r>
    <r>
      <rPr>
        <vertAlign val="superscript"/>
        <sz val="11"/>
        <rFont val="Arial"/>
        <family val="2"/>
      </rPr>
      <t>2</t>
    </r>
  </si>
  <si>
    <t xml:space="preserve">Betriebsrechnung der Versicherungen mit eingeschränkter Wahl des Leistungserbringers </t>
  </si>
  <si>
    <t>Betriebsrechnung der obligatorischen Krankenpflegeversicherung Personen mit Wohnsitz in einem EG-Staat</t>
  </si>
  <si>
    <t>Versichertenbestand nach Alter und Geschlecht per 31.12.</t>
  </si>
  <si>
    <t>Versichertenbestand nach Versicherungsform per 31.12.</t>
  </si>
  <si>
    <t>Versichertenbestand nach Geschlecht am 1.1.</t>
  </si>
  <si>
    <t>Durchschnittlicher Versichertenbestand nach Kantonen und Altersgruppen</t>
  </si>
  <si>
    <t>Durchschnittlicher Versichertenbestand nach Altersgruppen und Geschlecht</t>
  </si>
  <si>
    <t xml:space="preserve">Durchschnittlicher Versichertenbestand nach Kantonen </t>
  </si>
  <si>
    <t>Versicherteneintritte / Versicherungswechsler KVG nach Geschlecht</t>
  </si>
  <si>
    <t>Zahlungsausstände für OKP-Prämien</t>
  </si>
  <si>
    <t>In der XLS Version sind die Daten</t>
  </si>
  <si>
    <t>meistens ab 1996 verfügbar</t>
  </si>
  <si>
    <t>Stellen, Personal und Löhne in der OKP</t>
  </si>
  <si>
    <t>101-115</t>
  </si>
  <si>
    <t>801-813</t>
  </si>
  <si>
    <t>2: Leistungen und Kostenbeteiligung in der OKP</t>
  </si>
  <si>
    <t>T 4.10 KVG-Verteilmodell: Bundesbeiträge 2008 - 2010</t>
  </si>
  <si>
    <t>Bundesbeiträge in Franken</t>
  </si>
  <si>
    <t>Berechnungsbasis 2010</t>
  </si>
  <si>
    <t>Quelle: T 4.08 &amp; Verteilungsmodelle BAG für 2009/2010.</t>
  </si>
  <si>
    <t xml:space="preserve">1) Mittlere Wohnbevölkerung 2008 [Durchschnittliche Wohnbevölkerung in einem bestimmten Gebiet nach wirtschaftlichem Wohnsitz; </t>
  </si>
  <si>
    <t xml:space="preserve">  Quelle: BFS Sektion Bevölkerungsentwicklung] + versicherte Grenzgänger 2008 und deren Familienangehörige [Quelle: EF S{3} 2008].</t>
  </si>
  <si>
    <t>12.1.10: 9.12, 9.14</t>
  </si>
  <si>
    <t>T 9.14 Index der Krankenpflegekosten, der Krankenversicherungsausgaben der Versicherten sowie der Löhne ab 1998  (1996 = 100)</t>
  </si>
  <si>
    <t>Pflege-</t>
  </si>
  <si>
    <t>Gesundheits-</t>
  </si>
  <si>
    <t>Krankenver-</t>
  </si>
  <si>
    <t>OKP-</t>
  </si>
  <si>
    <t>BFS-Lohn-</t>
  </si>
  <si>
    <t>kosten-</t>
  </si>
  <si>
    <t>wesen Kosten-</t>
  </si>
  <si>
    <t>sicherung-</t>
  </si>
  <si>
    <t>index</t>
  </si>
  <si>
    <t>ausgaben</t>
  </si>
  <si>
    <t>OKP</t>
  </si>
  <si>
    <t>(nominal)</t>
  </si>
  <si>
    <t>1) Quelle: T 2.15. Entwicklung der Leistungen pro Versicherte(n) (erfasst mit der Kostenbeteiligung der Versicherten).</t>
  </si>
  <si>
    <t>3) Quelle: T 9.15. OKP Ausgaben = Prämien + Kostenbeteiligung (berücksichtigt nur die bei dem Versicherer eingereichten Rechnungen).</t>
  </si>
  <si>
    <t>4) Quelle: T 2.02. Berücksichtigt nur die bei dem Versicherer eingereichten Rechnungen.</t>
  </si>
  <si>
    <t>5) Quelle: BFS, Sektion Löhne und Arbeitsbedingungen.</t>
  </si>
  <si>
    <t>4) 1500.-</t>
  </si>
  <si>
    <t>1998-2000</t>
  </si>
  <si>
    <t>2001-2003</t>
  </si>
  <si>
    <t>jedoch höchstens Fr. pro Jahr</t>
  </si>
  <si>
    <t>(Differenz zwischen wählbarer und ordentlicher Franchise)</t>
  </si>
  <si>
    <t>ordentlich 230.-</t>
  </si>
  <si>
    <t>1) 400.-</t>
  </si>
  <si>
    <t>(80% der Differenz zwischen wählbarer und ordentlicher Franchise)</t>
  </si>
  <si>
    <t>10% max. 700.-</t>
  </si>
  <si>
    <t>ordentlich 300.-</t>
  </si>
  <si>
    <t>1) 500.-</t>
  </si>
  <si>
    <t>2) 1000.-</t>
  </si>
  <si>
    <t>3) 1500.-</t>
  </si>
  <si>
    <t>4) 2000.-</t>
  </si>
  <si>
    <t>5) 2500.-</t>
  </si>
  <si>
    <t>2006-2009</t>
  </si>
  <si>
    <t>2010-</t>
  </si>
  <si>
    <t>(70% der Differenz zwischen wählbarer und ordentlicher Franchise)</t>
  </si>
  <si>
    <t>Datenstand: 8.10.09</t>
  </si>
  <si>
    <t>Quelle: BAG</t>
  </si>
  <si>
    <t>1) Erwachsene (ab 19 Jahren) = junge Erwachsene (19-25 Jahre) + Erwachsene (ab 26 Jahren)</t>
  </si>
  <si>
    <t xml:space="preserve">2) Ausnahme : Erhöhung des Selbstbehaltes auf 20 % für Originalpräparate, von welchen </t>
  </si>
  <si>
    <t xml:space="preserve">    ein mindestens 20 % billigeres Generikum in der Spezialitätenliste angeführt ist (Art. 38a KLV).</t>
  </si>
  <si>
    <t>(Änderungen grau)</t>
  </si>
  <si>
    <r>
      <t xml:space="preserve">Erwachsene (ab 19 Jahren) </t>
    </r>
    <r>
      <rPr>
        <b/>
        <i/>
        <vertAlign val="superscript"/>
        <sz val="9"/>
        <rFont val="Arial"/>
        <family val="2"/>
      </rPr>
      <t>1</t>
    </r>
  </si>
  <si>
    <r>
      <t xml:space="preserve">ordentlich </t>
    </r>
    <r>
      <rPr>
        <b/>
        <i/>
        <sz val="10"/>
        <rFont val="Arial"/>
        <family val="2"/>
      </rPr>
      <t>230</t>
    </r>
    <r>
      <rPr>
        <b/>
        <sz val="10"/>
        <rFont val="Arial"/>
        <family val="2"/>
      </rPr>
      <t>.-</t>
    </r>
  </si>
  <si>
    <r>
      <t xml:space="preserve">1) </t>
    </r>
    <r>
      <rPr>
        <b/>
        <i/>
        <sz val="10"/>
        <rFont val="Arial"/>
        <family val="2"/>
      </rPr>
      <t>400.-</t>
    </r>
  </si>
  <si>
    <r>
      <t xml:space="preserve">10% </t>
    </r>
    <r>
      <rPr>
        <i/>
        <sz val="10"/>
        <rFont val="Arial"/>
        <family val="2"/>
      </rPr>
      <t>max</t>
    </r>
    <r>
      <rPr>
        <b/>
        <i/>
        <sz val="10"/>
        <rFont val="Arial"/>
        <family val="2"/>
      </rPr>
      <t>. 700.-</t>
    </r>
  </si>
  <si>
    <r>
      <t xml:space="preserve">ordentlich </t>
    </r>
    <r>
      <rPr>
        <b/>
        <i/>
        <sz val="10"/>
        <rFont val="Arial"/>
        <family val="2"/>
      </rPr>
      <t>300</t>
    </r>
    <r>
      <rPr>
        <b/>
        <sz val="10"/>
        <rFont val="Arial"/>
        <family val="2"/>
      </rPr>
      <t>.-</t>
    </r>
  </si>
  <si>
    <r>
      <t>10%</t>
    </r>
    <r>
      <rPr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max. 700.-</t>
    </r>
  </si>
  <si>
    <t>Beilage F2 :</t>
  </si>
  <si>
    <t>Kinder (0-18 Jahre)</t>
  </si>
  <si>
    <t>10% max. 300.-</t>
  </si>
  <si>
    <t>ordentlich 0.-</t>
  </si>
  <si>
    <t>1) 150.-</t>
  </si>
  <si>
    <t>2) 300.-</t>
  </si>
  <si>
    <t>3) 375.-</t>
  </si>
  <si>
    <t>10% max. 350.-</t>
  </si>
  <si>
    <t>1) 100.-</t>
  </si>
  <si>
    <t>2) 200.-</t>
  </si>
  <si>
    <t>3) 300.-</t>
  </si>
  <si>
    <t>4) 400.-</t>
  </si>
  <si>
    <t>5) 500.-</t>
  </si>
  <si>
    <t>6) 600.-</t>
  </si>
  <si>
    <t xml:space="preserve">1) Ausnahme : Erhöhung des Selbstbehaltes auf 20 % für Originalpräparate, von welchen </t>
  </si>
  <si>
    <r>
      <t xml:space="preserve">10% </t>
    </r>
    <r>
      <rPr>
        <i/>
        <sz val="10"/>
        <rFont val="Arial"/>
        <family val="2"/>
      </rPr>
      <t xml:space="preserve">max. </t>
    </r>
    <r>
      <rPr>
        <b/>
        <i/>
        <sz val="10"/>
        <rFont val="Arial"/>
        <family val="2"/>
      </rPr>
      <t>350.-</t>
    </r>
  </si>
  <si>
    <r>
      <t>10%</t>
    </r>
    <r>
      <rPr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max. </t>
    </r>
    <r>
      <rPr>
        <sz val="10"/>
        <rFont val="Arial"/>
        <family val="2"/>
      </rPr>
      <t>350</t>
    </r>
    <r>
      <rPr>
        <i/>
        <sz val="10"/>
        <rFont val="Arial"/>
        <family val="2"/>
      </rPr>
      <t>.-</t>
    </r>
  </si>
  <si>
    <t>Beilage J1</t>
  </si>
  <si>
    <t>Veränder. 2007-08 in %</t>
  </si>
  <si>
    <t>Nettoleistungen</t>
  </si>
  <si>
    <t>Kostenbeteiligung</t>
  </si>
  <si>
    <t>Verwaltungskosten</t>
  </si>
  <si>
    <t>Bruttoleistungen</t>
  </si>
  <si>
    <t>Bemerkungen:</t>
  </si>
  <si>
    <t>- 1-8: in der STAT KV publizierte Werte [T 1.01 &amp; 1.02] aus den Formularen EF123</t>
  </si>
  <si>
    <t xml:space="preserve">  Beispiel: Schätzung von 2006 für 2006 / Schätzung von 2007 für 2007</t>
  </si>
  <si>
    <t xml:space="preserve">   der Bevölkerung und der geschätzten Bevölkerung in % zum bzw. vom ebenfalls absoluten, für jede Kategorie aufgeführten Wert nach </t>
  </si>
  <si>
    <t xml:space="preserve">   folgendem Schema addiert oder subtrahiert werden:</t>
  </si>
  <si>
    <t xml:space="preserve">   Das Zeichen der Genauigkeit pro versicherte Person richtet sich nach folgendem Schema:</t>
  </si>
  <si>
    <t>Abweichung geschätzte Bevölkerung - Bevölkerung in %</t>
  </si>
  <si>
    <t>+</t>
  </si>
  <si>
    <t xml:space="preserve">Abweichung geschätzter Wert [2-8] - Wert [2-8] in %   </t>
  </si>
  <si>
    <t>Zeichen der Genauigkeit pro versicherte Person: + oder - %</t>
  </si>
  <si>
    <r>
      <t xml:space="preserve">- Zur Genauigkeit der geschätzten Werte </t>
    </r>
    <r>
      <rPr>
        <b/>
        <sz val="8"/>
        <rFont val="Arial"/>
        <family val="2"/>
      </rPr>
      <t>pro versicherte Person</t>
    </r>
    <r>
      <rPr>
        <sz val="8"/>
        <rFont val="Arial"/>
        <family val="2"/>
      </rPr>
      <t>: Sie berechnen sich, indem der absolute Wert der Abweichung zwischen</t>
    </r>
  </si>
  <si>
    <t>9.10.09: F1-F2, J1</t>
  </si>
  <si>
    <t xml:space="preserve">Betriebsrechnung der BONUS-Versicherung </t>
  </si>
  <si>
    <t>T 9.21  Erkrankte, Spitaleinweisungen und Spitaltage</t>
  </si>
  <si>
    <t>Merkmal</t>
  </si>
  <si>
    <t>Einweisungen je 100 Versicherte</t>
  </si>
  <si>
    <t>Spitaltage je 100 Versicherte</t>
  </si>
  <si>
    <t>Spitaltage je Einweisung</t>
  </si>
  <si>
    <t>1) Durchschnittlicher Versichertenbestand.</t>
  </si>
  <si>
    <t>2) Anzahl versicherte Personen, welche im Berichtsjahr mindestens einmal ambulante oder stationäre Kosten verursacht haben</t>
  </si>
  <si>
    <t xml:space="preserve">   (die Anzahl Erkrankte ist somit kleiner oder gleich wie die Anzahl Versicherte).</t>
  </si>
  <si>
    <t>3) Anzahl Einweisungen ins Spital stationär; zu zählensind Einweisungen in Spitäler zur kurzfristigen</t>
  </si>
  <si>
    <t xml:space="preserve">    und zur langfristigen Behandlung körperlich Kranker sowie Einweisungen in psychiatrische Klini-</t>
  </si>
  <si>
    <t xml:space="preserve">    ken; nicht zu zählensind hingegen Einweisungen in Pflegeheime. Sobald zwischen zwei Spital-</t>
  </si>
  <si>
    <t xml:space="preserve">    aufenthalten eine Lücke besteht, zählen diese als zwei Einweisungen.</t>
  </si>
  <si>
    <t>Landes-index der Konsumen-tenpreise (LIK)</t>
  </si>
  <si>
    <t>25.3.10: J1, 9.09, 9.10, 9.12</t>
  </si>
  <si>
    <t>2) Unfallversicherung UVG &amp; AHV-IV: Beiträge und Prämien der Arbeitgeber, der Arbeitnehmer und der Selbständigerwerbenden.</t>
  </si>
  <si>
    <t>3) Aufwand der Krankenversicherung (Betrag der Zahlungen der Krankenversicherung an das Gesundheitswesen, abzüglich Beiträge</t>
  </si>
  <si>
    <t xml:space="preserve"> an die Versicherten für die Prämienverbilligung); Kostenbeteiligung; "Out of pocket"; Andere private Finanzierung.</t>
  </si>
  <si>
    <t>4) Schätzung KOF Konjunkturforschungsstelle ETHZ [Medienmitteilung 12/09]</t>
  </si>
  <si>
    <t>5) Neue BFS-Berechnungsmethode im 2008 -&gt; vom BFS revidierte Werte für 1996-&gt;2006.</t>
  </si>
  <si>
    <r>
      <t xml:space="preserve">T 9.05 Kosten des Gesundheitswesens in der Schweiz aus der Sicht der Volkswirtschaft </t>
    </r>
    <r>
      <rPr>
        <b/>
        <vertAlign val="superscript"/>
        <sz val="12"/>
        <rFont val="Arial"/>
        <family val="2"/>
      </rPr>
      <t>5</t>
    </r>
    <r>
      <rPr>
        <b/>
        <sz val="12"/>
        <rFont val="Arial"/>
        <family val="2"/>
      </rPr>
      <t xml:space="preserve"> in Mio. Fr. und pro Einwohner in Fr. ab 1998</t>
    </r>
  </si>
  <si>
    <r>
      <t xml:space="preserve">nehmungen </t>
    </r>
    <r>
      <rPr>
        <vertAlign val="superscript"/>
        <sz val="11"/>
        <rFont val="Arial"/>
        <family val="2"/>
      </rPr>
      <t>2</t>
    </r>
  </si>
  <si>
    <r>
      <t xml:space="preserve">Haushalte </t>
    </r>
    <r>
      <rPr>
        <vertAlign val="superscript"/>
        <sz val="11"/>
        <rFont val="Arial"/>
        <family val="2"/>
      </rPr>
      <t>3</t>
    </r>
  </si>
  <si>
    <r>
      <t xml:space="preserve">2008 </t>
    </r>
    <r>
      <rPr>
        <i/>
        <vertAlign val="superscript"/>
        <sz val="11"/>
        <rFont val="Arial"/>
        <family val="2"/>
      </rPr>
      <t>4</t>
    </r>
  </si>
  <si>
    <r>
      <t xml:space="preserve">2009 </t>
    </r>
    <r>
      <rPr>
        <i/>
        <vertAlign val="superscript"/>
        <sz val="11"/>
        <rFont val="Arial"/>
        <family val="2"/>
      </rPr>
      <t>4</t>
    </r>
  </si>
  <si>
    <r>
      <t xml:space="preserve">2010 </t>
    </r>
    <r>
      <rPr>
        <i/>
        <vertAlign val="superscript"/>
        <sz val="11"/>
        <rFont val="Arial"/>
        <family val="2"/>
      </rPr>
      <t>4</t>
    </r>
  </si>
  <si>
    <t>Quelle: 1996-2007 : Statistisches Lexikon BFS, Kosten des Gesundheitswesens / 2008: Prognose der Gesundheitsausgaben, KOF / T 9.10.</t>
  </si>
  <si>
    <r>
      <t xml:space="preserve">Kanton </t>
    </r>
    <r>
      <rPr>
        <vertAlign val="superscript"/>
        <sz val="11"/>
        <rFont val="Arial"/>
        <family val="2"/>
      </rPr>
      <t>3</t>
    </r>
  </si>
  <si>
    <t>Ausbezahlter Jahresbetrag</t>
  </si>
  <si>
    <t>1 - 600 Fr.</t>
  </si>
  <si>
    <t>601 -</t>
  </si>
  <si>
    <t>1'201 -</t>
  </si>
  <si>
    <t>2'401 -</t>
  </si>
  <si>
    <t>3'601 -</t>
  </si>
  <si>
    <t>4'801 -</t>
  </si>
  <si>
    <t>6'001 -</t>
  </si>
  <si>
    <t>Jahresbetrag</t>
  </si>
  <si>
    <t>1'200 Fr.</t>
  </si>
  <si>
    <t>2'400 Fr.</t>
  </si>
  <si>
    <t>3'600 Fr.</t>
  </si>
  <si>
    <t>4'800 Fr.</t>
  </si>
  <si>
    <t>6'000 Fr.</t>
  </si>
  <si>
    <t>12'000 Fr.</t>
  </si>
  <si>
    <t>2) Anzahl Haushalte 2008 unvollständig für BS und damit auch für CH.</t>
  </si>
  <si>
    <r>
      <t xml:space="preserve">T 4.05 Anzahl subventionierte Haushalte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nach ausbezahltem Jahresbetrag und Kantonen </t>
    </r>
  </si>
  <si>
    <r>
      <t xml:space="preserve">Kanton </t>
    </r>
    <r>
      <rPr>
        <vertAlign val="superscript"/>
        <sz val="11"/>
        <rFont val="Arial"/>
        <family val="2"/>
      </rPr>
      <t>2</t>
    </r>
  </si>
  <si>
    <t>Mittlere</t>
  </si>
  <si>
    <t>Grenz-</t>
  </si>
  <si>
    <t>Wohnbe-</t>
  </si>
  <si>
    <t>Bundes-</t>
  </si>
  <si>
    <t>Kantons-</t>
  </si>
  <si>
    <t>völkerung</t>
  </si>
  <si>
    <t>beiträge</t>
  </si>
  <si>
    <t>Beiträge</t>
  </si>
  <si>
    <t>1) Bestände per Jahresende; Vorjahresvergleiche sind nur mit Vorbehalt möglich, da jene Zusatzversicherungen VAG, welche</t>
  </si>
  <si>
    <t>auch unternehmensrechtlich vom KVG-Bereich eines Versicherers abgetrennt werden, sich der Sicht der BAG-Krankenversi-</t>
  </si>
  <si>
    <t>cherungsstatistik entziehen.</t>
  </si>
  <si>
    <t>Quelle: T 8.09; T 8.10</t>
  </si>
  <si>
    <r>
      <t xml:space="preserve">Jahr </t>
    </r>
    <r>
      <rPr>
        <vertAlign val="superscript"/>
        <sz val="11"/>
        <rFont val="Arial"/>
        <family val="2"/>
      </rPr>
      <t>1</t>
    </r>
  </si>
  <si>
    <t>T 8.04  Ertrag, Aufwand und Ergebnis der Versicherer in Mio. Franken ab 1998</t>
  </si>
  <si>
    <t>Total des</t>
  </si>
  <si>
    <t>Total Ver-</t>
  </si>
  <si>
    <t>sicherungs-</t>
  </si>
  <si>
    <t>betriebs-</t>
  </si>
  <si>
    <t>ertrags</t>
  </si>
  <si>
    <t>und Betriebs-</t>
  </si>
  <si>
    <t>aufwand</t>
  </si>
  <si>
    <t>1) Vorjahresvergleiche sind nur mit Vorbehalt möglich, da jene Zusatzversicherungen VAG, welche auch unternehmensrechtlich</t>
  </si>
  <si>
    <t>vom KVG-Bereich eines Versicherers abgetrennt werden, sich der Sicht der BAG-Krankenversicherungsstatistik entziehen.</t>
  </si>
  <si>
    <t>die resp. der Entnahme von den Fonds und Reserven.</t>
  </si>
  <si>
    <t>Quelle:  T 8.05 [6/7]; T 8.06 [3/4]; T 8.06 [800-801] - T 8.05 [800-801]</t>
  </si>
  <si>
    <r>
      <t xml:space="preserve">ergebnis </t>
    </r>
    <r>
      <rPr>
        <vertAlign val="superscript"/>
        <sz val="11"/>
        <rFont val="Arial"/>
        <family val="2"/>
      </rPr>
      <t>2</t>
    </r>
  </si>
  <si>
    <r>
      <t xml:space="preserve">2) Jahresergebnis ( = Vorschlag Gesamtbetriebsrechnung minus Rückschlag Gesamtbetriebsrechnung) </t>
    </r>
    <r>
      <rPr>
        <i/>
        <sz val="10"/>
        <rFont val="Arial"/>
        <family val="2"/>
      </rPr>
      <t>vor</t>
    </r>
    <r>
      <rPr>
        <sz val="10"/>
        <rFont val="Arial"/>
        <family val="2"/>
      </rPr>
      <t xml:space="preserve"> der Zuweisung an</t>
    </r>
  </si>
  <si>
    <t>T 11.13 Durchschnittlicher Versichertenbestand und Durchschnittsalter für die obligatorische Krankenpflegeversicherung gemäss Art. 29 KVV</t>
  </si>
  <si>
    <t>männlich</t>
  </si>
  <si>
    <t>weiblich</t>
  </si>
  <si>
    <t>Anteil in %</t>
  </si>
  <si>
    <t>Junge Erwachsene</t>
  </si>
  <si>
    <t>Durchschnittsalter</t>
  </si>
  <si>
    <t>davon gestorben</t>
  </si>
  <si>
    <t>T 8.13  Stellen, Personal und Löhne in der OKP</t>
  </si>
  <si>
    <t>Stellen</t>
  </si>
  <si>
    <t>Personen</t>
  </si>
  <si>
    <t>Bruttogehälter</t>
  </si>
  <si>
    <t>Total (Hauptsitz und Agenturen)</t>
  </si>
  <si>
    <t>1) Mitglieder der Direktion und der Räte (Verwaltungsrat, Stiftungsrat…)</t>
  </si>
  <si>
    <t>Quelle: Formular EF3 [3.10.3]</t>
  </si>
  <si>
    <r>
      <t xml:space="preserve"> - davon Kader </t>
    </r>
    <r>
      <rPr>
        <i/>
        <vertAlign val="superscript"/>
        <sz val="11"/>
        <rFont val="Arial"/>
        <family val="2"/>
      </rPr>
      <t>1</t>
    </r>
  </si>
  <si>
    <t>T 8.03  Stellen- und Personalbestand der Versicherer ab 1998</t>
  </si>
  <si>
    <t xml:space="preserve">   Verwaltung / Hauptsitz</t>
  </si>
  <si>
    <t xml:space="preserve">       Sektionen / Agenturen</t>
  </si>
  <si>
    <t xml:space="preserve">                          Total</t>
  </si>
  <si>
    <t>Wählbare Jahresfranchisen</t>
  </si>
  <si>
    <t>BONUS-Versicherung</t>
  </si>
  <si>
    <t>Eingeschränkte Wahl (z.B. HMO) *</t>
  </si>
  <si>
    <t xml:space="preserve"> * davon Versicherte, die gleichzeitig eine wählbare Franchise haben</t>
  </si>
  <si>
    <t>1) Für die Zuteilung der Versicherten zu den Versicherungsformen ist die Versicherungsform (Hausarztmodell, HMO…)</t>
  </si>
  <si>
    <t>die Versicherung in Kombination mit einer ordentlichen/wählbaren Franchise abgeschlossen wurde.</t>
  </si>
  <si>
    <t>Quelle: Formular EF3 [T3.3]</t>
  </si>
  <si>
    <r>
      <t xml:space="preserve">T 11.06  Versichertenbestand nach Versicherungsform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per 31.12.</t>
    </r>
  </si>
  <si>
    <t xml:space="preserve">Jahr </t>
  </si>
  <si>
    <t>Ordentliche</t>
  </si>
  <si>
    <t>Wählbare</t>
  </si>
  <si>
    <t>BONUS-</t>
  </si>
  <si>
    <t>Einge-</t>
  </si>
  <si>
    <t xml:space="preserve">  Jahres-</t>
  </si>
  <si>
    <t xml:space="preserve"> Jahres-</t>
  </si>
  <si>
    <t>Versicherung</t>
  </si>
  <si>
    <t>schränkte</t>
  </si>
  <si>
    <t>franchise</t>
  </si>
  <si>
    <t>franchisen</t>
  </si>
  <si>
    <t xml:space="preserve"> Wahl</t>
  </si>
  <si>
    <t xml:space="preserve"> (z.B. HMO)</t>
  </si>
  <si>
    <t>1) Ab 2006, vgl. Fussnote 1) von Tabelle 11.06.</t>
  </si>
  <si>
    <t>Quelle: T 11.06</t>
  </si>
  <si>
    <r>
      <t xml:space="preserve">T 11.05 Versichertenbestand per 31.12. nach Versicherungsform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ab 1998</t>
    </r>
  </si>
  <si>
    <t xml:space="preserve">2) Für den Risikoausgleich gelten im Vergleich zu den EF123-Formularen zum Teil unterschiedliche Regelungen in Bezug auf die </t>
  </si>
  <si>
    <t xml:space="preserve">Mit dem In-Kraft-Treten des Personenfreizügigkeitsabkommens mit den EG-Staaten bzw. dem revidierten </t>
  </si>
  <si>
    <t xml:space="preserve">Mit der Änderung vom 16. Dezember 2005 des Asylgesetzes vom 26. Juni 1998 (Artikel 82a Asylgesetz) sowie des KVG (Artikel 105a) wurden </t>
  </si>
  <si>
    <t xml:space="preserve">Asylsuchende, vorläufig Aufgenommene und Schutzbedürftige ohne Aufenthaltsbewilligung, welche sich in der Schweiz aufhalten und Sozialhilfe </t>
  </si>
  <si>
    <t xml:space="preserve">beziehen, vom massgebenden Versichertenbestand des Risikoausgleichs (Art. 4 Abs. 1 VORA) ausgenommen. Die Änderung ist per 1. Januar </t>
  </si>
  <si>
    <t xml:space="preserve">2007 in Kraft getreten. In den Daten des Jahres 2007 sind diese Versicherten somit erstmals nicht berücksichtigt. Diese Änderung gilt nicht für </t>
  </si>
  <si>
    <t>anerkannte Flüchtlinge (Personen mit positivem Asylentscheid) sowie für "Sans-Papiers".</t>
  </si>
  <si>
    <r>
      <t>Berücksichtigung einzelner Versichertengruppen.</t>
    </r>
    <r>
      <rPr>
        <sz val="10"/>
        <rFont val="Arial"/>
        <family val="2"/>
      </rPr>
      <t xml:space="preserve"> Aufgrund unterschiedlicher Definitionen kommt es zu Differenzen beim Versichertenbestand </t>
    </r>
  </si>
  <si>
    <t>und bei den Kosten gegenüber den Angaben im Formular EF 123 der Versicherer (siehe Definition Versicherte in Tabelle 11.02, Fussnote 2).</t>
  </si>
  <si>
    <t>9) Selbstdispensation (Medikamentenverkauf durch Ärzte) : 1 flächendeckend im Kanton / 2 Mischformen /  3 reines Rezeptursystem.</t>
  </si>
  <si>
    <t xml:space="preserve">     Quelle : Managed Care 6/04 S. 33-36.</t>
  </si>
  <si>
    <r>
      <t xml:space="preserve">T 9.09  Wohnbevölkerung, Ärzte mit Praxistätigkeit </t>
    </r>
    <r>
      <rPr>
        <b/>
        <sz val="12"/>
        <rFont val="Arial"/>
        <family val="2"/>
      </rPr>
      <t xml:space="preserve">und Apotheken nach Kantonen </t>
    </r>
  </si>
  <si>
    <r>
      <t xml:space="preserve">Veränd. </t>
    </r>
    <r>
      <rPr>
        <vertAlign val="superscript"/>
        <sz val="11"/>
        <rFont val="Arial"/>
        <family val="2"/>
      </rPr>
      <t>6</t>
    </r>
  </si>
  <si>
    <r>
      <t xml:space="preserve">Ärzte </t>
    </r>
    <r>
      <rPr>
        <vertAlign val="superscript"/>
        <sz val="11"/>
        <rFont val="Arial"/>
        <family val="2"/>
      </rPr>
      <t>5</t>
    </r>
  </si>
  <si>
    <r>
      <t xml:space="preserve">dichte </t>
    </r>
    <r>
      <rPr>
        <vertAlign val="superscript"/>
        <sz val="11"/>
        <rFont val="Arial"/>
        <family val="2"/>
      </rPr>
      <t>2)</t>
    </r>
  </si>
  <si>
    <r>
      <t>ken</t>
    </r>
    <r>
      <rPr>
        <vertAlign val="superscript"/>
        <sz val="11"/>
        <rFont val="Arial"/>
        <family val="2"/>
      </rPr>
      <t xml:space="preserve"> 7</t>
    </r>
  </si>
  <si>
    <r>
      <t xml:space="preserve">verkauf </t>
    </r>
    <r>
      <rPr>
        <vertAlign val="superscript"/>
        <sz val="11"/>
        <rFont val="Arial"/>
        <family val="2"/>
      </rPr>
      <t>9</t>
    </r>
  </si>
  <si>
    <r>
      <t xml:space="preserve">dichte </t>
    </r>
    <r>
      <rPr>
        <vertAlign val="superscript"/>
        <sz val="11"/>
        <rFont val="Arial"/>
        <family val="2"/>
      </rPr>
      <t>8</t>
    </r>
  </si>
  <si>
    <r>
      <t xml:space="preserve">rung </t>
    </r>
    <r>
      <rPr>
        <vertAlign val="superscript"/>
        <sz val="11"/>
        <rFont val="Arial"/>
        <family val="2"/>
      </rPr>
      <t>1</t>
    </r>
  </si>
  <si>
    <r>
      <t xml:space="preserve">praktiker </t>
    </r>
    <r>
      <rPr>
        <vertAlign val="superscript"/>
        <sz val="11"/>
        <rFont val="Arial"/>
        <family val="2"/>
      </rPr>
      <t>2</t>
    </r>
  </si>
  <si>
    <r>
      <t xml:space="preserve">FMH </t>
    </r>
    <r>
      <rPr>
        <vertAlign val="superscript"/>
        <sz val="11"/>
        <rFont val="Arial"/>
        <family val="2"/>
      </rPr>
      <t>3</t>
    </r>
  </si>
  <si>
    <r>
      <t xml:space="preserve">tigkeit </t>
    </r>
    <r>
      <rPr>
        <vertAlign val="superscript"/>
        <sz val="11"/>
        <rFont val="Arial"/>
        <family val="2"/>
      </rPr>
      <t>4</t>
    </r>
  </si>
  <si>
    <t>T 9.10  Entwicklung der Wohnbevölkerung, der Ärzte mit Praxistätigkeit und der Apotheken ab 1998</t>
  </si>
  <si>
    <t>1) Quelle: T 9.09.</t>
  </si>
  <si>
    <t>2) Anzahl Ärzte mit Praxistätigkeit pro 1'000 Einwohner.</t>
  </si>
  <si>
    <t>3) Veränderung der Dichte.</t>
  </si>
  <si>
    <t>4) Anzahl Apotheken (Öffentliche Apotheken) pro 10'000 Einwohner.</t>
  </si>
  <si>
    <r>
      <t xml:space="preserve">Veränd. </t>
    </r>
    <r>
      <rPr>
        <vertAlign val="superscript"/>
        <sz val="11"/>
        <rFont val="Arial"/>
        <family val="2"/>
      </rPr>
      <t>3</t>
    </r>
  </si>
  <si>
    <r>
      <t xml:space="preserve">Ärzte </t>
    </r>
    <r>
      <rPr>
        <vertAlign val="superscript"/>
        <sz val="11"/>
        <rFont val="Arial"/>
        <family val="2"/>
      </rPr>
      <t>1</t>
    </r>
  </si>
  <si>
    <r>
      <t xml:space="preserve">Ärzte </t>
    </r>
    <r>
      <rPr>
        <vertAlign val="superscript"/>
        <sz val="11"/>
        <rFont val="Arial"/>
        <family val="2"/>
      </rPr>
      <t>2</t>
    </r>
  </si>
  <si>
    <r>
      <t xml:space="preserve">ken </t>
    </r>
    <r>
      <rPr>
        <vertAlign val="superscript"/>
        <sz val="11"/>
        <rFont val="Arial"/>
        <family val="2"/>
      </rPr>
      <t>1</t>
    </r>
  </si>
  <si>
    <r>
      <t xml:space="preserve">dichte </t>
    </r>
    <r>
      <rPr>
        <vertAlign val="superscript"/>
        <sz val="11"/>
        <rFont val="Arial"/>
        <family val="2"/>
      </rPr>
      <t>4</t>
    </r>
  </si>
  <si>
    <t>Quelle: Formular EF2 [2.0 &amp; 2.1]</t>
  </si>
  <si>
    <t>Anzahl / Betrag</t>
  </si>
  <si>
    <t>Einzel-</t>
  </si>
  <si>
    <t>Kollektiv-</t>
  </si>
  <si>
    <t>versiche-</t>
  </si>
  <si>
    <t>1999 alt</t>
  </si>
  <si>
    <t>1999 neu</t>
  </si>
  <si>
    <t>Anzahl Versicherer</t>
  </si>
  <si>
    <t>Prämiensoll in Franken</t>
  </si>
  <si>
    <t>Prämiensoll in Franken pro Versicherte(n)</t>
  </si>
  <si>
    <t xml:space="preserve">Leistungen in Franken </t>
  </si>
  <si>
    <t>davon Mutterschaft</t>
  </si>
  <si>
    <t>Leistungen in Franken pro Versicherte(n)</t>
  </si>
  <si>
    <t>Quelle: Formular EF3 [3.9]</t>
  </si>
  <si>
    <t>2) Versichertenbestand am 31.12.</t>
  </si>
  <si>
    <t>3) In der Kollektivversicherung gibt es auch Lohnsummenverträge, bei denen die Zahl der Versicherten nicht bekannt ist.</t>
  </si>
  <si>
    <r>
      <t xml:space="preserve">T 6.03 Versicherer, Versicherte, Prämien und Leistungen nach Einzel- und Kollektivverträgen </t>
    </r>
    <r>
      <rPr>
        <b/>
        <vertAlign val="superscript"/>
        <sz val="12"/>
        <rFont val="Arial"/>
        <family val="2"/>
      </rPr>
      <t>1</t>
    </r>
  </si>
  <si>
    <r>
      <t xml:space="preserve">rung </t>
    </r>
    <r>
      <rPr>
        <vertAlign val="superscript"/>
        <sz val="11"/>
        <rFont val="Arial"/>
        <family val="2"/>
      </rPr>
      <t>3</t>
    </r>
  </si>
  <si>
    <r>
      <t xml:space="preserve">Versichertenbestand </t>
    </r>
    <r>
      <rPr>
        <b/>
        <vertAlign val="superscript"/>
        <sz val="11"/>
        <rFont val="Arial"/>
        <family val="2"/>
      </rPr>
      <t>2</t>
    </r>
  </si>
  <si>
    <t>T 6.02 Ertrag, Aufwand und Ergebnis in Franken ab 1998</t>
  </si>
  <si>
    <t xml:space="preserve">aufwand </t>
  </si>
  <si>
    <t>Quelle: T 6.04</t>
  </si>
  <si>
    <t>T 6.01 Prämien, Leistungen, Versichertenbestand und Versichererbestand ab 1998</t>
  </si>
  <si>
    <t>Versi-</t>
  </si>
  <si>
    <t xml:space="preserve"> pro</t>
  </si>
  <si>
    <t>cherten-</t>
  </si>
  <si>
    <t>cherer-</t>
  </si>
  <si>
    <t>Versicherte(n)</t>
  </si>
  <si>
    <t>bestand</t>
  </si>
  <si>
    <t>Quelle: T 6.03</t>
  </si>
  <si>
    <t>1) Durchschnittlicher Versichertenbestand : Stand aller Monate zusammengezählt und geteilt durch 12.</t>
  </si>
  <si>
    <t>2) Vgl. Fussnote 2) von Tabelle 11.02.</t>
  </si>
  <si>
    <t>Quelle: Formular EF1 [1.12 A]</t>
  </si>
  <si>
    <r>
      <t xml:space="preserve">T 11.01 Durchschnittlicher Versichertenbestand </t>
    </r>
    <r>
      <rPr>
        <b/>
        <vertAlign val="superscript"/>
        <sz val="12"/>
        <rFont val="Arial"/>
        <family val="2"/>
      </rPr>
      <t xml:space="preserve">1  </t>
    </r>
    <r>
      <rPr>
        <b/>
        <sz val="12"/>
        <rFont val="Arial"/>
        <family val="2"/>
      </rPr>
      <t>ab 1998</t>
    </r>
  </si>
  <si>
    <t>T 11.03  Versichertenbestand nach Wohnkanton per 31.12.</t>
  </si>
  <si>
    <t xml:space="preserve">Veränderung </t>
  </si>
  <si>
    <t xml:space="preserve">gegenüber </t>
  </si>
  <si>
    <t>Schweiz</t>
  </si>
  <si>
    <t>unbekannt</t>
  </si>
  <si>
    <t>1) Personen mit Wohnsitz/Aufenthalt im Ausland gemäss Art. 4 und 5 KVV.</t>
  </si>
  <si>
    <t>Quelle: Formular EF3 [T 3.2]</t>
  </si>
  <si>
    <r>
      <t xml:space="preserve">Ausland </t>
    </r>
    <r>
      <rPr>
        <vertAlign val="superscript"/>
        <sz val="11"/>
        <rFont val="Arial"/>
        <family val="2"/>
      </rPr>
      <t>1)</t>
    </r>
  </si>
  <si>
    <t>T 11.02  Versichertenbestand per 31.12 ab 1998</t>
  </si>
  <si>
    <t>vivacare</t>
  </si>
  <si>
    <t>SanaTop Versicherungen AG</t>
  </si>
  <si>
    <t xml:space="preserve">Total : </t>
  </si>
  <si>
    <t>La Caisse Vaudoise</t>
  </si>
  <si>
    <t>Caisse-maladie du personnel communal de la Ville de Neuchâtel</t>
  </si>
  <si>
    <t>*</t>
  </si>
  <si>
    <t>Gewerbliche Krankenkasse Bern</t>
  </si>
  <si>
    <t>4.8.09: 2.01, 2.14, 2.16-&gt;2.19, 2.22, 2.23</t>
  </si>
  <si>
    <t>5.8.09: 6.01 -&gt; 6.06, 7.01 -&gt; 7.05</t>
  </si>
  <si>
    <t>Quelle: T 1.03, 1.04, 1.05, 1.06 [4] &amp; 1.02 [3/4]</t>
  </si>
  <si>
    <t>T 1.11 Verwaltungsaufwand / Abschreibungen in Franken je versicherte Person nach Versicherungsform ab 1998</t>
  </si>
  <si>
    <t>Quelle: T 1.10 / T 11.05</t>
  </si>
  <si>
    <t>T 8.12  Ergebnisverteilung per 31.12.</t>
  </si>
  <si>
    <t>Betrag</t>
  </si>
  <si>
    <t>Gesamtbetriebsrechnung:</t>
  </si>
  <si>
    <t>Vorschlag</t>
  </si>
  <si>
    <t>Rückschlag</t>
  </si>
  <si>
    <t>Zuweisungen</t>
  </si>
  <si>
    <t xml:space="preserve">Entnahmen </t>
  </si>
  <si>
    <t>Fonds:</t>
  </si>
  <si>
    <t>Reglementierte Fonds</t>
  </si>
  <si>
    <t>Immobilien</t>
  </si>
  <si>
    <t>EDV-Projekte</t>
  </si>
  <si>
    <t>Eigenkapital:</t>
  </si>
  <si>
    <t xml:space="preserve">Reserven Oblig. Krankenpflegeversicherung (ohne Kto. 290.5) </t>
  </si>
  <si>
    <t>Beilagen I1-&gt;4</t>
  </si>
  <si>
    <t>Datenstand: 1.7.09</t>
  </si>
  <si>
    <t>Kanton</t>
  </si>
  <si>
    <t>Kinder</t>
  </si>
  <si>
    <t>Junge</t>
  </si>
  <si>
    <t>Erwachsene</t>
  </si>
  <si>
    <t>Veränd.</t>
  </si>
  <si>
    <t>gegenüb.</t>
  </si>
  <si>
    <t>(0-18 Jahre)</t>
  </si>
  <si>
    <t>(19-25 Jahre)</t>
  </si>
  <si>
    <t>(26 J. und älter)</t>
  </si>
  <si>
    <t>Vorjahr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</si>
  <si>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</si>
  <si>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</si>
  <si>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</si>
  <si>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</si>
  <si>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</si>
  <si>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</si>
  <si>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</si>
  <si>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</si>
  <si>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</si>
  <si>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</si>
  <si>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</si>
  <si>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</si>
  <si>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</si>
  <si>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</si>
  <si>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</si>
  <si>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</si>
  <si>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</si>
  <si>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</si>
  <si>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</si>
  <si>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</si>
  <si>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</si>
  <si>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</si>
  <si>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</si>
  <si>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</si>
  <si>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</si>
  <si>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</si>
  <si>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CH</t>
  </si>
  <si>
    <t>Quelle: Statistik des Risikoausgleiches - Gemeinsame Einrichtung KVG</t>
  </si>
  <si>
    <t>1) Durchschnittlicher Versichertenbestand = Anzahl Versicherungsmonate dividiert durch 12.</t>
  </si>
  <si>
    <t xml:space="preserve">EFTA-Abkommen per 1. Juni 2002 wurde die Versicherungspflicht auf einzelne Personengruppen ausgedehnt, </t>
  </si>
  <si>
    <t>welche Wohnsitz in einem EG-Staat bzw. in Island oder Norwegen haben:</t>
  </si>
  <si>
    <t xml:space="preserve">- Im Risikoausgleich zu berücksichtigen sind: </t>
  </si>
  <si>
    <t>6.10.09: 3.01 -&gt; 3.04, 3.13, T3d</t>
  </si>
  <si>
    <t>12.8.09: 11.01-&gt;11.04, 11.07, 11.10-&gt;11.12, 11.17</t>
  </si>
  <si>
    <t>Quelle: T 3.02, 3.03, 3.04</t>
  </si>
  <si>
    <t>1) Prämien publiziert in den OKP Prämienwegweisern 1996-&gt;2010 vom BAG.</t>
  </si>
  <si>
    <t>adapter année (2009/2010…)</t>
  </si>
  <si>
    <t xml:space="preserve">und nach Prämienregionen, gegebenenfalls mit provisorisch genehmigten Prämien. </t>
  </si>
  <si>
    <t xml:space="preserve">Die Tarife der Versicherungsmodelle mit wählbarer Franchise, Bonus oder eingeschränkter Wahl </t>
  </si>
  <si>
    <t xml:space="preserve">des Leistungserbringers wurden hier nicht berücksichtigt. </t>
  </si>
  <si>
    <t>2)  Die Werte für 1996 wurden revidiert. Diese Werte beziehen sich auf das KVG-Einführungsjahr</t>
  </si>
  <si>
    <t>und sind infolge teilweise unvollständiger Daten mit Zurückhaltung zu interpretieren.</t>
  </si>
  <si>
    <t>3) Die Werte für 1996 wurden revidiert. Sie wurden mittels der Veränderungen 1996/97 der Durchschnittsprämien der Erwachsenen geschätzt.</t>
  </si>
  <si>
    <t>Bis zum Jahr 2000 gab es nur reduzierte Prämien für junge Erwachsene, welche noch in Ausbildung waren. Mit dem Weglassen</t>
  </si>
  <si>
    <t>der Bedingung "in Ausbildung" in 2001 kamen deutlich mehr Personen, welche vorher eine Erwachsenenprämie bezahlen mussten,</t>
  </si>
  <si>
    <t>3) Revidierte Zahlen für 2002 und 2003 (ohne T 7.06).</t>
  </si>
  <si>
    <t>Quelle: T 7.02</t>
  </si>
  <si>
    <r>
      <t xml:space="preserve">T 7.01  Ertrag, Aufwand und Ergebnis der anderen Versicherungen insgesamt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in Franken ab 1998</t>
    </r>
  </si>
  <si>
    <r>
      <t xml:space="preserve">Jahr </t>
    </r>
    <r>
      <rPr>
        <vertAlign val="superscript"/>
        <sz val="11"/>
        <rFont val="Arial"/>
        <family val="2"/>
      </rPr>
      <t>2, 3</t>
    </r>
  </si>
  <si>
    <t>Quelle: Formular EF2 [2.1]</t>
  </si>
  <si>
    <t>1) Getrennte Rechnungsführung für die Einzel- und die Kollektivversicherung wird nur bei unterschiedlichen Prämientarifen</t>
  </si>
  <si>
    <t>verlangt (vgl. Art. 75 Abs. 2 KVG).</t>
  </si>
  <si>
    <r>
      <t xml:space="preserve">T 6.06  Betriebsrechnung der Kollektivversicherung </t>
    </r>
    <r>
      <rPr>
        <b/>
        <vertAlign val="superscript"/>
        <sz val="12"/>
        <rFont val="Arial"/>
        <family val="2"/>
      </rPr>
      <t>1</t>
    </r>
  </si>
  <si>
    <t>Quelle: Formular EF2 [2.0]</t>
  </si>
  <si>
    <r>
      <t xml:space="preserve">T 6.05  Betriebsrechnung der Einzelversicherung </t>
    </r>
    <r>
      <rPr>
        <b/>
        <vertAlign val="superscript"/>
        <sz val="12"/>
        <rFont val="Arial"/>
        <family val="2"/>
      </rPr>
      <t>1</t>
    </r>
  </si>
  <si>
    <t xml:space="preserve">T 6.04  Betriebsrechnung der Einzel- und Kollektivversicherung insgesamt </t>
  </si>
  <si>
    <t>Datenstand: 8.1.10</t>
  </si>
  <si>
    <t>T 9.13 Index der Krankenversicherungsprämien je versicherte Person nach Versicherungsart ab 1998 (Basis 1999 = 100)</t>
  </si>
  <si>
    <t xml:space="preserve">Kinder </t>
  </si>
  <si>
    <t>allgemein</t>
  </si>
  <si>
    <t>halbprivat</t>
  </si>
  <si>
    <t>privat</t>
  </si>
  <si>
    <t>(ganze CH)</t>
  </si>
  <si>
    <t>Veränderung gegenüber dem Vorjahr</t>
  </si>
  <si>
    <t>Einfluss auf das</t>
  </si>
  <si>
    <t>verfügbares</t>
  </si>
  <si>
    <t>Einkommen</t>
  </si>
  <si>
    <t>1) Auswirkung der Prämienentwicklung auf das Wachstum des verfügbaren Einkommens der Haushalte in %. Quelle: Siehe 3).</t>
  </si>
  <si>
    <t>2) Quelle: T 3.12. Effektive Erhöhungen für alle Versicherungsmodelle.</t>
  </si>
  <si>
    <t>3) Quelle: BFS, Sektion Preise und Verbrauch. Krankenversicherungsprämienindex (KVPI) [Medienmitteilung 12/09].</t>
  </si>
  <si>
    <r>
      <t xml:space="preserve">Obligatorische Krankenpflegeversicherung (OKP) </t>
    </r>
    <r>
      <rPr>
        <b/>
        <vertAlign val="superscript"/>
        <sz val="11"/>
        <rFont val="Arial"/>
        <family val="2"/>
      </rPr>
      <t>2</t>
    </r>
  </si>
  <si>
    <r>
      <t xml:space="preserve">Spitalzusatzversicherungen </t>
    </r>
    <r>
      <rPr>
        <b/>
        <vertAlign val="superscript"/>
        <sz val="11"/>
        <rFont val="Arial"/>
        <family val="2"/>
      </rPr>
      <t>3</t>
    </r>
  </si>
  <si>
    <r>
      <t xml:space="preserve">in %  </t>
    </r>
    <r>
      <rPr>
        <vertAlign val="superscript"/>
        <sz val="10"/>
        <rFont val="Arial"/>
        <family val="2"/>
      </rPr>
      <t>1</t>
    </r>
  </si>
  <si>
    <r>
      <t xml:space="preserve">2009 </t>
    </r>
    <r>
      <rPr>
        <vertAlign val="superscript"/>
        <sz val="11"/>
        <rFont val="Arial"/>
        <family val="2"/>
      </rPr>
      <t>4</t>
    </r>
  </si>
  <si>
    <r>
      <t xml:space="preserve">Werte der </t>
    </r>
    <r>
      <rPr>
        <u/>
        <sz val="10"/>
        <rFont val="Arial"/>
        <family val="2"/>
      </rPr>
      <t>effektiven</t>
    </r>
    <r>
      <rPr>
        <sz val="10"/>
        <rFont val="Arial"/>
        <family val="2"/>
      </rPr>
      <t xml:space="preserve"> Erhöhung der Prämien nach Altersgruppen und Versicherungsform: vgl. T 3.12.</t>
    </r>
  </si>
  <si>
    <r>
      <t xml:space="preserve">Werte der </t>
    </r>
    <r>
      <rPr>
        <u/>
        <sz val="10"/>
        <rFont val="Arial"/>
        <family val="2"/>
      </rPr>
      <t>geschätzten</t>
    </r>
    <r>
      <rPr>
        <sz val="10"/>
        <rFont val="Arial"/>
        <family val="2"/>
      </rPr>
      <t xml:space="preserve"> Erhöhung der Prämien pro Kanton und Altersgruppen für die ordentliche Franchise: vgl. T 3.01.</t>
    </r>
  </si>
  <si>
    <r>
      <t xml:space="preserve">4) OKP: </t>
    </r>
    <r>
      <rPr>
        <i/>
        <sz val="10"/>
        <rFont val="Arial"/>
        <family val="2"/>
      </rPr>
      <t>Schätzung :</t>
    </r>
    <r>
      <rPr>
        <sz val="10"/>
        <rFont val="Arial"/>
        <family val="2"/>
      </rPr>
      <t xml:space="preserve"> Quelle: Siehe 3). Siehe auch Beilage J (Schätzung 1, pro Versicherte Person).</t>
    </r>
  </si>
  <si>
    <t>Datenstand: 11.12.09</t>
  </si>
  <si>
    <t>Alle Versicherte</t>
  </si>
  <si>
    <t>Quelle: T 3.12 + 2.02</t>
  </si>
  <si>
    <t>8.1.10: 4.10, 9.05, 9.09, 9.10, 9.13, 9.15, 9.19, 9.20</t>
  </si>
  <si>
    <t>Gebäude für Wohn- und Geschäftszwecke</t>
  </si>
  <si>
    <t>Wertberichtigung Grundstücke und Gebäude</t>
  </si>
  <si>
    <t>Grundstücke / Gebäude - Gesamttotal</t>
  </si>
  <si>
    <t>17-18</t>
  </si>
  <si>
    <t>Gesamttotal  Kapitalanlagen, Grundstücke und Gebäude</t>
  </si>
  <si>
    <t>1) Anschaffungswert = Buchwert</t>
  </si>
  <si>
    <t>Quelle: Formular EF1 [11]</t>
  </si>
  <si>
    <r>
      <t xml:space="preserve">Kapitalanlagen nach Art. 80 KVV </t>
    </r>
    <r>
      <rPr>
        <i/>
        <vertAlign val="superscript"/>
        <sz val="11"/>
        <rFont val="Arial"/>
        <family val="2"/>
      </rPr>
      <t>1</t>
    </r>
  </si>
  <si>
    <t xml:space="preserve"> </t>
  </si>
  <si>
    <t>T 8.10  Bilanz: Passiven der Versicherer per 31.12.</t>
  </si>
  <si>
    <t>Fremdkapital</t>
  </si>
  <si>
    <t>Verbindlichkeiten aus Versicherungsleistungen</t>
  </si>
  <si>
    <t>Verbindlichkeiten bei Versicherten (ohne Konto.215)</t>
  </si>
  <si>
    <t>Noch zur Verrechnung gelangende Abgabeerträge VOC und HEL</t>
  </si>
  <si>
    <t>Verbindlichkeiten bei Partnern</t>
  </si>
  <si>
    <t>gehalt pro Stelle</t>
  </si>
  <si>
    <t xml:space="preserve">    2005-2008: ordentliche Jahresfranchise: 300.- ; wählbare Jahresfranchisen: 500.-  1000.-  1500.-  2000.- 2500.-</t>
  </si>
  <si>
    <t>Quelle: T 11.08</t>
  </si>
  <si>
    <r>
      <t>T 11.09 Verteilung der Versicherungsformen</t>
    </r>
    <r>
      <rPr>
        <b/>
        <vertAlign val="superscript"/>
        <sz val="12"/>
        <rFont val="Arial"/>
        <family val="2"/>
      </rPr>
      <t xml:space="preserve"> </t>
    </r>
    <r>
      <rPr>
        <b/>
        <sz val="12"/>
        <rFont val="Arial"/>
        <family val="2"/>
      </rPr>
      <t>in % - Versicherte ab 19 Jahren ab 1998</t>
    </r>
  </si>
  <si>
    <t>6.11.09: 1.01, 5.01, 8.05, 11.01</t>
  </si>
  <si>
    <t>1) Anzahl subventionierte Haushalte im Sinne der kantonalen Regelungen zur Prämienverbilligung.</t>
  </si>
  <si>
    <t>2) Die Anzahl Personen pro Haushalt hängt von den kantonalen Regelungen zur Prämienverbilligung ab.</t>
  </si>
  <si>
    <t xml:space="preserve">    Beispiele: 1+0 = 1 Erwachsene + 0 Kind / 1+1 = 1 Erwachsene + 1 Kind (alleinerziehender Haushalt)</t>
  </si>
  <si>
    <t>3) Anzahl Haushalte 2008 unvollständig für BS und damit auch für CH.</t>
  </si>
  <si>
    <r>
      <t xml:space="preserve">T 4.04 Anzahl subventionierte Haushalte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nach Haushaltstyp und Kantonen</t>
    </r>
  </si>
  <si>
    <r>
      <t xml:space="preserve">  Anzahl subventionierte Haushalte (gemäss Anzahl Personen pro Haushalt </t>
    </r>
    <r>
      <rPr>
        <vertAlign val="superscript"/>
        <sz val="11"/>
        <rFont val="Arial"/>
        <family val="2"/>
      </rPr>
      <t xml:space="preserve">2 </t>
    </r>
    <r>
      <rPr>
        <sz val="11"/>
        <rFont val="Arial"/>
        <family val="2"/>
      </rPr>
      <t>)</t>
    </r>
  </si>
  <si>
    <r>
      <t>Sodalis</t>
    </r>
    <r>
      <rPr>
        <sz val="10"/>
        <rFont val="Arial"/>
        <family val="2"/>
      </rPr>
      <t xml:space="preserve"> Krankenversicherer</t>
    </r>
  </si>
  <si>
    <t>1) Subventionen an die Leistungserbringer (Krankenhäuser, usw.); Gesundheitswesen, Verwaltung und Prävention.</t>
  </si>
  <si>
    <t>2) Unfallversicherung UVG, AHV-IV und Militärversicherung.</t>
  </si>
  <si>
    <t>3) Verbilligung KVG-Prämien; Ergänzungsleistungen AHV und IV; Sozialhilfe; Hilflosenschädigung:</t>
  </si>
  <si>
    <t xml:space="preserve">     Regimes der Sozialen Sicherheit, die nicht als Direktzahler in diser Statistik betrachtet sind.</t>
  </si>
  <si>
    <t>4) Aufwand der Krankenversicherung (Betrag der Zahlungen der Krankenversicherung an das Gesundheitswesen, abzüglich Beiträge</t>
  </si>
  <si>
    <t>Publikation 2007</t>
  </si>
  <si>
    <t>Wohnbevölkerung, Ärzte mit Praxistätigkeit und Apotheken nach Kantonen</t>
  </si>
  <si>
    <t xml:space="preserve">- Flex-Versicherung, bei der Versicherte von Fall zu Fall die Abteilung, in der sie behandelt werden wollen, und die dazu gehörigen Franchise </t>
  </si>
  <si>
    <t xml:space="preserve">  bzw. Kostenbeteiligung für halbprivate oder private Abteilung wählen können.</t>
  </si>
  <si>
    <t>- Taggeldversicherung im Zusammenhang mit Spitalaufenthalten, bei denen der Versicherte einen fixen Betrag pro Spitaltag erhält.</t>
  </si>
  <si>
    <r>
      <t xml:space="preserve">OKP </t>
    </r>
    <r>
      <rPr>
        <vertAlign val="superscript"/>
        <sz val="11"/>
        <rFont val="Arial"/>
        <family val="2"/>
      </rPr>
      <t>3</t>
    </r>
  </si>
  <si>
    <t>Abweichung S</t>
  </si>
  <si>
    <t>Prognose</t>
  </si>
  <si>
    <t>- Schätzung: geschätzte Werte aus dem Prämiengenehmigungsverfahren des BAG *, Schätzung für das laufende Jahr</t>
  </si>
  <si>
    <t xml:space="preserve">- Prognose: geschätzte Werte aus dem Prämiengenehmigungsverfahren des BAG *, Prognose für das Folgejahr </t>
  </si>
  <si>
    <t xml:space="preserve">  Beispiel: Prognose von 2006 für 2007 / Prognose von 2007 für 2008</t>
  </si>
  <si>
    <t>Im Allgemeinen ist die Schätzung genauer als die (eher grobe) Prognose.</t>
  </si>
  <si>
    <t>Es ist lediglich die Abweichung zwischen der Schätzung und dem in der STAT KV publizierten Wert (Abweichung S in %) aufgeführt.</t>
  </si>
  <si>
    <t>* Datenstand: 2009 (Schätzung) &amp; 2010 (Prognose): 6.10.09</t>
  </si>
  <si>
    <t xml:space="preserve">Im Allgemeinen ist die Schätzung genauer als die (eher grobe) Prognose. </t>
  </si>
  <si>
    <t xml:space="preserve">   Beispiel: Reserven pro versicherte Person im Jahr 2004 mit der Schätzung: -0.2% + 0.52% = Abweichung pro versicherte Person von + 0.72%</t>
  </si>
  <si>
    <r>
      <t xml:space="preserve">T 3.08 Kantonale Durchschnittsprämien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 pro Versicherten pro Jahr in Franken ab 1998</t>
    </r>
  </si>
  <si>
    <t>Schätzung basierend auf den Prämien 2010 und der Aufteilung der Versicherten 2008.</t>
  </si>
  <si>
    <r>
      <t xml:space="preserve">T 3.05  Verteilung der kantonalen monatlichen Durchschnittsprämien </t>
    </r>
    <r>
      <rPr>
        <b/>
        <vertAlign val="superscript"/>
        <sz val="12"/>
        <rFont val="Arial"/>
        <family val="2"/>
      </rPr>
      <t>1</t>
    </r>
  </si>
  <si>
    <t>für Kinder (0 - 18 Jahre) in Franken für 2010</t>
  </si>
  <si>
    <t>für junge Erwachsene (19 - 25 Jahre) in Franken für 2010</t>
  </si>
  <si>
    <t>für Erwachsene (26 Jahre und mehr) in Franken für 2010</t>
  </si>
  <si>
    <t>18.9.09: 9.21, 9.22, 11.08, 11.09, T11d</t>
  </si>
  <si>
    <t xml:space="preserve">5) Spenden und Vermächtnisse an Institutionen ohne Erwerbscharakter (Pflegeheim, Institution für Behinderte, Spitexorganisation usw.) </t>
  </si>
  <si>
    <t>6) Neue BFS-Berechnungsmethode im 2008 -&gt; vom BFS revidierte Werte für 1996-&gt;2006.</t>
  </si>
  <si>
    <t>7) Schätzung KOF Konjunkturforschungsstelle ETHZ [Medienmitteilung 12/09]</t>
  </si>
  <si>
    <t>Quelle: 1996-2007 : Statistisches Lexikon BFS, Kosten des Gesundheitswesens / 2008: Prognose der Gesundheitsausgaben, KOF</t>
  </si>
  <si>
    <r>
      <t xml:space="preserve">T 9.01  Kosten des Gesundheitswesens in der Schweiz aus der Sicht der sozialen Sicherheit </t>
    </r>
    <r>
      <rPr>
        <b/>
        <vertAlign val="superscript"/>
        <sz val="12"/>
        <rFont val="Arial"/>
        <family val="2"/>
      </rPr>
      <t>6</t>
    </r>
    <r>
      <rPr>
        <b/>
        <sz val="12"/>
        <rFont val="Arial"/>
        <family val="2"/>
      </rPr>
      <t xml:space="preserve"> in Mio. Fr. ab 1998</t>
    </r>
  </si>
  <si>
    <r>
      <t xml:space="preserve">Sicherheit </t>
    </r>
    <r>
      <rPr>
        <vertAlign val="superscript"/>
        <sz val="11"/>
        <rFont val="Arial"/>
        <family val="2"/>
      </rPr>
      <t>3</t>
    </r>
  </si>
  <si>
    <t>Sozialme-</t>
  </si>
  <si>
    <t>Detail-</t>
  </si>
  <si>
    <t>Organisa-</t>
  </si>
  <si>
    <t>dizinische</t>
  </si>
  <si>
    <t>Versor-</t>
  </si>
  <si>
    <t>tionen ohne</t>
  </si>
  <si>
    <t>Institu-</t>
  </si>
  <si>
    <t>Erwerbs-</t>
  </si>
  <si>
    <t>charakter</t>
  </si>
  <si>
    <t>1) Allgemeine Krankenhäuser; Psychiatrische Kliniken; Rehabilitationskliniken; andere Spezialkliniken.</t>
  </si>
  <si>
    <t>2) Institutionen für Betagte und Chronischkranke; Institutionen für Behinderte und andere Institutionen.</t>
  </si>
  <si>
    <t>3) Ärzte, Zahnärzte, Physiotherapeuten, Psychotherapeuten, Spitexdienste, medizinische Labors , (usw.).</t>
  </si>
  <si>
    <t>4) Apotheken, Drogerien und therapeutische Apparate.</t>
  </si>
  <si>
    <t>5) Bund, Kantone, Gemeinden.</t>
  </si>
  <si>
    <t>6) Krankenversicherer (KVG); Unfallversicherer (UVG); AHV-IV; Private Krankenversicherer (VVG).</t>
  </si>
  <si>
    <t>8) Neue BFS-Berechnungsmethode im 2008 -&gt; vom BFS revidierte Werte für 1996-&gt;2006.</t>
  </si>
  <si>
    <r>
      <t>T 9.03  Kosten des Gesundheitswesens in der Schweiz nach Leistungserbringer</t>
    </r>
    <r>
      <rPr>
        <b/>
        <vertAlign val="superscript"/>
        <sz val="12"/>
        <rFont val="Arial"/>
        <family val="2"/>
      </rPr>
      <t xml:space="preserve"> 8</t>
    </r>
    <r>
      <rPr>
        <b/>
        <sz val="12"/>
        <rFont val="Arial"/>
        <family val="2"/>
      </rPr>
      <t xml:space="preserve"> in Mio. Fr. ab 1998</t>
    </r>
  </si>
  <si>
    <r>
      <t xml:space="preserve">Staat </t>
    </r>
    <r>
      <rPr>
        <vertAlign val="superscript"/>
        <sz val="11"/>
        <rFont val="Arial"/>
        <family val="2"/>
      </rPr>
      <t>5</t>
    </r>
  </si>
  <si>
    <r>
      <t xml:space="preserve">häuser </t>
    </r>
    <r>
      <rPr>
        <vertAlign val="superscript"/>
        <sz val="11"/>
        <rFont val="Arial"/>
        <family val="2"/>
      </rPr>
      <t>1</t>
    </r>
  </si>
  <si>
    <r>
      <t xml:space="preserve">handel </t>
    </r>
    <r>
      <rPr>
        <vertAlign val="superscript"/>
        <sz val="11"/>
        <rFont val="Arial"/>
        <family val="2"/>
      </rPr>
      <t>4</t>
    </r>
  </si>
  <si>
    <r>
      <t xml:space="preserve">cherer </t>
    </r>
    <r>
      <rPr>
        <vertAlign val="superscript"/>
        <sz val="11"/>
        <rFont val="Arial"/>
        <family val="2"/>
      </rPr>
      <t>6</t>
    </r>
  </si>
  <si>
    <r>
      <t xml:space="preserve">gung </t>
    </r>
    <r>
      <rPr>
        <vertAlign val="superscript"/>
        <sz val="11"/>
        <rFont val="Arial"/>
        <family val="2"/>
      </rPr>
      <t>3</t>
    </r>
  </si>
  <si>
    <r>
      <t xml:space="preserve">tionen </t>
    </r>
    <r>
      <rPr>
        <vertAlign val="superscript"/>
        <sz val="11"/>
        <rFont val="Arial"/>
        <family val="2"/>
      </rPr>
      <t>2</t>
    </r>
  </si>
  <si>
    <t>Stationäre</t>
  </si>
  <si>
    <t>Verkauf</t>
  </si>
  <si>
    <t>Verwaltung</t>
  </si>
  <si>
    <t>und</t>
  </si>
  <si>
    <t>Gesund-</t>
  </si>
  <si>
    <t>teilstationäre</t>
  </si>
  <si>
    <t>1) Akutbehandlung Inkl. Psychiatrie; Rehabilitation; Lagzeit; Andere.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</si>
</sst>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0.0"/>
    <numFmt numFmtId="183" formatCode="#,##0.0"/>
    <numFmt numFmtId="184" formatCode="0.0%"/>
  </numFmts>
  <fonts count="118">
    <font>
      <sz val="10"/>
      <name val="55 Helvetica Roman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22"/>
      <name val="Arial"/>
      <family val="2"/>
    </font>
    <font>
      <b/>
      <i/>
      <sz val="18"/>
      <name val="Arial"/>
      <family val="2"/>
    </font>
    <font>
      <b/>
      <sz val="10"/>
      <name val="Arial"/>
      <family val="2"/>
    </font>
    <font>
      <i/>
      <sz val="12"/>
      <name val="55 Helvetica Roman"/>
    </font>
    <font>
      <sz val="12"/>
      <name val="55 Helvetica Roman"/>
    </font>
    <font>
      <b/>
      <sz val="10"/>
      <color indexed="9"/>
      <name val="55 Helvetica Roman"/>
    </font>
    <font>
      <b/>
      <sz val="20"/>
      <name val="55 Helvetica Roman"/>
    </font>
    <font>
      <b/>
      <sz val="10"/>
      <name val="55 Helvetica Roman"/>
    </font>
    <font>
      <b/>
      <sz val="12"/>
      <color indexed="10"/>
      <name val="55 Helvetica Roman"/>
    </font>
    <font>
      <i/>
      <sz val="11"/>
      <name val="55 Helvetica Roman"/>
    </font>
    <font>
      <sz val="12"/>
      <color indexed="8"/>
      <name val="Arial"/>
      <family val="2"/>
    </font>
    <font>
      <b/>
      <sz val="14"/>
      <name val="55 Helvetica Roman"/>
    </font>
    <font>
      <sz val="9"/>
      <name val="Arial"/>
      <family val="2"/>
    </font>
    <font>
      <b/>
      <i/>
      <sz val="24"/>
      <name val="Logo BAG"/>
      <family val="1"/>
    </font>
    <font>
      <b/>
      <i/>
      <sz val="12"/>
      <name val="55 Helvetica Roman"/>
    </font>
    <font>
      <b/>
      <sz val="11"/>
      <color indexed="9"/>
      <name val="55 Helvetica Roman"/>
    </font>
    <font>
      <b/>
      <sz val="12"/>
      <name val="55 Helvetica Roman"/>
    </font>
    <font>
      <sz val="8"/>
      <name val="Arial"/>
      <family val="2"/>
    </font>
    <font>
      <sz val="9"/>
      <name val="Geneva"/>
      <family val="2"/>
    </font>
    <font>
      <i/>
      <sz val="10"/>
      <name val="55 Helvetica Roman"/>
    </font>
    <font>
      <i/>
      <sz val="10"/>
      <name val="Arial"/>
      <family val="2"/>
    </font>
    <font>
      <sz val="10"/>
      <color indexed="10"/>
      <name val="55 Helvetica Roman"/>
    </font>
    <font>
      <b/>
      <sz val="9"/>
      <name val="55 Helvetica Roman"/>
    </font>
    <font>
      <sz val="9"/>
      <name val="55 Helvetica Roman"/>
    </font>
    <font>
      <sz val="10"/>
      <name val="Arial"/>
      <family val="2"/>
    </font>
    <font>
      <sz val="11"/>
      <name val="55 Helvetica Roman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b/>
      <sz val="12"/>
      <color indexed="12"/>
      <name val="Arial"/>
      <family val="2"/>
    </font>
    <font>
      <sz val="10"/>
      <name val="55 Helvetica Roman"/>
    </font>
    <font>
      <b/>
      <sz val="9"/>
      <name val="Arial"/>
      <family val="2"/>
    </font>
    <font>
      <b/>
      <sz val="11"/>
      <color indexed="42"/>
      <name val="Arial"/>
      <family val="2"/>
    </font>
    <font>
      <sz val="6"/>
      <name val="Arial"/>
      <family val="2"/>
    </font>
    <font>
      <b/>
      <sz val="11"/>
      <name val="55 Helvetica Roman"/>
    </font>
    <font>
      <sz val="11"/>
      <color indexed="10"/>
      <name val="55 Helvetica Roman"/>
    </font>
    <font>
      <vertAlign val="superscript"/>
      <sz val="10"/>
      <name val="Arial"/>
      <family val="2"/>
    </font>
    <font>
      <sz val="9"/>
      <name val="Arial"/>
      <family val="2"/>
    </font>
    <font>
      <i/>
      <sz val="11"/>
      <name val="Arial"/>
      <family val="2"/>
    </font>
    <font>
      <b/>
      <sz val="11"/>
      <color indexed="10"/>
      <name val="Arial"/>
      <family val="2"/>
    </font>
    <font>
      <sz val="8"/>
      <name val="55 Helvetica Roman"/>
    </font>
    <font>
      <sz val="10"/>
      <color indexed="10"/>
      <name val="Arial"/>
      <family val="2"/>
    </font>
    <font>
      <sz val="11"/>
      <color indexed="10"/>
      <name val="Arial"/>
      <family val="2"/>
    </font>
    <font>
      <b/>
      <vertAlign val="superscript"/>
      <sz val="12"/>
      <name val="Arial"/>
      <family val="2"/>
    </font>
    <font>
      <vertAlign val="superscript"/>
      <sz val="11"/>
      <name val="Arial"/>
      <family val="2"/>
    </font>
    <font>
      <b/>
      <sz val="14"/>
      <name val="Arial"/>
      <family val="2"/>
    </font>
    <font>
      <b/>
      <i/>
      <sz val="11"/>
      <name val="Arial"/>
      <family val="2"/>
    </font>
    <font>
      <b/>
      <i/>
      <u/>
      <sz val="11"/>
      <name val="Arial"/>
      <family val="2"/>
    </font>
    <font>
      <i/>
      <vertAlign val="superscript"/>
      <sz val="11"/>
      <name val="Arial"/>
      <family val="2"/>
    </font>
    <font>
      <b/>
      <vertAlign val="superscript"/>
      <sz val="12"/>
      <name val="55 Helvetica Roman"/>
    </font>
    <font>
      <i/>
      <sz val="12"/>
      <name val="Arial"/>
      <family val="2"/>
    </font>
    <font>
      <i/>
      <sz val="9"/>
      <name val="Arial"/>
      <family val="2"/>
    </font>
    <font>
      <b/>
      <vertAlign val="superscript"/>
      <sz val="1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0"/>
      <name val="Arial"/>
      <family val="2"/>
    </font>
    <font>
      <i/>
      <sz val="11"/>
      <color indexed="10"/>
      <name val="Arial"/>
      <family val="2"/>
    </font>
    <font>
      <vertAlign val="superscript"/>
      <sz val="9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vertAlign val="superscript"/>
      <sz val="11"/>
      <name val="Arial"/>
      <family val="2"/>
    </font>
    <font>
      <sz val="9"/>
      <color indexed="10"/>
      <name val="Arial"/>
      <family val="2"/>
    </font>
    <font>
      <vertAlign val="superscript"/>
      <sz val="10"/>
      <color indexed="10"/>
      <name val="Arial"/>
      <family val="2"/>
    </font>
    <font>
      <b/>
      <sz val="10"/>
      <color indexed="10"/>
      <name val="Arial"/>
      <family val="2"/>
    </font>
    <font>
      <vertAlign val="superscript"/>
      <sz val="9"/>
      <color indexed="10"/>
      <name val="Arial"/>
      <family val="2"/>
    </font>
    <font>
      <b/>
      <i/>
      <vertAlign val="superscript"/>
      <sz val="9"/>
      <name val="Arial"/>
      <family val="2"/>
    </font>
    <font>
      <b/>
      <i/>
      <sz val="9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i/>
      <sz val="8"/>
      <color indexed="10"/>
      <name val="Arial"/>
      <family val="2"/>
    </font>
    <font>
      <i/>
      <sz val="9"/>
      <color indexed="10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sz val="9"/>
      <color indexed="4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vertAlign val="superscript"/>
      <sz val="11"/>
      <color indexed="10"/>
      <name val="Arial"/>
      <family val="2"/>
    </font>
    <font>
      <sz val="10"/>
      <color indexed="14"/>
      <name val="Arial"/>
      <family val="2"/>
    </font>
    <font>
      <sz val="9"/>
      <color indexed="10"/>
      <name val="Arial"/>
      <family val="2"/>
    </font>
    <font>
      <sz val="10"/>
      <color indexed="9"/>
      <name val="Arial"/>
      <family val="2"/>
    </font>
    <font>
      <sz val="10"/>
      <name val="Tms Rmn"/>
    </font>
    <font>
      <sz val="8"/>
      <name val="Tms Rmn"/>
    </font>
    <font>
      <b/>
      <sz val="10"/>
      <name val="Tms Rmn"/>
    </font>
    <font>
      <i/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sz val="8"/>
      <color indexed="10"/>
      <name val="Arial"/>
      <family val="2"/>
    </font>
    <font>
      <b/>
      <vertAlign val="superscript"/>
      <sz val="9"/>
      <name val="Arial"/>
      <family val="2"/>
    </font>
    <font>
      <sz val="9"/>
      <name val="Tms Rmn"/>
    </font>
    <font>
      <b/>
      <vertAlign val="superscript"/>
      <sz val="8"/>
      <name val="Arial"/>
      <family val="2"/>
    </font>
    <font>
      <b/>
      <sz val="12"/>
      <name val="Times New Roman"/>
      <family val="1"/>
    </font>
    <font>
      <b/>
      <i/>
      <vertAlign val="superscript"/>
      <sz val="10"/>
      <name val="Arial"/>
      <family val="2"/>
    </font>
    <font>
      <b/>
      <i/>
      <sz val="8"/>
      <name val="Arial"/>
      <family val="2"/>
    </font>
    <font>
      <vertAlign val="superscript"/>
      <sz val="8"/>
      <name val="Arial"/>
      <family val="2"/>
    </font>
    <font>
      <b/>
      <u/>
      <sz val="10"/>
      <name val="Arial"/>
      <family val="2"/>
    </font>
    <font>
      <b/>
      <sz val="10"/>
      <color indexed="56"/>
      <name val="Arial"/>
      <family val="2"/>
    </font>
    <font>
      <b/>
      <sz val="12"/>
      <color indexed="10"/>
      <name val="Arial"/>
      <family val="2"/>
    </font>
    <font>
      <b/>
      <i/>
      <sz val="8"/>
      <color indexed="10"/>
      <name val="Arial"/>
      <family val="2"/>
    </font>
    <font>
      <b/>
      <sz val="9"/>
      <name val="Arial"/>
      <family val="2"/>
    </font>
    <font>
      <u/>
      <sz val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56"/>
      <name val="Arial"/>
      <family val="2"/>
    </font>
    <font>
      <i/>
      <sz val="9"/>
      <color indexed="56"/>
      <name val="Arial"/>
      <family val="2"/>
    </font>
    <font>
      <b/>
      <i/>
      <sz val="12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color indexed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lightGray">
        <fgColor indexed="22"/>
        <bgColor indexed="22"/>
      </patternFill>
    </fill>
    <fill>
      <patternFill patternType="solid">
        <fgColor indexed="47"/>
        <bgColor indexed="47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9"/>
      </bottom>
      <diagonal/>
    </border>
    <border>
      <left style="medium">
        <color indexed="64"/>
      </left>
      <right/>
      <top style="medium">
        <color indexed="9"/>
      </top>
      <bottom style="medium">
        <color indexed="9"/>
      </bottom>
      <diagonal/>
    </border>
    <border>
      <left style="medium">
        <color indexed="64"/>
      </left>
      <right/>
      <top/>
      <bottom style="medium">
        <color indexed="9"/>
      </bottom>
      <diagonal/>
    </border>
    <border>
      <left style="medium">
        <color indexed="64"/>
      </left>
      <right/>
      <top style="medium">
        <color indexed="9"/>
      </top>
      <bottom/>
      <diagonal/>
    </border>
    <border>
      <left style="medium">
        <color indexed="64"/>
      </left>
      <right/>
      <top style="medium">
        <color indexed="9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9"/>
      </bottom>
      <diagonal/>
    </border>
    <border>
      <left style="medium">
        <color indexed="64"/>
      </left>
      <right/>
      <top style="thin">
        <color indexed="8"/>
      </top>
      <bottom style="medium">
        <color indexed="9"/>
      </bottom>
      <diagonal/>
    </border>
    <border>
      <left/>
      <right style="medium">
        <color indexed="64"/>
      </right>
      <top style="medium">
        <color indexed="9"/>
      </top>
      <bottom style="medium">
        <color indexed="9"/>
      </bottom>
      <diagonal/>
    </border>
    <border>
      <left/>
      <right style="medium">
        <color indexed="64"/>
      </right>
      <top style="thin">
        <color indexed="8"/>
      </top>
      <bottom style="medium">
        <color indexed="9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3">
    <xf numFmtId="0" fontId="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7" fillId="0" borderId="0"/>
    <xf numFmtId="0" fontId="89" fillId="0" borderId="0"/>
    <xf numFmtId="0" fontId="89" fillId="0" borderId="0"/>
    <xf numFmtId="0" fontId="89" fillId="0" borderId="0"/>
    <xf numFmtId="0" fontId="30" fillId="0" borderId="0"/>
  </cellStyleXfs>
  <cellXfs count="2046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Fill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3" fontId="4" fillId="0" borderId="0" xfId="0" applyNumberFormat="1" applyFont="1"/>
    <xf numFmtId="3" fontId="3" fillId="0" borderId="0" xfId="0" applyNumberFormat="1" applyFont="1" applyBorder="1" applyAlignment="1">
      <alignment horizontal="right"/>
    </xf>
    <xf numFmtId="0" fontId="12" fillId="2" borderId="0" xfId="0" applyFont="1" applyFill="1"/>
    <xf numFmtId="0" fontId="0" fillId="2" borderId="0" xfId="0" applyFill="1"/>
    <xf numFmtId="0" fontId="4" fillId="2" borderId="0" xfId="0" applyFont="1" applyFill="1"/>
    <xf numFmtId="0" fontId="10" fillId="0" borderId="0" xfId="0" applyFont="1"/>
    <xf numFmtId="2" fontId="2" fillId="0" borderId="0" xfId="0" applyNumberFormat="1" applyFont="1"/>
    <xf numFmtId="2" fontId="10" fillId="0" borderId="0" xfId="0" applyNumberFormat="1" applyFont="1"/>
    <xf numFmtId="0" fontId="4" fillId="3" borderId="0" xfId="0" applyFont="1" applyFill="1"/>
    <xf numFmtId="0" fontId="2" fillId="0" borderId="0" xfId="0" applyFont="1"/>
    <xf numFmtId="0" fontId="11" fillId="4" borderId="0" xfId="0" applyFont="1" applyFill="1"/>
    <xf numFmtId="0" fontId="5" fillId="4" borderId="0" xfId="0" applyFont="1" applyFill="1"/>
    <xf numFmtId="0" fontId="19" fillId="0" borderId="0" xfId="0" applyFont="1"/>
    <xf numFmtId="0" fontId="4" fillId="5" borderId="0" xfId="0" applyFont="1" applyFill="1"/>
    <xf numFmtId="0" fontId="14" fillId="0" borderId="0" xfId="0" applyFont="1" applyFill="1"/>
    <xf numFmtId="14" fontId="4" fillId="5" borderId="0" xfId="0" applyNumberFormat="1" applyFont="1" applyFill="1"/>
    <xf numFmtId="0" fontId="0" fillId="0" borderId="0" xfId="0" applyFill="1"/>
    <xf numFmtId="9" fontId="26" fillId="0" borderId="0" xfId="0" applyNumberFormat="1" applyFont="1" applyFill="1" applyAlignment="1">
      <alignment horizontal="right"/>
    </xf>
    <xf numFmtId="2" fontId="4" fillId="5" borderId="0" xfId="0" applyNumberFormat="1" applyFont="1" applyFill="1" applyAlignment="1">
      <alignment horizontal="left"/>
    </xf>
    <xf numFmtId="0" fontId="12" fillId="0" borderId="0" xfId="0" applyFont="1" applyFill="1"/>
    <xf numFmtId="0" fontId="13" fillId="0" borderId="0" xfId="0" applyFont="1" applyFill="1"/>
    <xf numFmtId="0" fontId="28" fillId="2" borderId="0" xfId="0" applyFont="1" applyFill="1"/>
    <xf numFmtId="0" fontId="29" fillId="2" borderId="0" xfId="0" applyFont="1" applyFill="1"/>
    <xf numFmtId="0" fontId="18" fillId="2" borderId="0" xfId="0" applyFont="1" applyFill="1"/>
    <xf numFmtId="14" fontId="4" fillId="0" borderId="0" xfId="0" applyNumberFormat="1" applyFont="1" applyFill="1"/>
    <xf numFmtId="2" fontId="4" fillId="0" borderId="0" xfId="0" applyNumberFormat="1" applyFont="1" applyFill="1" applyAlignment="1">
      <alignment horizontal="left"/>
    </xf>
    <xf numFmtId="0" fontId="4" fillId="0" borderId="1" xfId="0" applyFont="1" applyBorder="1"/>
    <xf numFmtId="0" fontId="22" fillId="0" borderId="0" xfId="0" applyFont="1" applyFill="1"/>
    <xf numFmtId="0" fontId="29" fillId="0" borderId="0" xfId="0" applyFont="1" applyFill="1"/>
    <xf numFmtId="0" fontId="18" fillId="0" borderId="0" xfId="0" applyFont="1" applyFill="1"/>
    <xf numFmtId="0" fontId="25" fillId="0" borderId="0" xfId="0" applyFont="1" applyFill="1"/>
    <xf numFmtId="0" fontId="36" fillId="0" borderId="0" xfId="0" applyFont="1"/>
    <xf numFmtId="0" fontId="39" fillId="2" borderId="0" xfId="0" applyFont="1" applyFill="1"/>
    <xf numFmtId="0" fontId="13" fillId="2" borderId="0" xfId="0" applyFont="1" applyFill="1"/>
    <xf numFmtId="14" fontId="29" fillId="2" borderId="0" xfId="0" applyNumberFormat="1" applyFont="1" applyFill="1"/>
    <xf numFmtId="0" fontId="38" fillId="2" borderId="0" xfId="0" applyFont="1" applyFill="1"/>
    <xf numFmtId="0" fontId="38" fillId="0" borderId="0" xfId="0" applyFont="1" applyFill="1"/>
    <xf numFmtId="0" fontId="41" fillId="5" borderId="0" xfId="0" applyFont="1" applyFill="1"/>
    <xf numFmtId="0" fontId="2" fillId="0" borderId="0" xfId="6" applyFont="1"/>
    <xf numFmtId="0" fontId="30" fillId="0" borderId="0" xfId="6"/>
    <xf numFmtId="0" fontId="4" fillId="0" borderId="0" xfId="6" applyFont="1"/>
    <xf numFmtId="0" fontId="23" fillId="0" borderId="0" xfId="6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3" fontId="1" fillId="0" borderId="0" xfId="0" applyNumberFormat="1" applyFont="1" applyFill="1"/>
    <xf numFmtId="0" fontId="1" fillId="0" borderId="0" xfId="0" applyNumberFormat="1" applyFont="1" applyFill="1"/>
    <xf numFmtId="0" fontId="2" fillId="0" borderId="0" xfId="0" applyFont="1" applyBorder="1" applyAlignment="1">
      <alignment vertical="top"/>
    </xf>
    <xf numFmtId="0" fontId="2" fillId="0" borderId="0" xfId="0" applyFont="1" applyFill="1"/>
    <xf numFmtId="0" fontId="4" fillId="3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3" fontId="4" fillId="6" borderId="2" xfId="0" applyNumberFormat="1" applyFont="1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0" fontId="4" fillId="3" borderId="2" xfId="0" applyNumberFormat="1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3" fontId="4" fillId="6" borderId="0" xfId="0" applyNumberFormat="1" applyFont="1" applyFill="1" applyBorder="1" applyAlignment="1">
      <alignment horizontal="center"/>
    </xf>
    <xf numFmtId="3" fontId="4" fillId="3" borderId="0" xfId="0" applyNumberFormat="1" applyFont="1" applyFill="1" applyBorder="1" applyAlignment="1">
      <alignment horizontal="center"/>
    </xf>
    <xf numFmtId="0" fontId="4" fillId="3" borderId="0" xfId="0" applyNumberFormat="1" applyFont="1" applyFill="1" applyBorder="1" applyAlignment="1">
      <alignment horizontal="left"/>
    </xf>
    <xf numFmtId="0" fontId="4" fillId="3" borderId="0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3" fontId="4" fillId="6" borderId="3" xfId="0" applyNumberFormat="1" applyFont="1" applyFill="1" applyBorder="1" applyAlignment="1">
      <alignment horizontal="center" vertical="top"/>
    </xf>
    <xf numFmtId="3" fontId="4" fillId="3" borderId="3" xfId="0" applyNumberFormat="1" applyFont="1" applyFill="1" applyBorder="1" applyAlignment="1">
      <alignment horizontal="center" vertical="top"/>
    </xf>
    <xf numFmtId="0" fontId="4" fillId="3" borderId="3" xfId="0" applyNumberFormat="1" applyFont="1" applyFill="1" applyBorder="1" applyAlignment="1">
      <alignment horizontal="center" vertical="top"/>
    </xf>
    <xf numFmtId="1" fontId="4" fillId="3" borderId="4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left" vertical="center"/>
    </xf>
    <xf numFmtId="14" fontId="4" fillId="6" borderId="4" xfId="0" quotePrefix="1" applyNumberFormat="1" applyFont="1" applyFill="1" applyBorder="1" applyAlignment="1">
      <alignment horizontal="center" vertical="center"/>
    </xf>
    <xf numFmtId="183" fontId="4" fillId="3" borderId="4" xfId="0" applyNumberFormat="1" applyFont="1" applyFill="1" applyBorder="1" applyAlignment="1">
      <alignment horizontal="center" vertical="center" wrapText="1"/>
    </xf>
    <xf numFmtId="183" fontId="4" fillId="6" borderId="4" xfId="0" applyNumberFormat="1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183" fontId="4" fillId="3" borderId="4" xfId="0" applyNumberFormat="1" applyFont="1" applyFill="1" applyBorder="1" applyAlignment="1">
      <alignment horizontal="left" vertical="center" wrapText="1"/>
    </xf>
    <xf numFmtId="1" fontId="4" fillId="3" borderId="4" xfId="0" applyNumberFormat="1" applyFont="1" applyFill="1" applyBorder="1" applyAlignment="1">
      <alignment horizontal="left" vertical="center" wrapText="1"/>
    </xf>
    <xf numFmtId="183" fontId="4" fillId="3" borderId="4" xfId="0" applyNumberFormat="1" applyFont="1" applyFill="1" applyBorder="1" applyAlignment="1">
      <alignment vertical="center" wrapText="1"/>
    </xf>
    <xf numFmtId="0" fontId="8" fillId="0" borderId="0" xfId="0" applyNumberFormat="1" applyFont="1" applyAlignment="1">
      <alignment horizontal="center"/>
    </xf>
    <xf numFmtId="14" fontId="4" fillId="6" borderId="4" xfId="0" applyNumberFormat="1" applyFont="1" applyFill="1" applyBorder="1" applyAlignment="1">
      <alignment horizontal="center" vertical="center"/>
    </xf>
    <xf numFmtId="0" fontId="8" fillId="3" borderId="5" xfId="0" applyNumberFormat="1" applyFont="1" applyFill="1" applyBorder="1" applyAlignment="1">
      <alignment horizontal="center" vertical="center"/>
    </xf>
    <xf numFmtId="0" fontId="8" fillId="3" borderId="5" xfId="0" applyNumberFormat="1" applyFont="1" applyFill="1" applyBorder="1" applyAlignment="1">
      <alignment horizontal="left" vertical="center"/>
    </xf>
    <xf numFmtId="0" fontId="8" fillId="6" borderId="5" xfId="0" applyNumberFormat="1" applyFont="1" applyFill="1" applyBorder="1" applyAlignment="1">
      <alignment horizontal="center" vertical="center"/>
    </xf>
    <xf numFmtId="0" fontId="8" fillId="6" borderId="5" xfId="0" quotePrefix="1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NumberFormat="1" applyFont="1"/>
    <xf numFmtId="1" fontId="4" fillId="0" borderId="0" xfId="0" applyNumberFormat="1" applyFont="1" applyAlignment="1">
      <alignment horizontal="left"/>
    </xf>
    <xf numFmtId="1" fontId="4" fillId="0" borderId="0" xfId="0" applyNumberFormat="1" applyFont="1"/>
    <xf numFmtId="1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3" applyFont="1"/>
    <xf numFmtId="0" fontId="30" fillId="0" borderId="0" xfId="3"/>
    <xf numFmtId="2" fontId="44" fillId="0" borderId="0" xfId="3" applyNumberFormat="1" applyFont="1"/>
    <xf numFmtId="0" fontId="4" fillId="0" borderId="0" xfId="3" applyFont="1" applyAlignment="1"/>
    <xf numFmtId="0" fontId="23" fillId="0" borderId="0" xfId="3" applyFont="1"/>
    <xf numFmtId="0" fontId="2" fillId="0" borderId="0" xfId="4" applyFont="1"/>
    <xf numFmtId="0" fontId="30" fillId="0" borderId="0" xfId="4"/>
    <xf numFmtId="0" fontId="18" fillId="0" borderId="0" xfId="4" applyFont="1" applyAlignment="1"/>
    <xf numFmtId="0" fontId="18" fillId="0" borderId="0" xfId="4" applyFont="1"/>
    <xf numFmtId="0" fontId="30" fillId="0" borderId="0" xfId="4" applyAlignment="1"/>
    <xf numFmtId="2" fontId="18" fillId="0" borderId="0" xfId="4" quotePrefix="1" applyNumberFormat="1" applyFont="1"/>
    <xf numFmtId="0" fontId="18" fillId="0" borderId="0" xfId="4" quotePrefix="1" applyFont="1" applyAlignment="1">
      <alignment horizontal="right"/>
    </xf>
    <xf numFmtId="0" fontId="23" fillId="0" borderId="0" xfId="4" applyFont="1"/>
    <xf numFmtId="0" fontId="2" fillId="0" borderId="0" xfId="2" applyFont="1"/>
    <xf numFmtId="0" fontId="30" fillId="0" borderId="0" xfId="2"/>
    <xf numFmtId="0" fontId="18" fillId="0" borderId="0" xfId="2" quotePrefix="1" applyFont="1" applyAlignment="1"/>
    <xf numFmtId="0" fontId="18" fillId="0" borderId="0" xfId="2" applyFont="1" applyAlignment="1"/>
    <xf numFmtId="0" fontId="30" fillId="0" borderId="0" xfId="2" applyAlignment="1"/>
    <xf numFmtId="2" fontId="18" fillId="0" borderId="0" xfId="2" quotePrefix="1" applyNumberFormat="1" applyFont="1"/>
    <xf numFmtId="0" fontId="18" fillId="0" borderId="0" xfId="2" applyFont="1"/>
    <xf numFmtId="0" fontId="23" fillId="0" borderId="0" xfId="2" applyFont="1"/>
    <xf numFmtId="0" fontId="2" fillId="0" borderId="0" xfId="1" applyFont="1"/>
    <xf numFmtId="0" fontId="30" fillId="0" borderId="0" xfId="1"/>
    <xf numFmtId="2" fontId="44" fillId="0" borderId="0" xfId="1" applyNumberFormat="1" applyFont="1"/>
    <xf numFmtId="0" fontId="44" fillId="0" borderId="0" xfId="1" applyFont="1"/>
    <xf numFmtId="0" fontId="44" fillId="0" borderId="0" xfId="1" applyFont="1" applyAlignment="1"/>
    <xf numFmtId="0" fontId="4" fillId="0" borderId="0" xfId="1" quotePrefix="1" applyFont="1" applyAlignment="1">
      <alignment horizontal="right"/>
    </xf>
    <xf numFmtId="0" fontId="4" fillId="0" borderId="0" xfId="1" applyFont="1" applyAlignment="1"/>
    <xf numFmtId="0" fontId="23" fillId="0" borderId="0" xfId="1" applyFont="1"/>
    <xf numFmtId="0" fontId="2" fillId="0" borderId="0" xfId="9" applyFont="1"/>
    <xf numFmtId="0" fontId="30" fillId="0" borderId="0" xfId="9"/>
    <xf numFmtId="2" fontId="18" fillId="0" borderId="0" xfId="9" applyNumberFormat="1" applyFont="1"/>
    <xf numFmtId="0" fontId="18" fillId="0" borderId="0" xfId="9" applyFont="1" applyAlignment="1"/>
    <xf numFmtId="0" fontId="44" fillId="0" borderId="0" xfId="9" applyFont="1"/>
    <xf numFmtId="0" fontId="18" fillId="0" borderId="0" xfId="9" applyFont="1"/>
    <xf numFmtId="0" fontId="2" fillId="0" borderId="0" xfId="5" applyFont="1"/>
    <xf numFmtId="0" fontId="30" fillId="0" borderId="0" xfId="5"/>
    <xf numFmtId="0" fontId="18" fillId="0" borderId="0" xfId="5" applyFont="1"/>
    <xf numFmtId="0" fontId="18" fillId="0" borderId="0" xfId="5" applyFont="1" applyAlignment="1"/>
    <xf numFmtId="0" fontId="18" fillId="0" borderId="0" xfId="5" quotePrefix="1" applyFont="1" applyAlignment="1">
      <alignment horizontal="right"/>
    </xf>
    <xf numFmtId="0" fontId="23" fillId="0" borderId="0" xfId="5" applyFont="1"/>
    <xf numFmtId="0" fontId="22" fillId="0" borderId="0" xfId="7" applyFont="1"/>
    <xf numFmtId="0" fontId="30" fillId="0" borderId="0" xfId="7"/>
    <xf numFmtId="0" fontId="2" fillId="0" borderId="0" xfId="7" applyFont="1"/>
    <xf numFmtId="0" fontId="4" fillId="0" borderId="0" xfId="7" applyFont="1" applyAlignment="1"/>
    <xf numFmtId="0" fontId="18" fillId="0" borderId="0" xfId="7" applyFont="1"/>
    <xf numFmtId="0" fontId="22" fillId="0" borderId="0" xfId="8" applyFont="1"/>
    <xf numFmtId="0" fontId="30" fillId="0" borderId="0" xfId="8"/>
    <xf numFmtId="0" fontId="2" fillId="0" borderId="0" xfId="8" applyFont="1"/>
    <xf numFmtId="0" fontId="4" fillId="0" borderId="0" xfId="8" applyFont="1"/>
    <xf numFmtId="0" fontId="4" fillId="0" borderId="0" xfId="8" applyFont="1" applyAlignment="1"/>
    <xf numFmtId="0" fontId="18" fillId="0" borderId="0" xfId="8" applyFont="1"/>
    <xf numFmtId="0" fontId="22" fillId="0" borderId="0" xfId="10" applyFont="1"/>
    <xf numFmtId="0" fontId="30" fillId="0" borderId="0" xfId="10"/>
    <xf numFmtId="0" fontId="2" fillId="0" borderId="0" xfId="10" applyFont="1"/>
    <xf numFmtId="2" fontId="44" fillId="0" borderId="0" xfId="10" applyNumberFormat="1" applyFont="1"/>
    <xf numFmtId="0" fontId="44" fillId="0" borderId="0" xfId="10" applyFont="1" applyAlignment="1"/>
    <xf numFmtId="0" fontId="44" fillId="0" borderId="0" xfId="10" applyFont="1"/>
    <xf numFmtId="0" fontId="23" fillId="0" borderId="0" xfId="10" applyFont="1"/>
    <xf numFmtId="0" fontId="18" fillId="0" borderId="0" xfId="10" applyFont="1" applyAlignment="1"/>
    <xf numFmtId="0" fontId="26" fillId="0" borderId="0" xfId="0" applyFont="1"/>
    <xf numFmtId="0" fontId="37" fillId="0" borderId="0" xfId="0" applyFont="1" applyFill="1"/>
    <xf numFmtId="0" fontId="27" fillId="0" borderId="0" xfId="0" applyFont="1" applyFill="1"/>
    <xf numFmtId="0" fontId="4" fillId="0" borderId="0" xfId="11" applyFont="1" applyAlignment="1">
      <alignment horizontal="right"/>
    </xf>
    <xf numFmtId="0" fontId="31" fillId="0" borderId="0" xfId="11" applyFont="1"/>
    <xf numFmtId="0" fontId="8" fillId="0" borderId="0" xfId="0" applyFont="1" applyFill="1"/>
    <xf numFmtId="0" fontId="46" fillId="2" borderId="0" xfId="0" applyFont="1" applyFill="1"/>
    <xf numFmtId="0" fontId="30" fillId="0" borderId="0" xfId="3" applyFont="1"/>
    <xf numFmtId="0" fontId="26" fillId="0" borderId="1" xfId="0" applyFont="1" applyBorder="1"/>
    <xf numFmtId="0" fontId="23" fillId="0" borderId="0" xfId="9" applyFont="1" applyFill="1" applyBorder="1"/>
    <xf numFmtId="14" fontId="47" fillId="2" borderId="0" xfId="0" applyNumberFormat="1" applyFont="1" applyFill="1"/>
    <xf numFmtId="0" fontId="13" fillId="4" borderId="0" xfId="0" applyFont="1" applyFill="1"/>
    <xf numFmtId="0" fontId="8" fillId="4" borderId="0" xfId="0" applyFont="1" applyFill="1"/>
    <xf numFmtId="0" fontId="44" fillId="0" borderId="0" xfId="0" applyFont="1"/>
    <xf numFmtId="0" fontId="48" fillId="2" borderId="0" xfId="0" applyFont="1" applyFill="1"/>
    <xf numFmtId="0" fontId="45" fillId="7" borderId="0" xfId="0" applyFont="1" applyFill="1" applyAlignment="1">
      <alignment horizontal="left"/>
    </xf>
    <xf numFmtId="0" fontId="45" fillId="7" borderId="0" xfId="0" applyFont="1" applyFill="1"/>
    <xf numFmtId="0" fontId="26" fillId="7" borderId="0" xfId="0" applyFont="1" applyFill="1"/>
    <xf numFmtId="0" fontId="2" fillId="0" borderId="0" xfId="0" applyFont="1" applyAlignment="1">
      <alignment vertical="top"/>
    </xf>
    <xf numFmtId="0" fontId="3" fillId="3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0" fontId="3" fillId="6" borderId="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top"/>
    </xf>
    <xf numFmtId="0" fontId="3" fillId="6" borderId="3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right" vertical="top"/>
    </xf>
    <xf numFmtId="0" fontId="3" fillId="6" borderId="3" xfId="0" applyFont="1" applyFill="1" applyBorder="1" applyAlignment="1">
      <alignment horizontal="right" vertical="top"/>
    </xf>
    <xf numFmtId="0" fontId="3" fillId="0" borderId="0" xfId="0" applyFont="1"/>
    <xf numFmtId="0" fontId="3" fillId="3" borderId="6" xfId="0" applyFont="1" applyFill="1" applyBorder="1" applyAlignment="1">
      <alignment horizontal="left"/>
    </xf>
    <xf numFmtId="3" fontId="3" fillId="6" borderId="6" xfId="0" applyNumberFormat="1" applyFont="1" applyFill="1" applyBorder="1"/>
    <xf numFmtId="3" fontId="3" fillId="3" borderId="6" xfId="0" applyNumberFormat="1" applyFont="1" applyFill="1" applyBorder="1"/>
    <xf numFmtId="184" fontId="3" fillId="6" borderId="6" xfId="0" applyNumberFormat="1" applyFont="1" applyFill="1" applyBorder="1" applyAlignment="1">
      <alignment horizontal="center"/>
    </xf>
    <xf numFmtId="3" fontId="3" fillId="0" borderId="0" xfId="0" applyNumberFormat="1" applyFont="1"/>
    <xf numFmtId="0" fontId="3" fillId="3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3" fontId="5" fillId="6" borderId="6" xfId="0" applyNumberFormat="1" applyFont="1" applyFill="1" applyBorder="1" applyAlignment="1">
      <alignment vertical="center"/>
    </xf>
    <xf numFmtId="3" fontId="5" fillId="3" borderId="6" xfId="0" applyNumberFormat="1" applyFont="1" applyFill="1" applyBorder="1" applyAlignment="1">
      <alignment vertical="center"/>
    </xf>
    <xf numFmtId="184" fontId="5" fillId="6" borderId="6" xfId="0" applyNumberFormat="1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0" xfId="0" applyFont="1" applyBorder="1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8" borderId="0" xfId="0" applyFont="1" applyFill="1" applyAlignment="1">
      <alignment horizontal="right" vertical="top"/>
    </xf>
    <xf numFmtId="3" fontId="3" fillId="6" borderId="2" xfId="0" applyNumberFormat="1" applyFont="1" applyFill="1" applyBorder="1" applyAlignment="1">
      <alignment horizontal="right"/>
    </xf>
    <xf numFmtId="3" fontId="3" fillId="6" borderId="0" xfId="0" applyNumberFormat="1" applyFont="1" applyFill="1" applyBorder="1" applyAlignment="1">
      <alignment horizontal="right"/>
    </xf>
    <xf numFmtId="3" fontId="3" fillId="6" borderId="3" xfId="0" applyNumberFormat="1" applyFont="1" applyFill="1" applyBorder="1" applyAlignment="1">
      <alignment horizontal="right" vertical="top"/>
    </xf>
    <xf numFmtId="3" fontId="3" fillId="6" borderId="4" xfId="0" applyNumberFormat="1" applyFont="1" applyFill="1" applyBorder="1" applyAlignment="1">
      <alignment horizontal="right"/>
    </xf>
    <xf numFmtId="184" fontId="3" fillId="3" borderId="4" xfId="0" applyNumberFormat="1" applyFont="1" applyFill="1" applyBorder="1" applyAlignment="1">
      <alignment horizontal="right"/>
    </xf>
    <xf numFmtId="3" fontId="3" fillId="6" borderId="7" xfId="0" applyNumberFormat="1" applyFont="1" applyFill="1" applyBorder="1" applyAlignment="1">
      <alignment horizontal="right"/>
    </xf>
    <xf numFmtId="184" fontId="3" fillId="3" borderId="7" xfId="0" applyNumberFormat="1" applyFont="1" applyFill="1" applyBorder="1" applyAlignment="1">
      <alignment horizontal="right"/>
    </xf>
    <xf numFmtId="3" fontId="5" fillId="6" borderId="7" xfId="0" applyNumberFormat="1" applyFont="1" applyFill="1" applyBorder="1" applyAlignment="1">
      <alignment horizontal="right" vertical="center"/>
    </xf>
    <xf numFmtId="184" fontId="5" fillId="3" borderId="7" xfId="0" applyNumberFormat="1" applyFont="1" applyFill="1" applyBorder="1" applyAlignment="1">
      <alignment horizontal="right" vertical="center"/>
    </xf>
    <xf numFmtId="0" fontId="8" fillId="0" borderId="0" xfId="0" applyFont="1"/>
    <xf numFmtId="1" fontId="8" fillId="0" borderId="0" xfId="0" applyNumberFormat="1" applyFont="1"/>
    <xf numFmtId="3" fontId="4" fillId="0" borderId="8" xfId="0" applyNumberFormat="1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3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8" borderId="0" xfId="0" applyFont="1" applyFill="1" applyBorder="1" applyProtection="1"/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8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184" fontId="3" fillId="3" borderId="6" xfId="0" applyNumberFormat="1" applyFont="1" applyFill="1" applyBorder="1" applyAlignment="1">
      <alignment horizontal="center"/>
    </xf>
    <xf numFmtId="184" fontId="5" fillId="3" borderId="6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3" fillId="6" borderId="4" xfId="0" applyNumberFormat="1" applyFont="1" applyFill="1" applyBorder="1"/>
    <xf numFmtId="3" fontId="3" fillId="3" borderId="4" xfId="0" applyNumberFormat="1" applyFont="1" applyFill="1" applyBorder="1"/>
    <xf numFmtId="3" fontId="3" fillId="6" borderId="7" xfId="0" applyNumberFormat="1" applyFont="1" applyFill="1" applyBorder="1"/>
    <xf numFmtId="3" fontId="3" fillId="3" borderId="7" xfId="0" applyNumberFormat="1" applyFont="1" applyFill="1" applyBorder="1"/>
    <xf numFmtId="3" fontId="5" fillId="6" borderId="7" xfId="0" applyNumberFormat="1" applyFont="1" applyFill="1" applyBorder="1" applyAlignment="1">
      <alignment vertical="center"/>
    </xf>
    <xf numFmtId="3" fontId="5" fillId="3" borderId="7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top"/>
    </xf>
    <xf numFmtId="3" fontId="1" fillId="0" borderId="0" xfId="0" applyNumberFormat="1" applyFont="1"/>
    <xf numFmtId="0" fontId="2" fillId="0" borderId="0" xfId="0" applyFont="1" applyAlignment="1">
      <alignment horizontal="right" vertical="top"/>
    </xf>
    <xf numFmtId="3" fontId="3" fillId="3" borderId="2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center"/>
    </xf>
    <xf numFmtId="3" fontId="3" fillId="6" borderId="0" xfId="0" applyNumberFormat="1" applyFont="1" applyFill="1" applyBorder="1" applyAlignment="1">
      <alignment horizontal="center"/>
    </xf>
    <xf numFmtId="3" fontId="3" fillId="3" borderId="0" xfId="0" applyNumberFormat="1" applyFont="1" applyFill="1" applyBorder="1" applyAlignment="1">
      <alignment horizontal="right"/>
    </xf>
    <xf numFmtId="3" fontId="3" fillId="6" borderId="3" xfId="0" applyNumberFormat="1" applyFont="1" applyFill="1" applyBorder="1" applyAlignment="1">
      <alignment horizontal="center" vertical="top"/>
    </xf>
    <xf numFmtId="3" fontId="3" fillId="3" borderId="3" xfId="0" applyNumberFormat="1" applyFont="1" applyFill="1" applyBorder="1" applyAlignment="1">
      <alignment horizontal="center" vertical="top"/>
    </xf>
    <xf numFmtId="3" fontId="3" fillId="3" borderId="3" xfId="0" applyNumberFormat="1" applyFont="1" applyFill="1" applyBorder="1" applyAlignment="1">
      <alignment horizontal="right" vertical="top"/>
    </xf>
    <xf numFmtId="3" fontId="5" fillId="6" borderId="4" xfId="0" applyNumberFormat="1" applyFont="1" applyFill="1" applyBorder="1" applyAlignment="1">
      <alignment vertical="center"/>
    </xf>
    <xf numFmtId="3" fontId="5" fillId="3" borderId="4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4" fillId="0" borderId="8" xfId="0" applyNumberFormat="1" applyFont="1" applyBorder="1"/>
    <xf numFmtId="3" fontId="4" fillId="0" borderId="0" xfId="0" applyNumberFormat="1" applyFont="1" applyBorder="1"/>
    <xf numFmtId="0" fontId="4" fillId="0" borderId="0" xfId="0" applyFont="1" applyBorder="1" applyAlignment="1">
      <alignment vertical="top"/>
    </xf>
    <xf numFmtId="0" fontId="8" fillId="0" borderId="0" xfId="0" applyFont="1" applyAlignment="1">
      <alignment horizontal="center"/>
    </xf>
    <xf numFmtId="3" fontId="3" fillId="3" borderId="4" xfId="0" applyNumberFormat="1" applyFont="1" applyFill="1" applyBorder="1" applyAlignment="1">
      <alignment horizontal="right"/>
    </xf>
    <xf numFmtId="3" fontId="5" fillId="6" borderId="4" xfId="0" applyNumberFormat="1" applyFont="1" applyFill="1" applyBorder="1" applyAlignment="1">
      <alignment horizontal="right" vertical="center"/>
    </xf>
    <xf numFmtId="3" fontId="5" fillId="3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2" fontId="4" fillId="0" borderId="0" xfId="0" applyNumberFormat="1" applyFont="1"/>
    <xf numFmtId="3" fontId="3" fillId="3" borderId="7" xfId="0" applyNumberFormat="1" applyFont="1" applyFill="1" applyBorder="1" applyAlignment="1">
      <alignment horizontal="right"/>
    </xf>
    <xf numFmtId="3" fontId="5" fillId="3" borderId="7" xfId="0" applyNumberFormat="1" applyFont="1" applyFill="1" applyBorder="1" applyAlignment="1">
      <alignment horizontal="right" vertical="center"/>
    </xf>
    <xf numFmtId="0" fontId="0" fillId="0" borderId="0" xfId="0" applyBorder="1"/>
    <xf numFmtId="0" fontId="4" fillId="0" borderId="0" xfId="0" applyFont="1" applyFill="1" applyBorder="1"/>
    <xf numFmtId="3" fontId="4" fillId="0" borderId="0" xfId="0" applyNumberFormat="1" applyFont="1" applyFill="1" applyBorder="1" applyAlignment="1">
      <alignment horizontal="right"/>
    </xf>
    <xf numFmtId="0" fontId="1" fillId="0" borderId="0" xfId="0" applyFont="1" applyAlignment="1">
      <alignment vertical="center"/>
    </xf>
    <xf numFmtId="0" fontId="3" fillId="6" borderId="9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right"/>
    </xf>
    <xf numFmtId="0" fontId="3" fillId="6" borderId="9" xfId="0" applyFont="1" applyFill="1" applyBorder="1" applyAlignment="1">
      <alignment horizontal="right"/>
    </xf>
    <xf numFmtId="0" fontId="3" fillId="6" borderId="10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top"/>
    </xf>
    <xf numFmtId="0" fontId="3" fillId="3" borderId="4" xfId="0" quotePrefix="1" applyFont="1" applyFill="1" applyBorder="1" applyAlignment="1">
      <alignment horizontal="left"/>
    </xf>
    <xf numFmtId="183" fontId="3" fillId="3" borderId="4" xfId="0" applyNumberFormat="1" applyFont="1" applyFill="1" applyBorder="1" applyAlignment="1">
      <alignment horizontal="right"/>
    </xf>
    <xf numFmtId="0" fontId="3" fillId="3" borderId="7" xfId="0" quotePrefix="1" applyFont="1" applyFill="1" applyBorder="1" applyAlignment="1">
      <alignment horizontal="left"/>
    </xf>
    <xf numFmtId="0" fontId="5" fillId="3" borderId="7" xfId="0" quotePrefix="1" applyFont="1" applyFill="1" applyBorder="1" applyAlignment="1">
      <alignment horizontal="left"/>
    </xf>
    <xf numFmtId="3" fontId="5" fillId="6" borderId="7" xfId="0" applyNumberFormat="1" applyFont="1" applyFill="1" applyBorder="1" applyAlignment="1">
      <alignment horizontal="right"/>
    </xf>
    <xf numFmtId="184" fontId="5" fillId="3" borderId="7" xfId="0" applyNumberFormat="1" applyFont="1" applyFill="1" applyBorder="1" applyAlignment="1">
      <alignment horizontal="right"/>
    </xf>
    <xf numFmtId="3" fontId="5" fillId="6" borderId="7" xfId="0" applyNumberFormat="1" applyFont="1" applyFill="1" applyBorder="1"/>
    <xf numFmtId="0" fontId="31" fillId="7" borderId="0" xfId="0" applyFont="1" applyFill="1" applyAlignment="1">
      <alignment horizontal="left"/>
    </xf>
    <xf numFmtId="2" fontId="15" fillId="7" borderId="0" xfId="0" applyNumberFormat="1" applyFont="1" applyFill="1" applyAlignment="1">
      <alignment horizontal="center"/>
    </xf>
    <xf numFmtId="0" fontId="16" fillId="7" borderId="0" xfId="0" applyFont="1" applyFill="1" applyAlignment="1"/>
    <xf numFmtId="0" fontId="4" fillId="7" borderId="0" xfId="0" applyFont="1" applyFill="1"/>
    <xf numFmtId="0" fontId="0" fillId="0" borderId="3" xfId="0" applyBorder="1" applyAlignment="1">
      <alignment wrapText="1"/>
    </xf>
    <xf numFmtId="0" fontId="52" fillId="8" borderId="0" xfId="0" applyFont="1" applyFill="1" applyAlignment="1">
      <alignment vertical="top"/>
    </xf>
    <xf numFmtId="0" fontId="18" fillId="8" borderId="0" xfId="0" applyFont="1" applyFill="1"/>
    <xf numFmtId="0" fontId="4" fillId="8" borderId="0" xfId="0" applyFont="1" applyFill="1"/>
    <xf numFmtId="0" fontId="8" fillId="8" borderId="0" xfId="0" applyFont="1" applyFill="1"/>
    <xf numFmtId="0" fontId="52" fillId="8" borderId="3" xfId="0" applyFont="1" applyFill="1" applyBorder="1" applyAlignment="1">
      <alignment vertical="top"/>
    </xf>
    <xf numFmtId="0" fontId="18" fillId="8" borderId="3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8" fillId="8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4" fillId="0" borderId="3" xfId="0" applyFont="1" applyBorder="1"/>
    <xf numFmtId="0" fontId="2" fillId="0" borderId="3" xfId="0" applyFont="1" applyBorder="1" applyAlignment="1">
      <alignment vertical="top"/>
    </xf>
    <xf numFmtId="0" fontId="32" fillId="6" borderId="0" xfId="0" applyFont="1" applyFill="1" applyBorder="1" applyAlignment="1">
      <alignment horizontal="center"/>
    </xf>
    <xf numFmtId="0" fontId="5" fillId="6" borderId="0" xfId="0" applyFont="1" applyFill="1" applyBorder="1"/>
    <xf numFmtId="0" fontId="5" fillId="3" borderId="0" xfId="0" applyFont="1" applyFill="1" applyBorder="1"/>
    <xf numFmtId="0" fontId="5" fillId="6" borderId="0" xfId="0" applyFont="1" applyFill="1" applyBorder="1" applyAlignment="1">
      <alignment horizontal="right"/>
    </xf>
    <xf numFmtId="0" fontId="5" fillId="3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18" fillId="6" borderId="0" xfId="0" applyFont="1" applyFill="1" applyBorder="1" applyAlignment="1">
      <alignment horizontal="center" wrapText="1"/>
    </xf>
    <xf numFmtId="0" fontId="18" fillId="3" borderId="0" xfId="0" applyFont="1" applyFill="1" applyBorder="1" applyAlignment="1">
      <alignment horizontal="center" wrapText="1"/>
    </xf>
    <xf numFmtId="0" fontId="18" fillId="0" borderId="0" xfId="0" applyFont="1" applyFill="1" applyBorder="1" applyAlignment="1">
      <alignment horizontal="right" wrapText="1"/>
    </xf>
    <xf numFmtId="0" fontId="38" fillId="3" borderId="0" xfId="0" applyFont="1" applyFill="1" applyBorder="1"/>
    <xf numFmtId="0" fontId="5" fillId="0" borderId="0" xfId="0" applyFont="1" applyFill="1" applyBorder="1"/>
    <xf numFmtId="0" fontId="32" fillId="6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vertical="top"/>
    </xf>
    <xf numFmtId="0" fontId="5" fillId="3" borderId="3" xfId="0" applyFont="1" applyFill="1" applyBorder="1" applyAlignment="1">
      <alignment vertical="top"/>
    </xf>
    <xf numFmtId="0" fontId="5" fillId="6" borderId="3" xfId="0" applyFont="1" applyFill="1" applyBorder="1" applyAlignment="1">
      <alignment horizontal="right" vertical="top"/>
    </xf>
    <xf numFmtId="0" fontId="5" fillId="3" borderId="3" xfId="0" applyFont="1" applyFill="1" applyBorder="1"/>
    <xf numFmtId="0" fontId="5" fillId="3" borderId="3" xfId="0" applyFont="1" applyFill="1" applyBorder="1" applyAlignment="1">
      <alignment horizontal="right" vertical="top"/>
    </xf>
    <xf numFmtId="0" fontId="5" fillId="0" borderId="3" xfId="0" applyFont="1" applyFill="1" applyBorder="1" applyAlignment="1">
      <alignment horizontal="right" vertical="top"/>
    </xf>
    <xf numFmtId="0" fontId="5" fillId="6" borderId="3" xfId="0" applyFont="1" applyFill="1" applyBorder="1"/>
    <xf numFmtId="0" fontId="23" fillId="6" borderId="4" xfId="0" applyFont="1" applyFill="1" applyBorder="1" applyAlignment="1">
      <alignment horizontal="center"/>
    </xf>
    <xf numFmtId="0" fontId="3" fillId="6" borderId="4" xfId="0" applyFont="1" applyFill="1" applyBorder="1" applyAlignment="1"/>
    <xf numFmtId="3" fontId="3" fillId="3" borderId="4" xfId="0" applyNumberFormat="1" applyFont="1" applyFill="1" applyBorder="1" applyAlignment="1"/>
    <xf numFmtId="3" fontId="3" fillId="6" borderId="4" xfId="0" applyNumberFormat="1" applyFont="1" applyFill="1" applyBorder="1" applyAlignment="1"/>
    <xf numFmtId="3" fontId="5" fillId="3" borderId="4" xfId="0" applyNumberFormat="1" applyFont="1" applyFill="1" applyBorder="1" applyAlignment="1"/>
    <xf numFmtId="3" fontId="5" fillId="6" borderId="4" xfId="0" applyNumberFormat="1" applyFont="1" applyFill="1" applyBorder="1" applyAlignment="1"/>
    <xf numFmtId="3" fontId="3" fillId="0" borderId="4" xfId="0" applyNumberFormat="1" applyFont="1" applyFill="1" applyBorder="1" applyAlignment="1"/>
    <xf numFmtId="184" fontId="4" fillId="6" borderId="4" xfId="0" applyNumberFormat="1" applyFont="1" applyFill="1" applyBorder="1" applyAlignment="1">
      <alignment horizontal="center"/>
    </xf>
    <xf numFmtId="184" fontId="4" fillId="3" borderId="4" xfId="0" applyNumberFormat="1" applyFont="1" applyFill="1" applyBorder="1" applyAlignment="1">
      <alignment horizontal="center"/>
    </xf>
    <xf numFmtId="184" fontId="4" fillId="0" borderId="0" xfId="0" applyNumberFormat="1" applyFont="1" applyFill="1" applyBorder="1" applyAlignment="1">
      <alignment horizontal="center"/>
    </xf>
    <xf numFmtId="0" fontId="23" fillId="6" borderId="7" xfId="0" applyFont="1" applyFill="1" applyBorder="1" applyAlignment="1">
      <alignment horizontal="center"/>
    </xf>
    <xf numFmtId="0" fontId="3" fillId="6" borderId="7" xfId="0" applyFont="1" applyFill="1" applyBorder="1" applyAlignment="1"/>
    <xf numFmtId="3" fontId="3" fillId="3" borderId="7" xfId="0" applyNumberFormat="1" applyFont="1" applyFill="1" applyBorder="1" applyAlignment="1"/>
    <xf numFmtId="3" fontId="3" fillId="6" borderId="7" xfId="0" applyNumberFormat="1" applyFont="1" applyFill="1" applyBorder="1" applyAlignment="1"/>
    <xf numFmtId="3" fontId="5" fillId="3" borderId="7" xfId="0" applyNumberFormat="1" applyFont="1" applyFill="1" applyBorder="1" applyAlignment="1"/>
    <xf numFmtId="3" fontId="5" fillId="6" borderId="7" xfId="0" applyNumberFormat="1" applyFont="1" applyFill="1" applyBorder="1" applyAlignment="1"/>
    <xf numFmtId="183" fontId="3" fillId="3" borderId="7" xfId="0" applyNumberFormat="1" applyFont="1" applyFill="1" applyBorder="1" applyAlignment="1"/>
    <xf numFmtId="183" fontId="3" fillId="6" borderId="7" xfId="0" applyNumberFormat="1" applyFont="1" applyFill="1" applyBorder="1" applyAlignment="1"/>
    <xf numFmtId="182" fontId="3" fillId="3" borderId="7" xfId="0" applyNumberFormat="1" applyFont="1" applyFill="1" applyBorder="1" applyAlignment="1">
      <alignment horizontal="right"/>
    </xf>
    <xf numFmtId="183" fontId="5" fillId="3" borderId="7" xfId="0" applyNumberFormat="1" applyFont="1" applyFill="1" applyBorder="1" applyAlignment="1"/>
    <xf numFmtId="183" fontId="5" fillId="6" borderId="7" xfId="0" applyNumberFormat="1" applyFont="1" applyFill="1" applyBorder="1" applyAlignment="1"/>
    <xf numFmtId="0" fontId="4" fillId="6" borderId="7" xfId="0" applyFont="1" applyFill="1" applyBorder="1" applyAlignment="1"/>
    <xf numFmtId="184" fontId="3" fillId="3" borderId="7" xfId="0" applyNumberFormat="1" applyFont="1" applyFill="1" applyBorder="1" applyAlignment="1"/>
    <xf numFmtId="184" fontId="3" fillId="6" borderId="7" xfId="0" applyNumberFormat="1" applyFont="1" applyFill="1" applyBorder="1" applyAlignment="1"/>
    <xf numFmtId="184" fontId="5" fillId="3" borderId="7" xfId="0" applyNumberFormat="1" applyFont="1" applyFill="1" applyBorder="1" applyAlignment="1"/>
    <xf numFmtId="184" fontId="5" fillId="6" borderId="7" xfId="0" applyNumberFormat="1" applyFont="1" applyFill="1" applyBorder="1" applyAlignment="1"/>
    <xf numFmtId="0" fontId="23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/>
    </xf>
    <xf numFmtId="184" fontId="3" fillId="3" borderId="5" xfId="0" applyNumberFormat="1" applyFont="1" applyFill="1" applyBorder="1" applyAlignment="1">
      <alignment vertical="center"/>
    </xf>
    <xf numFmtId="184" fontId="3" fillId="6" borderId="5" xfId="0" applyNumberFormat="1" applyFont="1" applyFill="1" applyBorder="1" applyAlignment="1">
      <alignment vertical="center"/>
    </xf>
    <xf numFmtId="184" fontId="5" fillId="3" borderId="5" xfId="0" applyNumberFormat="1" applyFont="1" applyFill="1" applyBorder="1" applyAlignment="1">
      <alignment vertical="center"/>
    </xf>
    <xf numFmtId="184" fontId="5" fillId="6" borderId="5" xfId="0" applyNumberFormat="1" applyFont="1" applyFill="1" applyBorder="1" applyAlignment="1">
      <alignment vertical="center"/>
    </xf>
    <xf numFmtId="184" fontId="3" fillId="0" borderId="5" xfId="0" applyNumberFormat="1" applyFont="1" applyFill="1" applyBorder="1" applyAlignment="1">
      <alignment vertical="center"/>
    </xf>
    <xf numFmtId="184" fontId="4" fillId="6" borderId="5" xfId="0" applyNumberFormat="1" applyFont="1" applyFill="1" applyBorder="1" applyAlignment="1">
      <alignment horizontal="center" vertical="center"/>
    </xf>
    <xf numFmtId="184" fontId="4" fillId="3" borderId="5" xfId="0" applyNumberFormat="1" applyFont="1" applyFill="1" applyBorder="1" applyAlignment="1">
      <alignment horizontal="center" vertical="center"/>
    </xf>
    <xf numFmtId="18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8" xfId="0" applyFont="1" applyFill="1" applyBorder="1" applyAlignment="1"/>
    <xf numFmtId="184" fontId="3" fillId="0" borderId="8" xfId="0" applyNumberFormat="1" applyFont="1" applyFill="1" applyBorder="1" applyAlignment="1"/>
    <xf numFmtId="184" fontId="5" fillId="0" borderId="8" xfId="0" applyNumberFormat="1" applyFont="1" applyFill="1" applyBorder="1" applyAlignment="1"/>
    <xf numFmtId="184" fontId="5" fillId="0" borderId="0" xfId="0" applyNumberFormat="1" applyFont="1" applyFill="1" applyBorder="1" applyAlignment="1"/>
    <xf numFmtId="0" fontId="8" fillId="0" borderId="0" xfId="0" applyFont="1" applyBorder="1"/>
    <xf numFmtId="0" fontId="1" fillId="8" borderId="0" xfId="0" applyFont="1" applyFill="1"/>
    <xf numFmtId="0" fontId="2" fillId="8" borderId="0" xfId="0" applyFont="1" applyFill="1"/>
    <xf numFmtId="0" fontId="3" fillId="0" borderId="0" xfId="0" applyFont="1" applyFill="1" applyBorder="1"/>
    <xf numFmtId="3" fontId="1" fillId="0" borderId="0" xfId="0" applyNumberFormat="1" applyFont="1" applyFill="1" applyBorder="1"/>
    <xf numFmtId="0" fontId="1" fillId="0" borderId="0" xfId="0" applyFont="1" applyBorder="1"/>
    <xf numFmtId="0" fontId="2" fillId="0" borderId="0" xfId="0" applyFont="1" applyBorder="1"/>
    <xf numFmtId="0" fontId="4" fillId="0" borderId="11" xfId="0" applyFont="1" applyBorder="1" applyAlignment="1">
      <alignment horizontal="center"/>
    </xf>
    <xf numFmtId="0" fontId="4" fillId="0" borderId="11" xfId="0" applyFont="1" applyFill="1" applyBorder="1"/>
    <xf numFmtId="0" fontId="18" fillId="0" borderId="11" xfId="0" applyFont="1" applyFill="1" applyBorder="1"/>
    <xf numFmtId="0" fontId="4" fillId="0" borderId="11" xfId="0" applyFont="1" applyFill="1" applyBorder="1" applyAlignment="1">
      <alignment horizontal="right"/>
    </xf>
    <xf numFmtId="0" fontId="4" fillId="0" borderId="11" xfId="0" quotePrefix="1" applyFont="1" applyBorder="1"/>
    <xf numFmtId="0" fontId="4" fillId="0" borderId="11" xfId="0" applyFont="1" applyBorder="1"/>
    <xf numFmtId="0" fontId="8" fillId="0" borderId="11" xfId="0" applyFont="1" applyBorder="1"/>
    <xf numFmtId="0" fontId="4" fillId="0" borderId="12" xfId="18" applyFont="1" applyFill="1" applyBorder="1"/>
    <xf numFmtId="0" fontId="4" fillId="0" borderId="11" xfId="0" applyFont="1" applyBorder="1" applyAlignment="1">
      <alignment horizontal="right"/>
    </xf>
    <xf numFmtId="0" fontId="18" fillId="0" borderId="11" xfId="0" applyFont="1" applyBorder="1"/>
    <xf numFmtId="0" fontId="18" fillId="0" borderId="0" xfId="0" applyFont="1"/>
    <xf numFmtId="3" fontId="5" fillId="6" borderId="2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3" fontId="5" fillId="6" borderId="3" xfId="0" applyNumberFormat="1" applyFont="1" applyFill="1" applyBorder="1" applyAlignment="1">
      <alignment horizontal="right" vertical="top"/>
    </xf>
    <xf numFmtId="3" fontId="3" fillId="6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5" fillId="6" borderId="6" xfId="0" applyNumberFormat="1" applyFont="1" applyFill="1" applyBorder="1" applyAlignment="1">
      <alignment horizontal="right"/>
    </xf>
    <xf numFmtId="3" fontId="3" fillId="6" borderId="7" xfId="0" applyNumberFormat="1" applyFont="1" applyFill="1" applyBorder="1" applyAlignment="1">
      <alignment horizontal="right" vertical="center"/>
    </xf>
    <xf numFmtId="3" fontId="3" fillId="3" borderId="7" xfId="0" applyNumberFormat="1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left" vertical="center"/>
    </xf>
    <xf numFmtId="3" fontId="3" fillId="6" borderId="13" xfId="0" applyNumberFormat="1" applyFont="1" applyFill="1" applyBorder="1" applyAlignment="1">
      <alignment horizontal="right" vertical="center"/>
    </xf>
    <xf numFmtId="3" fontId="3" fillId="3" borderId="13" xfId="0" applyNumberFormat="1" applyFont="1" applyFill="1" applyBorder="1" applyAlignment="1">
      <alignment horizontal="right" vertical="center"/>
    </xf>
    <xf numFmtId="3" fontId="5" fillId="6" borderId="13" xfId="0" applyNumberFormat="1" applyFont="1" applyFill="1" applyBorder="1" applyAlignment="1">
      <alignment horizontal="right" vertical="center"/>
    </xf>
    <xf numFmtId="0" fontId="18" fillId="8" borderId="0" xfId="0" applyFont="1" applyFill="1" applyBorder="1" applyProtection="1"/>
    <xf numFmtId="0" fontId="23" fillId="8" borderId="0" xfId="0" applyFont="1" applyFill="1" applyBorder="1"/>
    <xf numFmtId="0" fontId="2" fillId="0" borderId="0" xfId="0" applyFont="1" applyBorder="1" applyAlignment="1">
      <alignment vertical="top" wrapText="1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left"/>
    </xf>
    <xf numFmtId="3" fontId="5" fillId="6" borderId="4" xfId="0" applyNumberFormat="1" applyFont="1" applyFill="1" applyBorder="1" applyAlignment="1">
      <alignment horizontal="righ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vertical="center"/>
    </xf>
    <xf numFmtId="3" fontId="3" fillId="6" borderId="5" xfId="0" applyNumberFormat="1" applyFont="1" applyFill="1" applyBorder="1" applyAlignment="1">
      <alignment horizontal="right"/>
    </xf>
    <xf numFmtId="3" fontId="3" fillId="3" borderId="5" xfId="0" applyNumberFormat="1" applyFont="1" applyFill="1" applyBorder="1" applyAlignment="1">
      <alignment horizontal="right"/>
    </xf>
    <xf numFmtId="3" fontId="5" fillId="6" borderId="5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3" fontId="3" fillId="6" borderId="4" xfId="0" applyNumberFormat="1" applyFont="1" applyFill="1" applyBorder="1" applyAlignment="1">
      <alignment horizontal="right" vertical="center"/>
    </xf>
    <xf numFmtId="3" fontId="3" fillId="3" borderId="4" xfId="0" applyNumberFormat="1" applyFont="1" applyFill="1" applyBorder="1" applyAlignment="1">
      <alignment horizontal="right" vertical="center"/>
    </xf>
    <xf numFmtId="3" fontId="8" fillId="0" borderId="8" xfId="0" applyNumberFormat="1" applyFont="1" applyBorder="1"/>
    <xf numFmtId="3" fontId="8" fillId="0" borderId="0" xfId="0" applyNumberFormat="1" applyFont="1"/>
    <xf numFmtId="0" fontId="18" fillId="0" borderId="0" xfId="22" applyFont="1"/>
    <xf numFmtId="0" fontId="3" fillId="6" borderId="3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vertical="top" wrapText="1"/>
    </xf>
    <xf numFmtId="184" fontId="3" fillId="6" borderId="4" xfId="0" applyNumberFormat="1" applyFont="1" applyFill="1" applyBorder="1"/>
    <xf numFmtId="184" fontId="3" fillId="3" borderId="4" xfId="0" applyNumberFormat="1" applyFont="1" applyFill="1" applyBorder="1"/>
    <xf numFmtId="0" fontId="45" fillId="3" borderId="4" xfId="0" applyFont="1" applyFill="1" applyBorder="1" applyAlignment="1">
      <alignment vertical="top" wrapText="1"/>
    </xf>
    <xf numFmtId="3" fontId="45" fillId="6" borderId="4" xfId="0" applyNumberFormat="1" applyFont="1" applyFill="1" applyBorder="1" applyAlignment="1">
      <alignment horizontal="right"/>
    </xf>
    <xf numFmtId="3" fontId="45" fillId="3" borderId="4" xfId="0" applyNumberFormat="1" applyFont="1" applyFill="1" applyBorder="1" applyAlignment="1">
      <alignment horizontal="right"/>
    </xf>
    <xf numFmtId="3" fontId="45" fillId="3" borderId="4" xfId="0" applyNumberFormat="1" applyFont="1" applyFill="1" applyBorder="1"/>
    <xf numFmtId="184" fontId="45" fillId="6" borderId="4" xfId="0" applyNumberFormat="1" applyFont="1" applyFill="1" applyBorder="1"/>
    <xf numFmtId="184" fontId="45" fillId="3" borderId="4" xfId="0" applyNumberFormat="1" applyFont="1" applyFill="1" applyBorder="1" applyAlignment="1">
      <alignment horizontal="right"/>
    </xf>
    <xf numFmtId="0" fontId="5" fillId="3" borderId="0" xfId="0" applyFont="1" applyFill="1" applyBorder="1" applyAlignment="1">
      <alignment vertical="center"/>
    </xf>
    <xf numFmtId="3" fontId="5" fillId="6" borderId="0" xfId="0" applyNumberFormat="1" applyFont="1" applyFill="1" applyBorder="1" applyAlignment="1">
      <alignment vertical="center"/>
    </xf>
    <xf numFmtId="3" fontId="5" fillId="3" borderId="0" xfId="0" applyNumberFormat="1" applyFont="1" applyFill="1" applyBorder="1" applyAlignment="1">
      <alignment vertical="center"/>
    </xf>
    <xf numFmtId="184" fontId="5" fillId="6" borderId="4" xfId="0" applyNumberFormat="1" applyFont="1" applyFill="1" applyBorder="1" applyAlignment="1">
      <alignment vertical="center"/>
    </xf>
    <xf numFmtId="184" fontId="5" fillId="3" borderId="4" xfId="0" applyNumberFormat="1" applyFont="1" applyFill="1" applyBorder="1" applyAlignment="1">
      <alignment vertical="center"/>
    </xf>
    <xf numFmtId="0" fontId="2" fillId="0" borderId="0" xfId="0" applyFont="1" applyFill="1" applyAlignment="1">
      <alignment horizontal="right" vertical="top"/>
    </xf>
    <xf numFmtId="0" fontId="5" fillId="3" borderId="0" xfId="0" quotePrefix="1" applyFont="1" applyFill="1" applyBorder="1" applyAlignment="1">
      <alignment horizontal="left" vertical="center"/>
    </xf>
    <xf numFmtId="3" fontId="5" fillId="6" borderId="0" xfId="0" applyNumberFormat="1" applyFont="1" applyFill="1" applyBorder="1" applyAlignment="1">
      <alignment horizontal="right" vertical="center"/>
    </xf>
    <xf numFmtId="3" fontId="5" fillId="3" borderId="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top"/>
    </xf>
    <xf numFmtId="0" fontId="2" fillId="0" borderId="3" xfId="0" applyFont="1" applyFill="1" applyBorder="1" applyAlignment="1">
      <alignment horizontal="right" vertical="top"/>
    </xf>
    <xf numFmtId="0" fontId="3" fillId="6" borderId="0" xfId="0" applyFont="1" applyFill="1" applyBorder="1" applyAlignment="1">
      <alignment horizontal="right" wrapText="1"/>
    </xf>
    <xf numFmtId="0" fontId="3" fillId="3" borderId="0" xfId="0" applyFont="1" applyFill="1" applyBorder="1" applyAlignment="1">
      <alignment horizontal="right" wrapText="1"/>
    </xf>
    <xf numFmtId="0" fontId="3" fillId="6" borderId="0" xfId="0" applyFont="1" applyFill="1" applyBorder="1" applyAlignment="1">
      <alignment horizontal="right" vertical="top"/>
    </xf>
    <xf numFmtId="1" fontId="3" fillId="3" borderId="4" xfId="0" applyNumberFormat="1" applyFont="1" applyFill="1" applyBorder="1" applyAlignment="1">
      <alignment horizontal="left"/>
    </xf>
    <xf numFmtId="1" fontId="3" fillId="3" borderId="7" xfId="0" applyNumberFormat="1" applyFont="1" applyFill="1" applyBorder="1" applyAlignment="1">
      <alignment horizontal="left"/>
    </xf>
    <xf numFmtId="184" fontId="3" fillId="3" borderId="6" xfId="0" applyNumberFormat="1" applyFont="1" applyFill="1" applyBorder="1" applyAlignment="1">
      <alignment horizontal="right"/>
    </xf>
    <xf numFmtId="1" fontId="5" fillId="3" borderId="0" xfId="0" applyNumberFormat="1" applyFont="1" applyFill="1" applyBorder="1" applyAlignment="1">
      <alignment horizontal="left" vertical="center"/>
    </xf>
    <xf numFmtId="184" fontId="5" fillId="3" borderId="6" xfId="0" applyNumberFormat="1" applyFont="1" applyFill="1" applyBorder="1" applyAlignment="1">
      <alignment horizontal="right" vertical="center"/>
    </xf>
    <xf numFmtId="3" fontId="5" fillId="6" borderId="5" xfId="0" applyNumberFormat="1" applyFont="1" applyFill="1" applyBorder="1" applyAlignment="1">
      <alignment horizontal="right" vertical="center"/>
    </xf>
    <xf numFmtId="3" fontId="0" fillId="0" borderId="0" xfId="0" applyNumberFormat="1"/>
    <xf numFmtId="184" fontId="1" fillId="0" borderId="0" xfId="0" applyNumberFormat="1" applyFont="1" applyAlignment="1">
      <alignment horizontal="center"/>
    </xf>
    <xf numFmtId="3" fontId="3" fillId="6" borderId="2" xfId="0" applyNumberFormat="1" applyFont="1" applyFill="1" applyBorder="1" applyAlignment="1">
      <alignment horizontal="center"/>
    </xf>
    <xf numFmtId="184" fontId="3" fillId="3" borderId="2" xfId="0" applyNumberFormat="1" applyFont="1" applyFill="1" applyBorder="1" applyAlignment="1">
      <alignment horizontal="center"/>
    </xf>
    <xf numFmtId="184" fontId="3" fillId="3" borderId="3" xfId="0" applyNumberFormat="1" applyFont="1" applyFill="1" applyBorder="1" applyAlignment="1">
      <alignment horizontal="center" vertical="top"/>
    </xf>
    <xf numFmtId="0" fontId="53" fillId="3" borderId="6" xfId="0" applyFont="1" applyFill="1" applyBorder="1" applyAlignment="1">
      <alignment horizontal="left"/>
    </xf>
    <xf numFmtId="3" fontId="5" fillId="6" borderId="6" xfId="0" applyNumberFormat="1" applyFont="1" applyFill="1" applyBorder="1" applyAlignment="1">
      <alignment horizontal="left"/>
    </xf>
    <xf numFmtId="184" fontId="5" fillId="3" borderId="6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left" wrapText="1"/>
    </xf>
    <xf numFmtId="3" fontId="54" fillId="6" borderId="7" xfId="0" applyNumberFormat="1" applyFont="1" applyFill="1" applyBorder="1" applyAlignment="1">
      <alignment horizontal="center" wrapText="1"/>
    </xf>
    <xf numFmtId="184" fontId="54" fillId="3" borderId="6" xfId="0" applyNumberFormat="1" applyFont="1" applyFill="1" applyBorder="1" applyAlignment="1">
      <alignment horizontal="center" wrapText="1"/>
    </xf>
    <xf numFmtId="0" fontId="53" fillId="3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 wrapText="1"/>
    </xf>
    <xf numFmtId="0" fontId="53" fillId="3" borderId="7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5" fillId="3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left"/>
    </xf>
    <xf numFmtId="3" fontId="5" fillId="3" borderId="6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 wrapText="1"/>
    </xf>
    <xf numFmtId="184" fontId="4" fillId="0" borderId="8" xfId="0" applyNumberFormat="1" applyFont="1" applyBorder="1" applyAlignment="1">
      <alignment horizontal="center"/>
    </xf>
    <xf numFmtId="184" fontId="4" fillId="0" borderId="0" xfId="0" applyNumberFormat="1" applyFont="1" applyBorder="1" applyAlignment="1">
      <alignment horizontal="center"/>
    </xf>
    <xf numFmtId="184" fontId="4" fillId="0" borderId="0" xfId="0" applyNumberFormat="1" applyFont="1" applyAlignment="1">
      <alignment horizontal="center"/>
    </xf>
    <xf numFmtId="0" fontId="53" fillId="3" borderId="6" xfId="0" applyFont="1" applyFill="1" applyBorder="1" applyAlignment="1">
      <alignment horizontal="left" wrapText="1"/>
    </xf>
    <xf numFmtId="0" fontId="45" fillId="3" borderId="7" xfId="0" applyFont="1" applyFill="1" applyBorder="1" applyAlignment="1">
      <alignment horizontal="center"/>
    </xf>
    <xf numFmtId="0" fontId="45" fillId="3" borderId="7" xfId="0" applyFont="1" applyFill="1" applyBorder="1" applyAlignment="1">
      <alignment horizontal="left"/>
    </xf>
    <xf numFmtId="3" fontId="3" fillId="6" borderId="7" xfId="0" applyNumberFormat="1" applyFont="1" applyFill="1" applyBorder="1" applyAlignment="1">
      <alignment horizontal="right" wrapText="1"/>
    </xf>
    <xf numFmtId="0" fontId="5" fillId="3" borderId="6" xfId="0" applyFont="1" applyFill="1" applyBorder="1" applyAlignment="1">
      <alignment horizontal="left"/>
    </xf>
    <xf numFmtId="184" fontId="3" fillId="3" borderId="4" xfId="0" applyNumberFormat="1" applyFont="1" applyFill="1" applyBorder="1" applyAlignment="1">
      <alignment horizontal="center"/>
    </xf>
    <xf numFmtId="0" fontId="45" fillId="3" borderId="7" xfId="0" applyFont="1" applyFill="1" applyBorder="1" applyAlignment="1">
      <alignment horizontal="center" wrapText="1"/>
    </xf>
    <xf numFmtId="0" fontId="45" fillId="3" borderId="7" xfId="0" applyFont="1" applyFill="1" applyBorder="1" applyAlignment="1">
      <alignment horizontal="left" wrapText="1"/>
    </xf>
    <xf numFmtId="184" fontId="5" fillId="3" borderId="4" xfId="0" applyNumberFormat="1" applyFont="1" applyFill="1" applyBorder="1" applyAlignment="1">
      <alignment horizontal="center" vertical="center"/>
    </xf>
    <xf numFmtId="184" fontId="3" fillId="3" borderId="7" xfId="0" applyNumberFormat="1" applyFont="1" applyFill="1" applyBorder="1" applyAlignment="1">
      <alignment horizontal="center"/>
    </xf>
    <xf numFmtId="0" fontId="45" fillId="3" borderId="7" xfId="0" applyFont="1" applyFill="1" applyBorder="1" applyAlignment="1">
      <alignment horizontal="left" vertical="center"/>
    </xf>
    <xf numFmtId="184" fontId="5" fillId="3" borderId="7" xfId="0" applyNumberFormat="1" applyFont="1" applyFill="1" applyBorder="1" applyAlignment="1">
      <alignment horizontal="center" vertical="center"/>
    </xf>
    <xf numFmtId="184" fontId="5" fillId="3" borderId="7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left" vertical="center"/>
    </xf>
    <xf numFmtId="184" fontId="3" fillId="3" borderId="7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left" vertical="center" wrapText="1"/>
    </xf>
    <xf numFmtId="184" fontId="3" fillId="3" borderId="4" xfId="0" applyNumberFormat="1" applyFont="1" applyFill="1" applyBorder="1" applyAlignment="1">
      <alignment horizontal="center" vertical="center"/>
    </xf>
    <xf numFmtId="184" fontId="5" fillId="3" borderId="4" xfId="0" applyNumberFormat="1" applyFont="1" applyFill="1" applyBorder="1" applyAlignment="1">
      <alignment horizontal="center"/>
    </xf>
    <xf numFmtId="183" fontId="3" fillId="3" borderId="7" xfId="0" applyNumberFormat="1" applyFont="1" applyFill="1" applyBorder="1" applyAlignment="1">
      <alignment horizontal="center" vertical="center"/>
    </xf>
    <xf numFmtId="183" fontId="3" fillId="3" borderId="0" xfId="0" applyNumberFormat="1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184" fontId="3" fillId="6" borderId="2" xfId="0" applyNumberFormat="1" applyFont="1" applyFill="1" applyBorder="1" applyAlignment="1">
      <alignment horizontal="center"/>
    </xf>
    <xf numFmtId="184" fontId="3" fillId="3" borderId="0" xfId="0" applyNumberFormat="1" applyFont="1" applyFill="1" applyBorder="1" applyAlignment="1">
      <alignment horizontal="center"/>
    </xf>
    <xf numFmtId="184" fontId="3" fillId="6" borderId="0" xfId="0" applyNumberFormat="1" applyFont="1" applyFill="1" applyBorder="1" applyAlignment="1">
      <alignment horizontal="center"/>
    </xf>
    <xf numFmtId="184" fontId="3" fillId="6" borderId="3" xfId="0" applyNumberFormat="1" applyFont="1" applyFill="1" applyBorder="1" applyAlignment="1">
      <alignment horizontal="center" vertical="top"/>
    </xf>
    <xf numFmtId="183" fontId="3" fillId="6" borderId="4" xfId="0" applyNumberFormat="1" applyFont="1" applyFill="1" applyBorder="1" applyAlignment="1">
      <alignment horizontal="right"/>
    </xf>
    <xf numFmtId="184" fontId="3" fillId="6" borderId="4" xfId="0" applyNumberFormat="1" applyFont="1" applyFill="1" applyBorder="1" applyAlignment="1">
      <alignment horizontal="center"/>
    </xf>
    <xf numFmtId="183" fontId="3" fillId="6" borderId="7" xfId="0" applyNumberFormat="1" applyFont="1" applyFill="1" applyBorder="1" applyAlignment="1">
      <alignment horizontal="right"/>
    </xf>
    <xf numFmtId="184" fontId="3" fillId="6" borderId="7" xfId="0" applyNumberFormat="1" applyFont="1" applyFill="1" applyBorder="1" applyAlignment="1">
      <alignment horizontal="center"/>
    </xf>
    <xf numFmtId="183" fontId="3" fillId="3" borderId="7" xfId="0" applyNumberFormat="1" applyFont="1" applyFill="1" applyBorder="1" applyAlignment="1">
      <alignment horizontal="right"/>
    </xf>
    <xf numFmtId="0" fontId="5" fillId="3" borderId="7" xfId="0" quotePrefix="1" applyFont="1" applyFill="1" applyBorder="1" applyAlignment="1">
      <alignment horizontal="left" vertical="center"/>
    </xf>
    <xf numFmtId="183" fontId="5" fillId="6" borderId="7" xfId="0" applyNumberFormat="1" applyFont="1" applyFill="1" applyBorder="1" applyAlignment="1">
      <alignment horizontal="right" vertical="center"/>
    </xf>
    <xf numFmtId="184" fontId="5" fillId="6" borderId="7" xfId="0" applyNumberFormat="1" applyFont="1" applyFill="1" applyBorder="1" applyAlignment="1">
      <alignment horizontal="center" vertical="center"/>
    </xf>
    <xf numFmtId="183" fontId="5" fillId="3" borderId="7" xfId="0" applyNumberFormat="1" applyFont="1" applyFill="1" applyBorder="1" applyAlignment="1">
      <alignment horizontal="right" vertical="center"/>
    </xf>
    <xf numFmtId="184" fontId="5" fillId="6" borderId="5" xfId="0" applyNumberFormat="1" applyFont="1" applyFill="1" applyBorder="1" applyAlignment="1">
      <alignment horizontal="center" vertical="center"/>
    </xf>
    <xf numFmtId="183" fontId="5" fillId="3" borderId="5" xfId="0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/>
    <xf numFmtId="0" fontId="22" fillId="0" borderId="3" xfId="0" applyFont="1" applyBorder="1" applyAlignment="1"/>
    <xf numFmtId="0" fontId="0" fillId="0" borderId="0" xfId="0" applyBorder="1" applyAlignment="1">
      <alignment wrapText="1"/>
    </xf>
    <xf numFmtId="0" fontId="5" fillId="6" borderId="2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184" fontId="3" fillId="3" borderId="2" xfId="0" applyNumberFormat="1" applyFont="1" applyFill="1" applyBorder="1" applyAlignment="1">
      <alignment horizontal="right"/>
    </xf>
    <xf numFmtId="184" fontId="3" fillId="3" borderId="0" xfId="0" applyNumberFormat="1" applyFont="1" applyFill="1" applyBorder="1" applyAlignment="1">
      <alignment horizontal="right"/>
    </xf>
    <xf numFmtId="184" fontId="3" fillId="3" borderId="3" xfId="0" applyNumberFormat="1" applyFont="1" applyFill="1" applyBorder="1" applyAlignment="1">
      <alignment horizontal="right" vertical="top"/>
    </xf>
    <xf numFmtId="0" fontId="3" fillId="3" borderId="4" xfId="0" applyFont="1" applyFill="1" applyBorder="1" applyAlignment="1">
      <alignment vertical="center" wrapText="1"/>
    </xf>
    <xf numFmtId="3" fontId="3" fillId="6" borderId="4" xfId="0" applyNumberFormat="1" applyFont="1" applyFill="1" applyBorder="1" applyAlignment="1">
      <alignment vertical="center"/>
    </xf>
    <xf numFmtId="3" fontId="3" fillId="3" borderId="4" xfId="0" applyNumberFormat="1" applyFont="1" applyFill="1" applyBorder="1" applyAlignment="1">
      <alignment vertical="center"/>
    </xf>
    <xf numFmtId="184" fontId="3" fillId="3" borderId="4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84" fontId="5" fillId="3" borderId="0" xfId="0" applyNumberFormat="1" applyFont="1" applyFill="1" applyBorder="1" applyAlignment="1">
      <alignment vertical="center"/>
    </xf>
    <xf numFmtId="184" fontId="4" fillId="0" borderId="8" xfId="0" applyNumberFormat="1" applyFont="1" applyBorder="1"/>
    <xf numFmtId="184" fontId="4" fillId="0" borderId="0" xfId="0" applyNumberFormat="1" applyFont="1" applyBorder="1"/>
    <xf numFmtId="0" fontId="3" fillId="3" borderId="14" xfId="0" applyFont="1" applyFill="1" applyBorder="1" applyAlignment="1">
      <alignment vertical="center"/>
    </xf>
    <xf numFmtId="4" fontId="3" fillId="6" borderId="14" xfId="0" applyNumberFormat="1" applyFont="1" applyFill="1" applyBorder="1" applyAlignment="1">
      <alignment vertical="center"/>
    </xf>
    <xf numFmtId="4" fontId="3" fillId="3" borderId="14" xfId="0" applyNumberFormat="1" applyFont="1" applyFill="1" applyBorder="1" applyAlignment="1">
      <alignment vertical="center"/>
    </xf>
    <xf numFmtId="184" fontId="45" fillId="3" borderId="14" xfId="0" applyNumberFormat="1" applyFont="1" applyFill="1" applyBorder="1" applyAlignment="1">
      <alignment horizontal="right" vertical="center"/>
    </xf>
    <xf numFmtId="0" fontId="45" fillId="3" borderId="14" xfId="0" applyFont="1" applyFill="1" applyBorder="1" applyAlignment="1">
      <alignment vertical="center"/>
    </xf>
    <xf numFmtId="3" fontId="45" fillId="6" borderId="14" xfId="0" applyNumberFormat="1" applyFont="1" applyFill="1" applyBorder="1" applyAlignment="1">
      <alignment vertical="center"/>
    </xf>
    <xf numFmtId="3" fontId="45" fillId="3" borderId="14" xfId="0" applyNumberFormat="1" applyFont="1" applyFill="1" applyBorder="1" applyAlignment="1">
      <alignment vertical="center"/>
    </xf>
    <xf numFmtId="184" fontId="45" fillId="3" borderId="14" xfId="0" applyNumberFormat="1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184" fontId="4" fillId="0" borderId="0" xfId="0" applyNumberFormat="1" applyFont="1"/>
    <xf numFmtId="0" fontId="5" fillId="3" borderId="14" xfId="0" applyFont="1" applyFill="1" applyBorder="1" applyAlignment="1">
      <alignment vertical="center"/>
    </xf>
    <xf numFmtId="3" fontId="3" fillId="6" borderId="14" xfId="0" applyNumberFormat="1" applyFont="1" applyFill="1" applyBorder="1" applyAlignment="1">
      <alignment vertical="center"/>
    </xf>
    <xf numFmtId="3" fontId="3" fillId="3" borderId="14" xfId="0" applyNumberFormat="1" applyFont="1" applyFill="1" applyBorder="1" applyAlignment="1">
      <alignment vertical="center"/>
    </xf>
    <xf numFmtId="3" fontId="5" fillId="3" borderId="14" xfId="0" applyNumberFormat="1" applyFont="1" applyFill="1" applyBorder="1" applyAlignment="1">
      <alignment vertical="center"/>
    </xf>
    <xf numFmtId="0" fontId="37" fillId="0" borderId="0" xfId="0" applyFont="1"/>
    <xf numFmtId="184" fontId="3" fillId="6" borderId="4" xfId="0" applyNumberFormat="1" applyFont="1" applyFill="1" applyBorder="1" applyAlignment="1">
      <alignment vertical="center"/>
    </xf>
    <xf numFmtId="3" fontId="3" fillId="3" borderId="0" xfId="0" applyNumberFormat="1" applyFont="1" applyFill="1" applyBorder="1"/>
    <xf numFmtId="184" fontId="5" fillId="6" borderId="0" xfId="0" applyNumberFormat="1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vertical="center"/>
    </xf>
    <xf numFmtId="184" fontId="1" fillId="0" borderId="0" xfId="0" applyNumberFormat="1" applyFont="1"/>
    <xf numFmtId="0" fontId="2" fillId="0" borderId="0" xfId="0" applyFont="1" applyFill="1" applyBorder="1" applyAlignment="1">
      <alignment horizontal="right" vertical="top"/>
    </xf>
    <xf numFmtId="184" fontId="3" fillId="6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184" fontId="3" fillId="6" borderId="0" xfId="0" applyNumberFormat="1" applyFont="1" applyFill="1" applyBorder="1" applyAlignment="1">
      <alignment horizontal="right"/>
    </xf>
    <xf numFmtId="184" fontId="3" fillId="6" borderId="3" xfId="0" applyNumberFormat="1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/>
    </xf>
    <xf numFmtId="184" fontId="3" fillId="6" borderId="4" xfId="0" applyNumberFormat="1" applyFont="1" applyFill="1" applyBorder="1" applyAlignment="1">
      <alignment horizontal="right"/>
    </xf>
    <xf numFmtId="184" fontId="3" fillId="0" borderId="0" xfId="0" applyNumberFormat="1" applyFont="1" applyFill="1" applyBorder="1" applyAlignment="1">
      <alignment horizontal="right"/>
    </xf>
    <xf numFmtId="184" fontId="3" fillId="6" borderId="7" xfId="0" applyNumberFormat="1" applyFont="1" applyFill="1" applyBorder="1" applyAlignment="1">
      <alignment horizontal="right"/>
    </xf>
    <xf numFmtId="184" fontId="5" fillId="6" borderId="0" xfId="0" applyNumberFormat="1" applyFont="1" applyFill="1" applyBorder="1" applyAlignment="1">
      <alignment horizontal="right" vertical="center"/>
    </xf>
    <xf numFmtId="184" fontId="5" fillId="0" borderId="0" xfId="0" applyNumberFormat="1" applyFont="1" applyFill="1" applyBorder="1" applyAlignment="1">
      <alignment horizontal="right" vertical="center"/>
    </xf>
    <xf numFmtId="183" fontId="5" fillId="6" borderId="0" xfId="0" applyNumberFormat="1" applyFont="1" applyFill="1" applyBorder="1" applyAlignment="1">
      <alignment horizontal="right" vertical="center"/>
    </xf>
    <xf numFmtId="183" fontId="5" fillId="3" borderId="0" xfId="0" applyNumberFormat="1" applyFont="1" applyFill="1" applyBorder="1" applyAlignment="1">
      <alignment horizontal="right" vertical="center"/>
    </xf>
    <xf numFmtId="0" fontId="5" fillId="0" borderId="0" xfId="0" applyFont="1" applyFill="1"/>
    <xf numFmtId="3" fontId="5" fillId="0" borderId="0" xfId="0" applyNumberFormat="1" applyFont="1" applyFill="1"/>
    <xf numFmtId="0" fontId="44" fillId="0" borderId="0" xfId="0" applyFont="1" applyAlignment="1"/>
    <xf numFmtId="0" fontId="57" fillId="0" borderId="0" xfId="0" applyFont="1"/>
    <xf numFmtId="0" fontId="3" fillId="3" borderId="6" xfId="0" quotePrefix="1" applyFont="1" applyFill="1" applyBorder="1" applyAlignment="1">
      <alignment horizontal="left"/>
    </xf>
    <xf numFmtId="184" fontId="3" fillId="6" borderId="6" xfId="0" applyNumberFormat="1" applyFont="1" applyFill="1" applyBorder="1" applyAlignment="1">
      <alignment horizontal="right"/>
    </xf>
    <xf numFmtId="3" fontId="5" fillId="3" borderId="7" xfId="0" applyNumberFormat="1" applyFont="1" applyFill="1" applyBorder="1" applyAlignment="1">
      <alignment horizontal="right"/>
    </xf>
    <xf numFmtId="0" fontId="3" fillId="3" borderId="5" xfId="0" quotePrefix="1" applyFont="1" applyFill="1" applyBorder="1" applyAlignment="1">
      <alignment horizontal="left" vertical="center"/>
    </xf>
    <xf numFmtId="3" fontId="3" fillId="6" borderId="5" xfId="0" applyNumberFormat="1" applyFont="1" applyFill="1" applyBorder="1" applyAlignment="1">
      <alignment horizontal="right" vertical="center"/>
    </xf>
    <xf numFmtId="3" fontId="3" fillId="3" borderId="5" xfId="0" applyNumberFormat="1" applyFont="1" applyFill="1" applyBorder="1" applyAlignment="1">
      <alignment horizontal="right" vertical="center"/>
    </xf>
    <xf numFmtId="3" fontId="5" fillId="3" borderId="5" xfId="0" applyNumberFormat="1" applyFont="1" applyFill="1" applyBorder="1" applyAlignment="1">
      <alignment horizontal="right" vertical="center"/>
    </xf>
    <xf numFmtId="184" fontId="3" fillId="6" borderId="5" xfId="0" applyNumberFormat="1" applyFont="1" applyFill="1" applyBorder="1" applyAlignment="1">
      <alignment horizontal="right" vertical="center"/>
    </xf>
    <xf numFmtId="0" fontId="3" fillId="0" borderId="0" xfId="0" quotePrefix="1" applyFont="1" applyFill="1" applyBorder="1" applyAlignment="1">
      <alignment horizontal="left" vertical="center"/>
    </xf>
    <xf numFmtId="184" fontId="3" fillId="0" borderId="0" xfId="0" applyNumberFormat="1" applyFont="1" applyFill="1" applyBorder="1" applyAlignment="1">
      <alignment horizontal="right" vertical="center"/>
    </xf>
    <xf numFmtId="0" fontId="45" fillId="3" borderId="6" xfId="0" quotePrefix="1" applyFont="1" applyFill="1" applyBorder="1" applyAlignment="1">
      <alignment horizontal="left" vertical="center"/>
    </xf>
    <xf numFmtId="3" fontId="45" fillId="6" borderId="6" xfId="0" applyNumberFormat="1" applyFont="1" applyFill="1" applyBorder="1" applyAlignment="1">
      <alignment horizontal="right" vertical="center"/>
    </xf>
    <xf numFmtId="3" fontId="45" fillId="3" borderId="6" xfId="0" applyNumberFormat="1" applyFont="1" applyFill="1" applyBorder="1" applyAlignment="1">
      <alignment horizontal="right" vertical="center"/>
    </xf>
    <xf numFmtId="3" fontId="53" fillId="3" borderId="6" xfId="0" applyNumberFormat="1" applyFont="1" applyFill="1" applyBorder="1" applyAlignment="1">
      <alignment horizontal="right" vertical="center"/>
    </xf>
    <xf numFmtId="184" fontId="45" fillId="6" borderId="6" xfId="0" applyNumberFormat="1" applyFont="1" applyFill="1" applyBorder="1" applyAlignment="1">
      <alignment horizontal="right" vertical="center"/>
    </xf>
    <xf numFmtId="0" fontId="45" fillId="3" borderId="13" xfId="0" quotePrefix="1" applyFont="1" applyFill="1" applyBorder="1" applyAlignment="1">
      <alignment horizontal="left" vertical="center" wrapText="1"/>
    </xf>
    <xf numFmtId="3" fontId="45" fillId="6" borderId="13" xfId="0" applyNumberFormat="1" applyFont="1" applyFill="1" applyBorder="1" applyAlignment="1">
      <alignment horizontal="right" vertical="center"/>
    </xf>
    <xf numFmtId="3" fontId="45" fillId="3" borderId="13" xfId="0" applyNumberFormat="1" applyFont="1" applyFill="1" applyBorder="1" applyAlignment="1">
      <alignment horizontal="right" vertical="center"/>
    </xf>
    <xf numFmtId="3" fontId="53" fillId="3" borderId="13" xfId="0" applyNumberFormat="1" applyFont="1" applyFill="1" applyBorder="1" applyAlignment="1">
      <alignment horizontal="right" vertical="center"/>
    </xf>
    <xf numFmtId="184" fontId="45" fillId="6" borderId="13" xfId="0" applyNumberFormat="1" applyFont="1" applyFill="1" applyBorder="1" applyAlignment="1">
      <alignment horizontal="right" vertical="center"/>
    </xf>
    <xf numFmtId="3" fontId="3" fillId="0" borderId="8" xfId="0" applyNumberFormat="1" applyFont="1" applyBorder="1" applyAlignment="1">
      <alignment horizontal="right" vertical="top"/>
    </xf>
    <xf numFmtId="3" fontId="3" fillId="0" borderId="0" xfId="0" applyNumberFormat="1" applyFont="1" applyBorder="1" applyAlignment="1">
      <alignment horizontal="right" vertical="top"/>
    </xf>
    <xf numFmtId="0" fontId="4" fillId="8" borderId="0" xfId="0" applyFont="1" applyFill="1" applyBorder="1"/>
    <xf numFmtId="0" fontId="3" fillId="0" borderId="0" xfId="0" applyFont="1" applyFill="1" applyBorder="1" applyAlignment="1">
      <alignment horizontal="left"/>
    </xf>
    <xf numFmtId="0" fontId="0" fillId="0" borderId="3" xfId="0" applyBorder="1" applyAlignment="1"/>
    <xf numFmtId="3" fontId="5" fillId="3" borderId="0" xfId="0" applyNumberFormat="1" applyFont="1" applyFill="1" applyBorder="1" applyAlignment="1">
      <alignment horizontal="right"/>
    </xf>
    <xf numFmtId="3" fontId="5" fillId="3" borderId="3" xfId="0" applyNumberFormat="1" applyFont="1" applyFill="1" applyBorder="1" applyAlignment="1">
      <alignment horizontal="right" vertical="top"/>
    </xf>
    <xf numFmtId="3" fontId="5" fillId="0" borderId="8" xfId="0" applyNumberFormat="1" applyFont="1" applyBorder="1" applyAlignment="1">
      <alignment horizontal="right" vertical="top"/>
    </xf>
    <xf numFmtId="3" fontId="5" fillId="0" borderId="0" xfId="0" applyNumberFormat="1" applyFont="1" applyBorder="1" applyAlignment="1">
      <alignment horizontal="right" vertical="top"/>
    </xf>
    <xf numFmtId="184" fontId="1" fillId="8" borderId="0" xfId="0" applyNumberFormat="1" applyFont="1" applyFill="1"/>
    <xf numFmtId="0" fontId="23" fillId="0" borderId="0" xfId="0" applyFont="1" applyAlignment="1">
      <alignment horizontal="left" wrapText="1"/>
    </xf>
    <xf numFmtId="0" fontId="2" fillId="8" borderId="0" xfId="0" applyFont="1" applyFill="1" applyAlignment="1">
      <alignment vertical="top"/>
    </xf>
    <xf numFmtId="0" fontId="26" fillId="6" borderId="0" xfId="0" applyFont="1" applyFill="1" applyBorder="1" applyAlignment="1">
      <alignment horizontal="right"/>
    </xf>
    <xf numFmtId="184" fontId="26" fillId="3" borderId="0" xfId="0" applyNumberFormat="1" applyFont="1" applyFill="1" applyBorder="1" applyAlignment="1">
      <alignment horizontal="right"/>
    </xf>
    <xf numFmtId="0" fontId="3" fillId="3" borderId="0" xfId="0" applyFont="1" applyFill="1" applyBorder="1" applyAlignment="1">
      <alignment horizontal="left" vertical="top"/>
    </xf>
    <xf numFmtId="184" fontId="3" fillId="3" borderId="0" xfId="0" applyNumberFormat="1" applyFont="1" applyFill="1" applyBorder="1" applyAlignment="1">
      <alignment horizontal="right" vertical="top"/>
    </xf>
    <xf numFmtId="0" fontId="26" fillId="6" borderId="0" xfId="0" applyFont="1" applyFill="1" applyBorder="1" applyAlignment="1">
      <alignment horizontal="right" vertical="top"/>
    </xf>
    <xf numFmtId="184" fontId="26" fillId="3" borderId="0" xfId="0" applyNumberFormat="1" applyFont="1" applyFill="1" applyBorder="1" applyAlignment="1">
      <alignment horizontal="right" vertical="top"/>
    </xf>
    <xf numFmtId="184" fontId="5" fillId="3" borderId="15" xfId="0" applyNumberFormat="1" applyFont="1" applyFill="1" applyBorder="1" applyAlignment="1">
      <alignment horizontal="right" vertical="center"/>
    </xf>
    <xf numFmtId="3" fontId="5" fillId="3" borderId="15" xfId="0" applyNumberFormat="1" applyFont="1" applyFill="1" applyBorder="1" applyAlignment="1">
      <alignment horizontal="right" vertical="center"/>
    </xf>
    <xf numFmtId="3" fontId="5" fillId="6" borderId="15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3" fontId="3" fillId="0" borderId="0" xfId="0" applyNumberFormat="1" applyFont="1" applyFill="1" applyBorder="1" applyAlignment="1">
      <alignment horizontal="right" vertical="top"/>
    </xf>
    <xf numFmtId="184" fontId="3" fillId="0" borderId="0" xfId="0" applyNumberFormat="1" applyFont="1" applyFill="1" applyBorder="1" applyAlignment="1">
      <alignment horizontal="right" vertical="top"/>
    </xf>
    <xf numFmtId="0" fontId="18" fillId="3" borderId="5" xfId="0" applyFont="1" applyFill="1" applyBorder="1" applyAlignment="1">
      <alignment horizontal="left" vertical="center" wrapText="1"/>
    </xf>
    <xf numFmtId="184" fontId="3" fillId="6" borderId="13" xfId="0" applyNumberFormat="1" applyFont="1" applyFill="1" applyBorder="1" applyAlignment="1">
      <alignment horizontal="right" vertical="center"/>
    </xf>
    <xf numFmtId="184" fontId="3" fillId="3" borderId="5" xfId="0" applyNumberFormat="1" applyFont="1" applyFill="1" applyBorder="1" applyAlignment="1">
      <alignment horizontal="right" vertical="center"/>
    </xf>
    <xf numFmtId="3" fontId="3" fillId="0" borderId="3" xfId="0" applyNumberFormat="1" applyFont="1" applyFill="1" applyBorder="1" applyAlignment="1">
      <alignment horizontal="right" vertical="top"/>
    </xf>
    <xf numFmtId="0" fontId="26" fillId="6" borderId="0" xfId="0" applyFont="1" applyFill="1" applyBorder="1" applyAlignment="1">
      <alignment horizontal="right" vertical="center"/>
    </xf>
    <xf numFmtId="184" fontId="26" fillId="3" borderId="0" xfId="0" applyNumberFormat="1" applyFont="1" applyFill="1" applyBorder="1" applyAlignment="1">
      <alignment horizontal="right" vertical="center"/>
    </xf>
    <xf numFmtId="0" fontId="58" fillId="6" borderId="0" xfId="0" applyFont="1" applyFill="1" applyBorder="1" applyAlignment="1">
      <alignment horizontal="right" vertical="top"/>
    </xf>
    <xf numFmtId="184" fontId="58" fillId="3" borderId="0" xfId="0" applyNumberFormat="1" applyFont="1" applyFill="1" applyBorder="1" applyAlignment="1">
      <alignment horizontal="right" vertical="top"/>
    </xf>
    <xf numFmtId="184" fontId="4" fillId="0" borderId="0" xfId="0" applyNumberFormat="1" applyFont="1" applyFill="1"/>
    <xf numFmtId="0" fontId="49" fillId="3" borderId="7" xfId="0" quotePrefix="1" applyFont="1" applyFill="1" applyBorder="1" applyAlignment="1">
      <alignment horizontal="left"/>
    </xf>
    <xf numFmtId="0" fontId="4" fillId="8" borderId="8" xfId="0" applyFont="1" applyFill="1" applyBorder="1"/>
    <xf numFmtId="3" fontId="4" fillId="0" borderId="0" xfId="0" applyNumberFormat="1" applyFont="1" applyFill="1" applyAlignment="1">
      <alignment horizontal="center"/>
    </xf>
    <xf numFmtId="3" fontId="4" fillId="0" borderId="0" xfId="0" applyNumberFormat="1" applyFont="1" applyFill="1"/>
    <xf numFmtId="0" fontId="4" fillId="0" borderId="0" xfId="0" quotePrefix="1" applyFont="1" applyFill="1" applyAlignment="1">
      <alignment horizontal="center"/>
    </xf>
    <xf numFmtId="0" fontId="18" fillId="8" borderId="0" xfId="0" applyFont="1" applyFill="1" applyBorder="1"/>
    <xf numFmtId="3" fontId="2" fillId="0" borderId="0" xfId="0" applyNumberFormat="1" applyFont="1"/>
    <xf numFmtId="0" fontId="3" fillId="6" borderId="2" xfId="0" applyFont="1" applyFill="1" applyBorder="1" applyAlignment="1">
      <alignment horizontal="center"/>
    </xf>
    <xf numFmtId="0" fontId="51" fillId="6" borderId="0" xfId="0" applyFont="1" applyFill="1" applyBorder="1" applyAlignment="1">
      <alignment horizontal="center"/>
    </xf>
    <xf numFmtId="0" fontId="3" fillId="3" borderId="6" xfId="0" quotePrefix="1" applyFont="1" applyFill="1" applyBorder="1" applyAlignment="1">
      <alignment horizontal="left" vertical="center"/>
    </xf>
    <xf numFmtId="184" fontId="3" fillId="6" borderId="4" xfId="0" applyNumberFormat="1" applyFont="1" applyFill="1" applyBorder="1" applyAlignment="1">
      <alignment horizontal="center" vertical="center"/>
    </xf>
    <xf numFmtId="184" fontId="3" fillId="6" borderId="7" xfId="0" applyNumberFormat="1" applyFont="1" applyFill="1" applyBorder="1" applyAlignment="1">
      <alignment horizontal="center" vertical="center"/>
    </xf>
    <xf numFmtId="0" fontId="3" fillId="3" borderId="0" xfId="0" quotePrefix="1" applyFont="1" applyFill="1" applyBorder="1" applyAlignment="1">
      <alignment horizontal="left" vertical="center"/>
    </xf>
    <xf numFmtId="0" fontId="8" fillId="0" borderId="8" xfId="0" applyFont="1" applyBorder="1"/>
    <xf numFmtId="0" fontId="3" fillId="3" borderId="6" xfId="0" applyFont="1" applyFill="1" applyBorder="1" applyAlignment="1">
      <alignment horizontal="left" vertical="center"/>
    </xf>
    <xf numFmtId="3" fontId="8" fillId="0" borderId="0" xfId="0" applyNumberFormat="1" applyFont="1" applyBorder="1"/>
    <xf numFmtId="0" fontId="3" fillId="0" borderId="0" xfId="0" applyFont="1" applyAlignment="1">
      <alignment horizontal="right"/>
    </xf>
    <xf numFmtId="0" fontId="5" fillId="3" borderId="6" xfId="0" quotePrefix="1" applyFont="1" applyFill="1" applyBorder="1" applyAlignment="1"/>
    <xf numFmtId="0" fontId="5" fillId="3" borderId="7" xfId="0" quotePrefix="1" applyFont="1" applyFill="1" applyBorder="1" applyAlignment="1"/>
    <xf numFmtId="0" fontId="5" fillId="3" borderId="7" xfId="0" quotePrefix="1" applyFont="1" applyFill="1" applyBorder="1" applyAlignment="1">
      <alignment wrapText="1"/>
    </xf>
    <xf numFmtId="3" fontId="3" fillId="3" borderId="7" xfId="0" applyNumberFormat="1" applyFont="1" applyFill="1" applyBorder="1" applyAlignment="1">
      <alignment vertical="center"/>
    </xf>
    <xf numFmtId="0" fontId="3" fillId="3" borderId="0" xfId="0" quotePrefix="1" applyFont="1" applyFill="1" applyBorder="1" applyAlignment="1">
      <alignment vertical="center"/>
    </xf>
    <xf numFmtId="3" fontId="3" fillId="6" borderId="0" xfId="0" applyNumberFormat="1" applyFont="1" applyFill="1" applyBorder="1" applyAlignment="1">
      <alignment horizontal="right" vertical="center"/>
    </xf>
    <xf numFmtId="183" fontId="3" fillId="6" borderId="4" xfId="0" applyNumberFormat="1" applyFont="1" applyFill="1" applyBorder="1" applyAlignment="1"/>
    <xf numFmtId="0" fontId="3" fillId="3" borderId="4" xfId="0" applyNumberFormat="1" applyFont="1" applyFill="1" applyBorder="1" applyAlignment="1">
      <alignment horizontal="center"/>
    </xf>
    <xf numFmtId="0" fontId="3" fillId="3" borderId="7" xfId="0" applyNumberFormat="1" applyFont="1" applyFill="1" applyBorder="1" applyAlignment="1">
      <alignment horizontal="center"/>
    </xf>
    <xf numFmtId="183" fontId="5" fillId="6" borderId="7" xfId="0" applyNumberFormat="1" applyFont="1" applyFill="1" applyBorder="1" applyAlignment="1">
      <alignment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5" xfId="0" quotePrefix="1" applyFont="1" applyFill="1" applyBorder="1" applyAlignment="1">
      <alignment horizontal="left" vertical="center"/>
    </xf>
    <xf numFmtId="183" fontId="5" fillId="6" borderId="15" xfId="0" applyNumberFormat="1" applyFont="1" applyFill="1" applyBorder="1" applyAlignment="1">
      <alignment horizontal="right" vertical="center"/>
    </xf>
    <xf numFmtId="183" fontId="5" fillId="3" borderId="15" xfId="0" applyNumberFormat="1" applyFont="1" applyFill="1" applyBorder="1" applyAlignment="1">
      <alignment horizontal="right" vertical="center"/>
    </xf>
    <xf numFmtId="182" fontId="3" fillId="0" borderId="8" xfId="0" applyNumberFormat="1" applyFont="1" applyBorder="1" applyAlignment="1">
      <alignment horizontal="right" vertical="top"/>
    </xf>
    <xf numFmtId="182" fontId="3" fillId="0" borderId="0" xfId="0" applyNumberFormat="1" applyFont="1" applyBorder="1" applyAlignment="1">
      <alignment horizontal="right" vertical="top"/>
    </xf>
    <xf numFmtId="3" fontId="63" fillId="6" borderId="13" xfId="0" applyNumberFormat="1" applyFont="1" applyFill="1" applyBorder="1" applyAlignment="1">
      <alignment horizontal="right" vertical="center"/>
    </xf>
    <xf numFmtId="0" fontId="18" fillId="6" borderId="2" xfId="0" applyFont="1" applyFill="1" applyBorder="1" applyAlignment="1">
      <alignment horizontal="left"/>
    </xf>
    <xf numFmtId="184" fontId="18" fillId="6" borderId="2" xfId="0" applyNumberFormat="1" applyFont="1" applyFill="1" applyBorder="1" applyAlignment="1">
      <alignment horizontal="center"/>
    </xf>
    <xf numFmtId="0" fontId="18" fillId="6" borderId="0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center"/>
    </xf>
    <xf numFmtId="184" fontId="18" fillId="6" borderId="0" xfId="0" applyNumberFormat="1" applyFont="1" applyFill="1" applyBorder="1" applyAlignment="1">
      <alignment horizontal="center"/>
    </xf>
    <xf numFmtId="184" fontId="18" fillId="6" borderId="3" xfId="0" applyNumberFormat="1" applyFont="1" applyFill="1" applyBorder="1" applyAlignment="1">
      <alignment horizontal="center" vertical="top"/>
    </xf>
    <xf numFmtId="183" fontId="3" fillId="6" borderId="4" xfId="0" applyNumberFormat="1" applyFont="1" applyFill="1" applyBorder="1" applyAlignment="1">
      <alignment horizontal="right" vertical="center"/>
    </xf>
    <xf numFmtId="3" fontId="45" fillId="6" borderId="7" xfId="0" applyNumberFormat="1" applyFont="1" applyFill="1" applyBorder="1" applyAlignment="1">
      <alignment horizontal="right" vertical="center"/>
    </xf>
    <xf numFmtId="3" fontId="45" fillId="3" borderId="7" xfId="0" applyNumberFormat="1" applyFont="1" applyFill="1" applyBorder="1" applyAlignment="1">
      <alignment horizontal="right" vertical="center"/>
    </xf>
    <xf numFmtId="183" fontId="45" fillId="6" borderId="7" xfId="0" applyNumberFormat="1" applyFont="1" applyFill="1" applyBorder="1" applyAlignment="1">
      <alignment horizontal="right" vertical="center"/>
    </xf>
    <xf numFmtId="0" fontId="18" fillId="3" borderId="2" xfId="0" applyFont="1" applyFill="1" applyBorder="1" applyAlignment="1">
      <alignment horizontal="right"/>
    </xf>
    <xf numFmtId="184" fontId="3" fillId="6" borderId="6" xfId="0" applyNumberFormat="1" applyFont="1" applyFill="1" applyBorder="1"/>
    <xf numFmtId="184" fontId="3" fillId="6" borderId="7" xfId="0" applyNumberFormat="1" applyFont="1" applyFill="1" applyBorder="1"/>
    <xf numFmtId="3" fontId="3" fillId="6" borderId="7" xfId="0" applyNumberFormat="1" applyFont="1" applyFill="1" applyBorder="1" applyAlignment="1">
      <alignment vertical="center"/>
    </xf>
    <xf numFmtId="0" fontId="18" fillId="6" borderId="2" xfId="0" applyFont="1" applyFill="1" applyBorder="1" applyAlignment="1">
      <alignment horizontal="center"/>
    </xf>
    <xf numFmtId="0" fontId="18" fillId="6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right"/>
    </xf>
    <xf numFmtId="0" fontId="18" fillId="6" borderId="0" xfId="0" applyFont="1" applyFill="1" applyBorder="1" applyAlignment="1">
      <alignment horizontal="right"/>
    </xf>
    <xf numFmtId="0" fontId="3" fillId="6" borderId="3" xfId="0" applyFont="1" applyFill="1" applyBorder="1" applyAlignment="1">
      <alignment horizontal="left" vertical="top"/>
    </xf>
    <xf numFmtId="3" fontId="3" fillId="6" borderId="4" xfId="0" quotePrefix="1" applyNumberFormat="1" applyFont="1" applyFill="1" applyBorder="1" applyAlignment="1">
      <alignment horizontal="right"/>
    </xf>
    <xf numFmtId="3" fontId="3" fillId="6" borderId="7" xfId="0" quotePrefix="1" applyNumberFormat="1" applyFont="1" applyFill="1" applyBorder="1" applyAlignment="1">
      <alignment horizontal="right"/>
    </xf>
    <xf numFmtId="3" fontId="5" fillId="6" borderId="7" xfId="0" quotePrefix="1" applyNumberFormat="1" applyFont="1" applyFill="1" applyBorder="1" applyAlignment="1">
      <alignment horizontal="right" vertical="center"/>
    </xf>
    <xf numFmtId="0" fontId="49" fillId="6" borderId="0" xfId="0" applyFont="1" applyFill="1" applyBorder="1" applyAlignment="1">
      <alignment horizontal="right" vertical="top"/>
    </xf>
    <xf numFmtId="0" fontId="1" fillId="0" borderId="3" xfId="0" applyFont="1" applyBorder="1" applyAlignment="1">
      <alignment horizontal="center"/>
    </xf>
    <xf numFmtId="0" fontId="3" fillId="6" borderId="2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3" fontId="3" fillId="3" borderId="4" xfId="0" applyNumberFormat="1" applyFont="1" applyFill="1" applyBorder="1" applyAlignment="1">
      <alignment horizontal="center" vertical="center"/>
    </xf>
    <xf numFmtId="3" fontId="3" fillId="6" borderId="4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left"/>
    </xf>
    <xf numFmtId="3" fontId="3" fillId="3" borderId="7" xfId="0" applyNumberFormat="1" applyFont="1" applyFill="1" applyBorder="1" applyAlignment="1">
      <alignment horizontal="center" vertical="center"/>
    </xf>
    <xf numFmtId="3" fontId="3" fillId="6" borderId="7" xfId="0" applyNumberFormat="1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3" fontId="5" fillId="3" borderId="0" xfId="0" applyNumberFormat="1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3" fontId="5" fillId="6" borderId="0" xfId="0" applyNumberFormat="1" applyFont="1" applyFill="1" applyBorder="1" applyAlignment="1">
      <alignment horizontal="center" vertical="center"/>
    </xf>
    <xf numFmtId="3" fontId="5" fillId="6" borderId="5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right"/>
    </xf>
    <xf numFmtId="0" fontId="3" fillId="9" borderId="2" xfId="0" applyFont="1" applyFill="1" applyBorder="1" applyAlignment="1">
      <alignment horizontal="right"/>
    </xf>
    <xf numFmtId="0" fontId="3" fillId="9" borderId="0" xfId="0" applyFont="1" applyFill="1" applyBorder="1" applyAlignment="1">
      <alignment horizontal="left"/>
    </xf>
    <xf numFmtId="0" fontId="3" fillId="10" borderId="0" xfId="0" applyFont="1" applyFill="1" applyBorder="1" applyAlignment="1">
      <alignment horizontal="right"/>
    </xf>
    <xf numFmtId="3" fontId="3" fillId="9" borderId="0" xfId="0" applyNumberFormat="1" applyFont="1" applyFill="1" applyBorder="1" applyAlignment="1">
      <alignment horizontal="right"/>
    </xf>
    <xf numFmtId="0" fontId="3" fillId="9" borderId="0" xfId="0" applyFont="1" applyFill="1" applyBorder="1" applyAlignment="1">
      <alignment horizontal="right"/>
    </xf>
    <xf numFmtId="0" fontId="3" fillId="9" borderId="3" xfId="0" applyFont="1" applyFill="1" applyBorder="1" applyAlignment="1">
      <alignment horizontal="left" vertical="top"/>
    </xf>
    <xf numFmtId="0" fontId="3" fillId="10" borderId="3" xfId="0" applyFont="1" applyFill="1" applyBorder="1" applyAlignment="1">
      <alignment horizontal="right" vertical="top"/>
    </xf>
    <xf numFmtId="0" fontId="3" fillId="9" borderId="3" xfId="0" applyFont="1" applyFill="1" applyBorder="1" applyAlignment="1">
      <alignment horizontal="right" vertical="top"/>
    </xf>
    <xf numFmtId="0" fontId="3" fillId="9" borderId="4" xfId="0" quotePrefix="1" applyFont="1" applyFill="1" applyBorder="1" applyAlignment="1">
      <alignment horizontal="left"/>
    </xf>
    <xf numFmtId="3" fontId="3" fillId="10" borderId="4" xfId="0" applyNumberFormat="1" applyFont="1" applyFill="1" applyBorder="1" applyAlignment="1">
      <alignment horizontal="right"/>
    </xf>
    <xf numFmtId="0" fontId="3" fillId="9" borderId="4" xfId="0" quotePrefix="1" applyFont="1" applyFill="1" applyBorder="1" applyAlignment="1">
      <alignment horizontal="right"/>
    </xf>
    <xf numFmtId="184" fontId="3" fillId="9" borderId="4" xfId="0" quotePrefix="1" applyNumberFormat="1" applyFont="1" applyFill="1" applyBorder="1" applyAlignment="1">
      <alignment horizontal="right"/>
    </xf>
    <xf numFmtId="0" fontId="3" fillId="9" borderId="7" xfId="0" quotePrefix="1" applyFont="1" applyFill="1" applyBorder="1" applyAlignment="1">
      <alignment horizontal="left"/>
    </xf>
    <xf numFmtId="3" fontId="3" fillId="10" borderId="7" xfId="0" applyNumberFormat="1" applyFont="1" applyFill="1" applyBorder="1" applyAlignment="1">
      <alignment horizontal="right"/>
    </xf>
    <xf numFmtId="0" fontId="3" fillId="9" borderId="7" xfId="0" quotePrefix="1" applyFont="1" applyFill="1" applyBorder="1" applyAlignment="1">
      <alignment horizontal="right"/>
    </xf>
    <xf numFmtId="184" fontId="3" fillId="9" borderId="7" xfId="0" quotePrefix="1" applyNumberFormat="1" applyFont="1" applyFill="1" applyBorder="1" applyAlignment="1">
      <alignment horizontal="right"/>
    </xf>
    <xf numFmtId="0" fontId="5" fillId="9" borderId="0" xfId="0" quotePrefix="1" applyFont="1" applyFill="1" applyBorder="1" applyAlignment="1">
      <alignment horizontal="left" vertical="center"/>
    </xf>
    <xf numFmtId="3" fontId="5" fillId="10" borderId="0" xfId="0" applyNumberFormat="1" applyFont="1" applyFill="1" applyBorder="1" applyAlignment="1">
      <alignment horizontal="right" vertical="center"/>
    </xf>
    <xf numFmtId="0" fontId="5" fillId="9" borderId="0" xfId="0" quotePrefix="1" applyFont="1" applyFill="1" applyBorder="1" applyAlignment="1">
      <alignment horizontal="right" vertical="center"/>
    </xf>
    <xf numFmtId="184" fontId="5" fillId="9" borderId="7" xfId="0" quotePrefix="1" applyNumberFormat="1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22" fillId="0" borderId="0" xfId="0" applyFont="1" applyAlignment="1">
      <alignment vertical="top"/>
    </xf>
    <xf numFmtId="0" fontId="65" fillId="0" borderId="0" xfId="0" applyFont="1" applyAlignment="1"/>
    <xf numFmtId="0" fontId="66" fillId="0" borderId="0" xfId="0" applyFont="1" applyAlignment="1"/>
    <xf numFmtId="0" fontId="67" fillId="0" borderId="0" xfId="0" applyFont="1" applyFill="1" applyAlignment="1">
      <alignment horizontal="left"/>
    </xf>
    <xf numFmtId="0" fontId="67" fillId="0" borderId="0" xfId="0" applyFont="1" applyAlignment="1"/>
    <xf numFmtId="0" fontId="4" fillId="0" borderId="16" xfId="0" applyFont="1" applyBorder="1" applyAlignment="1">
      <alignment horizontal="center" vertical="top" wrapText="1"/>
    </xf>
    <xf numFmtId="0" fontId="67" fillId="0" borderId="17" xfId="0" applyFont="1" applyBorder="1" applyAlignment="1">
      <alignment horizontal="justify" vertical="top" wrapText="1"/>
    </xf>
    <xf numFmtId="0" fontId="67" fillId="0" borderId="16" xfId="0" applyFont="1" applyBorder="1" applyAlignment="1">
      <alignment horizontal="justify" vertical="top" wrapText="1"/>
    </xf>
    <xf numFmtId="0" fontId="68" fillId="0" borderId="18" xfId="0" applyFont="1" applyBorder="1" applyAlignment="1">
      <alignment horizontal="center" vertical="top" wrapText="1"/>
    </xf>
    <xf numFmtId="9" fontId="68" fillId="0" borderId="19" xfId="0" applyNumberFormat="1" applyFont="1" applyBorder="1" applyAlignment="1">
      <alignment horizontal="justify" vertical="top" wrapText="1"/>
    </xf>
    <xf numFmtId="0" fontId="4" fillId="0" borderId="16" xfId="0" applyFont="1" applyBorder="1" applyAlignment="1">
      <alignment horizontal="right" vertical="top" wrapText="1"/>
    </xf>
    <xf numFmtId="0" fontId="26" fillId="0" borderId="16" xfId="0" applyFont="1" applyBorder="1" applyAlignment="1">
      <alignment horizontal="center" vertical="top" wrapText="1"/>
    </xf>
    <xf numFmtId="0" fontId="26" fillId="0" borderId="16" xfId="0" applyFont="1" applyBorder="1" applyAlignment="1">
      <alignment horizontal="right" vertical="top" wrapText="1"/>
    </xf>
    <xf numFmtId="9" fontId="26" fillId="0" borderId="16" xfId="0" applyNumberFormat="1" applyFont="1" applyBorder="1" applyAlignment="1">
      <alignment horizontal="right" vertical="top" wrapText="1"/>
    </xf>
    <xf numFmtId="0" fontId="26" fillId="0" borderId="16" xfId="0" applyFont="1" applyFill="1" applyBorder="1" applyAlignment="1">
      <alignment horizontal="center" vertical="top" wrapText="1"/>
    </xf>
    <xf numFmtId="0" fontId="26" fillId="0" borderId="16" xfId="0" applyFont="1" applyFill="1" applyBorder="1" applyAlignment="1">
      <alignment horizontal="right" vertical="top" wrapText="1"/>
    </xf>
    <xf numFmtId="9" fontId="26" fillId="0" borderId="16" xfId="0" applyNumberFormat="1" applyFont="1" applyFill="1" applyBorder="1" applyAlignment="1">
      <alignment horizontal="right" vertical="top" wrapText="1"/>
    </xf>
    <xf numFmtId="0" fontId="8" fillId="0" borderId="16" xfId="0" applyFont="1" applyFill="1" applyBorder="1" applyAlignment="1">
      <alignment horizontal="center" vertical="top" wrapText="1"/>
    </xf>
    <xf numFmtId="0" fontId="8" fillId="0" borderId="16" xfId="0" applyFont="1" applyFill="1" applyBorder="1" applyAlignment="1">
      <alignment horizontal="right" vertical="top" wrapText="1"/>
    </xf>
    <xf numFmtId="9" fontId="8" fillId="0" borderId="16" xfId="0" applyNumberFormat="1" applyFont="1" applyFill="1" applyBorder="1" applyAlignment="1">
      <alignment horizontal="right" vertical="top" wrapText="1"/>
    </xf>
    <xf numFmtId="0" fontId="67" fillId="0" borderId="0" xfId="0" applyFont="1"/>
    <xf numFmtId="0" fontId="66" fillId="0" borderId="0" xfId="0" applyFont="1"/>
    <xf numFmtId="0" fontId="67" fillId="0" borderId="0" xfId="0" applyNumberFormat="1" applyFont="1" applyAlignment="1"/>
    <xf numFmtId="0" fontId="4" fillId="0" borderId="0" xfId="0" applyFont="1" applyAlignment="1"/>
    <xf numFmtId="1" fontId="54" fillId="0" borderId="0" xfId="0" applyNumberFormat="1" applyFont="1" applyFill="1" applyBorder="1" applyAlignment="1"/>
    <xf numFmtId="0" fontId="8" fillId="0" borderId="0" xfId="0" applyFont="1" applyFill="1" applyBorder="1" applyAlignment="1">
      <alignment horizontal="center"/>
    </xf>
    <xf numFmtId="0" fontId="18" fillId="0" borderId="0" xfId="0" applyFont="1" applyFill="1" applyBorder="1"/>
    <xf numFmtId="0" fontId="8" fillId="0" borderId="0" xfId="0" quotePrefix="1" applyFont="1" applyFill="1" applyBorder="1" applyAlignment="1">
      <alignment horizontal="center"/>
    </xf>
    <xf numFmtId="0" fontId="18" fillId="0" borderId="0" xfId="0" quotePrefix="1" applyFont="1" applyFill="1" applyBorder="1"/>
    <xf numFmtId="16" fontId="8" fillId="0" borderId="0" xfId="0" quotePrefix="1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8" fillId="0" borderId="0" xfId="0" applyFont="1" applyBorder="1"/>
    <xf numFmtId="18" fontId="8" fillId="0" borderId="0" xfId="0" quotePrefix="1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184" fontId="3" fillId="6" borderId="7" xfId="0" applyNumberFormat="1" applyFont="1" applyFill="1" applyBorder="1" applyAlignment="1">
      <alignment vertical="center"/>
    </xf>
    <xf numFmtId="184" fontId="3" fillId="6" borderId="7" xfId="0" applyNumberFormat="1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left" vertical="center"/>
    </xf>
    <xf numFmtId="3" fontId="5" fillId="3" borderId="5" xfId="0" applyNumberFormat="1" applyFont="1" applyFill="1" applyBorder="1" applyAlignment="1">
      <alignment vertical="center"/>
    </xf>
    <xf numFmtId="184" fontId="5" fillId="6" borderId="5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6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184" fontId="3" fillId="3" borderId="6" xfId="0" applyNumberFormat="1" applyFont="1" applyFill="1" applyBorder="1"/>
    <xf numFmtId="16" fontId="3" fillId="3" borderId="7" xfId="0" applyNumberFormat="1" applyFont="1" applyFill="1" applyBorder="1" applyAlignment="1">
      <alignment horizontal="left"/>
    </xf>
    <xf numFmtId="184" fontId="3" fillId="3" borderId="6" xfId="0" applyNumberFormat="1" applyFont="1" applyFill="1" applyBorder="1" applyAlignment="1">
      <alignment vertical="center"/>
    </xf>
    <xf numFmtId="0" fontId="5" fillId="3" borderId="13" xfId="0" applyFont="1" applyFill="1" applyBorder="1" applyAlignment="1">
      <alignment horizontal="left" vertical="center"/>
    </xf>
    <xf numFmtId="3" fontId="5" fillId="6" borderId="5" xfId="0" applyNumberFormat="1" applyFont="1" applyFill="1" applyBorder="1" applyAlignment="1">
      <alignment vertical="center"/>
    </xf>
    <xf numFmtId="184" fontId="5" fillId="3" borderId="0" xfId="0" applyNumberFormat="1" applyFont="1" applyFill="1" applyBorder="1" applyAlignment="1">
      <alignment horizontal="right" vertical="center"/>
    </xf>
    <xf numFmtId="184" fontId="45" fillId="6" borderId="14" xfId="0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right" wrapText="1"/>
    </xf>
    <xf numFmtId="0" fontId="5" fillId="3" borderId="2" xfId="0" applyFont="1" applyFill="1" applyBorder="1" applyAlignment="1">
      <alignment horizontal="right" wrapText="1"/>
    </xf>
    <xf numFmtId="0" fontId="3" fillId="3" borderId="5" xfId="0" applyFont="1" applyFill="1" applyBorder="1" applyAlignment="1">
      <alignment vertical="center" wrapText="1"/>
    </xf>
    <xf numFmtId="0" fontId="62" fillId="0" borderId="0" xfId="0" applyFont="1"/>
    <xf numFmtId="0" fontId="4" fillId="0" borderId="0" xfId="0" applyFont="1" applyFill="1" applyBorder="1" applyAlignment="1">
      <alignment horizontal="center"/>
    </xf>
    <xf numFmtId="0" fontId="3" fillId="6" borderId="0" xfId="0" quotePrefix="1" applyFont="1" applyFill="1" applyBorder="1" applyAlignment="1">
      <alignment horizontal="right"/>
    </xf>
    <xf numFmtId="0" fontId="4" fillId="9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center"/>
    </xf>
    <xf numFmtId="2" fontId="44" fillId="0" borderId="0" xfId="0" applyNumberFormat="1" applyFont="1"/>
    <xf numFmtId="0" fontId="18" fillId="0" borderId="0" xfId="0" applyFont="1" applyAlignment="1"/>
    <xf numFmtId="184" fontId="5" fillId="3" borderId="5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3" fontId="3" fillId="3" borderId="4" xfId="0" applyNumberFormat="1" applyFont="1" applyFill="1" applyBorder="1" applyAlignment="1">
      <alignment horizontal="center"/>
    </xf>
    <xf numFmtId="0" fontId="5" fillId="3" borderId="5" xfId="0" quotePrefix="1" applyFont="1" applyFill="1" applyBorder="1" applyAlignment="1">
      <alignment horizontal="left" vertical="center"/>
    </xf>
    <xf numFmtId="3" fontId="5" fillId="6" borderId="5" xfId="0" quotePrefix="1" applyNumberFormat="1" applyFont="1" applyFill="1" applyBorder="1" applyAlignment="1">
      <alignment horizontal="right" vertical="center"/>
    </xf>
    <xf numFmtId="3" fontId="3" fillId="3" borderId="7" xfId="0" applyNumberFormat="1" applyFont="1" applyFill="1" applyBorder="1" applyAlignment="1">
      <alignment horizontal="center"/>
    </xf>
    <xf numFmtId="0" fontId="3" fillId="6" borderId="0" xfId="0" applyNumberFormat="1" applyFont="1" applyFill="1" applyBorder="1" applyAlignment="1">
      <alignment horizontal="right"/>
    </xf>
    <xf numFmtId="0" fontId="3" fillId="3" borderId="0" xfId="0" applyNumberFormat="1" applyFont="1" applyFill="1" applyBorder="1" applyAlignment="1">
      <alignment horizontal="right"/>
    </xf>
    <xf numFmtId="182" fontId="3" fillId="6" borderId="6" xfId="0" applyNumberFormat="1" applyFont="1" applyFill="1" applyBorder="1" applyAlignment="1">
      <alignment horizontal="left"/>
    </xf>
    <xf numFmtId="182" fontId="3" fillId="6" borderId="7" xfId="0" applyNumberFormat="1" applyFont="1" applyFill="1" applyBorder="1" applyAlignment="1">
      <alignment horizontal="left"/>
    </xf>
    <xf numFmtId="183" fontId="4" fillId="3" borderId="4" xfId="0" applyNumberFormat="1" applyFont="1" applyFill="1" applyBorder="1" applyAlignment="1">
      <alignment horizontal="right" vertical="center"/>
    </xf>
    <xf numFmtId="183" fontId="4" fillId="3" borderId="7" xfId="0" applyNumberFormat="1" applyFont="1" applyFill="1" applyBorder="1" applyAlignment="1">
      <alignment horizontal="right" vertical="center"/>
    </xf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4" fillId="6" borderId="0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3" fontId="4" fillId="3" borderId="3" xfId="0" applyNumberFormat="1" applyFont="1" applyFill="1" applyBorder="1" applyAlignment="1">
      <alignment horizontal="right" vertical="center"/>
    </xf>
    <xf numFmtId="3" fontId="4" fillId="6" borderId="3" xfId="0" applyNumberFormat="1" applyFont="1" applyFill="1" applyBorder="1" applyAlignment="1">
      <alignment horizontal="right" vertical="center"/>
    </xf>
    <xf numFmtId="3" fontId="4" fillId="6" borderId="4" xfId="0" applyNumberFormat="1" applyFont="1" applyFill="1" applyBorder="1" applyAlignment="1">
      <alignment vertical="center"/>
    </xf>
    <xf numFmtId="3" fontId="4" fillId="3" borderId="4" xfId="0" applyNumberFormat="1" applyFont="1" applyFill="1" applyBorder="1" applyAlignment="1">
      <alignment horizontal="right" vertical="center"/>
    </xf>
    <xf numFmtId="3" fontId="4" fillId="3" borderId="4" xfId="0" applyNumberFormat="1" applyFont="1" applyFill="1" applyBorder="1" applyAlignment="1">
      <alignment vertical="center"/>
    </xf>
    <xf numFmtId="184" fontId="4" fillId="6" borderId="4" xfId="0" applyNumberFormat="1" applyFont="1" applyFill="1" applyBorder="1" applyAlignment="1">
      <alignment horizontal="right" vertical="center"/>
    </xf>
    <xf numFmtId="183" fontId="4" fillId="3" borderId="15" xfId="0" applyNumberFormat="1" applyFont="1" applyFill="1" applyBorder="1" applyAlignment="1">
      <alignment horizontal="right" vertical="center"/>
    </xf>
    <xf numFmtId="1" fontId="38" fillId="3" borderId="5" xfId="0" applyNumberFormat="1" applyFont="1" applyFill="1" applyBorder="1" applyAlignment="1">
      <alignment horizontal="left" vertical="center"/>
    </xf>
    <xf numFmtId="1" fontId="8" fillId="3" borderId="5" xfId="0" applyNumberFormat="1" applyFont="1" applyFill="1" applyBorder="1" applyAlignment="1">
      <alignment horizontal="left" vertical="center"/>
    </xf>
    <xf numFmtId="3" fontId="8" fillId="6" borderId="5" xfId="0" applyNumberFormat="1" applyFont="1" applyFill="1" applyBorder="1" applyAlignment="1">
      <alignment vertical="center"/>
    </xf>
    <xf numFmtId="3" fontId="8" fillId="3" borderId="5" xfId="0" applyNumberFormat="1" applyFont="1" applyFill="1" applyBorder="1" applyAlignment="1">
      <alignment horizontal="right" vertical="center"/>
    </xf>
    <xf numFmtId="3" fontId="8" fillId="3" borderId="5" xfId="0" quotePrefix="1" applyNumberFormat="1" applyFont="1" applyFill="1" applyBorder="1" applyAlignment="1">
      <alignment horizontal="right" vertical="center"/>
    </xf>
    <xf numFmtId="3" fontId="8" fillId="3" borderId="5" xfId="0" applyNumberFormat="1" applyFont="1" applyFill="1" applyBorder="1" applyAlignment="1">
      <alignment vertical="center"/>
    </xf>
    <xf numFmtId="184" fontId="8" fillId="6" borderId="5" xfId="0" applyNumberFormat="1" applyFont="1" applyFill="1" applyBorder="1" applyAlignment="1">
      <alignment horizontal="right" vertical="center"/>
    </xf>
    <xf numFmtId="183" fontId="8" fillId="3" borderId="5" xfId="0" applyNumberFormat="1" applyFont="1" applyFill="1" applyBorder="1" applyAlignment="1">
      <alignment horizontal="right" vertical="center"/>
    </xf>
    <xf numFmtId="3" fontId="4" fillId="0" borderId="7" xfId="0" applyNumberFormat="1" applyFont="1" applyFill="1" applyBorder="1" applyAlignment="1"/>
    <xf numFmtId="183" fontId="4" fillId="0" borderId="7" xfId="0" applyNumberFormat="1" applyFont="1" applyFill="1" applyBorder="1" applyAlignment="1">
      <alignment horizontal="right"/>
    </xf>
    <xf numFmtId="184" fontId="4" fillId="0" borderId="7" xfId="0" applyNumberFormat="1" applyFont="1" applyFill="1" applyBorder="1" applyAlignment="1">
      <alignment horizontal="right"/>
    </xf>
    <xf numFmtId="3" fontId="4" fillId="0" borderId="7" xfId="0" applyNumberFormat="1" applyFont="1" applyFill="1" applyBorder="1" applyAlignment="1">
      <alignment horizontal="left"/>
    </xf>
    <xf numFmtId="184" fontId="4" fillId="0" borderId="7" xfId="0" applyNumberFormat="1" applyFont="1" applyFill="1" applyBorder="1" applyAlignment="1"/>
    <xf numFmtId="3" fontId="4" fillId="0" borderId="7" xfId="0" applyNumberFormat="1" applyFont="1" applyFill="1" applyBorder="1" applyAlignment="1">
      <alignment horizontal="right"/>
    </xf>
    <xf numFmtId="0" fontId="4" fillId="0" borderId="0" xfId="0" applyNumberFormat="1" applyFont="1" applyAlignment="1">
      <alignment horizontal="center"/>
    </xf>
    <xf numFmtId="0" fontId="2" fillId="0" borderId="0" xfId="0" applyFont="1" applyFill="1" applyAlignment="1">
      <alignment vertical="top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3" fontId="1" fillId="0" borderId="13" xfId="0" applyNumberFormat="1" applyFont="1" applyBorder="1"/>
    <xf numFmtId="0" fontId="4" fillId="3" borderId="13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 vertical="top"/>
    </xf>
    <xf numFmtId="0" fontId="4" fillId="3" borderId="13" xfId="0" applyFont="1" applyFill="1" applyBorder="1" applyAlignment="1">
      <alignment horizontal="center" vertical="top"/>
    </xf>
    <xf numFmtId="3" fontId="4" fillId="3" borderId="13" xfId="0" applyNumberFormat="1" applyFont="1" applyFill="1" applyBorder="1" applyAlignment="1">
      <alignment horizontal="center" vertical="top"/>
    </xf>
    <xf numFmtId="3" fontId="4" fillId="6" borderId="13" xfId="0" applyNumberFormat="1" applyFont="1" applyFill="1" applyBorder="1" applyAlignment="1">
      <alignment horizontal="center" vertical="top"/>
    </xf>
    <xf numFmtId="3" fontId="4" fillId="6" borderId="4" xfId="0" applyNumberFormat="1" applyFont="1" applyFill="1" applyBorder="1" applyAlignment="1">
      <alignment horizontal="center" vertical="center"/>
    </xf>
    <xf numFmtId="183" fontId="4" fillId="6" borderId="4" xfId="0" applyNumberFormat="1" applyFont="1" applyFill="1" applyBorder="1" applyAlignment="1">
      <alignment horizontal="right" vertical="center"/>
    </xf>
    <xf numFmtId="183" fontId="4" fillId="6" borderId="4" xfId="0" applyNumberFormat="1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183" fontId="4" fillId="6" borderId="7" xfId="0" applyNumberFormat="1" applyFont="1" applyFill="1" applyBorder="1" applyAlignment="1">
      <alignment horizontal="right" vertical="center"/>
    </xf>
    <xf numFmtId="183" fontId="4" fillId="6" borderId="7" xfId="0" applyNumberFormat="1" applyFont="1" applyFill="1" applyBorder="1" applyAlignment="1">
      <alignment vertical="center"/>
    </xf>
    <xf numFmtId="1" fontId="8" fillId="3" borderId="5" xfId="0" applyNumberFormat="1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left" vertical="center"/>
    </xf>
    <xf numFmtId="3" fontId="8" fillId="6" borderId="5" xfId="0" applyNumberFormat="1" applyFont="1" applyFill="1" applyBorder="1" applyAlignment="1">
      <alignment horizontal="center" vertical="center"/>
    </xf>
    <xf numFmtId="183" fontId="8" fillId="6" borderId="5" xfId="0" applyNumberFormat="1" applyFont="1" applyFill="1" applyBorder="1" applyAlignment="1">
      <alignment horizontal="right" vertical="center"/>
    </xf>
    <xf numFmtId="183" fontId="8" fillId="6" borderId="5" xfId="0" applyNumberFormat="1" applyFont="1" applyFill="1" applyBorder="1" applyAlignment="1">
      <alignment vertical="center"/>
    </xf>
    <xf numFmtId="3" fontId="4" fillId="0" borderId="7" xfId="0" applyNumberFormat="1" applyFont="1" applyFill="1" applyBorder="1" applyAlignment="1">
      <alignment horizontal="center"/>
    </xf>
    <xf numFmtId="1" fontId="48" fillId="0" borderId="0" xfId="0" applyNumberFormat="1" applyFont="1" applyBorder="1" applyAlignment="1">
      <alignment horizontal="left"/>
    </xf>
    <xf numFmtId="0" fontId="15" fillId="7" borderId="0" xfId="0" applyNumberFormat="1" applyFont="1" applyFill="1" applyAlignment="1">
      <alignment horizontal="center"/>
    </xf>
    <xf numFmtId="0" fontId="3" fillId="3" borderId="2" xfId="0" applyFont="1" applyFill="1" applyBorder="1"/>
    <xf numFmtId="0" fontId="3" fillId="3" borderId="0" xfId="0" applyFont="1" applyFill="1" applyBorder="1"/>
    <xf numFmtId="0" fontId="3" fillId="3" borderId="3" xfId="0" applyFont="1" applyFill="1" applyBorder="1"/>
    <xf numFmtId="3" fontId="3" fillId="6" borderId="3" xfId="0" applyNumberFormat="1" applyFont="1" applyFill="1" applyBorder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0" fontId="3" fillId="3" borderId="6" xfId="0" applyFont="1" applyFill="1" applyBorder="1"/>
    <xf numFmtId="0" fontId="3" fillId="3" borderId="7" xfId="0" applyFont="1" applyFill="1" applyBorder="1"/>
    <xf numFmtId="183" fontId="5" fillId="6" borderId="7" xfId="0" applyNumberFormat="1" applyFont="1" applyFill="1" applyBorder="1" applyAlignment="1">
      <alignment horizontal="right"/>
    </xf>
    <xf numFmtId="0" fontId="4" fillId="3" borderId="7" xfId="0" applyFont="1" applyFill="1" applyBorder="1"/>
    <xf numFmtId="182" fontId="3" fillId="6" borderId="7" xfId="0" applyNumberFormat="1" applyFont="1" applyFill="1" applyBorder="1" applyAlignment="1">
      <alignment horizontal="right"/>
    </xf>
    <xf numFmtId="0" fontId="3" fillId="3" borderId="0" xfId="0" applyFont="1" applyFill="1" applyBorder="1" applyAlignment="1">
      <alignment vertical="center"/>
    </xf>
    <xf numFmtId="183" fontId="3" fillId="6" borderId="0" xfId="0" applyNumberFormat="1" applyFont="1" applyFill="1" applyBorder="1" applyAlignment="1">
      <alignment horizontal="right" vertical="center"/>
    </xf>
    <xf numFmtId="183" fontId="3" fillId="3" borderId="0" xfId="0" applyNumberFormat="1" applyFont="1" applyFill="1" applyBorder="1" applyAlignment="1">
      <alignment horizontal="right" vertical="center"/>
    </xf>
    <xf numFmtId="0" fontId="4" fillId="8" borderId="0" xfId="0" applyFont="1" applyFill="1" applyBorder="1" applyAlignment="1" applyProtection="1">
      <alignment vertical="center"/>
    </xf>
    <xf numFmtId="0" fontId="45" fillId="3" borderId="3" xfId="0" applyFont="1" applyFill="1" applyBorder="1" applyAlignment="1">
      <alignment horizontal="right" vertical="top"/>
    </xf>
    <xf numFmtId="3" fontId="45" fillId="3" borderId="6" xfId="0" applyNumberFormat="1" applyFont="1" applyFill="1" applyBorder="1"/>
    <xf numFmtId="3" fontId="53" fillId="3" borderId="5" xfId="0" applyNumberFormat="1" applyFont="1" applyFill="1" applyBorder="1" applyAlignment="1">
      <alignment vertical="center"/>
    </xf>
    <xf numFmtId="0" fontId="63" fillId="3" borderId="2" xfId="0" applyFont="1" applyFill="1" applyBorder="1" applyAlignment="1">
      <alignment horizontal="right"/>
    </xf>
    <xf numFmtId="0" fontId="63" fillId="3" borderId="0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top"/>
    </xf>
    <xf numFmtId="184" fontId="5" fillId="6" borderId="6" xfId="0" applyNumberFormat="1" applyFont="1" applyFill="1" applyBorder="1" applyAlignment="1">
      <alignment horizontal="right"/>
    </xf>
    <xf numFmtId="184" fontId="5" fillId="3" borderId="6" xfId="0" applyNumberFormat="1" applyFont="1" applyFill="1" applyBorder="1" applyAlignment="1">
      <alignment horizontal="right"/>
    </xf>
    <xf numFmtId="184" fontId="5" fillId="6" borderId="6" xfId="0" applyNumberFormat="1" applyFont="1" applyFill="1" applyBorder="1" applyAlignment="1">
      <alignment horizontal="right" vertical="center"/>
    </xf>
    <xf numFmtId="184" fontId="5" fillId="3" borderId="5" xfId="0" applyNumberFormat="1" applyFont="1" applyFill="1" applyBorder="1" applyAlignment="1">
      <alignment horizontal="right" vertical="center"/>
    </xf>
    <xf numFmtId="0" fontId="8" fillId="0" borderId="8" xfId="0" applyFont="1" applyBorder="1" applyAlignment="1">
      <alignment horizontal="center"/>
    </xf>
    <xf numFmtId="0" fontId="8" fillId="11" borderId="0" xfId="0" applyFont="1" applyFill="1"/>
    <xf numFmtId="0" fontId="4" fillId="11" borderId="0" xfId="0" applyFont="1" applyFill="1"/>
    <xf numFmtId="0" fontId="4" fillId="6" borderId="0" xfId="0" applyFont="1" applyFill="1"/>
    <xf numFmtId="3" fontId="49" fillId="6" borderId="5" xfId="0" applyNumberFormat="1" applyFont="1" applyFill="1" applyBorder="1" applyAlignment="1">
      <alignment vertical="center"/>
    </xf>
    <xf numFmtId="3" fontId="49" fillId="3" borderId="5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3" fontId="3" fillId="6" borderId="6" xfId="0" applyNumberFormat="1" applyFont="1" applyFill="1" applyBorder="1" applyAlignment="1">
      <alignment horizontal="center"/>
    </xf>
    <xf numFmtId="184" fontId="5" fillId="3" borderId="0" xfId="0" applyNumberFormat="1" applyFont="1" applyFill="1" applyBorder="1" applyAlignment="1">
      <alignment horizontal="center" vertical="center"/>
    </xf>
    <xf numFmtId="184" fontId="5" fillId="6" borderId="0" xfId="0" applyNumberFormat="1" applyFont="1" applyFill="1" applyBorder="1" applyAlignment="1">
      <alignment horizontal="center" vertical="center"/>
    </xf>
    <xf numFmtId="9" fontId="5" fillId="6" borderId="2" xfId="0" applyNumberFormat="1" applyFont="1" applyFill="1" applyBorder="1" applyAlignment="1">
      <alignment horizontal="right" wrapText="1"/>
    </xf>
    <xf numFmtId="9" fontId="5" fillId="3" borderId="2" xfId="0" applyNumberFormat="1" applyFont="1" applyFill="1" applyBorder="1" applyAlignment="1">
      <alignment horizontal="right" wrapText="1"/>
    </xf>
    <xf numFmtId="9" fontId="3" fillId="6" borderId="0" xfId="0" applyNumberFormat="1" applyFont="1" applyFill="1" applyBorder="1" applyAlignment="1">
      <alignment horizontal="right" wrapText="1"/>
    </xf>
    <xf numFmtId="9" fontId="3" fillId="3" borderId="0" xfId="0" applyNumberFormat="1" applyFont="1" applyFill="1" applyBorder="1" applyAlignment="1">
      <alignment horizontal="right" wrapText="1"/>
    </xf>
    <xf numFmtId="182" fontId="3" fillId="3" borderId="6" xfId="0" applyNumberFormat="1" applyFont="1" applyFill="1" applyBorder="1" applyAlignment="1">
      <alignment horizontal="left"/>
    </xf>
    <xf numFmtId="182" fontId="5" fillId="6" borderId="7" xfId="0" applyNumberFormat="1" applyFont="1" applyFill="1" applyBorder="1" applyAlignment="1">
      <alignment horizontal="left"/>
    </xf>
    <xf numFmtId="184" fontId="5" fillId="6" borderId="7" xfId="0" applyNumberFormat="1" applyFont="1" applyFill="1" applyBorder="1" applyAlignment="1">
      <alignment horizontal="right"/>
    </xf>
    <xf numFmtId="184" fontId="5" fillId="3" borderId="4" xfId="0" applyNumberFormat="1" applyFont="1" applyFill="1" applyBorder="1" applyAlignment="1">
      <alignment horizontal="right"/>
    </xf>
    <xf numFmtId="184" fontId="5" fillId="6" borderId="4" xfId="0" applyNumberFormat="1" applyFont="1" applyFill="1" applyBorder="1" applyAlignment="1">
      <alignment horizontal="right"/>
    </xf>
    <xf numFmtId="0" fontId="53" fillId="6" borderId="0" xfId="0" applyFont="1" applyFill="1" applyBorder="1" applyAlignment="1">
      <alignment horizontal="left" vertical="center"/>
    </xf>
    <xf numFmtId="184" fontId="53" fillId="6" borderId="0" xfId="0" applyNumberFormat="1" applyFont="1" applyFill="1" applyBorder="1" applyAlignment="1">
      <alignment horizontal="right" vertical="center"/>
    </xf>
    <xf numFmtId="184" fontId="53" fillId="3" borderId="0" xfId="0" applyNumberFormat="1" applyFont="1" applyFill="1" applyBorder="1" applyAlignment="1">
      <alignment horizontal="right" vertical="center"/>
    </xf>
    <xf numFmtId="184" fontId="53" fillId="3" borderId="4" xfId="0" applyNumberFormat="1" applyFont="1" applyFill="1" applyBorder="1" applyAlignment="1">
      <alignment horizontal="right" vertical="center"/>
    </xf>
    <xf numFmtId="184" fontId="53" fillId="6" borderId="5" xfId="0" applyNumberFormat="1" applyFont="1" applyFill="1" applyBorder="1" applyAlignment="1">
      <alignment horizontal="right" vertical="center"/>
    </xf>
    <xf numFmtId="184" fontId="53" fillId="3" borderId="5" xfId="0" applyNumberFormat="1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left"/>
    </xf>
    <xf numFmtId="182" fontId="3" fillId="3" borderId="7" xfId="0" applyNumberFormat="1" applyFont="1" applyFill="1" applyBorder="1" applyAlignment="1">
      <alignment horizontal="left"/>
    </xf>
    <xf numFmtId="3" fontId="3" fillId="8" borderId="8" xfId="0" applyNumberFormat="1" applyFont="1" applyFill="1" applyBorder="1" applyAlignment="1">
      <alignment horizontal="right" vertical="top"/>
    </xf>
    <xf numFmtId="3" fontId="3" fillId="8" borderId="0" xfId="0" applyNumberFormat="1" applyFont="1" applyFill="1" applyBorder="1" applyAlignment="1">
      <alignment horizontal="right" vertical="top"/>
    </xf>
    <xf numFmtId="0" fontId="49" fillId="3" borderId="2" xfId="0" applyFont="1" applyFill="1" applyBorder="1" applyAlignment="1">
      <alignment horizontal="left"/>
    </xf>
    <xf numFmtId="184" fontId="70" fillId="3" borderId="0" xfId="0" applyNumberFormat="1" applyFont="1" applyFill="1" applyBorder="1" applyAlignment="1">
      <alignment horizontal="center"/>
    </xf>
    <xf numFmtId="0" fontId="48" fillId="3" borderId="0" xfId="0" applyFont="1" applyFill="1" applyBorder="1" applyAlignment="1">
      <alignment horizontal="center"/>
    </xf>
    <xf numFmtId="0" fontId="48" fillId="3" borderId="3" xfId="0" applyFont="1" applyFill="1" applyBorder="1" applyAlignment="1">
      <alignment horizontal="center" vertical="top"/>
    </xf>
    <xf numFmtId="3" fontId="49" fillId="3" borderId="4" xfId="0" applyNumberFormat="1" applyFont="1" applyFill="1" applyBorder="1" applyAlignment="1">
      <alignment horizontal="right" vertical="center"/>
    </xf>
    <xf numFmtId="3" fontId="63" fillId="3" borderId="5" xfId="0" applyNumberFormat="1" applyFont="1" applyFill="1" applyBorder="1" applyAlignment="1">
      <alignment horizontal="right" vertical="center"/>
    </xf>
    <xf numFmtId="0" fontId="48" fillId="0" borderId="0" xfId="0" applyFont="1"/>
    <xf numFmtId="184" fontId="70" fillId="6" borderId="0" xfId="0" applyNumberFormat="1" applyFont="1" applyFill="1" applyBorder="1" applyAlignment="1">
      <alignment horizontal="center"/>
    </xf>
    <xf numFmtId="182" fontId="3" fillId="6" borderId="4" xfId="0" applyNumberFormat="1" applyFont="1" applyFill="1" applyBorder="1" applyAlignment="1">
      <alignment horizontal="right"/>
    </xf>
    <xf numFmtId="182" fontId="5" fillId="6" borderId="0" xfId="0" applyNumberFormat="1" applyFont="1" applyFill="1" applyBorder="1" applyAlignment="1">
      <alignment horizontal="right" vertical="center"/>
    </xf>
    <xf numFmtId="0" fontId="4" fillId="12" borderId="0" xfId="0" applyFont="1" applyFill="1"/>
    <xf numFmtId="182" fontId="29" fillId="0" borderId="0" xfId="0" applyNumberFormat="1" applyFont="1"/>
    <xf numFmtId="9" fontId="3" fillId="3" borderId="2" xfId="0" applyNumberFormat="1" applyFont="1" applyFill="1" applyBorder="1" applyAlignment="1">
      <alignment horizontal="center" vertical="center" wrapText="1"/>
    </xf>
    <xf numFmtId="9" fontId="3" fillId="6" borderId="2" xfId="0" applyNumberFormat="1" applyFont="1" applyFill="1" applyBorder="1" applyAlignment="1">
      <alignment horizontal="center" vertical="center" wrapText="1"/>
    </xf>
    <xf numFmtId="9" fontId="3" fillId="3" borderId="0" xfId="0" applyNumberFormat="1" applyFont="1" applyFill="1" applyBorder="1" applyAlignment="1">
      <alignment horizontal="center" vertical="center" wrapText="1"/>
    </xf>
    <xf numFmtId="9" fontId="3" fillId="6" borderId="0" xfId="0" applyNumberFormat="1" applyFont="1" applyFill="1" applyBorder="1" applyAlignment="1">
      <alignment horizontal="center" vertical="center" wrapText="1"/>
    </xf>
    <xf numFmtId="3" fontId="49" fillId="9" borderId="4" xfId="0" quotePrefix="1" applyNumberFormat="1" applyFont="1" applyFill="1" applyBorder="1" applyAlignment="1">
      <alignment horizontal="right"/>
    </xf>
    <xf numFmtId="0" fontId="49" fillId="9" borderId="7" xfId="0" quotePrefix="1" applyFont="1" applyFill="1" applyBorder="1" applyAlignment="1">
      <alignment horizontal="left"/>
    </xf>
    <xf numFmtId="184" fontId="49" fillId="10" borderId="7" xfId="0" applyNumberFormat="1" applyFont="1" applyFill="1" applyBorder="1" applyAlignment="1">
      <alignment horizontal="right"/>
    </xf>
    <xf numFmtId="184" fontId="49" fillId="9" borderId="7" xfId="0" quotePrefix="1" applyNumberFormat="1" applyFont="1" applyFill="1" applyBorder="1" applyAlignment="1">
      <alignment horizontal="right"/>
    </xf>
    <xf numFmtId="184" fontId="49" fillId="6" borderId="7" xfId="0" applyNumberFormat="1" applyFont="1" applyFill="1" applyBorder="1" applyAlignment="1">
      <alignment horizontal="right"/>
    </xf>
    <xf numFmtId="0" fontId="3" fillId="3" borderId="0" xfId="0" applyFont="1" applyFill="1" applyBorder="1" applyAlignment="1">
      <alignment horizontal="right" vertical="top"/>
    </xf>
    <xf numFmtId="3" fontId="3" fillId="6" borderId="0" xfId="0" applyNumberFormat="1" applyFont="1" applyFill="1" applyBorder="1" applyAlignment="1">
      <alignment horizontal="right" vertical="top"/>
    </xf>
    <xf numFmtId="0" fontId="3" fillId="3" borderId="0" xfId="0" applyFont="1" applyFill="1" applyBorder="1" applyAlignment="1">
      <alignment horizontal="center" vertical="center"/>
    </xf>
    <xf numFmtId="3" fontId="3" fillId="6" borderId="0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3" fontId="3" fillId="6" borderId="3" xfId="0" applyNumberFormat="1" applyFont="1" applyFill="1" applyBorder="1" applyAlignment="1">
      <alignment horizontal="center" vertical="center"/>
    </xf>
    <xf numFmtId="183" fontId="5" fillId="6" borderId="4" xfId="0" applyNumberFormat="1" applyFont="1" applyFill="1" applyBorder="1" applyAlignment="1">
      <alignment horizontal="right"/>
    </xf>
    <xf numFmtId="183" fontId="49" fillId="6" borderId="7" xfId="0" applyNumberFormat="1" applyFont="1" applyFill="1" applyBorder="1" applyAlignment="1">
      <alignment horizontal="right"/>
    </xf>
    <xf numFmtId="0" fontId="49" fillId="9" borderId="4" xfId="0" quotePrefix="1" applyFont="1" applyFill="1" applyBorder="1" applyAlignment="1">
      <alignment horizontal="left"/>
    </xf>
    <xf numFmtId="184" fontId="49" fillId="10" borderId="4" xfId="0" applyNumberFormat="1" applyFont="1" applyFill="1" applyBorder="1" applyAlignment="1">
      <alignment horizontal="right"/>
    </xf>
    <xf numFmtId="184" fontId="49" fillId="9" borderId="4" xfId="0" quotePrefix="1" applyNumberFormat="1" applyFont="1" applyFill="1" applyBorder="1" applyAlignment="1">
      <alignment horizontal="right"/>
    </xf>
    <xf numFmtId="184" fontId="49" fillId="6" borderId="4" xfId="0" applyNumberFormat="1" applyFont="1" applyFill="1" applyBorder="1" applyAlignment="1">
      <alignment horizontal="right"/>
    </xf>
    <xf numFmtId="3" fontId="49" fillId="9" borderId="7" xfId="0" quotePrefix="1" applyNumberFormat="1" applyFont="1" applyFill="1" applyBorder="1" applyAlignment="1">
      <alignment horizontal="right"/>
    </xf>
    <xf numFmtId="0" fontId="46" fillId="9" borderId="0" xfId="0" quotePrefix="1" applyFont="1" applyFill="1" applyBorder="1" applyAlignment="1">
      <alignment horizontal="left" vertical="center"/>
    </xf>
    <xf numFmtId="184" fontId="46" fillId="10" borderId="0" xfId="0" applyNumberFormat="1" applyFont="1" applyFill="1" applyBorder="1" applyAlignment="1">
      <alignment horizontal="right" vertical="center"/>
    </xf>
    <xf numFmtId="184" fontId="46" fillId="9" borderId="0" xfId="0" quotePrefix="1" applyNumberFormat="1" applyFont="1" applyFill="1" applyBorder="1" applyAlignment="1">
      <alignment horizontal="right" vertical="center"/>
    </xf>
    <xf numFmtId="184" fontId="46" fillId="6" borderId="0" xfId="0" applyNumberFormat="1" applyFont="1" applyFill="1" applyBorder="1" applyAlignment="1">
      <alignment horizontal="right" vertical="center"/>
    </xf>
    <xf numFmtId="3" fontId="46" fillId="9" borderId="7" xfId="0" quotePrefix="1" applyNumberFormat="1" applyFont="1" applyFill="1" applyBorder="1" applyAlignment="1">
      <alignment horizontal="right" vertical="center"/>
    </xf>
    <xf numFmtId="0" fontId="2" fillId="0" borderId="0" xfId="13" applyFont="1"/>
    <xf numFmtId="0" fontId="4" fillId="0" borderId="0" xfId="13" applyFont="1"/>
    <xf numFmtId="0" fontId="1" fillId="0" borderId="0" xfId="13" applyFont="1"/>
    <xf numFmtId="0" fontId="75" fillId="0" borderId="20" xfId="13" applyFont="1" applyBorder="1" applyAlignment="1">
      <alignment horizontal="justify" vertical="top" wrapText="1"/>
    </xf>
    <xf numFmtId="0" fontId="76" fillId="0" borderId="17" xfId="13" applyFont="1" applyBorder="1" applyAlignment="1">
      <alignment vertical="top" wrapText="1"/>
    </xf>
    <xf numFmtId="0" fontId="76" fillId="0" borderId="18" xfId="13" applyFont="1" applyBorder="1" applyAlignment="1">
      <alignment horizontal="right" vertical="top" wrapText="1"/>
    </xf>
    <xf numFmtId="0" fontId="4" fillId="0" borderId="19" xfId="13" applyFont="1" applyBorder="1" applyAlignment="1">
      <alignment vertical="top" wrapText="1"/>
    </xf>
    <xf numFmtId="0" fontId="76" fillId="0" borderId="18" xfId="13" applyFont="1" applyBorder="1" applyAlignment="1">
      <alignment horizontal="justify" vertical="top" wrapText="1"/>
    </xf>
    <xf numFmtId="0" fontId="76" fillId="0" borderId="19" xfId="13" applyFont="1" applyBorder="1" applyAlignment="1">
      <alignment vertical="top" wrapText="1"/>
    </xf>
    <xf numFmtId="0" fontId="4" fillId="0" borderId="18" xfId="13" applyFont="1" applyBorder="1" applyAlignment="1">
      <alignment horizontal="justify" vertical="top" wrapText="1"/>
    </xf>
    <xf numFmtId="0" fontId="4" fillId="0" borderId="19" xfId="13" applyFont="1" applyBorder="1" applyAlignment="1">
      <alignment horizontal="justify" vertical="top" wrapText="1"/>
    </xf>
    <xf numFmtId="9" fontId="4" fillId="0" borderId="19" xfId="13" applyNumberFormat="1" applyFont="1" applyBorder="1" applyAlignment="1">
      <alignment horizontal="justify" vertical="top" wrapText="1"/>
    </xf>
    <xf numFmtId="0" fontId="4" fillId="0" borderId="0" xfId="13" applyFont="1" applyAlignment="1">
      <alignment horizontal="justify"/>
    </xf>
    <xf numFmtId="0" fontId="76" fillId="0" borderId="21" xfId="13" applyFont="1" applyBorder="1" applyAlignment="1">
      <alignment vertical="top" wrapText="1"/>
    </xf>
    <xf numFmtId="0" fontId="76" fillId="0" borderId="16" xfId="13" applyFont="1" applyBorder="1" applyAlignment="1">
      <alignment horizontal="right" vertical="top" wrapText="1"/>
    </xf>
    <xf numFmtId="0" fontId="4" fillId="0" borderId="17" xfId="13" applyFont="1" applyBorder="1" applyAlignment="1">
      <alignment vertical="top" wrapText="1"/>
    </xf>
    <xf numFmtId="0" fontId="8" fillId="3" borderId="18" xfId="13" applyFont="1" applyFill="1" applyBorder="1" applyAlignment="1">
      <alignment horizontal="justify" vertical="top" wrapText="1"/>
    </xf>
    <xf numFmtId="0" fontId="4" fillId="3" borderId="18" xfId="13" applyFont="1" applyFill="1" applyBorder="1" applyAlignment="1">
      <alignment horizontal="justify" vertical="top" wrapText="1"/>
    </xf>
    <xf numFmtId="9" fontId="76" fillId="3" borderId="19" xfId="13" applyNumberFormat="1" applyFont="1" applyFill="1" applyBorder="1" applyAlignment="1">
      <alignment horizontal="justify" vertical="top" wrapText="1"/>
    </xf>
    <xf numFmtId="0" fontId="4" fillId="0" borderId="1" xfId="13" applyFont="1" applyBorder="1" applyAlignment="1">
      <alignment vertical="top" wrapText="1"/>
    </xf>
    <xf numFmtId="0" fontId="4" fillId="0" borderId="22" xfId="13" applyFont="1" applyBorder="1" applyAlignment="1">
      <alignment vertical="top" wrapText="1"/>
    </xf>
    <xf numFmtId="0" fontId="76" fillId="0" borderId="23" xfId="13" applyFont="1" applyBorder="1" applyAlignment="1">
      <alignment vertical="top" wrapText="1"/>
    </xf>
    <xf numFmtId="0" fontId="26" fillId="3" borderId="19" xfId="13" applyFont="1" applyFill="1" applyBorder="1" applyAlignment="1">
      <alignment vertical="top" wrapText="1"/>
    </xf>
    <xf numFmtId="0" fontId="4" fillId="0" borderId="18" xfId="13" applyFont="1" applyFill="1" applyBorder="1" applyAlignment="1">
      <alignment horizontal="justify" vertical="top" wrapText="1"/>
    </xf>
    <xf numFmtId="0" fontId="4" fillId="0" borderId="19" xfId="13" applyFont="1" applyBorder="1" applyAlignment="1">
      <alignment horizontal="right" vertical="top" wrapText="1"/>
    </xf>
    <xf numFmtId="0" fontId="76" fillId="3" borderId="19" xfId="13" applyFont="1" applyFill="1" applyBorder="1" applyAlignment="1">
      <alignment horizontal="right" vertical="top" wrapText="1"/>
    </xf>
    <xf numFmtId="0" fontId="76" fillId="0" borderId="21" xfId="13" applyFont="1" applyBorder="1" applyAlignment="1">
      <alignment horizontal="left" vertical="top" wrapText="1"/>
    </xf>
    <xf numFmtId="0" fontId="4" fillId="3" borderId="17" xfId="13" applyFont="1" applyFill="1" applyBorder="1" applyAlignment="1">
      <alignment vertical="top" wrapText="1"/>
    </xf>
    <xf numFmtId="0" fontId="26" fillId="0" borderId="19" xfId="13" applyFont="1" applyBorder="1" applyAlignment="1">
      <alignment vertical="top" wrapText="1"/>
    </xf>
    <xf numFmtId="0" fontId="76" fillId="3" borderId="18" xfId="13" applyFont="1" applyFill="1" applyBorder="1" applyAlignment="1">
      <alignment horizontal="justify" vertical="top" wrapText="1"/>
    </xf>
    <xf numFmtId="0" fontId="18" fillId="0" borderId="0" xfId="13" applyFont="1" applyAlignment="1">
      <alignment horizontal="justify"/>
    </xf>
    <xf numFmtId="0" fontId="76" fillId="3" borderId="17" xfId="13" applyFont="1" applyFill="1" applyBorder="1" applyAlignment="1">
      <alignment vertical="top" wrapText="1"/>
    </xf>
    <xf numFmtId="9" fontId="4" fillId="0" borderId="19" xfId="13" applyNumberFormat="1" applyFont="1" applyFill="1" applyBorder="1" applyAlignment="1">
      <alignment horizontal="justify" vertical="top" wrapText="1"/>
    </xf>
    <xf numFmtId="0" fontId="4" fillId="0" borderId="19" xfId="13" applyFont="1" applyFill="1" applyBorder="1" applyAlignment="1">
      <alignment horizontal="right" vertical="top" wrapText="1"/>
    </xf>
    <xf numFmtId="0" fontId="26" fillId="0" borderId="17" xfId="13" applyFont="1" applyFill="1" applyBorder="1" applyAlignment="1">
      <alignment vertical="top" wrapText="1"/>
    </xf>
    <xf numFmtId="0" fontId="76" fillId="3" borderId="19" xfId="13" applyFont="1" applyFill="1" applyBorder="1" applyAlignment="1">
      <alignment vertical="top" wrapText="1"/>
    </xf>
    <xf numFmtId="0" fontId="8" fillId="0" borderId="19" xfId="13" applyFont="1" applyBorder="1" applyAlignment="1">
      <alignment horizontal="right" vertical="top" wrapText="1"/>
    </xf>
    <xf numFmtId="0" fontId="23" fillId="0" borderId="0" xfId="13" applyFont="1" applyAlignment="1">
      <alignment horizontal="justify"/>
    </xf>
    <xf numFmtId="0" fontId="18" fillId="0" borderId="0" xfId="13" applyFont="1"/>
    <xf numFmtId="0" fontId="75" fillId="3" borderId="0" xfId="13" applyFont="1" applyFill="1"/>
    <xf numFmtId="0" fontId="2" fillId="0" borderId="0" xfId="14" applyFont="1"/>
    <xf numFmtId="0" fontId="4" fillId="0" borderId="0" xfId="14" applyFont="1"/>
    <xf numFmtId="0" fontId="1" fillId="0" borderId="0" xfId="14" applyFont="1"/>
    <xf numFmtId="0" fontId="76" fillId="0" borderId="20" xfId="14" applyFont="1" applyBorder="1" applyAlignment="1">
      <alignment vertical="top" wrapText="1"/>
    </xf>
    <xf numFmtId="0" fontId="76" fillId="0" borderId="17" xfId="14" applyFont="1" applyBorder="1" applyAlignment="1">
      <alignment vertical="top" wrapText="1"/>
    </xf>
    <xf numFmtId="0" fontId="76" fillId="0" borderId="18" xfId="14" applyFont="1" applyBorder="1" applyAlignment="1">
      <alignment horizontal="right" vertical="top" wrapText="1"/>
    </xf>
    <xf numFmtId="0" fontId="4" fillId="0" borderId="19" xfId="14" applyFont="1" applyBorder="1" applyAlignment="1">
      <alignment vertical="top" wrapText="1"/>
    </xf>
    <xf numFmtId="0" fontId="76" fillId="0" borderId="18" xfId="14" applyFont="1" applyBorder="1" applyAlignment="1">
      <alignment horizontal="justify" vertical="top" wrapText="1"/>
    </xf>
    <xf numFmtId="0" fontId="76" fillId="0" borderId="19" xfId="14" applyFont="1" applyBorder="1" applyAlignment="1">
      <alignment vertical="top" wrapText="1"/>
    </xf>
    <xf numFmtId="0" fontId="4" fillId="0" borderId="18" xfId="14" applyFont="1" applyBorder="1" applyAlignment="1">
      <alignment horizontal="justify" vertical="top" wrapText="1"/>
    </xf>
    <xf numFmtId="0" fontId="4" fillId="0" borderId="19" xfId="14" applyFont="1" applyBorder="1" applyAlignment="1">
      <alignment horizontal="justify" vertical="top" wrapText="1"/>
    </xf>
    <xf numFmtId="9" fontId="4" fillId="0" borderId="19" xfId="14" applyNumberFormat="1" applyFont="1" applyBorder="1" applyAlignment="1">
      <alignment horizontal="justify" vertical="top" wrapText="1"/>
    </xf>
    <xf numFmtId="0" fontId="4" fillId="0" borderId="0" xfId="14" applyFont="1" applyAlignment="1">
      <alignment horizontal="justify"/>
    </xf>
    <xf numFmtId="0" fontId="76" fillId="0" borderId="21" xfId="14" applyFont="1" applyBorder="1" applyAlignment="1">
      <alignment vertical="top" wrapText="1"/>
    </xf>
    <xf numFmtId="0" fontId="76" fillId="0" borderId="16" xfId="14" applyFont="1" applyBorder="1" applyAlignment="1">
      <alignment horizontal="right" vertical="top" wrapText="1"/>
    </xf>
    <xf numFmtId="0" fontId="4" fillId="0" borderId="17" xfId="14" applyFont="1" applyBorder="1" applyAlignment="1">
      <alignment vertical="top" wrapText="1"/>
    </xf>
    <xf numFmtId="9" fontId="76" fillId="3" borderId="19" xfId="14" applyNumberFormat="1" applyFont="1" applyFill="1" applyBorder="1" applyAlignment="1">
      <alignment horizontal="justify" vertical="top" wrapText="1"/>
    </xf>
    <xf numFmtId="0" fontId="4" fillId="0" borderId="1" xfId="14" applyFont="1" applyBorder="1" applyAlignment="1">
      <alignment vertical="top" wrapText="1"/>
    </xf>
    <xf numFmtId="0" fontId="4" fillId="0" borderId="22" xfId="14" applyFont="1" applyBorder="1" applyAlignment="1">
      <alignment vertical="top" wrapText="1"/>
    </xf>
    <xf numFmtId="0" fontId="76" fillId="3" borderId="23" xfId="14" applyFont="1" applyFill="1" applyBorder="1" applyAlignment="1">
      <alignment vertical="top" wrapText="1"/>
    </xf>
    <xf numFmtId="0" fontId="26" fillId="3" borderId="19" xfId="14" applyFont="1" applyFill="1" applyBorder="1" applyAlignment="1">
      <alignment vertical="top" wrapText="1"/>
    </xf>
    <xf numFmtId="0" fontId="4" fillId="0" borderId="19" xfId="14" applyFont="1" applyFill="1" applyBorder="1" applyAlignment="1">
      <alignment horizontal="right" vertical="top" wrapText="1"/>
    </xf>
    <xf numFmtId="0" fontId="76" fillId="3" borderId="19" xfId="14" applyFont="1" applyFill="1" applyBorder="1" applyAlignment="1">
      <alignment horizontal="right" vertical="top" wrapText="1"/>
    </xf>
    <xf numFmtId="0" fontId="76" fillId="0" borderId="21" xfId="14" applyFont="1" applyBorder="1" applyAlignment="1">
      <alignment horizontal="left" vertical="top" wrapText="1"/>
    </xf>
    <xf numFmtId="0" fontId="4" fillId="3" borderId="17" xfId="14" applyFont="1" applyFill="1" applyBorder="1" applyAlignment="1">
      <alignment vertical="top" wrapText="1"/>
    </xf>
    <xf numFmtId="0" fontId="76" fillId="0" borderId="23" xfId="14" applyFont="1" applyBorder="1" applyAlignment="1">
      <alignment vertical="top" wrapText="1"/>
    </xf>
    <xf numFmtId="0" fontId="4" fillId="0" borderId="19" xfId="14" applyFont="1" applyBorder="1" applyAlignment="1">
      <alignment horizontal="right" vertical="top" wrapText="1"/>
    </xf>
    <xf numFmtId="9" fontId="8" fillId="3" borderId="19" xfId="14" applyNumberFormat="1" applyFont="1" applyFill="1" applyBorder="1" applyAlignment="1">
      <alignment horizontal="justify" vertical="top" wrapText="1"/>
    </xf>
    <xf numFmtId="0" fontId="26" fillId="0" borderId="19" xfId="14" applyFont="1" applyBorder="1" applyAlignment="1">
      <alignment vertical="top" wrapText="1"/>
    </xf>
    <xf numFmtId="0" fontId="76" fillId="3" borderId="18" xfId="14" applyFont="1" applyFill="1" applyBorder="1" applyAlignment="1">
      <alignment horizontal="justify" vertical="top" wrapText="1"/>
    </xf>
    <xf numFmtId="0" fontId="18" fillId="0" borderId="0" xfId="14" applyFont="1"/>
    <xf numFmtId="0" fontId="76" fillId="3" borderId="17" xfId="14" applyFont="1" applyFill="1" applyBorder="1" applyAlignment="1">
      <alignment vertical="top" wrapText="1"/>
    </xf>
    <xf numFmtId="0" fontId="4" fillId="0" borderId="18" xfId="14" applyFont="1" applyFill="1" applyBorder="1" applyAlignment="1">
      <alignment horizontal="justify" vertical="top" wrapText="1"/>
    </xf>
    <xf numFmtId="9" fontId="4" fillId="0" borderId="19" xfId="14" applyNumberFormat="1" applyFont="1" applyFill="1" applyBorder="1" applyAlignment="1">
      <alignment horizontal="justify" vertical="top" wrapText="1"/>
    </xf>
    <xf numFmtId="0" fontId="26" fillId="0" borderId="17" xfId="14" applyFont="1" applyFill="1" applyBorder="1" applyAlignment="1">
      <alignment vertical="top" wrapText="1"/>
    </xf>
    <xf numFmtId="0" fontId="76" fillId="3" borderId="19" xfId="14" applyFont="1" applyFill="1" applyBorder="1" applyAlignment="1">
      <alignment vertical="top" wrapText="1"/>
    </xf>
    <xf numFmtId="0" fontId="18" fillId="0" borderId="0" xfId="14" applyFont="1" applyAlignment="1">
      <alignment horizontal="justify"/>
    </xf>
    <xf numFmtId="0" fontId="75" fillId="3" borderId="0" xfId="14" applyFont="1" applyFill="1"/>
    <xf numFmtId="0" fontId="3" fillId="7" borderId="0" xfId="0" applyFont="1" applyFill="1"/>
    <xf numFmtId="0" fontId="3" fillId="7" borderId="0" xfId="0" applyFont="1" applyFill="1" applyAlignment="1">
      <alignment horizontal="left"/>
    </xf>
    <xf numFmtId="0" fontId="8" fillId="0" borderId="19" xfId="14" applyFont="1" applyFill="1" applyBorder="1" applyAlignment="1">
      <alignment horizontal="right" vertical="top" wrapText="1"/>
    </xf>
    <xf numFmtId="0" fontId="30" fillId="0" borderId="0" xfId="16"/>
    <xf numFmtId="0" fontId="32" fillId="0" borderId="0" xfId="16" applyFont="1"/>
    <xf numFmtId="0" fontId="4" fillId="0" borderId="0" xfId="16" applyFont="1"/>
    <xf numFmtId="0" fontId="18" fillId="0" borderId="0" xfId="16" applyFont="1" applyAlignment="1">
      <alignment horizontal="center"/>
    </xf>
    <xf numFmtId="0" fontId="77" fillId="0" borderId="0" xfId="16" applyFont="1" applyAlignment="1">
      <alignment horizontal="center"/>
    </xf>
    <xf numFmtId="0" fontId="77" fillId="0" borderId="0" xfId="16" applyFont="1"/>
    <xf numFmtId="0" fontId="78" fillId="0" borderId="0" xfId="16" applyFont="1"/>
    <xf numFmtId="0" fontId="79" fillId="0" borderId="0" xfId="16" applyFont="1" applyAlignment="1">
      <alignment horizontal="center"/>
    </xf>
    <xf numFmtId="0" fontId="30" fillId="13" borderId="0" xfId="16" applyFont="1" applyFill="1"/>
    <xf numFmtId="0" fontId="4" fillId="13" borderId="0" xfId="16" applyFont="1" applyFill="1"/>
    <xf numFmtId="0" fontId="8" fillId="13" borderId="0" xfId="16" applyFont="1" applyFill="1"/>
    <xf numFmtId="0" fontId="38" fillId="13" borderId="0" xfId="16" applyFont="1" applyFill="1" applyAlignment="1">
      <alignment horizontal="center" wrapText="1"/>
    </xf>
    <xf numFmtId="0" fontId="8" fillId="0" borderId="0" xfId="16" applyFont="1"/>
    <xf numFmtId="3" fontId="18" fillId="0" borderId="0" xfId="16" applyNumberFormat="1" applyFont="1" applyAlignment="1">
      <alignment horizontal="right"/>
    </xf>
    <xf numFmtId="3" fontId="18" fillId="0" borderId="0" xfId="16" applyNumberFormat="1" applyFont="1"/>
    <xf numFmtId="3" fontId="38" fillId="0" borderId="0" xfId="16" applyNumberFormat="1" applyFont="1" applyAlignment="1">
      <alignment horizontal="right"/>
    </xf>
    <xf numFmtId="10" fontId="18" fillId="0" borderId="0" xfId="16" applyNumberFormat="1" applyFont="1" applyAlignment="1">
      <alignment horizontal="center"/>
    </xf>
    <xf numFmtId="3" fontId="58" fillId="0" borderId="0" xfId="16" applyNumberFormat="1" applyFont="1" applyAlignment="1">
      <alignment horizontal="right"/>
    </xf>
    <xf numFmtId="0" fontId="80" fillId="0" borderId="0" xfId="16" applyFont="1"/>
    <xf numFmtId="3" fontId="58" fillId="0" borderId="0" xfId="16" applyNumberFormat="1" applyFont="1"/>
    <xf numFmtId="3" fontId="75" fillId="0" borderId="0" xfId="16" applyNumberFormat="1" applyFont="1" applyAlignment="1">
      <alignment horizontal="right"/>
    </xf>
    <xf numFmtId="10" fontId="58" fillId="0" borderId="0" xfId="16" applyNumberFormat="1" applyFont="1" applyAlignment="1">
      <alignment horizontal="center"/>
    </xf>
    <xf numFmtId="10" fontId="58" fillId="0" borderId="0" xfId="16" applyNumberFormat="1" applyFont="1" applyAlignment="1">
      <alignment horizontal="right"/>
    </xf>
    <xf numFmtId="10" fontId="58" fillId="0" borderId="0" xfId="16" applyNumberFormat="1" applyFont="1"/>
    <xf numFmtId="0" fontId="30" fillId="0" borderId="0" xfId="16" applyAlignment="1">
      <alignment horizontal="right"/>
    </xf>
    <xf numFmtId="3" fontId="58" fillId="0" borderId="0" xfId="16" applyNumberFormat="1" applyFont="1" applyFill="1" applyAlignment="1">
      <alignment horizontal="right"/>
    </xf>
    <xf numFmtId="3" fontId="18" fillId="0" borderId="0" xfId="16" applyNumberFormat="1" applyFont="1" applyFill="1" applyAlignment="1">
      <alignment horizontal="right"/>
    </xf>
    <xf numFmtId="3" fontId="18" fillId="0" borderId="0" xfId="16" applyNumberFormat="1" applyFont="1" applyFill="1"/>
    <xf numFmtId="10" fontId="18" fillId="0" borderId="0" xfId="16" applyNumberFormat="1" applyFont="1"/>
    <xf numFmtId="3" fontId="58" fillId="0" borderId="0" xfId="16" applyNumberFormat="1" applyFont="1" applyFill="1"/>
    <xf numFmtId="10" fontId="58" fillId="0" borderId="0" xfId="16" applyNumberFormat="1" applyFont="1" applyFill="1"/>
    <xf numFmtId="0" fontId="23" fillId="0" borderId="0" xfId="16" quotePrefix="1" applyFont="1"/>
    <xf numFmtId="0" fontId="23" fillId="0" borderId="0" xfId="16" applyFont="1"/>
    <xf numFmtId="0" fontId="77" fillId="0" borderId="0" xfId="16" quotePrefix="1" applyFont="1"/>
    <xf numFmtId="0" fontId="30" fillId="0" borderId="0" xfId="16" applyFont="1"/>
    <xf numFmtId="0" fontId="81" fillId="0" borderId="0" xfId="16" applyFont="1"/>
    <xf numFmtId="0" fontId="82" fillId="0" borderId="0" xfId="16" applyFont="1" applyAlignment="1">
      <alignment horizontal="center"/>
    </xf>
    <xf numFmtId="0" fontId="77" fillId="0" borderId="0" xfId="16" applyFont="1" applyAlignment="1">
      <alignment vertical="center"/>
    </xf>
    <xf numFmtId="0" fontId="83" fillId="0" borderId="24" xfId="16" applyFont="1" applyBorder="1"/>
    <xf numFmtId="0" fontId="30" fillId="0" borderId="21" xfId="16" applyFont="1" applyBorder="1"/>
    <xf numFmtId="0" fontId="30" fillId="0" borderId="2" xfId="16" applyFont="1" applyBorder="1"/>
    <xf numFmtId="0" fontId="30" fillId="0" borderId="17" xfId="16" applyFont="1" applyBorder="1" applyAlignment="1">
      <alignment horizontal="center"/>
    </xf>
    <xf numFmtId="0" fontId="30" fillId="0" borderId="16" xfId="16" applyFont="1" applyBorder="1" applyAlignment="1">
      <alignment horizontal="center"/>
    </xf>
    <xf numFmtId="0" fontId="4" fillId="0" borderId="16" xfId="16" applyFont="1" applyBorder="1" applyAlignment="1">
      <alignment horizontal="center"/>
    </xf>
    <xf numFmtId="0" fontId="82" fillId="0" borderId="0" xfId="16" applyFont="1" applyBorder="1" applyAlignment="1">
      <alignment horizontal="center"/>
    </xf>
    <xf numFmtId="0" fontId="83" fillId="0" borderId="1" xfId="16" applyFont="1" applyBorder="1"/>
    <xf numFmtId="0" fontId="30" fillId="0" borderId="0" xfId="16" applyFont="1" applyBorder="1" applyAlignment="1">
      <alignment horizontal="center"/>
    </xf>
    <xf numFmtId="0" fontId="30" fillId="0" borderId="0" xfId="16" applyFont="1" applyBorder="1"/>
    <xf numFmtId="0" fontId="30" fillId="0" borderId="23" xfId="16" applyFont="1" applyBorder="1"/>
    <xf numFmtId="0" fontId="84" fillId="0" borderId="22" xfId="16" applyFont="1" applyBorder="1"/>
    <xf numFmtId="0" fontId="81" fillId="0" borderId="3" xfId="16" applyFont="1" applyBorder="1"/>
    <xf numFmtId="0" fontId="81" fillId="0" borderId="19" xfId="16" applyFont="1" applyBorder="1"/>
    <xf numFmtId="0" fontId="81" fillId="0" borderId="16" xfId="16" applyFont="1" applyBorder="1" applyAlignment="1">
      <alignment horizontal="center"/>
    </xf>
    <xf numFmtId="183" fontId="49" fillId="3" borderId="7" xfId="0" applyNumberFormat="1" applyFont="1" applyFill="1" applyBorder="1" applyAlignment="1">
      <alignment horizontal="right"/>
    </xf>
    <xf numFmtId="183" fontId="46" fillId="6" borderId="7" xfId="0" applyNumberFormat="1" applyFont="1" applyFill="1" applyBorder="1" applyAlignment="1">
      <alignment horizontal="right"/>
    </xf>
    <xf numFmtId="184" fontId="49" fillId="3" borderId="6" xfId="0" applyNumberFormat="1" applyFont="1" applyFill="1" applyBorder="1"/>
    <xf numFmtId="3" fontId="49" fillId="6" borderId="7" xfId="0" applyNumberFormat="1" applyFont="1" applyFill="1" applyBorder="1" applyAlignment="1">
      <alignment horizontal="right"/>
    </xf>
    <xf numFmtId="3" fontId="49" fillId="3" borderId="7" xfId="0" applyNumberFormat="1" applyFont="1" applyFill="1" applyBorder="1" applyAlignment="1">
      <alignment horizontal="right"/>
    </xf>
    <xf numFmtId="3" fontId="46" fillId="6" borderId="7" xfId="0" applyNumberFormat="1" applyFont="1" applyFill="1" applyBorder="1" applyAlignment="1">
      <alignment horizontal="right"/>
    </xf>
    <xf numFmtId="0" fontId="72" fillId="0" borderId="0" xfId="0" applyFont="1" applyBorder="1"/>
    <xf numFmtId="3" fontId="46" fillId="6" borderId="0" xfId="0" applyNumberFormat="1" applyFont="1" applyFill="1" applyBorder="1" applyAlignment="1">
      <alignment horizontal="right" vertical="center"/>
    </xf>
    <xf numFmtId="184" fontId="46" fillId="3" borderId="7" xfId="0" applyNumberFormat="1" applyFont="1" applyFill="1" applyBorder="1" applyAlignment="1">
      <alignment horizontal="right" vertical="center"/>
    </xf>
    <xf numFmtId="0" fontId="48" fillId="3" borderId="4" xfId="0" applyFont="1" applyFill="1" applyBorder="1" applyAlignment="1">
      <alignment horizontal="left" vertical="center"/>
    </xf>
    <xf numFmtId="0" fontId="48" fillId="3" borderId="7" xfId="0" applyFont="1" applyFill="1" applyBorder="1" applyAlignment="1">
      <alignment horizontal="left" vertical="center"/>
    </xf>
    <xf numFmtId="1" fontId="48" fillId="3" borderId="4" xfId="0" applyNumberFormat="1" applyFont="1" applyFill="1" applyBorder="1" applyAlignment="1">
      <alignment horizontal="left" vertical="center"/>
    </xf>
    <xf numFmtId="0" fontId="2" fillId="0" borderId="0" xfId="17" applyFont="1"/>
    <xf numFmtId="0" fontId="30" fillId="0" borderId="0" xfId="17"/>
    <xf numFmtId="0" fontId="18" fillId="0" borderId="0" xfId="17" applyFont="1" applyAlignment="1"/>
    <xf numFmtId="0" fontId="18" fillId="0" borderId="0" xfId="17" applyFont="1"/>
    <xf numFmtId="2" fontId="30" fillId="0" borderId="0" xfId="17" applyNumberFormat="1"/>
    <xf numFmtId="0" fontId="23" fillId="0" borderId="0" xfId="17" applyFont="1"/>
    <xf numFmtId="0" fontId="3" fillId="3" borderId="7" xfId="0" quotePrefix="1" applyFont="1" applyFill="1" applyBorder="1" applyAlignment="1">
      <alignment horizontal="left" vertical="center"/>
    </xf>
    <xf numFmtId="184" fontId="3" fillId="3" borderId="7" xfId="0" applyNumberFormat="1" applyFont="1" applyFill="1" applyBorder="1" applyAlignment="1">
      <alignment horizontal="right" vertical="center"/>
    </xf>
    <xf numFmtId="184" fontId="5" fillId="3" borderId="4" xfId="0" applyNumberFormat="1" applyFont="1" applyFill="1" applyBorder="1" applyAlignment="1">
      <alignment horizontal="right" vertical="center"/>
    </xf>
    <xf numFmtId="184" fontId="5" fillId="6" borderId="4" xfId="0" applyNumberFormat="1" applyFont="1" applyFill="1" applyBorder="1" applyAlignment="1">
      <alignment horizontal="right" vertical="center"/>
    </xf>
    <xf numFmtId="2" fontId="4" fillId="0" borderId="8" xfId="0" applyNumberFormat="1" applyFont="1" applyBorder="1"/>
    <xf numFmtId="2" fontId="4" fillId="0" borderId="0" xfId="0" applyNumberFormat="1" applyFont="1" applyBorder="1"/>
    <xf numFmtId="182" fontId="4" fillId="0" borderId="0" xfId="0" applyNumberFormat="1" applyFont="1"/>
    <xf numFmtId="0" fontId="1" fillId="0" borderId="0" xfId="0" applyFont="1" applyAlignment="1"/>
    <xf numFmtId="0" fontId="1" fillId="0" borderId="0" xfId="0" applyFont="1" applyFill="1" applyBorder="1"/>
    <xf numFmtId="0" fontId="0" fillId="3" borderId="2" xfId="0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182" fontId="5" fillId="3" borderId="0" xfId="0" applyNumberFormat="1" applyFont="1" applyFill="1" applyBorder="1" applyAlignment="1">
      <alignment horizontal="left" vertical="center"/>
    </xf>
    <xf numFmtId="3" fontId="5" fillId="6" borderId="6" xfId="0" applyNumberFormat="1" applyFont="1" applyFill="1" applyBorder="1" applyAlignment="1">
      <alignment horizontal="right" vertical="center"/>
    </xf>
    <xf numFmtId="3" fontId="5" fillId="3" borderId="6" xfId="0" applyNumberFormat="1" applyFont="1" applyFill="1" applyBorder="1" applyAlignment="1">
      <alignment horizontal="right" vertical="center"/>
    </xf>
    <xf numFmtId="3" fontId="3" fillId="0" borderId="8" xfId="0" applyNumberFormat="1" applyFont="1" applyBorder="1" applyAlignment="1">
      <alignment horizontal="center" vertical="top"/>
    </xf>
    <xf numFmtId="3" fontId="3" fillId="0" borderId="0" xfId="0" applyNumberFormat="1" applyFont="1" applyBorder="1" applyAlignment="1">
      <alignment horizontal="center" vertical="top"/>
    </xf>
    <xf numFmtId="184" fontId="5" fillId="3" borderId="6" xfId="0" applyNumberFormat="1" applyFont="1" applyFill="1" applyBorder="1" applyAlignment="1">
      <alignment vertical="center"/>
    </xf>
    <xf numFmtId="0" fontId="3" fillId="3" borderId="21" xfId="0" applyFont="1" applyFill="1" applyBorder="1" applyAlignment="1">
      <alignment horizontal="left"/>
    </xf>
    <xf numFmtId="0" fontId="3" fillId="6" borderId="2" xfId="0" applyFont="1" applyFill="1" applyBorder="1" applyAlignment="1"/>
    <xf numFmtId="0" fontId="0" fillId="3" borderId="2" xfId="0" applyFill="1" applyBorder="1" applyAlignment="1"/>
    <xf numFmtId="0" fontId="0" fillId="6" borderId="2" xfId="0" applyFill="1" applyBorder="1" applyAlignment="1"/>
    <xf numFmtId="0" fontId="5" fillId="3" borderId="2" xfId="0" applyFont="1" applyFill="1" applyBorder="1" applyAlignment="1"/>
    <xf numFmtId="0" fontId="3" fillId="3" borderId="2" xfId="0" applyFont="1" applyFill="1" applyBorder="1" applyAlignment="1"/>
    <xf numFmtId="0" fontId="3" fillId="6" borderId="21" xfId="0" applyFont="1" applyFill="1" applyBorder="1" applyAlignment="1"/>
    <xf numFmtId="0" fontId="5" fillId="3" borderId="0" xfId="0" applyFont="1" applyFill="1" applyBorder="1" applyAlignment="1"/>
    <xf numFmtId="0" fontId="3" fillId="3" borderId="23" xfId="0" applyFont="1" applyFill="1" applyBorder="1" applyAlignment="1">
      <alignment horizontal="left"/>
    </xf>
    <xf numFmtId="0" fontId="3" fillId="6" borderId="0" xfId="0" applyFont="1" applyFill="1" applyBorder="1" applyAlignment="1"/>
    <xf numFmtId="0" fontId="3" fillId="3" borderId="0" xfId="0" applyFont="1" applyFill="1" applyBorder="1" applyAlignment="1"/>
    <xf numFmtId="3" fontId="3" fillId="6" borderId="0" xfId="0" applyNumberFormat="1" applyFont="1" applyFill="1" applyBorder="1" applyAlignment="1"/>
    <xf numFmtId="3" fontId="5" fillId="3" borderId="0" xfId="0" applyNumberFormat="1" applyFont="1" applyFill="1" applyBorder="1" applyAlignment="1"/>
    <xf numFmtId="3" fontId="3" fillId="3" borderId="0" xfId="0" applyNumberFormat="1" applyFont="1" applyFill="1" applyBorder="1" applyAlignment="1"/>
    <xf numFmtId="0" fontId="3" fillId="6" borderId="23" xfId="0" applyFont="1" applyFill="1" applyBorder="1" applyAlignment="1"/>
    <xf numFmtId="0" fontId="3" fillId="6" borderId="0" xfId="0" applyFont="1" applyFill="1" applyAlignment="1">
      <alignment horizontal="center"/>
    </xf>
    <xf numFmtId="0" fontId="31" fillId="3" borderId="0" xfId="0" applyFont="1" applyFill="1" applyBorder="1" applyAlignment="1"/>
    <xf numFmtId="0" fontId="31" fillId="6" borderId="0" xfId="0" applyFont="1" applyFill="1" applyBorder="1" applyAlignment="1"/>
    <xf numFmtId="0" fontId="3" fillId="6" borderId="19" xfId="0" applyFont="1" applyFill="1" applyBorder="1" applyAlignment="1"/>
    <xf numFmtId="0" fontId="3" fillId="6" borderId="24" xfId="0" applyFont="1" applyFill="1" applyBorder="1" applyAlignment="1"/>
    <xf numFmtId="0" fontId="31" fillId="3" borderId="25" xfId="0" applyFont="1" applyFill="1" applyBorder="1" applyAlignment="1"/>
    <xf numFmtId="0" fontId="31" fillId="6" borderId="21" xfId="0" applyFont="1" applyFill="1" applyBorder="1" applyAlignment="1"/>
    <xf numFmtId="0" fontId="3" fillId="3" borderId="25" xfId="0" applyFont="1" applyFill="1" applyBorder="1" applyAlignment="1"/>
    <xf numFmtId="0" fontId="3" fillId="6" borderId="25" xfId="0" applyFont="1" applyFill="1" applyBorder="1" applyAlignment="1"/>
    <xf numFmtId="0" fontId="3" fillId="3" borderId="21" xfId="0" applyFont="1" applyFill="1" applyBorder="1" applyAlignment="1"/>
    <xf numFmtId="0" fontId="3" fillId="6" borderId="1" xfId="0" applyFont="1" applyFill="1" applyBorder="1" applyAlignment="1"/>
    <xf numFmtId="3" fontId="3" fillId="3" borderId="26" xfId="0" applyNumberFormat="1" applyFont="1" applyFill="1" applyBorder="1" applyAlignment="1"/>
    <xf numFmtId="3" fontId="3" fillId="6" borderId="23" xfId="0" applyNumberFormat="1" applyFont="1" applyFill="1" applyBorder="1" applyAlignment="1"/>
    <xf numFmtId="3" fontId="5" fillId="3" borderId="26" xfId="0" applyNumberFormat="1" applyFont="1" applyFill="1" applyBorder="1" applyAlignment="1"/>
    <xf numFmtId="0" fontId="3" fillId="6" borderId="26" xfId="0" applyFont="1" applyFill="1" applyBorder="1" applyAlignment="1"/>
    <xf numFmtId="3" fontId="3" fillId="3" borderId="23" xfId="0" applyNumberFormat="1" applyFont="1" applyFill="1" applyBorder="1" applyAlignment="1"/>
    <xf numFmtId="0" fontId="3" fillId="3" borderId="26" xfId="0" applyFont="1" applyFill="1" applyBorder="1" applyAlignment="1"/>
    <xf numFmtId="0" fontId="3" fillId="6" borderId="22" xfId="0" applyFont="1" applyFill="1" applyBorder="1" applyAlignment="1">
      <alignment vertical="top"/>
    </xf>
    <xf numFmtId="0" fontId="3" fillId="3" borderId="18" xfId="0" applyFont="1" applyFill="1" applyBorder="1" applyAlignment="1">
      <alignment vertical="top"/>
    </xf>
    <xf numFmtId="0" fontId="3" fillId="6" borderId="19" xfId="0" applyFont="1" applyFill="1" applyBorder="1" applyAlignment="1">
      <alignment vertical="top"/>
    </xf>
    <xf numFmtId="3" fontId="3" fillId="6" borderId="19" xfId="0" applyNumberFormat="1" applyFont="1" applyFill="1" applyBorder="1" applyAlignment="1">
      <alignment vertical="top"/>
    </xf>
    <xf numFmtId="3" fontId="5" fillId="3" borderId="18" xfId="0" applyNumberFormat="1" applyFont="1" applyFill="1" applyBorder="1" applyAlignment="1">
      <alignment vertical="top"/>
    </xf>
    <xf numFmtId="0" fontId="3" fillId="6" borderId="18" xfId="0" applyFont="1" applyFill="1" applyBorder="1" applyAlignment="1">
      <alignment vertical="top"/>
    </xf>
    <xf numFmtId="3" fontId="3" fillId="3" borderId="19" xfId="0" applyNumberFormat="1" applyFont="1" applyFill="1" applyBorder="1" applyAlignment="1">
      <alignment vertical="top"/>
    </xf>
    <xf numFmtId="3" fontId="5" fillId="3" borderId="3" xfId="0" applyNumberFormat="1" applyFont="1" applyFill="1" applyBorder="1" applyAlignment="1">
      <alignment vertical="top"/>
    </xf>
    <xf numFmtId="3" fontId="5" fillId="3" borderId="4" xfId="0" applyNumberFormat="1" applyFont="1" applyFill="1" applyBorder="1" applyAlignment="1">
      <alignment horizontal="right"/>
    </xf>
    <xf numFmtId="3" fontId="5" fillId="6" borderId="0" xfId="0" applyNumberFormat="1" applyFont="1" applyFill="1" applyBorder="1" applyAlignment="1">
      <alignment horizontal="right"/>
    </xf>
    <xf numFmtId="3" fontId="5" fillId="6" borderId="6" xfId="0" applyNumberFormat="1" applyFont="1" applyFill="1" applyBorder="1"/>
    <xf numFmtId="3" fontId="3" fillId="6" borderId="7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top"/>
    </xf>
    <xf numFmtId="3" fontId="3" fillId="0" borderId="0" xfId="0" applyNumberFormat="1" applyFont="1" applyFill="1" applyBorder="1"/>
    <xf numFmtId="9" fontId="3" fillId="0" borderId="0" xfId="0" applyNumberFormat="1" applyFont="1" applyFill="1" applyBorder="1" applyAlignment="1">
      <alignment horizontal="center"/>
    </xf>
    <xf numFmtId="184" fontId="5" fillId="6" borderId="6" xfId="0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vertical="center"/>
    </xf>
    <xf numFmtId="9" fontId="5" fillId="0" borderId="0" xfId="0" applyNumberFormat="1" applyFont="1" applyFill="1" applyBorder="1" applyAlignment="1">
      <alignment horizontal="center" vertical="center"/>
    </xf>
    <xf numFmtId="3" fontId="45" fillId="6" borderId="0" xfId="0" applyNumberFormat="1" applyFont="1" applyFill="1" applyBorder="1" applyAlignment="1">
      <alignment horizontal="center"/>
    </xf>
    <xf numFmtId="3" fontId="45" fillId="6" borderId="0" xfId="0" applyNumberFormat="1" applyFont="1" applyFill="1" applyBorder="1" applyAlignment="1">
      <alignment horizontal="center" vertical="top"/>
    </xf>
    <xf numFmtId="183" fontId="3" fillId="6" borderId="6" xfId="0" quotePrefix="1" applyNumberFormat="1" applyFont="1" applyFill="1" applyBorder="1" applyAlignment="1">
      <alignment horizontal="right"/>
    </xf>
    <xf numFmtId="183" fontId="3" fillId="3" borderId="6" xfId="0" applyNumberFormat="1" applyFont="1" applyFill="1" applyBorder="1" applyAlignment="1">
      <alignment horizontal="center"/>
    </xf>
    <xf numFmtId="183" fontId="3" fillId="3" borderId="6" xfId="0" applyNumberFormat="1" applyFont="1" applyFill="1" applyBorder="1" applyAlignment="1">
      <alignment horizontal="right"/>
    </xf>
    <xf numFmtId="183" fontId="3" fillId="6" borderId="7" xfId="0" quotePrefix="1" applyNumberFormat="1" applyFont="1" applyFill="1" applyBorder="1" applyAlignment="1">
      <alignment horizontal="right"/>
    </xf>
    <xf numFmtId="183" fontId="5" fillId="6" borderId="7" xfId="0" quotePrefix="1" applyNumberFormat="1" applyFont="1" applyFill="1" applyBorder="1" applyAlignment="1">
      <alignment horizontal="right" vertical="center"/>
    </xf>
    <xf numFmtId="182" fontId="4" fillId="0" borderId="8" xfId="0" applyNumberFormat="1" applyFont="1" applyBorder="1"/>
    <xf numFmtId="182" fontId="4" fillId="0" borderId="0" xfId="0" applyNumberFormat="1" applyFont="1" applyBorder="1"/>
    <xf numFmtId="0" fontId="57" fillId="0" borderId="0" xfId="0" applyFont="1" applyAlignment="1">
      <alignment horizontal="center"/>
    </xf>
    <xf numFmtId="0" fontId="45" fillId="6" borderId="2" xfId="0" applyFont="1" applyFill="1" applyBorder="1" applyAlignment="1">
      <alignment horizontal="center"/>
    </xf>
    <xf numFmtId="3" fontId="45" fillId="6" borderId="3" xfId="0" applyNumberFormat="1" applyFont="1" applyFill="1" applyBorder="1" applyAlignment="1">
      <alignment horizontal="center" vertical="top"/>
    </xf>
    <xf numFmtId="184" fontId="45" fillId="6" borderId="6" xfId="0" applyNumberFormat="1" applyFont="1" applyFill="1" applyBorder="1" applyAlignment="1">
      <alignment horizontal="center"/>
    </xf>
    <xf numFmtId="184" fontId="45" fillId="6" borderId="7" xfId="0" applyNumberFormat="1" applyFont="1" applyFill="1" applyBorder="1" applyAlignment="1">
      <alignment horizontal="center"/>
    </xf>
    <xf numFmtId="184" fontId="53" fillId="6" borderId="0" xfId="0" applyNumberFormat="1" applyFont="1" applyFill="1" applyBorder="1" applyAlignment="1">
      <alignment horizontal="center" vertical="center"/>
    </xf>
    <xf numFmtId="3" fontId="5" fillId="6" borderId="6" xfId="0" applyNumberFormat="1" applyFont="1" applyFill="1" applyBorder="1" applyAlignment="1">
      <alignment horizontal="center" vertical="center"/>
    </xf>
    <xf numFmtId="3" fontId="45" fillId="0" borderId="8" xfId="0" applyNumberFormat="1" applyFont="1" applyBorder="1" applyAlignment="1">
      <alignment horizontal="center" vertical="top"/>
    </xf>
    <xf numFmtId="3" fontId="45" fillId="0" borderId="0" xfId="0" applyNumberFormat="1" applyFont="1" applyBorder="1" applyAlignment="1">
      <alignment horizontal="center" vertical="top"/>
    </xf>
    <xf numFmtId="0" fontId="26" fillId="0" borderId="0" xfId="0" applyFont="1" applyAlignment="1">
      <alignment horizontal="center"/>
    </xf>
    <xf numFmtId="0" fontId="0" fillId="0" borderId="0" xfId="0" applyFill="1" applyBorder="1" applyAlignment="1">
      <alignment horizontal="right"/>
    </xf>
    <xf numFmtId="184" fontId="5" fillId="0" borderId="0" xfId="0" applyNumberFormat="1" applyFont="1" applyFill="1" applyBorder="1" applyAlignment="1">
      <alignment horizontal="center" vertical="center"/>
    </xf>
    <xf numFmtId="184" fontId="3" fillId="0" borderId="0" xfId="0" applyNumberFormat="1" applyFont="1" applyFill="1" applyBorder="1" applyAlignment="1">
      <alignment horizontal="center"/>
    </xf>
    <xf numFmtId="184" fontId="49" fillId="3" borderId="7" xfId="0" applyNumberFormat="1" applyFont="1" applyFill="1" applyBorder="1" applyAlignment="1">
      <alignment horizontal="center"/>
    </xf>
    <xf numFmtId="0" fontId="48" fillId="8" borderId="0" xfId="0" applyFont="1" applyFill="1"/>
    <xf numFmtId="0" fontId="86" fillId="3" borderId="2" xfId="0" applyFont="1" applyFill="1" applyBorder="1" applyAlignment="1">
      <alignment horizontal="center"/>
    </xf>
    <xf numFmtId="0" fontId="86" fillId="3" borderId="0" xfId="0" applyFont="1" applyFill="1" applyBorder="1" applyAlignment="1">
      <alignment horizontal="center"/>
    </xf>
    <xf numFmtId="0" fontId="86" fillId="3" borderId="0" xfId="0" applyFont="1" applyFill="1"/>
    <xf numFmtId="184" fontId="49" fillId="3" borderId="7" xfId="0" applyNumberFormat="1" applyFont="1" applyFill="1" applyBorder="1" applyAlignment="1">
      <alignment horizontal="right"/>
    </xf>
    <xf numFmtId="3" fontId="46" fillId="3" borderId="7" xfId="0" applyNumberFormat="1" applyFont="1" applyFill="1" applyBorder="1" applyAlignment="1"/>
    <xf numFmtId="3" fontId="49" fillId="3" borderId="4" xfId="0" applyNumberFormat="1" applyFont="1" applyFill="1" applyBorder="1" applyAlignment="1">
      <alignment horizontal="right"/>
    </xf>
    <xf numFmtId="3" fontId="46" fillId="6" borderId="4" xfId="0" applyNumberFormat="1" applyFont="1" applyFill="1" applyBorder="1" applyAlignment="1">
      <alignment horizontal="right"/>
    </xf>
    <xf numFmtId="184" fontId="46" fillId="3" borderId="4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" fillId="8" borderId="0" xfId="0" applyFont="1" applyFill="1" applyAlignment="1">
      <alignment horizontal="right"/>
    </xf>
    <xf numFmtId="1" fontId="45" fillId="3" borderId="0" xfId="0" applyNumberFormat="1" applyFont="1" applyFill="1" applyBorder="1" applyAlignment="1">
      <alignment horizontal="left" vertical="center"/>
    </xf>
    <xf numFmtId="3" fontId="45" fillId="6" borderId="0" xfId="0" applyNumberFormat="1" applyFont="1" applyFill="1" applyBorder="1" applyAlignment="1">
      <alignment horizontal="right" vertical="center"/>
    </xf>
    <xf numFmtId="3" fontId="45" fillId="3" borderId="0" xfId="0" applyNumberFormat="1" applyFont="1" applyFill="1" applyBorder="1" applyAlignment="1">
      <alignment horizontal="right" vertical="center"/>
    </xf>
    <xf numFmtId="1" fontId="4" fillId="8" borderId="8" xfId="0" applyNumberFormat="1" applyFont="1" applyFill="1" applyBorder="1" applyAlignment="1">
      <alignment horizontal="left"/>
    </xf>
    <xf numFmtId="183" fontId="3" fillId="8" borderId="8" xfId="0" applyNumberFormat="1" applyFont="1" applyFill="1" applyBorder="1" applyAlignment="1">
      <alignment horizontal="right"/>
    </xf>
    <xf numFmtId="1" fontId="4" fillId="0" borderId="0" xfId="0" applyNumberFormat="1" applyFont="1" applyFill="1" applyBorder="1" applyAlignment="1">
      <alignment horizontal="left"/>
    </xf>
    <xf numFmtId="183" fontId="3" fillId="0" borderId="0" xfId="0" applyNumberFormat="1" applyFont="1" applyFill="1" applyBorder="1" applyAlignment="1">
      <alignment horizontal="right"/>
    </xf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4" fillId="8" borderId="0" xfId="0" applyFont="1" applyFill="1" applyAlignment="1">
      <alignment horizontal="right"/>
    </xf>
    <xf numFmtId="0" fontId="3" fillId="3" borderId="4" xfId="0" applyNumberFormat="1" applyFont="1" applyFill="1" applyBorder="1" applyAlignment="1">
      <alignment horizontal="left"/>
    </xf>
    <xf numFmtId="0" fontId="3" fillId="3" borderId="7" xfId="0" applyNumberFormat="1" applyFont="1" applyFill="1" applyBorder="1" applyAlignment="1">
      <alignment horizontal="left"/>
    </xf>
    <xf numFmtId="1" fontId="4" fillId="0" borderId="8" xfId="0" applyNumberFormat="1" applyFont="1" applyFill="1" applyBorder="1" applyAlignment="1">
      <alignment horizontal="left"/>
    </xf>
    <xf numFmtId="183" fontId="3" fillId="0" borderId="8" xfId="0" applyNumberFormat="1" applyFont="1" applyFill="1" applyBorder="1" applyAlignment="1">
      <alignment horizontal="right"/>
    </xf>
    <xf numFmtId="0" fontId="76" fillId="0" borderId="0" xfId="0" applyFont="1" applyAlignment="1">
      <alignment vertical="center"/>
    </xf>
    <xf numFmtId="1" fontId="4" fillId="8" borderId="0" xfId="0" applyNumberFormat="1" applyFont="1" applyFill="1" applyBorder="1" applyAlignment="1">
      <alignment horizontal="left"/>
    </xf>
    <xf numFmtId="183" fontId="3" fillId="8" borderId="0" xfId="0" applyNumberFormat="1" applyFont="1" applyFill="1" applyBorder="1" applyAlignment="1">
      <alignment horizontal="right"/>
    </xf>
    <xf numFmtId="0" fontId="5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53" fillId="3" borderId="2" xfId="0" applyFont="1" applyFill="1" applyBorder="1" applyAlignment="1">
      <alignment horizontal="left"/>
    </xf>
    <xf numFmtId="0" fontId="5" fillId="6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right"/>
    </xf>
    <xf numFmtId="0" fontId="2" fillId="8" borderId="3" xfId="0" applyFont="1" applyFill="1" applyBorder="1" applyAlignment="1">
      <alignment vertical="top"/>
    </xf>
    <xf numFmtId="0" fontId="3" fillId="3" borderId="10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1" fontId="3" fillId="3" borderId="6" xfId="0" applyNumberFormat="1" applyFont="1" applyFill="1" applyBorder="1" applyAlignment="1">
      <alignment horizontal="left"/>
    </xf>
    <xf numFmtId="1" fontId="5" fillId="3" borderId="5" xfId="0" applyNumberFormat="1" applyFont="1" applyFill="1" applyBorder="1" applyAlignment="1">
      <alignment horizontal="left" vertical="center"/>
    </xf>
    <xf numFmtId="1" fontId="3" fillId="0" borderId="0" xfId="0" applyNumberFormat="1" applyFont="1" applyFill="1" applyBorder="1" applyAlignment="1">
      <alignment horizontal="left"/>
    </xf>
    <xf numFmtId="0" fontId="3" fillId="6" borderId="10" xfId="0" applyFont="1" applyFill="1" applyBorder="1" applyAlignment="1">
      <alignment horizontal="left" vertical="center"/>
    </xf>
    <xf numFmtId="1" fontId="3" fillId="6" borderId="6" xfId="0" applyNumberFormat="1" applyFont="1" applyFill="1" applyBorder="1" applyAlignment="1">
      <alignment horizontal="left"/>
    </xf>
    <xf numFmtId="1" fontId="3" fillId="6" borderId="7" xfId="0" applyNumberFormat="1" applyFont="1" applyFill="1" applyBorder="1" applyAlignment="1">
      <alignment horizontal="left"/>
    </xf>
    <xf numFmtId="1" fontId="5" fillId="6" borderId="5" xfId="0" applyNumberFormat="1" applyFont="1" applyFill="1" applyBorder="1" applyAlignment="1">
      <alignment horizontal="left" vertical="center"/>
    </xf>
    <xf numFmtId="1" fontId="3" fillId="8" borderId="0" xfId="0" applyNumberFormat="1" applyFont="1" applyFill="1" applyBorder="1" applyAlignment="1">
      <alignment horizontal="left"/>
    </xf>
    <xf numFmtId="0" fontId="0" fillId="0" borderId="0" xfId="0" applyNumberFormat="1"/>
    <xf numFmtId="1" fontId="45" fillId="3" borderId="7" xfId="0" applyNumberFormat="1" applyFont="1" applyFill="1" applyBorder="1" applyAlignment="1">
      <alignment horizontal="left"/>
    </xf>
    <xf numFmtId="183" fontId="45" fillId="6" borderId="7" xfId="0" applyNumberFormat="1" applyFont="1" applyFill="1" applyBorder="1" applyAlignment="1">
      <alignment horizontal="right"/>
    </xf>
    <xf numFmtId="183" fontId="45" fillId="3" borderId="7" xfId="0" applyNumberFormat="1" applyFont="1" applyFill="1" applyBorder="1" applyAlignment="1">
      <alignment horizontal="right"/>
    </xf>
    <xf numFmtId="3" fontId="45" fillId="3" borderId="7" xfId="0" applyNumberFormat="1" applyFont="1" applyFill="1" applyBorder="1" applyAlignment="1">
      <alignment horizontal="right"/>
    </xf>
    <xf numFmtId="184" fontId="45" fillId="6" borderId="7" xfId="0" applyNumberFormat="1" applyFont="1" applyFill="1" applyBorder="1" applyAlignment="1">
      <alignment horizontal="right"/>
    </xf>
    <xf numFmtId="183" fontId="45" fillId="3" borderId="5" xfId="0" applyNumberFormat="1" applyFont="1" applyFill="1" applyBorder="1" applyAlignment="1">
      <alignment horizontal="right"/>
    </xf>
    <xf numFmtId="184" fontId="45" fillId="6" borderId="5" xfId="0" applyNumberFormat="1" applyFont="1" applyFill="1" applyBorder="1" applyAlignment="1">
      <alignment horizontal="right"/>
    </xf>
    <xf numFmtId="0" fontId="1" fillId="8" borderId="0" xfId="0" applyFont="1" applyFill="1" applyAlignment="1">
      <alignment horizontal="center"/>
    </xf>
    <xf numFmtId="0" fontId="3" fillId="3" borderId="0" xfId="0" applyFont="1" applyFill="1" applyBorder="1" applyAlignment="1">
      <alignment horizontal="center" vertical="top"/>
    </xf>
    <xf numFmtId="4" fontId="3" fillId="6" borderId="6" xfId="0" applyNumberFormat="1" applyFont="1" applyFill="1" applyBorder="1" applyAlignment="1">
      <alignment horizontal="right"/>
    </xf>
    <xf numFmtId="0" fontId="3" fillId="3" borderId="6" xfId="0" applyNumberFormat="1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right"/>
    </xf>
    <xf numFmtId="4" fontId="5" fillId="6" borderId="6" xfId="0" applyNumberFormat="1" applyFont="1" applyFill="1" applyBorder="1" applyAlignment="1">
      <alignment horizontal="right" vertical="center"/>
    </xf>
    <xf numFmtId="0" fontId="5" fillId="3" borderId="6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183" fontId="3" fillId="8" borderId="8" xfId="0" applyNumberFormat="1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left"/>
    </xf>
    <xf numFmtId="183" fontId="3" fillId="0" borderId="8" xfId="0" applyNumberFormat="1" applyFont="1" applyBorder="1" applyAlignment="1">
      <alignment horizontal="right"/>
    </xf>
    <xf numFmtId="183" fontId="3" fillId="8" borderId="0" xfId="0" applyNumberFormat="1" applyFont="1" applyFill="1" applyBorder="1" applyAlignment="1">
      <alignment horizontal="center"/>
    </xf>
    <xf numFmtId="183" fontId="3" fillId="0" borderId="0" xfId="0" applyNumberFormat="1" applyFont="1" applyBorder="1" applyAlignment="1">
      <alignment horizontal="right"/>
    </xf>
    <xf numFmtId="183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4" fontId="3" fillId="3" borderId="4" xfId="0" applyNumberFormat="1" applyFont="1" applyFill="1" applyBorder="1" applyAlignment="1">
      <alignment horizontal="right"/>
    </xf>
    <xf numFmtId="4" fontId="3" fillId="6" borderId="4" xfId="0" applyNumberFormat="1" applyFont="1" applyFill="1" applyBorder="1" applyAlignment="1">
      <alignment horizontal="right"/>
    </xf>
    <xf numFmtId="4" fontId="3" fillId="3" borderId="7" xfId="0" applyNumberFormat="1" applyFont="1" applyFill="1" applyBorder="1" applyAlignment="1">
      <alignment horizontal="right"/>
    </xf>
    <xf numFmtId="2" fontId="5" fillId="3" borderId="0" xfId="0" applyNumberFormat="1" applyFont="1" applyFill="1" applyBorder="1" applyAlignment="1">
      <alignment horizontal="right" vertical="center"/>
    </xf>
    <xf numFmtId="2" fontId="5" fillId="6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top"/>
    </xf>
    <xf numFmtId="0" fontId="5" fillId="6" borderId="27" xfId="0" applyFont="1" applyFill="1" applyBorder="1" applyAlignment="1">
      <alignment horizontal="left"/>
    </xf>
    <xf numFmtId="0" fontId="3" fillId="6" borderId="28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 vertical="center"/>
    </xf>
    <xf numFmtId="0" fontId="3" fillId="6" borderId="28" xfId="0" applyFont="1" applyFill="1" applyBorder="1" applyAlignment="1">
      <alignment horizontal="right"/>
    </xf>
    <xf numFmtId="0" fontId="3" fillId="6" borderId="28" xfId="0" applyFont="1" applyFill="1" applyBorder="1" applyAlignment="1">
      <alignment horizontal="right" vertical="top"/>
    </xf>
    <xf numFmtId="183" fontId="3" fillId="6" borderId="29" xfId="0" applyNumberFormat="1" applyFont="1" applyFill="1" applyBorder="1" applyAlignment="1">
      <alignment horizontal="right"/>
    </xf>
    <xf numFmtId="1" fontId="3" fillId="3" borderId="15" xfId="0" applyNumberFormat="1" applyFont="1" applyFill="1" applyBorder="1" applyAlignment="1">
      <alignment horizontal="left"/>
    </xf>
    <xf numFmtId="183" fontId="3" fillId="3" borderId="15" xfId="0" applyNumberFormat="1" applyFont="1" applyFill="1" applyBorder="1" applyAlignment="1">
      <alignment horizontal="right"/>
    </xf>
    <xf numFmtId="183" fontId="3" fillId="6" borderId="15" xfId="0" applyNumberFormat="1" applyFont="1" applyFill="1" applyBorder="1" applyAlignment="1">
      <alignment horizontal="right"/>
    </xf>
    <xf numFmtId="183" fontId="3" fillId="6" borderId="30" xfId="0" applyNumberFormat="1" applyFont="1" applyFill="1" applyBorder="1" applyAlignment="1">
      <alignment horizontal="right"/>
    </xf>
    <xf numFmtId="183" fontId="3" fillId="6" borderId="31" xfId="0" applyNumberFormat="1" applyFont="1" applyFill="1" applyBorder="1" applyAlignment="1">
      <alignment horizontal="right"/>
    </xf>
    <xf numFmtId="183" fontId="3" fillId="6" borderId="32" xfId="0" applyNumberFormat="1" applyFont="1" applyFill="1" applyBorder="1" applyAlignment="1">
      <alignment horizontal="right"/>
    </xf>
    <xf numFmtId="1" fontId="5" fillId="3" borderId="15" xfId="0" applyNumberFormat="1" applyFont="1" applyFill="1" applyBorder="1" applyAlignment="1">
      <alignment horizontal="left"/>
    </xf>
    <xf numFmtId="183" fontId="5" fillId="6" borderId="15" xfId="0" applyNumberFormat="1" applyFont="1" applyFill="1" applyBorder="1" applyAlignment="1">
      <alignment horizontal="right"/>
    </xf>
    <xf numFmtId="183" fontId="5" fillId="3" borderId="15" xfId="0" applyNumberFormat="1" applyFont="1" applyFill="1" applyBorder="1" applyAlignment="1">
      <alignment horizontal="right"/>
    </xf>
    <xf numFmtId="183" fontId="5" fillId="6" borderId="32" xfId="0" applyNumberFormat="1" applyFont="1" applyFill="1" applyBorder="1" applyAlignment="1">
      <alignment horizontal="right"/>
    </xf>
    <xf numFmtId="183" fontId="5" fillId="0" borderId="0" xfId="0" applyNumberFormat="1" applyFont="1" applyFill="1" applyBorder="1" applyAlignment="1">
      <alignment horizontal="right"/>
    </xf>
    <xf numFmtId="1" fontId="3" fillId="3" borderId="5" xfId="0" applyNumberFormat="1" applyFont="1" applyFill="1" applyBorder="1" applyAlignment="1">
      <alignment horizontal="left" vertical="center"/>
    </xf>
    <xf numFmtId="183" fontId="45" fillId="6" borderId="5" xfId="0" applyNumberFormat="1" applyFont="1" applyFill="1" applyBorder="1" applyAlignment="1">
      <alignment horizontal="right" vertical="center"/>
    </xf>
    <xf numFmtId="183" fontId="3" fillId="3" borderId="5" xfId="0" applyNumberFormat="1" applyFont="1" applyFill="1" applyBorder="1" applyAlignment="1">
      <alignment horizontal="right" vertical="center"/>
    </xf>
    <xf numFmtId="183" fontId="3" fillId="6" borderId="5" xfId="0" applyNumberFormat="1" applyFont="1" applyFill="1" applyBorder="1" applyAlignment="1">
      <alignment horizontal="right" vertical="center"/>
    </xf>
    <xf numFmtId="183" fontId="3" fillId="6" borderId="33" xfId="0" applyNumberFormat="1" applyFont="1" applyFill="1" applyBorder="1" applyAlignment="1">
      <alignment horizontal="right" vertical="center"/>
    </xf>
    <xf numFmtId="183" fontId="3" fillId="0" borderId="0" xfId="0" applyNumberFormat="1" applyFont="1" applyFill="1" applyBorder="1" applyAlignment="1">
      <alignment horizontal="right" vertical="center"/>
    </xf>
    <xf numFmtId="1" fontId="2" fillId="0" borderId="0" xfId="0" applyNumberFormat="1" applyFont="1" applyFill="1" applyBorder="1" applyAlignment="1">
      <alignment horizontal="left"/>
    </xf>
    <xf numFmtId="1" fontId="3" fillId="0" borderId="3" xfId="0" applyNumberFormat="1" applyFont="1" applyFill="1" applyBorder="1" applyAlignment="1">
      <alignment horizontal="left"/>
    </xf>
    <xf numFmtId="183" fontId="3" fillId="0" borderId="3" xfId="0" applyNumberFormat="1" applyFont="1" applyFill="1" applyBorder="1" applyAlignment="1">
      <alignment horizontal="right"/>
    </xf>
    <xf numFmtId="184" fontId="3" fillId="0" borderId="3" xfId="0" applyNumberFormat="1" applyFont="1" applyFill="1" applyBorder="1" applyAlignment="1">
      <alignment horizontal="right"/>
    </xf>
    <xf numFmtId="0" fontId="4" fillId="6" borderId="0" xfId="0" applyFont="1" applyFill="1" applyAlignment="1">
      <alignment horizontal="right"/>
    </xf>
    <xf numFmtId="0" fontId="4" fillId="6" borderId="0" xfId="0" applyFont="1" applyFill="1" applyBorder="1" applyAlignment="1">
      <alignment horizontal="right" vertical="center"/>
    </xf>
    <xf numFmtId="0" fontId="3" fillId="6" borderId="34" xfId="0" applyFont="1" applyFill="1" applyBorder="1" applyAlignment="1">
      <alignment horizontal="right" vertical="top"/>
    </xf>
    <xf numFmtId="0" fontId="4" fillId="6" borderId="3" xfId="0" applyFont="1" applyFill="1" applyBorder="1" applyAlignment="1">
      <alignment horizontal="right" vertical="top"/>
    </xf>
    <xf numFmtId="184" fontId="3" fillId="6" borderId="31" xfId="0" applyNumberFormat="1" applyFont="1" applyFill="1" applyBorder="1" applyAlignment="1">
      <alignment horizontal="right"/>
    </xf>
    <xf numFmtId="184" fontId="3" fillId="6" borderId="30" xfId="0" applyNumberFormat="1" applyFont="1" applyFill="1" applyBorder="1" applyAlignment="1">
      <alignment horizontal="right"/>
    </xf>
    <xf numFmtId="184" fontId="3" fillId="6" borderId="15" xfId="0" applyNumberFormat="1" applyFont="1" applyFill="1" applyBorder="1" applyAlignment="1">
      <alignment horizontal="right"/>
    </xf>
    <xf numFmtId="0" fontId="37" fillId="0" borderId="0" xfId="0" applyFont="1" applyBorder="1"/>
    <xf numFmtId="184" fontId="5" fillId="6" borderId="30" xfId="0" applyNumberFormat="1" applyFont="1" applyFill="1" applyBorder="1" applyAlignment="1">
      <alignment horizontal="right"/>
    </xf>
    <xf numFmtId="0" fontId="13" fillId="0" borderId="0" xfId="0" applyFont="1" applyBorder="1"/>
    <xf numFmtId="184" fontId="5" fillId="6" borderId="15" xfId="0" applyNumberFormat="1" applyFont="1" applyFill="1" applyBorder="1" applyAlignment="1">
      <alignment horizontal="right"/>
    </xf>
    <xf numFmtId="184" fontId="45" fillId="6" borderId="7" xfId="0" applyNumberFormat="1" applyFont="1" applyFill="1" applyBorder="1" applyAlignment="1">
      <alignment horizontal="right" vertical="center"/>
    </xf>
    <xf numFmtId="184" fontId="3" fillId="6" borderId="30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vertical="center"/>
    </xf>
    <xf numFmtId="182" fontId="0" fillId="0" borderId="0" xfId="0" applyNumberFormat="1" applyFill="1"/>
    <xf numFmtId="0" fontId="18" fillId="0" borderId="8" xfId="0" applyFont="1" applyBorder="1"/>
    <xf numFmtId="2" fontId="27" fillId="0" borderId="0" xfId="0" applyNumberFormat="1" applyFont="1"/>
    <xf numFmtId="183" fontId="53" fillId="6" borderId="0" xfId="0" applyNumberFormat="1" applyFont="1" applyFill="1" applyBorder="1" applyAlignment="1">
      <alignment horizontal="right" vertical="center"/>
    </xf>
    <xf numFmtId="183" fontId="5" fillId="6" borderId="5" xfId="0" applyNumberFormat="1" applyFont="1" applyFill="1" applyBorder="1" applyAlignment="1">
      <alignment horizontal="right" vertical="center"/>
    </xf>
    <xf numFmtId="0" fontId="1" fillId="8" borderId="3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left" vertical="top" wrapText="1"/>
    </xf>
    <xf numFmtId="0" fontId="3" fillId="6" borderId="0" xfId="0" applyFont="1" applyFill="1" applyBorder="1" applyAlignment="1">
      <alignment horizontal="right" vertical="top" wrapText="1"/>
    </xf>
    <xf numFmtId="0" fontId="3" fillId="3" borderId="0" xfId="0" applyFont="1" applyFill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1" fontId="2" fillId="8" borderId="0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right" vertical="top" wrapText="1"/>
    </xf>
    <xf numFmtId="0" fontId="4" fillId="0" borderId="0" xfId="0" quotePrefix="1" applyFont="1"/>
    <xf numFmtId="2" fontId="87" fillId="0" borderId="0" xfId="10" applyNumberFormat="1" applyFont="1"/>
    <xf numFmtId="0" fontId="87" fillId="0" borderId="0" xfId="10" applyFont="1"/>
    <xf numFmtId="0" fontId="5" fillId="6" borderId="0" xfId="0" applyFont="1" applyFill="1" applyBorder="1" applyAlignment="1">
      <alignment horizontal="left"/>
    </xf>
    <xf numFmtId="0" fontId="5" fillId="3" borderId="27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0" fontId="5" fillId="3" borderId="0" xfId="0" applyFont="1" applyFill="1" applyBorder="1" applyAlignment="1">
      <alignment horizontal="right" wrapText="1"/>
    </xf>
    <xf numFmtId="0" fontId="5" fillId="3" borderId="34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right" wrapText="1"/>
    </xf>
    <xf numFmtId="0" fontId="3" fillId="3" borderId="28" xfId="0" applyFont="1" applyFill="1" applyBorder="1" applyAlignment="1">
      <alignment horizontal="right"/>
    </xf>
    <xf numFmtId="0" fontId="3" fillId="3" borderId="28" xfId="0" applyFont="1" applyFill="1" applyBorder="1" applyAlignment="1">
      <alignment horizontal="right" vertical="top"/>
    </xf>
    <xf numFmtId="0" fontId="3" fillId="3" borderId="34" xfId="0" applyFont="1" applyFill="1" applyBorder="1" applyAlignment="1">
      <alignment horizontal="right" vertical="top"/>
    </xf>
    <xf numFmtId="183" fontId="3" fillId="6" borderId="4" xfId="0" quotePrefix="1" applyNumberFormat="1" applyFont="1" applyFill="1" applyBorder="1" applyAlignment="1">
      <alignment horizontal="right"/>
    </xf>
    <xf numFmtId="183" fontId="3" fillId="3" borderId="4" xfId="0" quotePrefix="1" applyNumberFormat="1" applyFont="1" applyFill="1" applyBorder="1" applyAlignment="1">
      <alignment horizontal="right"/>
    </xf>
    <xf numFmtId="183" fontId="3" fillId="3" borderId="31" xfId="0" quotePrefix="1" applyNumberFormat="1" applyFont="1" applyFill="1" applyBorder="1" applyAlignment="1">
      <alignment horizontal="right"/>
    </xf>
    <xf numFmtId="183" fontId="45" fillId="3" borderId="6" xfId="0" quotePrefix="1" applyNumberFormat="1" applyFont="1" applyFill="1" applyBorder="1" applyAlignment="1">
      <alignment horizontal="right"/>
    </xf>
    <xf numFmtId="183" fontId="45" fillId="6" borderId="4" xfId="0" quotePrefix="1" applyNumberFormat="1" applyFont="1" applyFill="1" applyBorder="1" applyAlignment="1">
      <alignment horizontal="right"/>
    </xf>
    <xf numFmtId="183" fontId="3" fillId="3" borderId="29" xfId="0" quotePrefix="1" applyNumberFormat="1" applyFont="1" applyFill="1" applyBorder="1" applyAlignment="1">
      <alignment horizontal="right"/>
    </xf>
    <xf numFmtId="183" fontId="45" fillId="3" borderId="4" xfId="0" applyNumberFormat="1" applyFont="1" applyFill="1" applyBorder="1" applyAlignment="1">
      <alignment horizontal="right"/>
    </xf>
    <xf numFmtId="183" fontId="45" fillId="6" borderId="6" xfId="0" quotePrefix="1" applyNumberFormat="1" applyFont="1" applyFill="1" applyBorder="1" applyAlignment="1">
      <alignment horizontal="right"/>
    </xf>
    <xf numFmtId="183" fontId="45" fillId="3" borderId="4" xfId="0" quotePrefix="1" applyNumberFormat="1" applyFont="1" applyFill="1" applyBorder="1" applyAlignment="1">
      <alignment horizontal="right"/>
    </xf>
    <xf numFmtId="183" fontId="5" fillId="6" borderId="6" xfId="0" quotePrefix="1" applyNumberFormat="1" applyFont="1" applyFill="1" applyBorder="1" applyAlignment="1">
      <alignment horizontal="right" vertical="center"/>
    </xf>
    <xf numFmtId="183" fontId="5" fillId="6" borderId="4" xfId="0" quotePrefix="1" applyNumberFormat="1" applyFont="1" applyFill="1" applyBorder="1" applyAlignment="1">
      <alignment horizontal="right" vertical="center"/>
    </xf>
    <xf numFmtId="183" fontId="5" fillId="3" borderId="35" xfId="0" quotePrefix="1" applyNumberFormat="1" applyFont="1" applyFill="1" applyBorder="1" applyAlignment="1">
      <alignment horizontal="right" vertical="center"/>
    </xf>
    <xf numFmtId="183" fontId="5" fillId="3" borderId="4" xfId="0" quotePrefix="1" applyNumberFormat="1" applyFont="1" applyFill="1" applyBorder="1" applyAlignment="1">
      <alignment horizontal="right" vertical="center"/>
    </xf>
    <xf numFmtId="183" fontId="5" fillId="3" borderId="4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vertical="center"/>
    </xf>
    <xf numFmtId="1" fontId="88" fillId="0" borderId="0" xfId="0" applyNumberFormat="1" applyFont="1" applyFill="1" applyBorder="1" applyAlignment="1">
      <alignment horizontal="left"/>
    </xf>
    <xf numFmtId="0" fontId="5" fillId="3" borderId="28" xfId="0" applyFont="1" applyFill="1" applyBorder="1" applyAlignment="1">
      <alignment horizontal="left"/>
    </xf>
    <xf numFmtId="0" fontId="5" fillId="14" borderId="28" xfId="0" applyFont="1" applyFill="1" applyBorder="1" applyAlignment="1">
      <alignment horizontal="left" vertical="top"/>
    </xf>
    <xf numFmtId="0" fontId="3" fillId="14" borderId="0" xfId="0" applyFont="1" applyFill="1" applyBorder="1" applyAlignment="1">
      <alignment horizontal="right" vertical="top"/>
    </xf>
    <xf numFmtId="0" fontId="3" fillId="14" borderId="0" xfId="0" applyFont="1" applyFill="1" applyBorder="1" applyAlignment="1">
      <alignment horizontal="right"/>
    </xf>
    <xf numFmtId="0" fontId="5" fillId="3" borderId="28" xfId="0" applyFont="1" applyFill="1" applyBorder="1" applyAlignment="1">
      <alignment horizontal="left" vertical="top"/>
    </xf>
    <xf numFmtId="0" fontId="5" fillId="6" borderId="0" xfId="0" applyFont="1" applyFill="1" applyBorder="1" applyAlignment="1">
      <alignment horizontal="left" vertical="top"/>
    </xf>
    <xf numFmtId="0" fontId="3" fillId="3" borderId="28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3" fillId="6" borderId="0" xfId="0" quotePrefix="1" applyFont="1" applyFill="1" applyBorder="1" applyAlignment="1">
      <alignment horizontal="right" vertical="center"/>
    </xf>
    <xf numFmtId="0" fontId="18" fillId="6" borderId="0" xfId="0" applyFont="1" applyFill="1" applyBorder="1" applyAlignment="1">
      <alignment horizontal="right" vertical="center"/>
    </xf>
    <xf numFmtId="0" fontId="18" fillId="3" borderId="0" xfId="0" applyFont="1" applyFill="1" applyBorder="1" applyAlignment="1">
      <alignment horizontal="right" vertical="center"/>
    </xf>
    <xf numFmtId="0" fontId="4" fillId="6" borderId="0" xfId="0" applyFont="1" applyFill="1" applyAlignment="1">
      <alignment vertical="center"/>
    </xf>
    <xf numFmtId="0" fontId="3" fillId="3" borderId="28" xfId="0" applyFont="1" applyFill="1" applyBorder="1" applyAlignment="1">
      <alignment horizontal="left" vertical="center"/>
    </xf>
    <xf numFmtId="0" fontId="18" fillId="3" borderId="28" xfId="0" applyFont="1" applyFill="1" applyBorder="1" applyAlignment="1">
      <alignment horizontal="left" vertical="center"/>
    </xf>
    <xf numFmtId="1" fontId="3" fillId="3" borderId="36" xfId="0" applyNumberFormat="1" applyFont="1" applyFill="1" applyBorder="1" applyAlignment="1">
      <alignment horizontal="left"/>
    </xf>
    <xf numFmtId="3" fontId="3" fillId="6" borderId="36" xfId="0" applyNumberFormat="1" applyFont="1" applyFill="1" applyBorder="1" applyAlignment="1">
      <alignment horizontal="right"/>
    </xf>
    <xf numFmtId="184" fontId="3" fillId="3" borderId="37" xfId="0" applyNumberFormat="1" applyFont="1" applyFill="1" applyBorder="1" applyAlignment="1">
      <alignment horizontal="right"/>
    </xf>
    <xf numFmtId="184" fontId="3" fillId="6" borderId="36" xfId="0" applyNumberFormat="1" applyFont="1" applyFill="1" applyBorder="1" applyAlignment="1">
      <alignment horizontal="right"/>
    </xf>
    <xf numFmtId="184" fontId="3" fillId="3" borderId="36" xfId="0" applyNumberFormat="1" applyFont="1" applyFill="1" applyBorder="1" applyAlignment="1">
      <alignment horizontal="right"/>
    </xf>
    <xf numFmtId="184" fontId="3" fillId="6" borderId="38" xfId="0" applyNumberFormat="1" applyFont="1" applyFill="1" applyBorder="1" applyAlignment="1">
      <alignment horizontal="right"/>
    </xf>
    <xf numFmtId="184" fontId="3" fillId="6" borderId="39" xfId="0" applyNumberFormat="1" applyFont="1" applyFill="1" applyBorder="1" applyAlignment="1">
      <alignment horizontal="right"/>
    </xf>
    <xf numFmtId="184" fontId="5" fillId="3" borderId="40" xfId="0" applyNumberFormat="1" applyFont="1" applyFill="1" applyBorder="1" applyAlignment="1">
      <alignment horizontal="right" vertical="center"/>
    </xf>
    <xf numFmtId="184" fontId="5" fillId="6" borderId="36" xfId="0" applyNumberFormat="1" applyFont="1" applyFill="1" applyBorder="1" applyAlignment="1">
      <alignment horizontal="right" vertical="center"/>
    </xf>
    <xf numFmtId="184" fontId="5" fillId="3" borderId="36" xfId="0" applyNumberFormat="1" applyFont="1" applyFill="1" applyBorder="1" applyAlignment="1">
      <alignment horizontal="right" vertical="center"/>
    </xf>
    <xf numFmtId="184" fontId="5" fillId="6" borderId="41" xfId="0" applyNumberFormat="1" applyFont="1" applyFill="1" applyBorder="1" applyAlignment="1">
      <alignment horizontal="right" vertical="center"/>
    </xf>
    <xf numFmtId="184" fontId="5" fillId="3" borderId="33" xfId="0" applyNumberFormat="1" applyFont="1" applyFill="1" applyBorder="1" applyAlignment="1">
      <alignment horizontal="right" vertical="center"/>
    </xf>
    <xf numFmtId="0" fontId="4" fillId="0" borderId="0" xfId="0" quotePrefix="1" applyFont="1" applyAlignment="1"/>
    <xf numFmtId="0" fontId="2" fillId="0" borderId="0" xfId="20" applyFont="1"/>
    <xf numFmtId="0" fontId="4" fillId="0" borderId="0" xfId="20" applyFont="1"/>
    <xf numFmtId="0" fontId="89" fillId="0" borderId="0" xfId="20"/>
    <xf numFmtId="0" fontId="91" fillId="0" borderId="0" xfId="20" applyFont="1"/>
    <xf numFmtId="0" fontId="4" fillId="0" borderId="13" xfId="20" applyFont="1" applyBorder="1"/>
    <xf numFmtId="0" fontId="89" fillId="0" borderId="13" xfId="20" applyBorder="1"/>
    <xf numFmtId="0" fontId="4" fillId="6" borderId="0" xfId="20" applyFont="1" applyFill="1" applyAlignment="1">
      <alignment horizontal="right"/>
    </xf>
    <xf numFmtId="0" fontId="4" fillId="3" borderId="0" xfId="20" applyFont="1" applyFill="1" applyAlignment="1">
      <alignment horizontal="right"/>
    </xf>
    <xf numFmtId="0" fontId="4" fillId="0" borderId="0" xfId="20" applyFont="1" applyFill="1" applyAlignment="1">
      <alignment horizontal="right"/>
    </xf>
    <xf numFmtId="184" fontId="23" fillId="3" borderId="0" xfId="20" applyNumberFormat="1" applyFont="1" applyFill="1" applyBorder="1" applyAlignment="1">
      <alignment horizontal="center"/>
    </xf>
    <xf numFmtId="184" fontId="23" fillId="6" borderId="0" xfId="20" applyNumberFormat="1" applyFont="1" applyFill="1" applyBorder="1" applyAlignment="1">
      <alignment horizontal="center"/>
    </xf>
    <xf numFmtId="184" fontId="23" fillId="0" borderId="0" xfId="20" applyNumberFormat="1" applyFont="1" applyFill="1" applyBorder="1" applyAlignment="1">
      <alignment horizontal="center"/>
    </xf>
    <xf numFmtId="2" fontId="89" fillId="0" borderId="0" xfId="20" applyNumberFormat="1"/>
    <xf numFmtId="183" fontId="89" fillId="0" borderId="0" xfId="20" applyNumberFormat="1" applyAlignment="1">
      <alignment horizontal="right"/>
    </xf>
    <xf numFmtId="0" fontId="89" fillId="0" borderId="0" xfId="20" applyAlignment="1">
      <alignment horizontal="right"/>
    </xf>
    <xf numFmtId="2" fontId="89" fillId="0" borderId="0" xfId="20" applyNumberFormat="1" applyAlignment="1">
      <alignment horizontal="right"/>
    </xf>
    <xf numFmtId="0" fontId="76" fillId="6" borderId="0" xfId="20" applyFont="1" applyFill="1" applyBorder="1" applyAlignment="1">
      <alignment horizontal="left"/>
    </xf>
    <xf numFmtId="0" fontId="4" fillId="6" borderId="0" xfId="20" applyFont="1" applyFill="1" applyBorder="1" applyAlignment="1">
      <alignment horizontal="right"/>
    </xf>
    <xf numFmtId="0" fontId="8" fillId="3" borderId="0" xfId="20" applyFont="1" applyFill="1" applyAlignment="1">
      <alignment horizontal="center"/>
    </xf>
    <xf numFmtId="0" fontId="8" fillId="6" borderId="0" xfId="20" applyFont="1" applyFill="1" applyAlignment="1">
      <alignment horizontal="center"/>
    </xf>
    <xf numFmtId="0" fontId="8" fillId="0" borderId="0" xfId="20" applyFont="1" applyFill="1" applyAlignment="1">
      <alignment horizontal="center"/>
    </xf>
    <xf numFmtId="0" fontId="76" fillId="3" borderId="0" xfId="20" applyFont="1" applyFill="1" applyAlignment="1">
      <alignment horizontal="center"/>
    </xf>
    <xf numFmtId="183" fontId="89" fillId="0" borderId="0" xfId="20" applyNumberFormat="1"/>
    <xf numFmtId="0" fontId="4" fillId="6" borderId="0" xfId="20" applyFont="1" applyFill="1" applyBorder="1"/>
    <xf numFmtId="0" fontId="4" fillId="3" borderId="0" xfId="20" applyFont="1" applyFill="1" applyAlignment="1">
      <alignment horizontal="center"/>
    </xf>
    <xf numFmtId="0" fontId="4" fillId="6" borderId="0" xfId="20" applyFont="1" applyFill="1" applyAlignment="1">
      <alignment horizontal="center"/>
    </xf>
    <xf numFmtId="0" fontId="4" fillId="0" borderId="0" xfId="20" applyFont="1" applyFill="1" applyAlignment="1">
      <alignment horizontal="center"/>
    </xf>
    <xf numFmtId="0" fontId="8" fillId="6" borderId="0" xfId="20" applyFont="1" applyFill="1" applyBorder="1"/>
    <xf numFmtId="0" fontId="4" fillId="3" borderId="0" xfId="20" applyFont="1" applyFill="1" applyBorder="1" applyAlignment="1">
      <alignment horizontal="center"/>
    </xf>
    <xf numFmtId="0" fontId="4" fillId="6" borderId="0" xfId="20" applyFont="1" applyFill="1" applyBorder="1" applyAlignment="1">
      <alignment horizontal="center"/>
    </xf>
    <xf numFmtId="0" fontId="4" fillId="0" borderId="0" xfId="20" applyFont="1" applyFill="1" applyBorder="1" applyAlignment="1">
      <alignment horizontal="center"/>
    </xf>
    <xf numFmtId="184" fontId="23" fillId="3" borderId="0" xfId="20" applyNumberFormat="1" applyFont="1" applyFill="1" applyBorder="1" applyAlignment="1">
      <alignment horizontal="center" vertical="top"/>
    </xf>
    <xf numFmtId="184" fontId="23" fillId="6" borderId="0" xfId="20" applyNumberFormat="1" applyFont="1" applyFill="1" applyBorder="1" applyAlignment="1">
      <alignment horizontal="center" vertical="top"/>
    </xf>
    <xf numFmtId="184" fontId="23" fillId="0" borderId="0" xfId="20" applyNumberFormat="1" applyFont="1" applyFill="1" applyBorder="1" applyAlignment="1">
      <alignment horizontal="center" vertical="top"/>
    </xf>
    <xf numFmtId="183" fontId="91" fillId="0" borderId="0" xfId="20" applyNumberFormat="1" applyFont="1"/>
    <xf numFmtId="0" fontId="8" fillId="6" borderId="3" xfId="20" applyFont="1" applyFill="1" applyBorder="1"/>
    <xf numFmtId="0" fontId="4" fillId="6" borderId="3" xfId="20" applyFont="1" applyFill="1" applyBorder="1"/>
    <xf numFmtId="0" fontId="4" fillId="3" borderId="3" xfId="20" applyFont="1" applyFill="1" applyBorder="1"/>
    <xf numFmtId="0" fontId="4" fillId="0" borderId="3" xfId="20" applyFont="1" applyFill="1" applyBorder="1"/>
    <xf numFmtId="0" fontId="23" fillId="6" borderId="3" xfId="20" applyFont="1" applyFill="1" applyBorder="1" applyAlignment="1">
      <alignment horizontal="center"/>
    </xf>
    <xf numFmtId="0" fontId="23" fillId="0" borderId="3" xfId="20" applyFont="1" applyFill="1" applyBorder="1" applyAlignment="1">
      <alignment horizontal="center"/>
    </xf>
    <xf numFmtId="0" fontId="8" fillId="6" borderId="6" xfId="20" applyFont="1" applyFill="1" applyBorder="1"/>
    <xf numFmtId="0" fontId="4" fillId="6" borderId="6" xfId="20" applyFont="1" applyFill="1" applyBorder="1"/>
    <xf numFmtId="183" fontId="8" fillId="3" borderId="4" xfId="20" applyNumberFormat="1" applyFont="1" applyFill="1" applyBorder="1" applyAlignment="1">
      <alignment horizontal="left"/>
    </xf>
    <xf numFmtId="183" fontId="8" fillId="6" borderId="4" xfId="20" applyNumberFormat="1" applyFont="1" applyFill="1" applyBorder="1" applyAlignment="1">
      <alignment horizontal="left"/>
    </xf>
    <xf numFmtId="183" fontId="8" fillId="0" borderId="4" xfId="20" applyNumberFormat="1" applyFont="1" applyFill="1" applyBorder="1" applyAlignment="1">
      <alignment horizontal="left"/>
    </xf>
    <xf numFmtId="184" fontId="8" fillId="3" borderId="4" xfId="20" applyNumberFormat="1" applyFont="1" applyFill="1" applyBorder="1" applyAlignment="1">
      <alignment horizontal="left"/>
    </xf>
    <xf numFmtId="184" fontId="8" fillId="6" borderId="4" xfId="20" applyNumberFormat="1" applyFont="1" applyFill="1" applyBorder="1" applyAlignment="1">
      <alignment horizontal="left"/>
    </xf>
    <xf numFmtId="184" fontId="8" fillId="0" borderId="4" xfId="20" applyNumberFormat="1" applyFont="1" applyFill="1" applyBorder="1" applyAlignment="1">
      <alignment horizontal="left"/>
    </xf>
    <xf numFmtId="3" fontId="76" fillId="3" borderId="4" xfId="20" applyNumberFormat="1" applyFont="1" applyFill="1" applyBorder="1" applyAlignment="1">
      <alignment horizontal="left"/>
    </xf>
    <xf numFmtId="0" fontId="4" fillId="6" borderId="7" xfId="20" applyFont="1" applyFill="1" applyBorder="1"/>
    <xf numFmtId="0" fontId="94" fillId="6" borderId="7" xfId="20" applyFont="1" applyFill="1" applyBorder="1"/>
    <xf numFmtId="183" fontId="4" fillId="3" borderId="7" xfId="20" applyNumberFormat="1" applyFont="1" applyFill="1" applyBorder="1"/>
    <xf numFmtId="183" fontId="4" fillId="6" borderId="7" xfId="20" applyNumberFormat="1" applyFont="1" applyFill="1" applyBorder="1"/>
    <xf numFmtId="183" fontId="4" fillId="0" borderId="7" xfId="20" applyNumberFormat="1" applyFont="1" applyFill="1" applyBorder="1"/>
    <xf numFmtId="184" fontId="4" fillId="3" borderId="7" xfId="20" applyNumberFormat="1" applyFont="1" applyFill="1" applyBorder="1"/>
    <xf numFmtId="184" fontId="4" fillId="6" borderId="7" xfId="20" applyNumberFormat="1" applyFont="1" applyFill="1" applyBorder="1"/>
    <xf numFmtId="184" fontId="4" fillId="0" borderId="7" xfId="20" applyNumberFormat="1" applyFont="1" applyFill="1" applyBorder="1"/>
    <xf numFmtId="3" fontId="26" fillId="3" borderId="7" xfId="20" applyNumberFormat="1" applyFont="1" applyFill="1" applyBorder="1"/>
    <xf numFmtId="0" fontId="90" fillId="0" borderId="0" xfId="20" applyFont="1"/>
    <xf numFmtId="0" fontId="8" fillId="6" borderId="7" xfId="20" applyFont="1" applyFill="1" applyBorder="1"/>
    <xf numFmtId="183" fontId="8" fillId="3" borderId="7" xfId="20" applyNumberFormat="1" applyFont="1" applyFill="1" applyBorder="1" applyAlignment="1">
      <alignment horizontal="left"/>
    </xf>
    <xf numFmtId="183" fontId="8" fillId="6" borderId="7" xfId="20" applyNumberFormat="1" applyFont="1" applyFill="1" applyBorder="1" applyAlignment="1">
      <alignment horizontal="left"/>
    </xf>
    <xf numFmtId="183" fontId="8" fillId="0" borderId="7" xfId="20" applyNumberFormat="1" applyFont="1" applyFill="1" applyBorder="1" applyAlignment="1">
      <alignment horizontal="left"/>
    </xf>
    <xf numFmtId="184" fontId="8" fillId="3" borderId="7" xfId="20" applyNumberFormat="1" applyFont="1" applyFill="1" applyBorder="1" applyAlignment="1">
      <alignment horizontal="left"/>
    </xf>
    <xf numFmtId="184" fontId="8" fillId="6" borderId="7" xfId="20" applyNumberFormat="1" applyFont="1" applyFill="1" applyBorder="1" applyAlignment="1">
      <alignment horizontal="left"/>
    </xf>
    <xf numFmtId="184" fontId="8" fillId="0" borderId="7" xfId="20" applyNumberFormat="1" applyFont="1" applyFill="1" applyBorder="1" applyAlignment="1">
      <alignment horizontal="left"/>
    </xf>
    <xf numFmtId="3" fontId="76" fillId="3" borderId="7" xfId="20" applyNumberFormat="1" applyFont="1" applyFill="1" applyBorder="1" applyAlignment="1">
      <alignment horizontal="left"/>
    </xf>
    <xf numFmtId="0" fontId="23" fillId="6" borderId="7" xfId="20" applyFont="1" applyFill="1" applyBorder="1"/>
    <xf numFmtId="0" fontId="18" fillId="6" borderId="7" xfId="20" applyFont="1" applyFill="1" applyBorder="1"/>
    <xf numFmtId="183" fontId="18" fillId="3" borderId="7" xfId="20" applyNumberFormat="1" applyFont="1" applyFill="1" applyBorder="1" applyAlignment="1">
      <alignment horizontal="center"/>
    </xf>
    <xf numFmtId="183" fontId="18" fillId="6" borderId="7" xfId="20" applyNumberFormat="1" applyFont="1" applyFill="1" applyBorder="1" applyAlignment="1">
      <alignment horizontal="center"/>
    </xf>
    <xf numFmtId="183" fontId="18" fillId="0" borderId="7" xfId="20" applyNumberFormat="1" applyFont="1" applyFill="1" applyBorder="1" applyAlignment="1">
      <alignment horizontal="center"/>
    </xf>
    <xf numFmtId="184" fontId="18" fillId="3" borderId="7" xfId="20" applyNumberFormat="1" applyFont="1" applyFill="1" applyBorder="1" applyAlignment="1">
      <alignment horizontal="center"/>
    </xf>
    <xf numFmtId="184" fontId="18" fillId="6" borderId="7" xfId="20" applyNumberFormat="1" applyFont="1" applyFill="1" applyBorder="1" applyAlignment="1">
      <alignment horizontal="center"/>
    </xf>
    <xf numFmtId="184" fontId="18" fillId="0" borderId="7" xfId="20" applyNumberFormat="1" applyFont="1" applyFill="1" applyBorder="1" applyAlignment="1">
      <alignment horizontal="center"/>
    </xf>
    <xf numFmtId="3" fontId="58" fillId="3" borderId="7" xfId="20" applyNumberFormat="1" applyFont="1" applyFill="1" applyBorder="1" applyAlignment="1">
      <alignment horizontal="center"/>
    </xf>
    <xf numFmtId="0" fontId="96" fillId="0" borderId="0" xfId="20" applyFont="1"/>
    <xf numFmtId="0" fontId="4" fillId="6" borderId="4" xfId="20" applyFont="1" applyFill="1" applyBorder="1"/>
    <xf numFmtId="183" fontId="4" fillId="3" borderId="4" xfId="20" applyNumberFormat="1" applyFont="1" applyFill="1" applyBorder="1"/>
    <xf numFmtId="183" fontId="4" fillId="6" borderId="4" xfId="20" applyNumberFormat="1" applyFont="1" applyFill="1" applyBorder="1"/>
    <xf numFmtId="183" fontId="4" fillId="0" borderId="4" xfId="20" applyNumberFormat="1" applyFont="1" applyFill="1" applyBorder="1"/>
    <xf numFmtId="184" fontId="4" fillId="3" borderId="4" xfId="20" applyNumberFormat="1" applyFont="1" applyFill="1" applyBorder="1"/>
    <xf numFmtId="184" fontId="4" fillId="6" borderId="4" xfId="20" applyNumberFormat="1" applyFont="1" applyFill="1" applyBorder="1"/>
    <xf numFmtId="184" fontId="4" fillId="0" borderId="4" xfId="20" applyNumberFormat="1" applyFont="1" applyFill="1" applyBorder="1"/>
    <xf numFmtId="3" fontId="26" fillId="3" borderId="4" xfId="20" applyNumberFormat="1" applyFont="1" applyFill="1" applyBorder="1"/>
    <xf numFmtId="0" fontId="8" fillId="6" borderId="7" xfId="20" applyFont="1" applyFill="1" applyBorder="1" applyAlignment="1">
      <alignment horizontal="left"/>
    </xf>
    <xf numFmtId="0" fontId="91" fillId="0" borderId="0" xfId="20" applyFont="1" applyAlignment="1">
      <alignment horizontal="left"/>
    </xf>
    <xf numFmtId="183" fontId="23" fillId="3" borderId="7" xfId="20" applyNumberFormat="1" applyFont="1" applyFill="1" applyBorder="1"/>
    <xf numFmtId="183" fontId="23" fillId="6" borderId="7" xfId="20" applyNumberFormat="1" applyFont="1" applyFill="1" applyBorder="1"/>
    <xf numFmtId="183" fontId="23" fillId="0" borderId="7" xfId="20" applyNumberFormat="1" applyFont="1" applyFill="1" applyBorder="1"/>
    <xf numFmtId="184" fontId="23" fillId="3" borderId="7" xfId="20" applyNumberFormat="1" applyFont="1" applyFill="1" applyBorder="1"/>
    <xf numFmtId="184" fontId="23" fillId="6" borderId="7" xfId="20" applyNumberFormat="1" applyFont="1" applyFill="1" applyBorder="1"/>
    <xf numFmtId="184" fontId="23" fillId="0" borderId="7" xfId="20" applyNumberFormat="1" applyFont="1" applyFill="1" applyBorder="1"/>
    <xf numFmtId="183" fontId="23" fillId="3" borderId="7" xfId="20" applyNumberFormat="1" applyFont="1" applyFill="1" applyBorder="1" applyAlignment="1">
      <alignment horizontal="right"/>
    </xf>
    <xf numFmtId="183" fontId="23" fillId="6" borderId="7" xfId="20" applyNumberFormat="1" applyFont="1" applyFill="1" applyBorder="1" applyAlignment="1">
      <alignment horizontal="right"/>
    </xf>
    <xf numFmtId="183" fontId="23" fillId="0" borderId="7" xfId="20" applyNumberFormat="1" applyFont="1" applyFill="1" applyBorder="1" applyAlignment="1">
      <alignment horizontal="right"/>
    </xf>
    <xf numFmtId="184" fontId="23" fillId="3" borderId="7" xfId="20" applyNumberFormat="1" applyFont="1" applyFill="1" applyBorder="1" applyAlignment="1">
      <alignment horizontal="right"/>
    </xf>
    <xf numFmtId="184" fontId="23" fillId="6" borderId="7" xfId="20" applyNumberFormat="1" applyFont="1" applyFill="1" applyBorder="1" applyAlignment="1">
      <alignment horizontal="right"/>
    </xf>
    <xf numFmtId="184" fontId="23" fillId="0" borderId="7" xfId="20" applyNumberFormat="1" applyFont="1" applyFill="1" applyBorder="1" applyAlignment="1">
      <alignment horizontal="right"/>
    </xf>
    <xf numFmtId="183" fontId="18" fillId="0" borderId="7" xfId="20" applyNumberFormat="1" applyFont="1" applyFill="1" applyBorder="1" applyAlignment="1">
      <alignment horizontal="right"/>
    </xf>
    <xf numFmtId="184" fontId="18" fillId="3" borderId="7" xfId="20" applyNumberFormat="1" applyFont="1" applyFill="1" applyBorder="1" applyAlignment="1">
      <alignment horizontal="right"/>
    </xf>
    <xf numFmtId="184" fontId="18" fillId="6" borderId="7" xfId="20" applyNumberFormat="1" applyFont="1" applyFill="1" applyBorder="1" applyAlignment="1">
      <alignment horizontal="right"/>
    </xf>
    <xf numFmtId="184" fontId="18" fillId="0" borderId="7" xfId="20" applyNumberFormat="1" applyFont="1" applyFill="1" applyBorder="1" applyAlignment="1">
      <alignment horizontal="right"/>
    </xf>
    <xf numFmtId="183" fontId="4" fillId="0" borderId="7" xfId="20" applyNumberFormat="1" applyFont="1" applyFill="1" applyBorder="1" applyAlignment="1">
      <alignment horizontal="center"/>
    </xf>
    <xf numFmtId="184" fontId="4" fillId="0" borderId="7" xfId="20" applyNumberFormat="1" applyFont="1" applyFill="1" applyBorder="1" applyAlignment="1">
      <alignment horizontal="center"/>
    </xf>
    <xf numFmtId="183" fontId="8" fillId="3" borderId="7" xfId="20" applyNumberFormat="1" applyFont="1" applyFill="1" applyBorder="1"/>
    <xf numFmtId="183" fontId="8" fillId="6" borderId="7" xfId="20" applyNumberFormat="1" applyFont="1" applyFill="1" applyBorder="1"/>
    <xf numFmtId="183" fontId="26" fillId="3" borderId="7" xfId="20" applyNumberFormat="1" applyFont="1" applyFill="1" applyBorder="1"/>
    <xf numFmtId="0" fontId="8" fillId="6" borderId="5" xfId="20" applyFont="1" applyFill="1" applyBorder="1"/>
    <xf numFmtId="0" fontId="23" fillId="6" borderId="5" xfId="20" applyFont="1" applyFill="1" applyBorder="1"/>
    <xf numFmtId="183" fontId="8" fillId="3" borderId="5" xfId="20" applyNumberFormat="1" applyFont="1" applyFill="1" applyBorder="1" applyAlignment="1">
      <alignment horizontal="left"/>
    </xf>
    <xf numFmtId="183" fontId="8" fillId="6" borderId="5" xfId="20" applyNumberFormat="1" applyFont="1" applyFill="1" applyBorder="1" applyAlignment="1">
      <alignment horizontal="left"/>
    </xf>
    <xf numFmtId="183" fontId="8" fillId="0" borderId="5" xfId="20" applyNumberFormat="1" applyFont="1" applyFill="1" applyBorder="1" applyAlignment="1">
      <alignment horizontal="left"/>
    </xf>
    <xf numFmtId="184" fontId="8" fillId="3" borderId="5" xfId="20" applyNumberFormat="1" applyFont="1" applyFill="1" applyBorder="1" applyAlignment="1">
      <alignment horizontal="left"/>
    </xf>
    <xf numFmtId="184" fontId="8" fillId="6" borderId="5" xfId="20" applyNumberFormat="1" applyFont="1" applyFill="1" applyBorder="1" applyAlignment="1">
      <alignment horizontal="left"/>
    </xf>
    <xf numFmtId="184" fontId="8" fillId="0" borderId="5" xfId="20" applyNumberFormat="1" applyFont="1" applyFill="1" applyBorder="1" applyAlignment="1">
      <alignment horizontal="left"/>
    </xf>
    <xf numFmtId="3" fontId="76" fillId="3" borderId="5" xfId="20" applyNumberFormat="1" applyFont="1" applyFill="1" applyBorder="1" applyAlignment="1">
      <alignment horizontal="left"/>
    </xf>
    <xf numFmtId="0" fontId="18" fillId="0" borderId="0" xfId="20" applyFont="1" applyBorder="1"/>
    <xf numFmtId="0" fontId="4" fillId="0" borderId="0" xfId="20" applyFont="1" applyBorder="1"/>
    <xf numFmtId="0" fontId="18" fillId="0" borderId="0" xfId="20" applyFont="1"/>
    <xf numFmtId="10" fontId="89" fillId="0" borderId="0" xfId="20" applyNumberFormat="1"/>
    <xf numFmtId="0" fontId="89" fillId="0" borderId="0" xfId="20" applyBorder="1"/>
    <xf numFmtId="0" fontId="98" fillId="0" borderId="0" xfId="20" applyFont="1"/>
    <xf numFmtId="0" fontId="2" fillId="0" borderId="0" xfId="19" applyFont="1"/>
    <xf numFmtId="0" fontId="4" fillId="0" borderId="0" xfId="19" applyFont="1"/>
    <xf numFmtId="0" fontId="89" fillId="0" borderId="0" xfId="19"/>
    <xf numFmtId="0" fontId="91" fillId="0" borderId="0" xfId="19" applyFont="1"/>
    <xf numFmtId="0" fontId="4" fillId="0" borderId="13" xfId="19" applyFont="1" applyBorder="1"/>
    <xf numFmtId="0" fontId="89" fillId="0" borderId="13" xfId="19" applyBorder="1"/>
    <xf numFmtId="0" fontId="4" fillId="6" borderId="0" xfId="19" applyFont="1" applyFill="1" applyAlignment="1">
      <alignment horizontal="right"/>
    </xf>
    <xf numFmtId="0" fontId="4" fillId="3" borderId="0" xfId="19" applyFont="1" applyFill="1" applyAlignment="1">
      <alignment horizontal="right"/>
    </xf>
    <xf numFmtId="0" fontId="4" fillId="0" borderId="0" xfId="19" applyFont="1" applyFill="1" applyAlignment="1">
      <alignment horizontal="right"/>
    </xf>
    <xf numFmtId="184" fontId="23" fillId="3" borderId="0" xfId="19" applyNumberFormat="1" applyFont="1" applyFill="1" applyBorder="1" applyAlignment="1">
      <alignment horizontal="center"/>
    </xf>
    <xf numFmtId="184" fontId="23" fillId="6" borderId="0" xfId="19" applyNumberFormat="1" applyFont="1" applyFill="1" applyBorder="1" applyAlignment="1">
      <alignment horizontal="center"/>
    </xf>
    <xf numFmtId="184" fontId="23" fillId="0" borderId="0" xfId="19" applyNumberFormat="1" applyFont="1" applyFill="1" applyBorder="1" applyAlignment="1">
      <alignment horizontal="center"/>
    </xf>
    <xf numFmtId="0" fontId="89" fillId="0" borderId="0" xfId="19" applyAlignment="1">
      <alignment horizontal="right"/>
    </xf>
    <xf numFmtId="2" fontId="89" fillId="0" borderId="0" xfId="19" applyNumberFormat="1"/>
    <xf numFmtId="183" fontId="89" fillId="0" borderId="0" xfId="19" applyNumberFormat="1" applyAlignment="1">
      <alignment horizontal="right"/>
    </xf>
    <xf numFmtId="2" fontId="89" fillId="0" borderId="0" xfId="19" applyNumberFormat="1" applyAlignment="1">
      <alignment horizontal="right"/>
    </xf>
    <xf numFmtId="0" fontId="76" fillId="6" borderId="0" xfId="19" applyFont="1" applyFill="1" applyBorder="1" applyAlignment="1">
      <alignment horizontal="left"/>
    </xf>
    <xf numFmtId="0" fontId="4" fillId="6" borderId="0" xfId="19" applyFont="1" applyFill="1" applyBorder="1" applyAlignment="1">
      <alignment horizontal="right"/>
    </xf>
    <xf numFmtId="0" fontId="8" fillId="3" borderId="0" xfId="19" applyFont="1" applyFill="1" applyAlignment="1">
      <alignment horizontal="center"/>
    </xf>
    <xf numFmtId="0" fontId="8" fillId="6" borderId="0" xfId="19" applyFont="1" applyFill="1" applyAlignment="1">
      <alignment horizontal="center"/>
    </xf>
    <xf numFmtId="0" fontId="8" fillId="0" borderId="0" xfId="19" applyFont="1" applyFill="1" applyAlignment="1">
      <alignment horizontal="center"/>
    </xf>
    <xf numFmtId="0" fontId="76" fillId="3" borderId="0" xfId="19" applyFont="1" applyFill="1" applyAlignment="1">
      <alignment horizontal="center"/>
    </xf>
    <xf numFmtId="183" fontId="89" fillId="0" borderId="0" xfId="19" applyNumberFormat="1"/>
    <xf numFmtId="0" fontId="4" fillId="6" borderId="0" xfId="19" applyFont="1" applyFill="1" applyBorder="1"/>
    <xf numFmtId="0" fontId="4" fillId="3" borderId="0" xfId="19" applyFont="1" applyFill="1" applyAlignment="1">
      <alignment horizontal="center"/>
    </xf>
    <xf numFmtId="0" fontId="4" fillId="6" borderId="0" xfId="19" applyFont="1" applyFill="1" applyAlignment="1">
      <alignment horizontal="center"/>
    </xf>
    <xf numFmtId="0" fontId="4" fillId="0" borderId="0" xfId="19" applyFont="1" applyFill="1" applyAlignment="1">
      <alignment horizontal="center"/>
    </xf>
    <xf numFmtId="0" fontId="8" fillId="6" borderId="0" xfId="19" applyFont="1" applyFill="1" applyBorder="1"/>
    <xf numFmtId="0" fontId="4" fillId="3" borderId="0" xfId="19" applyFont="1" applyFill="1" applyBorder="1" applyAlignment="1">
      <alignment horizontal="center"/>
    </xf>
    <xf numFmtId="0" fontId="4" fillId="6" borderId="0" xfId="19" applyFont="1" applyFill="1" applyBorder="1" applyAlignment="1">
      <alignment horizontal="center"/>
    </xf>
    <xf numFmtId="0" fontId="4" fillId="0" borderId="0" xfId="19" applyFont="1" applyFill="1" applyBorder="1" applyAlignment="1">
      <alignment horizontal="center"/>
    </xf>
    <xf numFmtId="184" fontId="23" fillId="3" borderId="0" xfId="19" applyNumberFormat="1" applyFont="1" applyFill="1" applyBorder="1" applyAlignment="1">
      <alignment horizontal="center" vertical="top"/>
    </xf>
    <xf numFmtId="184" fontId="23" fillId="6" borderId="0" xfId="19" applyNumberFormat="1" applyFont="1" applyFill="1" applyBorder="1" applyAlignment="1">
      <alignment horizontal="center" vertical="top"/>
    </xf>
    <xf numFmtId="184" fontId="23" fillId="0" borderId="0" xfId="19" applyNumberFormat="1" applyFont="1" applyFill="1" applyBorder="1" applyAlignment="1">
      <alignment horizontal="center" vertical="top"/>
    </xf>
    <xf numFmtId="183" fontId="91" fillId="0" borderId="0" xfId="19" applyNumberFormat="1" applyFont="1"/>
    <xf numFmtId="0" fontId="8" fillId="6" borderId="3" xfId="19" applyFont="1" applyFill="1" applyBorder="1"/>
    <xf numFmtId="0" fontId="4" fillId="6" borderId="3" xfId="19" applyFont="1" applyFill="1" applyBorder="1"/>
    <xf numFmtId="0" fontId="4" fillId="3" borderId="3" xfId="19" applyFont="1" applyFill="1" applyBorder="1"/>
    <xf numFmtId="0" fontId="4" fillId="0" borderId="3" xfId="19" applyFont="1" applyFill="1" applyBorder="1"/>
    <xf numFmtId="0" fontId="23" fillId="6" borderId="3" xfId="19" applyFont="1" applyFill="1" applyBorder="1" applyAlignment="1">
      <alignment horizontal="center"/>
    </xf>
    <xf numFmtId="0" fontId="23" fillId="0" borderId="3" xfId="19" applyFont="1" applyFill="1" applyBorder="1" applyAlignment="1">
      <alignment horizontal="center"/>
    </xf>
    <xf numFmtId="0" fontId="8" fillId="6" borderId="6" xfId="19" applyFont="1" applyFill="1" applyBorder="1"/>
    <xf numFmtId="0" fontId="4" fillId="6" borderId="6" xfId="19" applyFont="1" applyFill="1" applyBorder="1"/>
    <xf numFmtId="183" fontId="8" fillId="3" borderId="6" xfId="19" applyNumberFormat="1" applyFont="1" applyFill="1" applyBorder="1" applyAlignment="1">
      <alignment horizontal="left"/>
    </xf>
    <xf numFmtId="183" fontId="8" fillId="6" borderId="6" xfId="19" applyNumberFormat="1" applyFont="1" applyFill="1" applyBorder="1" applyAlignment="1">
      <alignment horizontal="left"/>
    </xf>
    <xf numFmtId="183" fontId="8" fillId="0" borderId="6" xfId="19" applyNumberFormat="1" applyFont="1" applyFill="1" applyBorder="1" applyAlignment="1">
      <alignment horizontal="left"/>
    </xf>
    <xf numFmtId="184" fontId="8" fillId="3" borderId="6" xfId="19" applyNumberFormat="1" applyFont="1" applyFill="1" applyBorder="1" applyAlignment="1">
      <alignment horizontal="left"/>
    </xf>
    <xf numFmtId="184" fontId="8" fillId="6" borderId="6" xfId="19" applyNumberFormat="1" applyFont="1" applyFill="1" applyBorder="1" applyAlignment="1">
      <alignment horizontal="left"/>
    </xf>
    <xf numFmtId="184" fontId="8" fillId="0" borderId="6" xfId="19" applyNumberFormat="1" applyFont="1" applyFill="1" applyBorder="1" applyAlignment="1">
      <alignment horizontal="left"/>
    </xf>
    <xf numFmtId="3" fontId="76" fillId="3" borderId="6" xfId="19" applyNumberFormat="1" applyFont="1" applyFill="1" applyBorder="1" applyAlignment="1">
      <alignment horizontal="left"/>
    </xf>
    <xf numFmtId="0" fontId="8" fillId="6" borderId="7" xfId="19" applyFont="1" applyFill="1" applyBorder="1"/>
    <xf numFmtId="0" fontId="4" fillId="6" borderId="7" xfId="19" applyFont="1" applyFill="1" applyBorder="1"/>
    <xf numFmtId="183" fontId="18" fillId="3" borderId="7" xfId="19" applyNumberFormat="1" applyFont="1" applyFill="1" applyBorder="1" applyAlignment="1">
      <alignment horizontal="center"/>
    </xf>
    <xf numFmtId="183" fontId="18" fillId="6" borderId="7" xfId="19" applyNumberFormat="1" applyFont="1" applyFill="1" applyBorder="1" applyAlignment="1">
      <alignment horizontal="center"/>
    </xf>
    <xf numFmtId="183" fontId="18" fillId="0" borderId="7" xfId="19" applyNumberFormat="1" applyFont="1" applyFill="1" applyBorder="1" applyAlignment="1">
      <alignment horizontal="center"/>
    </xf>
    <xf numFmtId="184" fontId="18" fillId="3" borderId="7" xfId="19" applyNumberFormat="1" applyFont="1" applyFill="1" applyBorder="1" applyAlignment="1">
      <alignment horizontal="center"/>
    </xf>
    <xf numFmtId="184" fontId="18" fillId="6" borderId="7" xfId="19" applyNumberFormat="1" applyFont="1" applyFill="1" applyBorder="1" applyAlignment="1">
      <alignment horizontal="center"/>
    </xf>
    <xf numFmtId="184" fontId="18" fillId="0" borderId="7" xfId="19" applyNumberFormat="1" applyFont="1" applyFill="1" applyBorder="1" applyAlignment="1">
      <alignment horizontal="center"/>
    </xf>
    <xf numFmtId="3" fontId="58" fillId="3" borderId="7" xfId="19" applyNumberFormat="1" applyFont="1" applyFill="1" applyBorder="1" applyAlignment="1">
      <alignment horizontal="center"/>
    </xf>
    <xf numFmtId="0" fontId="94" fillId="6" borderId="7" xfId="19" applyFont="1" applyFill="1" applyBorder="1"/>
    <xf numFmtId="183" fontId="4" fillId="3" borderId="7" xfId="19" applyNumberFormat="1" applyFont="1" applyFill="1" applyBorder="1"/>
    <xf numFmtId="183" fontId="4" fillId="6" borderId="7" xfId="19" applyNumberFormat="1" applyFont="1" applyFill="1" applyBorder="1"/>
    <xf numFmtId="183" fontId="4" fillId="0" borderId="7" xfId="19" applyNumberFormat="1" applyFont="1" applyFill="1" applyBorder="1"/>
    <xf numFmtId="184" fontId="4" fillId="3" borderId="7" xfId="19" applyNumberFormat="1" applyFont="1" applyFill="1" applyBorder="1"/>
    <xf numFmtId="184" fontId="4" fillId="6" borderId="7" xfId="19" applyNumberFormat="1" applyFont="1" applyFill="1" applyBorder="1"/>
    <xf numFmtId="184" fontId="4" fillId="0" borderId="7" xfId="19" applyNumberFormat="1" applyFont="1" applyFill="1" applyBorder="1"/>
    <xf numFmtId="3" fontId="26" fillId="3" borderId="7" xfId="19" applyNumberFormat="1" applyFont="1" applyFill="1" applyBorder="1"/>
    <xf numFmtId="2" fontId="90" fillId="0" borderId="0" xfId="19" applyNumberFormat="1" applyFont="1"/>
    <xf numFmtId="0" fontId="90" fillId="0" borderId="0" xfId="19" applyFont="1"/>
    <xf numFmtId="183" fontId="8" fillId="3" borderId="7" xfId="19" applyNumberFormat="1" applyFont="1" applyFill="1" applyBorder="1" applyAlignment="1">
      <alignment horizontal="left"/>
    </xf>
    <xf numFmtId="183" fontId="8" fillId="6" borderId="7" xfId="19" applyNumberFormat="1" applyFont="1" applyFill="1" applyBorder="1" applyAlignment="1">
      <alignment horizontal="left"/>
    </xf>
    <xf numFmtId="183" fontId="8" fillId="0" borderId="7" xfId="19" applyNumberFormat="1" applyFont="1" applyFill="1" applyBorder="1" applyAlignment="1">
      <alignment horizontal="left"/>
    </xf>
    <xf numFmtId="184" fontId="8" fillId="3" borderId="7" xfId="19" applyNumberFormat="1" applyFont="1" applyFill="1" applyBorder="1" applyAlignment="1">
      <alignment horizontal="left"/>
    </xf>
    <xf numFmtId="184" fontId="8" fillId="6" borderId="7" xfId="19" applyNumberFormat="1" applyFont="1" applyFill="1" applyBorder="1" applyAlignment="1">
      <alignment horizontal="left"/>
    </xf>
    <xf numFmtId="184" fontId="8" fillId="0" borderId="7" xfId="19" applyNumberFormat="1" applyFont="1" applyFill="1" applyBorder="1" applyAlignment="1">
      <alignment horizontal="left"/>
    </xf>
    <xf numFmtId="3" fontId="76" fillId="3" borderId="7" xfId="19" applyNumberFormat="1" applyFont="1" applyFill="1" applyBorder="1" applyAlignment="1">
      <alignment horizontal="left"/>
    </xf>
    <xf numFmtId="0" fontId="23" fillId="6" borderId="7" xfId="19" applyFont="1" applyFill="1" applyBorder="1"/>
    <xf numFmtId="183" fontId="23" fillId="3" borderId="7" xfId="19" applyNumberFormat="1" applyFont="1" applyFill="1" applyBorder="1" applyAlignment="1">
      <alignment horizontal="right"/>
    </xf>
    <xf numFmtId="183" fontId="23" fillId="6" borderId="7" xfId="19" applyNumberFormat="1" applyFont="1" applyFill="1" applyBorder="1" applyAlignment="1">
      <alignment horizontal="right"/>
    </xf>
    <xf numFmtId="183" fontId="23" fillId="0" borderId="7" xfId="19" applyNumberFormat="1" applyFont="1" applyFill="1" applyBorder="1" applyAlignment="1">
      <alignment horizontal="right"/>
    </xf>
    <xf numFmtId="184" fontId="23" fillId="3" borderId="7" xfId="19" applyNumberFormat="1" applyFont="1" applyFill="1" applyBorder="1" applyAlignment="1">
      <alignment horizontal="right"/>
    </xf>
    <xf numFmtId="184" fontId="23" fillId="6" borderId="7" xfId="19" applyNumberFormat="1" applyFont="1" applyFill="1" applyBorder="1" applyAlignment="1">
      <alignment horizontal="right"/>
    </xf>
    <xf numFmtId="184" fontId="23" fillId="0" borderId="7" xfId="19" applyNumberFormat="1" applyFont="1" applyFill="1" applyBorder="1" applyAlignment="1">
      <alignment horizontal="right"/>
    </xf>
    <xf numFmtId="183" fontId="4" fillId="3" borderId="7" xfId="19" applyNumberFormat="1" applyFont="1" applyFill="1" applyBorder="1" applyAlignment="1">
      <alignment horizontal="center"/>
    </xf>
    <xf numFmtId="183" fontId="4" fillId="6" borderId="7" xfId="19" applyNumberFormat="1" applyFont="1" applyFill="1" applyBorder="1" applyAlignment="1">
      <alignment horizontal="center"/>
    </xf>
    <xf numFmtId="183" fontId="4" fillId="0" borderId="7" xfId="19" applyNumberFormat="1" applyFont="1" applyFill="1" applyBorder="1" applyAlignment="1">
      <alignment horizontal="center"/>
    </xf>
    <xf numFmtId="184" fontId="4" fillId="3" borderId="7" xfId="19" applyNumberFormat="1" applyFont="1" applyFill="1" applyBorder="1" applyAlignment="1">
      <alignment horizontal="center"/>
    </xf>
    <xf numFmtId="184" fontId="4" fillId="6" borderId="7" xfId="19" applyNumberFormat="1" applyFont="1" applyFill="1" applyBorder="1" applyAlignment="1">
      <alignment horizontal="center"/>
    </xf>
    <xf numFmtId="184" fontId="4" fillId="0" borderId="7" xfId="19" applyNumberFormat="1" applyFont="1" applyFill="1" applyBorder="1" applyAlignment="1">
      <alignment horizontal="center"/>
    </xf>
    <xf numFmtId="3" fontId="26" fillId="3" borderId="7" xfId="19" applyNumberFormat="1" applyFont="1" applyFill="1" applyBorder="1" applyAlignment="1">
      <alignment horizontal="center"/>
    </xf>
    <xf numFmtId="0" fontId="4" fillId="6" borderId="4" xfId="19" applyFont="1" applyFill="1" applyBorder="1"/>
    <xf numFmtId="183" fontId="4" fillId="3" borderId="4" xfId="19" applyNumberFormat="1" applyFont="1" applyFill="1" applyBorder="1"/>
    <xf numFmtId="183" fontId="4" fillId="6" borderId="4" xfId="19" applyNumberFormat="1" applyFont="1" applyFill="1" applyBorder="1"/>
    <xf numFmtId="183" fontId="4" fillId="0" borderId="4" xfId="19" applyNumberFormat="1" applyFont="1" applyFill="1" applyBorder="1"/>
    <xf numFmtId="184" fontId="4" fillId="3" borderId="4" xfId="19" applyNumberFormat="1" applyFont="1" applyFill="1" applyBorder="1"/>
    <xf numFmtId="184" fontId="4" fillId="6" borderId="4" xfId="19" applyNumberFormat="1" applyFont="1" applyFill="1" applyBorder="1"/>
    <xf numFmtId="184" fontId="4" fillId="0" borderId="4" xfId="19" applyNumberFormat="1" applyFont="1" applyFill="1" applyBorder="1"/>
    <xf numFmtId="3" fontId="26" fillId="3" borderId="4" xfId="19" applyNumberFormat="1" applyFont="1" applyFill="1" applyBorder="1"/>
    <xf numFmtId="183" fontId="23" fillId="3" borderId="7" xfId="19" applyNumberFormat="1" applyFont="1" applyFill="1" applyBorder="1"/>
    <xf numFmtId="183" fontId="23" fillId="6" borderId="7" xfId="19" applyNumberFormat="1" applyFont="1" applyFill="1" applyBorder="1"/>
    <xf numFmtId="183" fontId="23" fillId="0" borderId="7" xfId="19" applyNumberFormat="1" applyFont="1" applyFill="1" applyBorder="1"/>
    <xf numFmtId="184" fontId="23" fillId="3" borderId="7" xfId="19" applyNumberFormat="1" applyFont="1" applyFill="1" applyBorder="1"/>
    <xf numFmtId="184" fontId="23" fillId="6" borderId="7" xfId="19" applyNumberFormat="1" applyFont="1" applyFill="1" applyBorder="1"/>
    <xf numFmtId="184" fontId="23" fillId="0" borderId="7" xfId="19" applyNumberFormat="1" applyFont="1" applyFill="1" applyBorder="1"/>
    <xf numFmtId="0" fontId="89" fillId="0" borderId="0" xfId="19" applyFill="1"/>
    <xf numFmtId="183" fontId="8" fillId="3" borderId="7" xfId="19" applyNumberFormat="1" applyFont="1" applyFill="1" applyBorder="1"/>
    <xf numFmtId="183" fontId="8" fillId="6" borderId="7" xfId="19" applyNumberFormat="1" applyFont="1" applyFill="1" applyBorder="1"/>
    <xf numFmtId="3" fontId="76" fillId="3" borderId="7" xfId="19" applyNumberFormat="1" applyFont="1" applyFill="1" applyBorder="1"/>
    <xf numFmtId="0" fontId="8" fillId="6" borderId="5" xfId="19" applyFont="1" applyFill="1" applyBorder="1"/>
    <xf numFmtId="0" fontId="23" fillId="6" borderId="5" xfId="19" applyFont="1" applyFill="1" applyBorder="1"/>
    <xf numFmtId="183" fontId="8" fillId="3" borderId="5" xfId="19" applyNumberFormat="1" applyFont="1" applyFill="1" applyBorder="1" applyAlignment="1">
      <alignment horizontal="left"/>
    </xf>
    <xf numFmtId="183" fontId="8" fillId="6" borderId="5" xfId="19" applyNumberFormat="1" applyFont="1" applyFill="1" applyBorder="1" applyAlignment="1">
      <alignment horizontal="left"/>
    </xf>
    <xf numFmtId="183" fontId="8" fillId="0" borderId="5" xfId="19" applyNumberFormat="1" applyFont="1" applyFill="1" applyBorder="1" applyAlignment="1">
      <alignment horizontal="left"/>
    </xf>
    <xf numFmtId="184" fontId="8" fillId="3" borderId="5" xfId="19" applyNumberFormat="1" applyFont="1" applyFill="1" applyBorder="1" applyAlignment="1">
      <alignment horizontal="left"/>
    </xf>
    <xf numFmtId="184" fontId="8" fillId="6" borderId="5" xfId="19" applyNumberFormat="1" applyFont="1" applyFill="1" applyBorder="1" applyAlignment="1">
      <alignment horizontal="left"/>
    </xf>
    <xf numFmtId="184" fontId="8" fillId="0" borderId="5" xfId="19" applyNumberFormat="1" applyFont="1" applyFill="1" applyBorder="1" applyAlignment="1">
      <alignment horizontal="left"/>
    </xf>
    <xf numFmtId="3" fontId="76" fillId="3" borderId="5" xfId="19" applyNumberFormat="1" applyFont="1" applyFill="1" applyBorder="1" applyAlignment="1">
      <alignment horizontal="left"/>
    </xf>
    <xf numFmtId="0" fontId="18" fillId="0" borderId="0" xfId="19" applyFont="1" applyBorder="1"/>
    <xf numFmtId="0" fontId="4" fillId="0" borderId="0" xfId="19" applyFont="1" applyBorder="1"/>
    <xf numFmtId="10" fontId="89" fillId="0" borderId="0" xfId="19" applyNumberFormat="1"/>
    <xf numFmtId="183" fontId="4" fillId="0" borderId="0" xfId="19" applyNumberFormat="1" applyFont="1"/>
    <xf numFmtId="0" fontId="4" fillId="0" borderId="0" xfId="21" applyFont="1"/>
    <xf numFmtId="0" fontId="2" fillId="0" borderId="0" xfId="21" applyFont="1"/>
    <xf numFmtId="0" fontId="89" fillId="0" borderId="0" xfId="21"/>
    <xf numFmtId="0" fontId="4" fillId="0" borderId="13" xfId="21" applyFont="1" applyBorder="1"/>
    <xf numFmtId="0" fontId="4" fillId="6" borderId="8" xfId="21" applyFont="1" applyFill="1" applyBorder="1" applyAlignment="1">
      <alignment horizontal="right"/>
    </xf>
    <xf numFmtId="0" fontId="4" fillId="3" borderId="8" xfId="21" applyFont="1" applyFill="1" applyBorder="1" applyAlignment="1">
      <alignment horizontal="right"/>
    </xf>
    <xf numFmtId="184" fontId="23" fillId="6" borderId="0" xfId="21" applyNumberFormat="1" applyFont="1" applyFill="1" applyBorder="1" applyAlignment="1">
      <alignment horizontal="center"/>
    </xf>
    <xf numFmtId="184" fontId="23" fillId="3" borderId="0" xfId="21" applyNumberFormat="1" applyFont="1" applyFill="1" applyBorder="1" applyAlignment="1">
      <alignment horizontal="center"/>
    </xf>
    <xf numFmtId="184" fontId="23" fillId="0" borderId="0" xfId="21" applyNumberFormat="1" applyFont="1" applyFill="1" applyBorder="1" applyAlignment="1">
      <alignment horizontal="center"/>
    </xf>
    <xf numFmtId="0" fontId="23" fillId="6" borderId="8" xfId="21" applyFont="1" applyFill="1" applyBorder="1" applyAlignment="1">
      <alignment horizontal="center"/>
    </xf>
    <xf numFmtId="0" fontId="23" fillId="0" borderId="8" xfId="21" applyFont="1" applyFill="1" applyBorder="1" applyAlignment="1">
      <alignment horizontal="center"/>
    </xf>
    <xf numFmtId="0" fontId="76" fillId="3" borderId="8" xfId="21" applyFont="1" applyFill="1" applyBorder="1" applyAlignment="1">
      <alignment horizontal="center"/>
    </xf>
    <xf numFmtId="0" fontId="76" fillId="6" borderId="0" xfId="21" applyFont="1" applyFill="1" applyBorder="1" applyAlignment="1">
      <alignment horizontal="left"/>
    </xf>
    <xf numFmtId="0" fontId="4" fillId="6" borderId="0" xfId="21" applyFont="1" applyFill="1" applyBorder="1" applyAlignment="1">
      <alignment horizontal="right"/>
    </xf>
    <xf numFmtId="0" fontId="8" fillId="3" borderId="0" xfId="21" applyFont="1" applyFill="1" applyBorder="1" applyAlignment="1">
      <alignment horizontal="center"/>
    </xf>
    <xf numFmtId="0" fontId="8" fillId="6" borderId="0" xfId="21" applyFont="1" applyFill="1" applyBorder="1" applyAlignment="1">
      <alignment horizontal="center"/>
    </xf>
    <xf numFmtId="0" fontId="8" fillId="0" borderId="0" xfId="21" applyFont="1" applyFill="1" applyBorder="1" applyAlignment="1">
      <alignment horizontal="center"/>
    </xf>
    <xf numFmtId="0" fontId="23" fillId="6" borderId="0" xfId="21" applyFont="1" applyFill="1" applyBorder="1" applyAlignment="1">
      <alignment horizontal="center"/>
    </xf>
    <xf numFmtId="0" fontId="23" fillId="0" borderId="0" xfId="21" applyFont="1" applyFill="1" applyBorder="1" applyAlignment="1">
      <alignment horizontal="center"/>
    </xf>
    <xf numFmtId="0" fontId="76" fillId="3" borderId="0" xfId="21" applyFont="1" applyFill="1" applyBorder="1" applyAlignment="1">
      <alignment horizontal="center"/>
    </xf>
    <xf numFmtId="0" fontId="4" fillId="3" borderId="0" xfId="21" applyFont="1" applyFill="1" applyBorder="1" applyAlignment="1">
      <alignment horizontal="center"/>
    </xf>
    <xf numFmtId="0" fontId="4" fillId="6" borderId="0" xfId="21" applyFont="1" applyFill="1" applyBorder="1" applyAlignment="1">
      <alignment horizontal="center"/>
    </xf>
    <xf numFmtId="184" fontId="23" fillId="6" borderId="0" xfId="21" applyNumberFormat="1" applyFont="1" applyFill="1" applyBorder="1" applyAlignment="1">
      <alignment horizontal="center" vertical="top"/>
    </xf>
    <xf numFmtId="184" fontId="23" fillId="3" borderId="0" xfId="21" applyNumberFormat="1" applyFont="1" applyFill="1" applyBorder="1" applyAlignment="1">
      <alignment horizontal="center" vertical="top"/>
    </xf>
    <xf numFmtId="184" fontId="23" fillId="0" borderId="0" xfId="21" applyNumberFormat="1" applyFont="1" applyFill="1" applyBorder="1" applyAlignment="1">
      <alignment horizontal="center" vertical="top"/>
    </xf>
    <xf numFmtId="0" fontId="76" fillId="6" borderId="3" xfId="21" applyFont="1" applyFill="1" applyBorder="1" applyAlignment="1">
      <alignment horizontal="left"/>
    </xf>
    <xf numFmtId="0" fontId="4" fillId="6" borderId="3" xfId="21" applyFont="1" applyFill="1" applyBorder="1"/>
    <xf numFmtId="0" fontId="4" fillId="3" borderId="3" xfId="21" applyFont="1" applyFill="1" applyBorder="1" applyAlignment="1">
      <alignment horizontal="center"/>
    </xf>
    <xf numFmtId="0" fontId="4" fillId="6" borderId="3" xfId="21" applyFont="1" applyFill="1" applyBorder="1" applyAlignment="1">
      <alignment horizontal="center"/>
    </xf>
    <xf numFmtId="184" fontId="23" fillId="6" borderId="3" xfId="21" applyNumberFormat="1" applyFont="1" applyFill="1" applyBorder="1" applyAlignment="1">
      <alignment horizontal="center" vertical="top"/>
    </xf>
    <xf numFmtId="184" fontId="23" fillId="3" borderId="3" xfId="21" applyNumberFormat="1" applyFont="1" applyFill="1" applyBorder="1" applyAlignment="1">
      <alignment horizontal="center" vertical="top"/>
    </xf>
    <xf numFmtId="184" fontId="23" fillId="0" borderId="3" xfId="21" applyNumberFormat="1" applyFont="1" applyFill="1" applyBorder="1" applyAlignment="1">
      <alignment horizontal="center" vertical="top"/>
    </xf>
    <xf numFmtId="0" fontId="23" fillId="6" borderId="3" xfId="21" applyFont="1" applyFill="1" applyBorder="1" applyAlignment="1">
      <alignment horizontal="center"/>
    </xf>
    <xf numFmtId="0" fontId="23" fillId="0" borderId="3" xfId="21" applyFont="1" applyFill="1" applyBorder="1" applyAlignment="1">
      <alignment horizontal="center"/>
    </xf>
    <xf numFmtId="0" fontId="8" fillId="6" borderId="4" xfId="21" applyFont="1" applyFill="1" applyBorder="1"/>
    <xf numFmtId="0" fontId="4" fillId="6" borderId="4" xfId="21" applyFont="1" applyFill="1" applyBorder="1"/>
    <xf numFmtId="183" fontId="4" fillId="3" borderId="4" xfId="21" applyNumberFormat="1" applyFont="1" applyFill="1" applyBorder="1" applyAlignment="1">
      <alignment horizontal="center"/>
    </xf>
    <xf numFmtId="183" fontId="4" fillId="6" borderId="4" xfId="21" applyNumberFormat="1" applyFont="1" applyFill="1" applyBorder="1" applyAlignment="1">
      <alignment horizontal="center"/>
    </xf>
    <xf numFmtId="183" fontId="4" fillId="0" borderId="4" xfId="21" applyNumberFormat="1" applyFont="1" applyFill="1" applyBorder="1" applyAlignment="1">
      <alignment horizontal="center"/>
    </xf>
    <xf numFmtId="184" fontId="4" fillId="3" borderId="4" xfId="21" applyNumberFormat="1" applyFont="1" applyFill="1" applyBorder="1" applyAlignment="1">
      <alignment horizontal="center"/>
    </xf>
    <xf numFmtId="184" fontId="4" fillId="6" borderId="4" xfId="21" applyNumberFormat="1" applyFont="1" applyFill="1" applyBorder="1" applyAlignment="1">
      <alignment horizontal="center"/>
    </xf>
    <xf numFmtId="184" fontId="4" fillId="0" borderId="4" xfId="21" applyNumberFormat="1" applyFont="1" applyFill="1" applyBorder="1" applyAlignment="1">
      <alignment horizontal="center"/>
    </xf>
    <xf numFmtId="0" fontId="4" fillId="6" borderId="7" xfId="21" applyFont="1" applyFill="1" applyBorder="1"/>
    <xf numFmtId="0" fontId="23" fillId="6" borderId="7" xfId="21" applyFont="1" applyFill="1" applyBorder="1"/>
    <xf numFmtId="183" fontId="23" fillId="3" borderId="7" xfId="21" applyNumberFormat="1" applyFont="1" applyFill="1" applyBorder="1" applyAlignment="1">
      <alignment horizontal="right"/>
    </xf>
    <xf numFmtId="183" fontId="23" fillId="6" borderId="7" xfId="21" applyNumberFormat="1" applyFont="1" applyFill="1" applyBorder="1" applyAlignment="1">
      <alignment horizontal="right"/>
    </xf>
    <xf numFmtId="183" fontId="23" fillId="0" borderId="7" xfId="21" applyNumberFormat="1" applyFont="1" applyFill="1" applyBorder="1" applyAlignment="1">
      <alignment horizontal="right"/>
    </xf>
    <xf numFmtId="184" fontId="23" fillId="3" borderId="7" xfId="21" applyNumberFormat="1" applyFont="1" applyFill="1" applyBorder="1" applyAlignment="1">
      <alignment horizontal="right"/>
    </xf>
    <xf numFmtId="184" fontId="23" fillId="6" borderId="7" xfId="21" applyNumberFormat="1" applyFont="1" applyFill="1" applyBorder="1" applyAlignment="1">
      <alignment horizontal="right"/>
    </xf>
    <xf numFmtId="184" fontId="23" fillId="0" borderId="7" xfId="21" applyNumberFormat="1" applyFont="1" applyFill="1" applyBorder="1" applyAlignment="1">
      <alignment horizontal="right"/>
    </xf>
    <xf numFmtId="183" fontId="4" fillId="3" borderId="7" xfId="21" applyNumberFormat="1" applyFont="1" applyFill="1" applyBorder="1"/>
    <xf numFmtId="183" fontId="4" fillId="6" borderId="7" xfId="21" applyNumberFormat="1" applyFont="1" applyFill="1" applyBorder="1"/>
    <xf numFmtId="183" fontId="4" fillId="0" borderId="7" xfId="21" applyNumberFormat="1" applyFont="1" applyFill="1" applyBorder="1"/>
    <xf numFmtId="184" fontId="4" fillId="3" borderId="7" xfId="21" applyNumberFormat="1" applyFont="1" applyFill="1" applyBorder="1"/>
    <xf numFmtId="184" fontId="4" fillId="6" borderId="7" xfId="21" applyNumberFormat="1" applyFont="1" applyFill="1" applyBorder="1"/>
    <xf numFmtId="184" fontId="4" fillId="0" borderId="7" xfId="21" applyNumberFormat="1" applyFont="1" applyFill="1" applyBorder="1"/>
    <xf numFmtId="3" fontId="26" fillId="3" borderId="7" xfId="21" applyNumberFormat="1" applyFont="1" applyFill="1" applyBorder="1"/>
    <xf numFmtId="0" fontId="8" fillId="6" borderId="7" xfId="21" applyFont="1" applyFill="1" applyBorder="1"/>
    <xf numFmtId="183" fontId="4" fillId="3" borderId="7" xfId="21" applyNumberFormat="1" applyFont="1" applyFill="1" applyBorder="1" applyAlignment="1">
      <alignment horizontal="center"/>
    </xf>
    <xf numFmtId="183" fontId="4" fillId="6" borderId="7" xfId="21" applyNumberFormat="1" applyFont="1" applyFill="1" applyBorder="1" applyAlignment="1">
      <alignment horizontal="center"/>
    </xf>
    <xf numFmtId="184" fontId="4" fillId="0" borderId="7" xfId="21" applyNumberFormat="1" applyFont="1" applyFill="1" applyBorder="1" applyAlignment="1">
      <alignment horizontal="center"/>
    </xf>
    <xf numFmtId="184" fontId="4" fillId="3" borderId="7" xfId="21" applyNumberFormat="1" applyFont="1" applyFill="1" applyBorder="1" applyAlignment="1">
      <alignment horizontal="center"/>
    </xf>
    <xf numFmtId="184" fontId="4" fillId="6" borderId="7" xfId="21" applyNumberFormat="1" applyFont="1" applyFill="1" applyBorder="1" applyAlignment="1">
      <alignment horizontal="center"/>
    </xf>
    <xf numFmtId="3" fontId="26" fillId="0" borderId="7" xfId="21" applyNumberFormat="1" applyFont="1" applyFill="1" applyBorder="1" applyAlignment="1">
      <alignment horizontal="center"/>
    </xf>
    <xf numFmtId="3" fontId="26" fillId="3" borderId="7" xfId="21" applyNumberFormat="1" applyFont="1" applyFill="1" applyBorder="1" applyAlignment="1">
      <alignment horizontal="center"/>
    </xf>
    <xf numFmtId="0" fontId="89" fillId="0" borderId="0" xfId="21" applyFill="1"/>
    <xf numFmtId="0" fontId="4" fillId="3" borderId="7" xfId="21" applyFont="1" applyFill="1" applyBorder="1"/>
    <xf numFmtId="0" fontId="4" fillId="0" borderId="7" xfId="21" applyFont="1" applyFill="1" applyBorder="1"/>
    <xf numFmtId="183" fontId="4" fillId="0" borderId="7" xfId="21" applyNumberFormat="1" applyFont="1" applyFill="1" applyBorder="1" applyAlignment="1">
      <alignment horizontal="center"/>
    </xf>
    <xf numFmtId="3" fontId="80" fillId="3" borderId="7" xfId="21" applyNumberFormat="1" applyFont="1" applyFill="1" applyBorder="1" applyAlignment="1">
      <alignment horizontal="right"/>
    </xf>
    <xf numFmtId="183" fontId="8" fillId="3" borderId="7" xfId="21" applyNumberFormat="1" applyFont="1" applyFill="1" applyBorder="1"/>
    <xf numFmtId="183" fontId="8" fillId="6" borderId="7" xfId="21" applyNumberFormat="1" applyFont="1" applyFill="1" applyBorder="1"/>
    <xf numFmtId="183" fontId="8" fillId="0" borderId="7" xfId="21" applyNumberFormat="1" applyFont="1" applyFill="1" applyBorder="1"/>
    <xf numFmtId="184" fontId="8" fillId="3" borderId="7" xfId="21" applyNumberFormat="1" applyFont="1" applyFill="1" applyBorder="1"/>
    <xf numFmtId="184" fontId="8" fillId="6" borderId="7" xfId="21" applyNumberFormat="1" applyFont="1" applyFill="1" applyBorder="1"/>
    <xf numFmtId="184" fontId="8" fillId="0" borderId="7" xfId="21" applyNumberFormat="1" applyFont="1" applyFill="1" applyBorder="1"/>
    <xf numFmtId="3" fontId="76" fillId="3" borderId="7" xfId="21" applyNumberFormat="1" applyFont="1" applyFill="1" applyBorder="1"/>
    <xf numFmtId="183" fontId="8" fillId="3" borderId="7" xfId="21" applyNumberFormat="1" applyFont="1" applyFill="1" applyBorder="1" applyAlignment="1">
      <alignment horizontal="left"/>
    </xf>
    <xf numFmtId="183" fontId="8" fillId="6" borderId="7" xfId="21" applyNumberFormat="1" applyFont="1" applyFill="1" applyBorder="1" applyAlignment="1">
      <alignment horizontal="left"/>
    </xf>
    <xf numFmtId="183" fontId="8" fillId="0" borderId="7" xfId="21" applyNumberFormat="1" applyFont="1" applyFill="1" applyBorder="1" applyAlignment="1">
      <alignment horizontal="left"/>
    </xf>
    <xf numFmtId="184" fontId="8" fillId="3" borderId="7" xfId="21" applyNumberFormat="1" applyFont="1" applyFill="1" applyBorder="1" applyAlignment="1">
      <alignment horizontal="left"/>
    </xf>
    <xf numFmtId="184" fontId="8" fillId="6" borderId="7" xfId="21" applyNumberFormat="1" applyFont="1" applyFill="1" applyBorder="1" applyAlignment="1">
      <alignment horizontal="left"/>
    </xf>
    <xf numFmtId="184" fontId="8" fillId="0" borderId="7" xfId="21" applyNumberFormat="1" applyFont="1" applyFill="1" applyBorder="1" applyAlignment="1">
      <alignment horizontal="left"/>
    </xf>
    <xf numFmtId="3" fontId="76" fillId="3" borderId="7" xfId="21" applyNumberFormat="1" applyFont="1" applyFill="1" applyBorder="1" applyAlignment="1">
      <alignment horizontal="left"/>
    </xf>
    <xf numFmtId="183" fontId="32" fillId="3" borderId="7" xfId="21" applyNumberFormat="1" applyFont="1" applyFill="1" applyBorder="1" applyAlignment="1">
      <alignment horizontal="center"/>
    </xf>
    <xf numFmtId="183" fontId="32" fillId="6" borderId="7" xfId="21" applyNumberFormat="1" applyFont="1" applyFill="1" applyBorder="1" applyAlignment="1">
      <alignment horizontal="center"/>
    </xf>
    <xf numFmtId="183" fontId="32" fillId="0" borderId="7" xfId="21" applyNumberFormat="1" applyFont="1" applyFill="1" applyBorder="1" applyAlignment="1">
      <alignment horizontal="center"/>
    </xf>
    <xf numFmtId="184" fontId="32" fillId="3" borderId="7" xfId="21" applyNumberFormat="1" applyFont="1" applyFill="1" applyBorder="1" applyAlignment="1">
      <alignment horizontal="center"/>
    </xf>
    <xf numFmtId="184" fontId="32" fillId="6" borderId="7" xfId="21" applyNumberFormat="1" applyFont="1" applyFill="1" applyBorder="1" applyAlignment="1">
      <alignment horizontal="center"/>
    </xf>
    <xf numFmtId="184" fontId="32" fillId="0" borderId="7" xfId="21" applyNumberFormat="1" applyFont="1" applyFill="1" applyBorder="1" applyAlignment="1">
      <alignment horizontal="center"/>
    </xf>
    <xf numFmtId="3" fontId="100" fillId="3" borderId="7" xfId="21" applyNumberFormat="1" applyFont="1" applyFill="1" applyBorder="1" applyAlignment="1">
      <alignment horizontal="center"/>
    </xf>
    <xf numFmtId="0" fontId="4" fillId="6" borderId="15" xfId="21" applyFont="1" applyFill="1" applyBorder="1"/>
    <xf numFmtId="0" fontId="23" fillId="6" borderId="15" xfId="21" applyFont="1" applyFill="1" applyBorder="1"/>
    <xf numFmtId="183" fontId="32" fillId="3" borderId="15" xfId="21" applyNumberFormat="1" applyFont="1" applyFill="1" applyBorder="1" applyAlignment="1">
      <alignment horizontal="center"/>
    </xf>
    <xf numFmtId="183" fontId="32" fillId="6" borderId="15" xfId="21" applyNumberFormat="1" applyFont="1" applyFill="1" applyBorder="1" applyAlignment="1">
      <alignment horizontal="center"/>
    </xf>
    <xf numFmtId="183" fontId="32" fillId="0" borderId="15" xfId="21" applyNumberFormat="1" applyFont="1" applyFill="1" applyBorder="1" applyAlignment="1">
      <alignment horizontal="center"/>
    </xf>
    <xf numFmtId="184" fontId="32" fillId="3" borderId="15" xfId="21" applyNumberFormat="1" applyFont="1" applyFill="1" applyBorder="1" applyAlignment="1">
      <alignment horizontal="center"/>
    </xf>
    <xf numFmtId="184" fontId="32" fillId="6" borderId="15" xfId="21" applyNumberFormat="1" applyFont="1" applyFill="1" applyBorder="1" applyAlignment="1">
      <alignment horizontal="center"/>
    </xf>
    <xf numFmtId="184" fontId="32" fillId="0" borderId="15" xfId="21" applyNumberFormat="1" applyFont="1" applyFill="1" applyBorder="1" applyAlignment="1">
      <alignment horizontal="center"/>
    </xf>
    <xf numFmtId="3" fontId="100" fillId="3" borderId="15" xfId="21" applyNumberFormat="1" applyFont="1" applyFill="1" applyBorder="1" applyAlignment="1">
      <alignment horizontal="center"/>
    </xf>
    <xf numFmtId="0" fontId="4" fillId="0" borderId="3" xfId="21" applyFont="1" applyBorder="1"/>
    <xf numFmtId="0" fontId="23" fillId="0" borderId="3" xfId="21" applyFont="1" applyBorder="1"/>
    <xf numFmtId="183" fontId="23" fillId="0" borderId="3" xfId="21" applyNumberFormat="1" applyFont="1" applyBorder="1" applyAlignment="1">
      <alignment horizontal="right"/>
    </xf>
    <xf numFmtId="183" fontId="23" fillId="0" borderId="3" xfId="21" applyNumberFormat="1" applyFont="1" applyFill="1" applyBorder="1" applyAlignment="1">
      <alignment horizontal="right"/>
    </xf>
    <xf numFmtId="184" fontId="23" fillId="0" borderId="3" xfId="21" applyNumberFormat="1" applyFont="1" applyFill="1" applyBorder="1" applyAlignment="1">
      <alignment horizontal="right"/>
    </xf>
    <xf numFmtId="184" fontId="23" fillId="0" borderId="3" xfId="21" applyNumberFormat="1" applyFont="1" applyBorder="1" applyAlignment="1">
      <alignment horizontal="right"/>
    </xf>
    <xf numFmtId="3" fontId="80" fillId="0" borderId="3" xfId="21" applyNumberFormat="1" applyFont="1" applyBorder="1" applyAlignment="1">
      <alignment horizontal="right"/>
    </xf>
    <xf numFmtId="0" fontId="4" fillId="0" borderId="0" xfId="21" applyFont="1" applyBorder="1"/>
    <xf numFmtId="0" fontId="23" fillId="0" borderId="0" xfId="21" applyFont="1" applyBorder="1"/>
    <xf numFmtId="183" fontId="23" fillId="0" borderId="0" xfId="21" applyNumberFormat="1" applyFont="1" applyBorder="1" applyAlignment="1">
      <alignment horizontal="right"/>
    </xf>
    <xf numFmtId="183" fontId="23" fillId="0" borderId="0" xfId="21" applyNumberFormat="1" applyFont="1" applyFill="1" applyBorder="1" applyAlignment="1">
      <alignment horizontal="right"/>
    </xf>
    <xf numFmtId="184" fontId="23" fillId="0" borderId="0" xfId="21" applyNumberFormat="1" applyFont="1" applyFill="1" applyBorder="1" applyAlignment="1">
      <alignment horizontal="right"/>
    </xf>
    <xf numFmtId="184" fontId="23" fillId="0" borderId="0" xfId="21" applyNumberFormat="1" applyFont="1" applyBorder="1" applyAlignment="1">
      <alignment horizontal="right"/>
    </xf>
    <xf numFmtId="3" fontId="80" fillId="0" borderId="0" xfId="21" applyNumberFormat="1" applyFont="1" applyBorder="1" applyAlignment="1">
      <alignment horizontal="right"/>
    </xf>
    <xf numFmtId="3" fontId="23" fillId="3" borderId="7" xfId="21" applyNumberFormat="1" applyFont="1" applyFill="1" applyBorder="1" applyAlignment="1">
      <alignment horizontal="right"/>
    </xf>
    <xf numFmtId="0" fontId="4" fillId="5" borderId="0" xfId="21" applyFont="1" applyFill="1"/>
    <xf numFmtId="3" fontId="4" fillId="3" borderId="7" xfId="21" applyNumberFormat="1" applyFont="1" applyFill="1" applyBorder="1"/>
    <xf numFmtId="183" fontId="4" fillId="3" borderId="7" xfId="21" applyNumberFormat="1" applyFont="1" applyFill="1" applyBorder="1" applyAlignment="1">
      <alignment horizontal="left"/>
    </xf>
    <xf numFmtId="183" fontId="23" fillId="3" borderId="7" xfId="21" applyNumberFormat="1" applyFont="1" applyFill="1" applyBorder="1" applyAlignment="1">
      <alignment horizontal="center"/>
    </xf>
    <xf numFmtId="183" fontId="23" fillId="3" borderId="15" xfId="21" applyNumberFormat="1" applyFont="1" applyFill="1" applyBorder="1" applyAlignment="1">
      <alignment horizontal="center"/>
    </xf>
    <xf numFmtId="0" fontId="4" fillId="0" borderId="0" xfId="21" applyFont="1" applyFill="1"/>
    <xf numFmtId="3" fontId="80" fillId="0" borderId="3" xfId="21" applyNumberFormat="1" applyFont="1" applyFill="1" applyBorder="1" applyAlignment="1">
      <alignment horizontal="right"/>
    </xf>
    <xf numFmtId="183" fontId="4" fillId="0" borderId="0" xfId="21" applyNumberFormat="1" applyFont="1" applyBorder="1"/>
    <xf numFmtId="183" fontId="4" fillId="0" borderId="0" xfId="21" applyNumberFormat="1" applyFont="1" applyFill="1" applyBorder="1"/>
    <xf numFmtId="184" fontId="4" fillId="0" borderId="0" xfId="21" applyNumberFormat="1" applyFont="1" applyFill="1" applyBorder="1"/>
    <xf numFmtId="184" fontId="4" fillId="0" borderId="0" xfId="21" applyNumberFormat="1" applyFont="1" applyBorder="1"/>
    <xf numFmtId="3" fontId="26" fillId="0" borderId="0" xfId="21" applyNumberFormat="1" applyFont="1" applyBorder="1"/>
    <xf numFmtId="183" fontId="8" fillId="3" borderId="4" xfId="21" applyNumberFormat="1" applyFont="1" applyFill="1" applyBorder="1" applyAlignment="1">
      <alignment horizontal="left"/>
    </xf>
    <xf numFmtId="183" fontId="8" fillId="6" borderId="4" xfId="21" applyNumberFormat="1" applyFont="1" applyFill="1" applyBorder="1" applyAlignment="1">
      <alignment horizontal="left"/>
    </xf>
    <xf numFmtId="183" fontId="8" fillId="0" borderId="4" xfId="21" applyNumberFormat="1" applyFont="1" applyFill="1" applyBorder="1" applyAlignment="1">
      <alignment horizontal="left"/>
    </xf>
    <xf numFmtId="184" fontId="8" fillId="3" borderId="4" xfId="21" applyNumberFormat="1" applyFont="1" applyFill="1" applyBorder="1" applyAlignment="1">
      <alignment horizontal="left"/>
    </xf>
    <xf numFmtId="184" fontId="8" fillId="6" borderId="4" xfId="21" applyNumberFormat="1" applyFont="1" applyFill="1" applyBorder="1" applyAlignment="1">
      <alignment horizontal="left"/>
    </xf>
    <xf numFmtId="184" fontId="8" fillId="0" borderId="4" xfId="21" applyNumberFormat="1" applyFont="1" applyFill="1" applyBorder="1" applyAlignment="1">
      <alignment horizontal="left"/>
    </xf>
    <xf numFmtId="3" fontId="76" fillId="3" borderId="4" xfId="21" applyNumberFormat="1" applyFont="1" applyFill="1" applyBorder="1" applyAlignment="1">
      <alignment horizontal="left"/>
    </xf>
    <xf numFmtId="183" fontId="4" fillId="3" borderId="15" xfId="21" applyNumberFormat="1" applyFont="1" applyFill="1" applyBorder="1" applyAlignment="1">
      <alignment horizontal="center"/>
    </xf>
    <xf numFmtId="183" fontId="4" fillId="6" borderId="15" xfId="21" applyNumberFormat="1" applyFont="1" applyFill="1" applyBorder="1" applyAlignment="1">
      <alignment horizontal="center"/>
    </xf>
    <xf numFmtId="183" fontId="4" fillId="0" borderId="15" xfId="21" applyNumberFormat="1" applyFont="1" applyFill="1" applyBorder="1" applyAlignment="1">
      <alignment horizontal="center"/>
    </xf>
    <xf numFmtId="184" fontId="4" fillId="3" borderId="15" xfId="21" applyNumberFormat="1" applyFont="1" applyFill="1" applyBorder="1" applyAlignment="1">
      <alignment horizontal="center"/>
    </xf>
    <xf numFmtId="184" fontId="4" fillId="6" borderId="15" xfId="21" applyNumberFormat="1" applyFont="1" applyFill="1" applyBorder="1" applyAlignment="1">
      <alignment horizontal="center"/>
    </xf>
    <xf numFmtId="184" fontId="4" fillId="0" borderId="15" xfId="21" applyNumberFormat="1" applyFont="1" applyFill="1" applyBorder="1" applyAlignment="1">
      <alignment horizontal="center"/>
    </xf>
    <xf numFmtId="3" fontId="26" fillId="3" borderId="15" xfId="21" applyNumberFormat="1" applyFont="1" applyFill="1" applyBorder="1" applyAlignment="1">
      <alignment horizontal="center"/>
    </xf>
    <xf numFmtId="183" fontId="4" fillId="0" borderId="13" xfId="21" applyNumberFormat="1" applyFont="1" applyBorder="1"/>
    <xf numFmtId="183" fontId="4" fillId="0" borderId="13" xfId="21" applyNumberFormat="1" applyFont="1" applyFill="1" applyBorder="1"/>
    <xf numFmtId="0" fontId="18" fillId="0" borderId="0" xfId="21" applyFont="1" applyBorder="1"/>
    <xf numFmtId="0" fontId="102" fillId="0" borderId="0" xfId="21" applyFont="1"/>
    <xf numFmtId="0" fontId="103" fillId="0" borderId="0" xfId="21" applyFont="1" applyFill="1"/>
    <xf numFmtId="49" fontId="4" fillId="0" borderId="0" xfId="21" applyNumberFormat="1" applyFont="1" applyBorder="1"/>
    <xf numFmtId="0" fontId="18" fillId="0" borderId="0" xfId="21" applyFont="1"/>
    <xf numFmtId="0" fontId="4" fillId="0" borderId="0" xfId="21" applyFont="1" applyFill="1" applyBorder="1"/>
    <xf numFmtId="1" fontId="4" fillId="0" borderId="0" xfId="21" applyNumberFormat="1" applyFont="1" applyFill="1" applyBorder="1" applyAlignment="1">
      <alignment horizontal="left"/>
    </xf>
    <xf numFmtId="0" fontId="102" fillId="0" borderId="0" xfId="21" applyFont="1" applyFill="1"/>
    <xf numFmtId="0" fontId="48" fillId="0" borderId="0" xfId="21" applyFont="1"/>
    <xf numFmtId="0" fontId="5" fillId="6" borderId="28" xfId="0" applyFont="1" applyFill="1" applyBorder="1" applyAlignment="1">
      <alignment horizontal="left"/>
    </xf>
    <xf numFmtId="0" fontId="5" fillId="6" borderId="3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183" fontId="3" fillId="6" borderId="31" xfId="0" quotePrefix="1" applyNumberFormat="1" applyFont="1" applyFill="1" applyBorder="1" applyAlignment="1">
      <alignment horizontal="right"/>
    </xf>
    <xf numFmtId="183" fontId="3" fillId="6" borderId="29" xfId="0" quotePrefix="1" applyNumberFormat="1" applyFont="1" applyFill="1" applyBorder="1" applyAlignment="1">
      <alignment horizontal="right"/>
    </xf>
    <xf numFmtId="183" fontId="5" fillId="6" borderId="42" xfId="0" applyNumberFormat="1" applyFont="1" applyFill="1" applyBorder="1" applyAlignment="1">
      <alignment horizontal="right" vertical="center"/>
    </xf>
    <xf numFmtId="0" fontId="104" fillId="0" borderId="0" xfId="0" applyFont="1" applyBorder="1" applyAlignment="1">
      <alignment vertical="top"/>
    </xf>
    <xf numFmtId="0" fontId="2" fillId="0" borderId="0" xfId="12" applyFont="1" applyAlignment="1">
      <alignment horizontal="left"/>
    </xf>
    <xf numFmtId="0" fontId="30" fillId="0" borderId="0" xfId="12" applyAlignment="1">
      <alignment horizontal="center"/>
    </xf>
    <xf numFmtId="0" fontId="30" fillId="0" borderId="0" xfId="12"/>
    <xf numFmtId="0" fontId="32" fillId="5" borderId="0" xfId="12" applyFont="1" applyFill="1" applyAlignment="1">
      <alignment horizontal="center" wrapText="1" shrinkToFit="1"/>
    </xf>
    <xf numFmtId="0" fontId="32" fillId="0" borderId="3" xfId="12" applyFont="1" applyBorder="1" applyAlignment="1">
      <alignment horizontal="center" wrapText="1" shrinkToFit="1"/>
    </xf>
    <xf numFmtId="0" fontId="30" fillId="0" borderId="3" xfId="12" applyBorder="1" applyAlignment="1">
      <alignment horizontal="center"/>
    </xf>
    <xf numFmtId="0" fontId="30" fillId="0" borderId="3" xfId="12" applyBorder="1"/>
    <xf numFmtId="0" fontId="4" fillId="0" borderId="3" xfId="12" quotePrefix="1" applyFont="1" applyFill="1" applyBorder="1" applyAlignment="1">
      <alignment horizontal="center"/>
    </xf>
    <xf numFmtId="0" fontId="30" fillId="0" borderId="0" xfId="12" applyFill="1"/>
    <xf numFmtId="2" fontId="30" fillId="0" borderId="10" xfId="12" applyNumberFormat="1" applyBorder="1" applyAlignment="1">
      <alignment horizontal="center"/>
    </xf>
    <xf numFmtId="0" fontId="4" fillId="0" borderId="10" xfId="12" applyFont="1" applyFill="1" applyBorder="1" applyAlignment="1">
      <alignment horizontal="center"/>
    </xf>
    <xf numFmtId="2" fontId="4" fillId="0" borderId="3" xfId="12" applyNumberFormat="1" applyFont="1" applyFill="1" applyBorder="1" applyAlignment="1">
      <alignment horizontal="center"/>
    </xf>
    <xf numFmtId="2" fontId="4" fillId="0" borderId="3" xfId="12" applyNumberFormat="1" applyFont="1" applyBorder="1" applyAlignment="1">
      <alignment horizontal="center"/>
    </xf>
    <xf numFmtId="0" fontId="4" fillId="0" borderId="3" xfId="12" applyFont="1" applyFill="1" applyBorder="1" applyAlignment="1">
      <alignment horizontal="center"/>
    </xf>
    <xf numFmtId="0" fontId="4" fillId="0" borderId="10" xfId="12" quotePrefix="1" applyFont="1" applyFill="1" applyBorder="1" applyAlignment="1">
      <alignment horizontal="center"/>
    </xf>
    <xf numFmtId="2" fontId="30" fillId="0" borderId="3" xfId="12" applyNumberFormat="1" applyBorder="1" applyAlignment="1">
      <alignment horizontal="center"/>
    </xf>
    <xf numFmtId="2" fontId="4" fillId="0" borderId="10" xfId="12" applyNumberFormat="1" applyFont="1" applyFill="1" applyBorder="1" applyAlignment="1">
      <alignment horizontal="center"/>
    </xf>
    <xf numFmtId="0" fontId="30" fillId="0" borderId="3" xfId="12" applyFill="1" applyBorder="1" applyAlignment="1">
      <alignment horizontal="center"/>
    </xf>
    <xf numFmtId="0" fontId="8" fillId="0" borderId="3" xfId="12" applyFont="1" applyFill="1" applyBorder="1" applyAlignment="1">
      <alignment horizontal="center"/>
    </xf>
    <xf numFmtId="2" fontId="30" fillId="0" borderId="3" xfId="12" applyNumberFormat="1" applyFill="1" applyBorder="1" applyAlignment="1">
      <alignment horizontal="center"/>
    </xf>
    <xf numFmtId="0" fontId="4" fillId="13" borderId="10" xfId="12" applyFont="1" applyFill="1" applyBorder="1" applyAlignment="1">
      <alignment horizontal="center"/>
    </xf>
    <xf numFmtId="2" fontId="4" fillId="0" borderId="10" xfId="12" applyNumberFormat="1" applyFont="1" applyBorder="1" applyAlignment="1">
      <alignment horizontal="center"/>
    </xf>
    <xf numFmtId="0" fontId="4" fillId="13" borderId="3" xfId="12" quotePrefix="1" applyFont="1" applyFill="1" applyBorder="1" applyAlignment="1">
      <alignment horizontal="center"/>
    </xf>
    <xf numFmtId="2" fontId="30" fillId="0" borderId="3" xfId="12" quotePrefix="1" applyNumberFormat="1" applyFill="1" applyBorder="1" applyAlignment="1">
      <alignment horizontal="center"/>
    </xf>
    <xf numFmtId="0" fontId="4" fillId="0" borderId="3" xfId="12" applyFont="1" applyBorder="1" applyAlignment="1">
      <alignment horizontal="center"/>
    </xf>
    <xf numFmtId="2" fontId="4" fillId="0" borderId="3" xfId="12" quotePrefix="1" applyNumberFormat="1" applyFont="1" applyBorder="1" applyAlignment="1">
      <alignment horizontal="center"/>
    </xf>
    <xf numFmtId="0" fontId="4" fillId="13" borderId="3" xfId="12" applyFont="1" applyFill="1" applyBorder="1" applyAlignment="1">
      <alignment horizontal="center"/>
    </xf>
    <xf numFmtId="0" fontId="76" fillId="13" borderId="3" xfId="12" applyFont="1" applyFill="1" applyBorder="1" applyAlignment="1">
      <alignment horizontal="center"/>
    </xf>
    <xf numFmtId="2" fontId="76" fillId="13" borderId="10" xfId="12" applyNumberFormat="1" applyFont="1" applyFill="1" applyBorder="1" applyAlignment="1">
      <alignment horizontal="center"/>
    </xf>
    <xf numFmtId="2" fontId="30" fillId="0" borderId="10" xfId="12" quotePrefix="1" applyNumberFormat="1" applyFill="1" applyBorder="1" applyAlignment="1">
      <alignment horizontal="center"/>
    </xf>
    <xf numFmtId="0" fontId="4" fillId="0" borderId="0" xfId="12" quotePrefix="1" applyFont="1" applyFill="1" applyBorder="1" applyAlignment="1">
      <alignment horizontal="center"/>
    </xf>
    <xf numFmtId="2" fontId="30" fillId="0" borderId="0" xfId="12" applyNumberFormat="1" applyFill="1" applyBorder="1" applyAlignment="1">
      <alignment horizontal="center"/>
    </xf>
    <xf numFmtId="0" fontId="4" fillId="0" borderId="0" xfId="12" applyFont="1" applyFill="1" applyBorder="1" applyAlignment="1">
      <alignment horizontal="center"/>
    </xf>
    <xf numFmtId="0" fontId="80" fillId="0" borderId="0" xfId="12" applyFont="1"/>
    <xf numFmtId="2" fontId="30" fillId="0" borderId="0" xfId="12" applyNumberFormat="1" applyBorder="1" applyAlignment="1">
      <alignment horizontal="center"/>
    </xf>
    <xf numFmtId="0" fontId="30" fillId="0" borderId="0" xfId="12" applyBorder="1"/>
    <xf numFmtId="0" fontId="30" fillId="13" borderId="3" xfId="12" applyFill="1" applyBorder="1"/>
    <xf numFmtId="0" fontId="23" fillId="0" borderId="0" xfId="12" applyFont="1" applyAlignment="1">
      <alignment horizontal="left"/>
    </xf>
    <xf numFmtId="0" fontId="30" fillId="0" borderId="10" xfId="12" quotePrefix="1" applyBorder="1" applyAlignment="1">
      <alignment horizontal="center"/>
    </xf>
    <xf numFmtId="0" fontId="80" fillId="0" borderId="0" xfId="12" applyFont="1" applyAlignment="1">
      <alignment horizontal="left"/>
    </xf>
    <xf numFmtId="0" fontId="30" fillId="0" borderId="10" xfId="12" applyBorder="1" applyAlignment="1">
      <alignment horizontal="center"/>
    </xf>
    <xf numFmtId="0" fontId="100" fillId="0" borderId="0" xfId="12" applyFont="1" applyAlignment="1">
      <alignment horizontal="left"/>
    </xf>
    <xf numFmtId="0" fontId="30" fillId="0" borderId="0" xfId="12" applyBorder="1" applyAlignment="1">
      <alignment horizontal="center"/>
    </xf>
    <xf numFmtId="0" fontId="34" fillId="0" borderId="0" xfId="12" applyFont="1"/>
    <xf numFmtId="0" fontId="34" fillId="0" borderId="0" xfId="12" applyFont="1" applyAlignment="1">
      <alignment horizontal="center"/>
    </xf>
    <xf numFmtId="0" fontId="33" fillId="0" borderId="0" xfId="12" applyFont="1" applyAlignment="1">
      <alignment horizontal="center"/>
    </xf>
    <xf numFmtId="0" fontId="35" fillId="0" borderId="0" xfId="12" applyFont="1" applyFill="1" applyAlignment="1">
      <alignment horizontal="center"/>
    </xf>
    <xf numFmtId="0" fontId="35" fillId="0" borderId="0" xfId="12" applyFont="1" applyAlignment="1">
      <alignment horizontal="center"/>
    </xf>
    <xf numFmtId="0" fontId="32" fillId="0" borderId="0" xfId="12" applyFont="1" applyFill="1" applyAlignment="1">
      <alignment horizontal="left" wrapText="1" shrinkToFit="1"/>
    </xf>
    <xf numFmtId="0" fontId="23" fillId="0" borderId="0" xfId="12" applyFont="1"/>
    <xf numFmtId="0" fontId="34" fillId="0" borderId="3" xfId="12" applyFont="1" applyBorder="1"/>
    <xf numFmtId="0" fontId="33" fillId="0" borderId="3" xfId="12" applyFont="1" applyBorder="1" applyAlignment="1">
      <alignment horizontal="center" wrapText="1" shrinkToFit="1"/>
    </xf>
    <xf numFmtId="2" fontId="34" fillId="0" borderId="3" xfId="12" applyNumberFormat="1" applyFont="1" applyFill="1" applyBorder="1" applyAlignment="1">
      <alignment horizontal="center"/>
    </xf>
    <xf numFmtId="2" fontId="34" fillId="0" borderId="3" xfId="12" applyNumberFormat="1" applyFont="1" applyBorder="1" applyAlignment="1">
      <alignment horizontal="center"/>
    </xf>
    <xf numFmtId="0" fontId="34" fillId="0" borderId="3" xfId="12" quotePrefix="1" applyFont="1" applyBorder="1" applyAlignment="1">
      <alignment horizontal="center"/>
    </xf>
    <xf numFmtId="2" fontId="34" fillId="0" borderId="10" xfId="12" applyNumberFormat="1" applyFont="1" applyFill="1" applyBorder="1" applyAlignment="1">
      <alignment horizontal="center"/>
    </xf>
    <xf numFmtId="0" fontId="34" fillId="0" borderId="3" xfId="12" applyFont="1" applyBorder="1" applyAlignment="1">
      <alignment horizontal="center"/>
    </xf>
    <xf numFmtId="2" fontId="34" fillId="0" borderId="10" xfId="12" applyNumberFormat="1" applyFont="1" applyBorder="1" applyAlignment="1">
      <alignment horizontal="center"/>
    </xf>
    <xf numFmtId="0" fontId="34" fillId="0" borderId="10" xfId="12" applyFont="1" applyBorder="1" applyAlignment="1">
      <alignment horizontal="center"/>
    </xf>
    <xf numFmtId="0" fontId="34" fillId="0" borderId="10" xfId="12" quotePrefix="1" applyFont="1" applyFill="1" applyBorder="1" applyAlignment="1">
      <alignment horizontal="center"/>
    </xf>
    <xf numFmtId="0" fontId="34" fillId="0" borderId="10" xfId="12" applyFont="1" applyFill="1" applyBorder="1" applyAlignment="1">
      <alignment horizontal="center"/>
    </xf>
    <xf numFmtId="0" fontId="34" fillId="0" borderId="10" xfId="12" quotePrefix="1" applyFont="1" applyBorder="1" applyAlignment="1">
      <alignment horizontal="center"/>
    </xf>
    <xf numFmtId="2" fontId="34" fillId="0" borderId="0" xfId="12" applyNumberFormat="1" applyFont="1" applyFill="1" applyAlignment="1">
      <alignment horizontal="center"/>
    </xf>
    <xf numFmtId="2" fontId="34" fillId="0" borderId="10" xfId="12" quotePrefix="1" applyNumberFormat="1" applyFont="1" applyFill="1" applyBorder="1" applyAlignment="1">
      <alignment horizontal="center"/>
    </xf>
    <xf numFmtId="2" fontId="34" fillId="0" borderId="2" xfId="12" applyNumberFormat="1" applyFont="1" applyFill="1" applyBorder="1" applyAlignment="1">
      <alignment horizontal="center"/>
    </xf>
    <xf numFmtId="0" fontId="34" fillId="0" borderId="3" xfId="12" quotePrefix="1" applyFont="1" applyFill="1" applyBorder="1" applyAlignment="1">
      <alignment horizontal="center"/>
    </xf>
    <xf numFmtId="0" fontId="34" fillId="0" borderId="3" xfId="12" applyFont="1" applyFill="1" applyBorder="1" applyAlignment="1">
      <alignment horizontal="center"/>
    </xf>
    <xf numFmtId="2" fontId="34" fillId="0" borderId="10" xfId="12" quotePrefix="1" applyNumberFormat="1" applyFont="1" applyBorder="1" applyAlignment="1">
      <alignment horizontal="center"/>
    </xf>
    <xf numFmtId="0" fontId="33" fillId="3" borderId="0" xfId="12" applyFont="1" applyFill="1" applyAlignment="1">
      <alignment horizontal="center"/>
    </xf>
    <xf numFmtId="0" fontId="40" fillId="0" borderId="0" xfId="12" applyFont="1" applyFill="1" applyAlignment="1">
      <alignment horizontal="center"/>
    </xf>
    <xf numFmtId="0" fontId="34" fillId="0" borderId="0" xfId="12" applyFont="1" applyFill="1"/>
    <xf numFmtId="0" fontId="34" fillId="0" borderId="0" xfId="12" applyFont="1" applyFill="1" applyAlignment="1">
      <alignment horizontal="center"/>
    </xf>
    <xf numFmtId="0" fontId="32" fillId="0" borderId="0" xfId="16" applyFont="1" applyAlignment="1">
      <alignment horizontal="center"/>
    </xf>
    <xf numFmtId="0" fontId="8" fillId="0" borderId="0" xfId="16" applyFont="1" applyAlignment="1">
      <alignment horizontal="center"/>
    </xf>
    <xf numFmtId="0" fontId="105" fillId="0" borderId="0" xfId="16" applyFont="1"/>
    <xf numFmtId="0" fontId="106" fillId="13" borderId="0" xfId="16" applyFont="1" applyFill="1" applyAlignment="1">
      <alignment horizontal="center" wrapText="1"/>
    </xf>
    <xf numFmtId="0" fontId="26" fillId="13" borderId="0" xfId="16" applyFont="1" applyFill="1"/>
    <xf numFmtId="1" fontId="44" fillId="0" borderId="0" xfId="16" applyNumberFormat="1" applyFont="1" applyFill="1" applyAlignment="1">
      <alignment horizontal="right"/>
    </xf>
    <xf numFmtId="1" fontId="44" fillId="0" borderId="0" xfId="16" applyNumberFormat="1" applyFont="1" applyFill="1"/>
    <xf numFmtId="1" fontId="44" fillId="0" borderId="0" xfId="16" applyNumberFormat="1" applyFont="1"/>
    <xf numFmtId="1" fontId="18" fillId="0" borderId="0" xfId="16" applyNumberFormat="1" applyFont="1"/>
    <xf numFmtId="1" fontId="38" fillId="0" borderId="0" xfId="16" applyNumberFormat="1" applyFont="1" applyAlignment="1">
      <alignment horizontal="right"/>
    </xf>
    <xf numFmtId="1" fontId="58" fillId="0" borderId="0" xfId="16" applyNumberFormat="1" applyFont="1" applyAlignment="1">
      <alignment horizontal="right"/>
    </xf>
    <xf numFmtId="1" fontId="58" fillId="0" borderId="0" xfId="16" applyNumberFormat="1" applyFont="1"/>
    <xf numFmtId="1" fontId="75" fillId="0" borderId="0" xfId="16" applyNumberFormat="1" applyFont="1" applyAlignment="1">
      <alignment horizontal="right"/>
    </xf>
    <xf numFmtId="1" fontId="58" fillId="0" borderId="0" xfId="16" quotePrefix="1" applyNumberFormat="1" applyFont="1" applyAlignment="1">
      <alignment horizontal="right"/>
    </xf>
    <xf numFmtId="1" fontId="44" fillId="0" borderId="0" xfId="16" applyNumberFormat="1" applyFont="1" applyAlignment="1">
      <alignment horizontal="right"/>
    </xf>
    <xf numFmtId="1" fontId="106" fillId="0" borderId="0" xfId="16" applyNumberFormat="1" applyFont="1"/>
    <xf numFmtId="0" fontId="30" fillId="0" borderId="0" xfId="16" quotePrefix="1" applyAlignment="1">
      <alignment horizontal="right"/>
    </xf>
    <xf numFmtId="1" fontId="58" fillId="0" borderId="0" xfId="16" applyNumberFormat="1" applyFont="1" applyFill="1"/>
    <xf numFmtId="0" fontId="8" fillId="0" borderId="0" xfId="15" applyFont="1"/>
    <xf numFmtId="0" fontId="30" fillId="0" borderId="0" xfId="15"/>
    <xf numFmtId="0" fontId="102" fillId="0" borderId="0" xfId="15" applyFont="1"/>
    <xf numFmtId="0" fontId="4" fillId="0" borderId="0" xfId="15" applyFont="1"/>
    <xf numFmtId="0" fontId="4" fillId="0" borderId="0" xfId="15" quotePrefix="1" applyFont="1"/>
    <xf numFmtId="0" fontId="102" fillId="8" borderId="0" xfId="15" applyFont="1" applyFill="1" applyBorder="1"/>
    <xf numFmtId="0" fontId="4" fillId="8" borderId="0" xfId="15" applyFont="1" applyFill="1" applyBorder="1"/>
    <xf numFmtId="0" fontId="30" fillId="0" borderId="0" xfId="15" applyFill="1"/>
    <xf numFmtId="0" fontId="18" fillId="0" borderId="0" xfId="15" applyFont="1" applyFill="1" applyBorder="1"/>
    <xf numFmtId="0" fontId="32" fillId="3" borderId="0" xfId="15" applyFont="1" applyFill="1"/>
    <xf numFmtId="0" fontId="30" fillId="3" borderId="0" xfId="15" applyFill="1"/>
    <xf numFmtId="0" fontId="32" fillId="0" borderId="0" xfId="15" applyFont="1" applyAlignment="1">
      <alignment horizontal="right" wrapText="1"/>
    </xf>
    <xf numFmtId="0" fontId="32" fillId="0" borderId="0" xfId="15" applyFont="1" applyAlignment="1">
      <alignment horizontal="center" wrapText="1"/>
    </xf>
    <xf numFmtId="0" fontId="77" fillId="0" borderId="0" xfId="15" applyFont="1" applyAlignment="1">
      <alignment horizontal="center"/>
    </xf>
    <xf numFmtId="3" fontId="77" fillId="0" borderId="0" xfId="15" applyNumberFormat="1" applyFont="1"/>
    <xf numFmtId="184" fontId="108" fillId="0" borderId="0" xfId="15" applyNumberFormat="1" applyFont="1" applyAlignment="1">
      <alignment horizontal="center" wrapText="1"/>
    </xf>
    <xf numFmtId="4" fontId="67" fillId="0" borderId="0" xfId="15" applyNumberFormat="1" applyFont="1" applyAlignment="1">
      <alignment wrapText="1"/>
    </xf>
    <xf numFmtId="4" fontId="108" fillId="0" borderId="0" xfId="15" applyNumberFormat="1" applyFont="1" applyAlignment="1">
      <alignment horizontal="center" wrapText="1"/>
    </xf>
    <xf numFmtId="3" fontId="108" fillId="0" borderId="0" xfId="15" applyNumberFormat="1" applyFont="1" applyAlignment="1">
      <alignment wrapText="1"/>
    </xf>
    <xf numFmtId="0" fontId="23" fillId="0" borderId="0" xfId="15" applyFont="1" applyAlignment="1">
      <alignment horizontal="center"/>
    </xf>
    <xf numFmtId="3" fontId="23" fillId="0" borderId="0" xfId="15" applyNumberFormat="1" applyFont="1"/>
    <xf numFmtId="0" fontId="23" fillId="3" borderId="0" xfId="15" applyFont="1" applyFill="1"/>
    <xf numFmtId="3" fontId="109" fillId="0" borderId="0" xfId="15" applyNumberFormat="1" applyFont="1" applyAlignment="1">
      <alignment wrapText="1"/>
    </xf>
    <xf numFmtId="3" fontId="77" fillId="0" borderId="0" xfId="15" applyNumberFormat="1" applyFont="1" applyAlignment="1">
      <alignment horizontal="right"/>
    </xf>
    <xf numFmtId="0" fontId="44" fillId="0" borderId="0" xfId="15" applyFont="1"/>
    <xf numFmtId="0" fontId="8" fillId="0" borderId="0" xfId="15" applyFont="1" applyAlignment="1">
      <alignment wrapText="1"/>
    </xf>
    <xf numFmtId="0" fontId="110" fillId="3" borderId="43" xfId="15" applyFont="1" applyFill="1" applyBorder="1" applyAlignment="1">
      <alignment horizontal="left" vertical="top" wrapText="1"/>
    </xf>
    <xf numFmtId="184" fontId="30" fillId="0" borderId="0" xfId="15" applyNumberFormat="1" applyAlignment="1">
      <alignment horizontal="right"/>
    </xf>
    <xf numFmtId="184" fontId="26" fillId="0" borderId="0" xfId="15" applyNumberFormat="1" applyFont="1" applyFill="1" applyAlignment="1">
      <alignment horizontal="right"/>
    </xf>
    <xf numFmtId="184" fontId="8" fillId="0" borderId="0" xfId="15" applyNumberFormat="1" applyFont="1" applyAlignment="1">
      <alignment horizontal="right"/>
    </xf>
    <xf numFmtId="0" fontId="111" fillId="0" borderId="0" xfId="15" applyNumberFormat="1" applyFont="1" applyFill="1" applyBorder="1" applyAlignment="1">
      <alignment horizontal="left" vertical="top"/>
    </xf>
    <xf numFmtId="0" fontId="110" fillId="3" borderId="43" xfId="15" applyFont="1" applyFill="1" applyBorder="1" applyAlignment="1">
      <alignment horizontal="left" vertical="top"/>
    </xf>
    <xf numFmtId="184" fontId="30" fillId="0" borderId="0" xfId="15" applyNumberFormat="1"/>
    <xf numFmtId="184" fontId="8" fillId="0" borderId="0" xfId="15" applyNumberFormat="1" applyFont="1"/>
    <xf numFmtId="0" fontId="110" fillId="4" borderId="16" xfId="15" applyFont="1" applyFill="1" applyBorder="1" applyAlignment="1">
      <alignment horizontal="left" vertical="top"/>
    </xf>
    <xf numFmtId="0" fontId="27" fillId="0" borderId="0" xfId="0" applyNumberFormat="1" applyFont="1"/>
    <xf numFmtId="0" fontId="48" fillId="0" borderId="0" xfId="0" applyNumberFormat="1" applyFont="1" applyFill="1"/>
    <xf numFmtId="0" fontId="48" fillId="0" borderId="0" xfId="0" applyNumberFormat="1" applyFont="1"/>
    <xf numFmtId="0" fontId="48" fillId="0" borderId="0" xfId="0" applyNumberFormat="1" applyFont="1" applyBorder="1"/>
    <xf numFmtId="0" fontId="113" fillId="0" borderId="0" xfId="0" applyFont="1" applyAlignment="1">
      <alignment wrapText="1"/>
    </xf>
    <xf numFmtId="0" fontId="81" fillId="0" borderId="0" xfId="0" applyFont="1" applyAlignment="1">
      <alignment wrapText="1"/>
    </xf>
    <xf numFmtId="0" fontId="114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76" fillId="0" borderId="16" xfId="0" applyFont="1" applyBorder="1" applyAlignment="1">
      <alignment horizontal="justify" vertical="top" wrapText="1"/>
    </xf>
    <xf numFmtId="0" fontId="75" fillId="6" borderId="16" xfId="0" applyFont="1" applyFill="1" applyBorder="1" applyAlignment="1">
      <alignment vertical="top" wrapText="1"/>
    </xf>
    <xf numFmtId="0" fontId="75" fillId="3" borderId="16" xfId="0" applyFont="1" applyFill="1" applyBorder="1" applyAlignment="1">
      <alignment vertical="top" wrapText="1"/>
    </xf>
    <xf numFmtId="0" fontId="75" fillId="3" borderId="18" xfId="0" applyFont="1" applyFill="1" applyBorder="1" applyAlignment="1">
      <alignment vertical="top" wrapText="1"/>
    </xf>
    <xf numFmtId="0" fontId="38" fillId="13" borderId="18" xfId="0" applyFont="1" applyFill="1" applyBorder="1" applyAlignment="1">
      <alignment horizontal="justify" vertical="top" wrapText="1"/>
    </xf>
    <xf numFmtId="184" fontId="38" fillId="13" borderId="19" xfId="0" applyNumberFormat="1" applyFont="1" applyFill="1" applyBorder="1" applyAlignment="1">
      <alignment horizontal="justify" vertical="top" wrapText="1"/>
    </xf>
    <xf numFmtId="184" fontId="18" fillId="3" borderId="19" xfId="0" applyNumberFormat="1" applyFont="1" applyFill="1" applyBorder="1" applyAlignment="1">
      <alignment horizontal="justify" vertical="top" wrapText="1"/>
    </xf>
    <xf numFmtId="3" fontId="18" fillId="6" borderId="19" xfId="0" applyNumberFormat="1" applyFont="1" applyFill="1" applyBorder="1" applyAlignment="1">
      <alignment horizontal="justify" vertical="top" wrapText="1"/>
    </xf>
    <xf numFmtId="3" fontId="18" fillId="3" borderId="19" xfId="0" applyNumberFormat="1" applyFont="1" applyFill="1" applyBorder="1" applyAlignment="1">
      <alignment horizontal="justify" vertical="top" wrapText="1"/>
    </xf>
    <xf numFmtId="0" fontId="18" fillId="0" borderId="18" xfId="0" applyFont="1" applyBorder="1" applyAlignment="1">
      <alignment horizontal="justify" vertical="top" wrapText="1"/>
    </xf>
    <xf numFmtId="184" fontId="18" fillId="6" borderId="19" xfId="0" applyNumberFormat="1" applyFont="1" applyFill="1" applyBorder="1" applyAlignment="1">
      <alignment horizontal="justify" vertical="top" wrapText="1"/>
    </xf>
    <xf numFmtId="0" fontId="115" fillId="0" borderId="0" xfId="0" applyFont="1" applyBorder="1" applyAlignment="1">
      <alignment horizontal="justify" vertical="top" wrapText="1"/>
    </xf>
    <xf numFmtId="184" fontId="115" fillId="0" borderId="0" xfId="0" applyNumberFormat="1" applyFont="1" applyBorder="1" applyAlignment="1">
      <alignment horizontal="justify" vertical="top" wrapText="1"/>
    </xf>
    <xf numFmtId="3" fontId="115" fillId="0" borderId="0" xfId="0" applyNumberFormat="1" applyFont="1" applyBorder="1" applyAlignment="1">
      <alignment horizontal="justify" vertical="top" wrapText="1"/>
    </xf>
    <xf numFmtId="0" fontId="23" fillId="0" borderId="0" xfId="0" applyFont="1" applyFill="1" applyBorder="1" applyAlignment="1">
      <alignment vertical="top"/>
    </xf>
    <xf numFmtId="0" fontId="116" fillId="0" borderId="0" xfId="0" applyFont="1" applyFill="1" applyBorder="1" applyAlignment="1">
      <alignment horizontal="justify" vertical="top"/>
    </xf>
    <xf numFmtId="0" fontId="23" fillId="0" borderId="0" xfId="0" applyFont="1"/>
    <xf numFmtId="0" fontId="23" fillId="0" borderId="0" xfId="0" quotePrefix="1" applyFont="1"/>
    <xf numFmtId="0" fontId="23" fillId="8" borderId="0" xfId="0" applyFont="1" applyFill="1"/>
    <xf numFmtId="0" fontId="26" fillId="0" borderId="0" xfId="15" applyNumberFormat="1" applyFont="1" applyFill="1"/>
    <xf numFmtId="0" fontId="26" fillId="0" borderId="0" xfId="15" applyNumberFormat="1" applyFont="1" applyFill="1" applyBorder="1"/>
    <xf numFmtId="0" fontId="26" fillId="0" borderId="0" xfId="15" applyFont="1" applyFill="1" applyBorder="1"/>
    <xf numFmtId="0" fontId="110" fillId="3" borderId="44" xfId="15" applyFont="1" applyFill="1" applyBorder="1" applyAlignment="1">
      <alignment horizontal="left" vertical="top" wrapText="1"/>
    </xf>
    <xf numFmtId="0" fontId="32" fillId="0" borderId="0" xfId="15" applyFont="1"/>
    <xf numFmtId="0" fontId="4" fillId="0" borderId="0" xfId="15" applyFont="1" applyFill="1"/>
    <xf numFmtId="0" fontId="8" fillId="0" borderId="0" xfId="15" applyFont="1" applyFill="1"/>
    <xf numFmtId="0" fontId="77" fillId="0" borderId="0" xfId="15" applyFont="1"/>
    <xf numFmtId="0" fontId="78" fillId="0" borderId="0" xfId="15" applyFont="1"/>
    <xf numFmtId="184" fontId="105" fillId="0" borderId="0" xfId="15" applyNumberFormat="1" applyFont="1"/>
    <xf numFmtId="0" fontId="30" fillId="13" borderId="0" xfId="15" applyFont="1" applyFill="1"/>
    <xf numFmtId="0" fontId="4" fillId="13" borderId="0" xfId="15" applyFont="1" applyFill="1"/>
    <xf numFmtId="0" fontId="8" fillId="13" borderId="0" xfId="15" applyFont="1" applyFill="1"/>
    <xf numFmtId="184" fontId="106" fillId="13" borderId="0" xfId="15" applyNumberFormat="1" applyFont="1" applyFill="1" applyAlignment="1">
      <alignment horizontal="center" wrapText="1"/>
    </xf>
    <xf numFmtId="1" fontId="44" fillId="0" borderId="0" xfId="15" applyNumberFormat="1" applyFont="1" applyFill="1"/>
    <xf numFmtId="1" fontId="44" fillId="0" borderId="0" xfId="15" applyNumberFormat="1" applyFont="1"/>
    <xf numFmtId="1" fontId="44" fillId="0" borderId="0" xfId="15" applyNumberFormat="1" applyFont="1" applyFill="1" applyAlignment="1">
      <alignment horizontal="right"/>
    </xf>
    <xf numFmtId="1" fontId="18" fillId="0" borderId="0" xfId="15" applyNumberFormat="1" applyFont="1"/>
    <xf numFmtId="1" fontId="18" fillId="0" borderId="0" xfId="15" applyNumberFormat="1" applyFont="1" applyFill="1"/>
    <xf numFmtId="1" fontId="38" fillId="0" borderId="0" xfId="15" applyNumberFormat="1" applyFont="1" applyFill="1"/>
    <xf numFmtId="184" fontId="44" fillId="0" borderId="0" xfId="15" applyNumberFormat="1" applyFont="1" applyAlignment="1">
      <alignment horizontal="center"/>
    </xf>
    <xf numFmtId="0" fontId="80" fillId="0" borderId="0" xfId="15" applyFont="1"/>
    <xf numFmtId="1" fontId="58" fillId="0" borderId="0" xfId="15" applyNumberFormat="1" applyFont="1"/>
    <xf numFmtId="1" fontId="58" fillId="0" borderId="0" xfId="15" applyNumberFormat="1" applyFont="1" applyAlignment="1">
      <alignment horizontal="right"/>
    </xf>
    <xf numFmtId="1" fontId="58" fillId="0" borderId="0" xfId="15" applyNumberFormat="1" applyFont="1" applyFill="1"/>
    <xf numFmtId="1" fontId="75" fillId="0" borderId="0" xfId="15" applyNumberFormat="1" applyFont="1" applyFill="1"/>
    <xf numFmtId="184" fontId="58" fillId="0" borderId="0" xfId="15" applyNumberFormat="1" applyFont="1" applyAlignment="1">
      <alignment horizontal="center"/>
    </xf>
    <xf numFmtId="184" fontId="80" fillId="0" borderId="0" xfId="15" applyNumberFormat="1" applyFont="1"/>
    <xf numFmtId="184" fontId="58" fillId="0" borderId="0" xfId="15" applyNumberFormat="1" applyFont="1"/>
    <xf numFmtId="184" fontId="58" fillId="0" borderId="0" xfId="15" applyNumberFormat="1" applyFont="1" applyAlignment="1">
      <alignment horizontal="right"/>
    </xf>
    <xf numFmtId="184" fontId="58" fillId="0" borderId="0" xfId="15" applyNumberFormat="1" applyFont="1" applyFill="1"/>
    <xf numFmtId="184" fontId="75" fillId="0" borderId="0" xfId="15" applyNumberFormat="1" applyFont="1" applyFill="1"/>
    <xf numFmtId="1" fontId="44" fillId="0" borderId="0" xfId="15" applyNumberFormat="1" applyFont="1" applyAlignment="1">
      <alignment horizontal="right"/>
    </xf>
    <xf numFmtId="184" fontId="106" fillId="0" borderId="0" xfId="15" applyNumberFormat="1" applyFont="1"/>
    <xf numFmtId="182" fontId="44" fillId="0" borderId="0" xfId="15" applyNumberFormat="1" applyFont="1" applyFill="1"/>
    <xf numFmtId="182" fontId="44" fillId="0" borderId="0" xfId="15" applyNumberFormat="1" applyFont="1"/>
    <xf numFmtId="182" fontId="44" fillId="0" borderId="0" xfId="15" applyNumberFormat="1" applyFont="1" applyFill="1" applyAlignment="1">
      <alignment horizontal="right"/>
    </xf>
    <xf numFmtId="182" fontId="18" fillId="0" borderId="0" xfId="15" applyNumberFormat="1" applyFont="1"/>
    <xf numFmtId="182" fontId="18" fillId="0" borderId="0" xfId="15" applyNumberFormat="1" applyFont="1" applyFill="1"/>
    <xf numFmtId="182" fontId="38" fillId="0" borderId="0" xfId="15" applyNumberFormat="1" applyFont="1" applyFill="1"/>
    <xf numFmtId="182" fontId="58" fillId="0" borderId="0" xfId="15" applyNumberFormat="1" applyFont="1"/>
    <xf numFmtId="182" fontId="58" fillId="0" borderId="0" xfId="15" applyNumberFormat="1" applyFont="1" applyAlignment="1">
      <alignment horizontal="right"/>
    </xf>
    <xf numFmtId="182" fontId="58" fillId="0" borderId="0" xfId="15" applyNumberFormat="1" applyFont="1" applyFill="1"/>
    <xf numFmtId="182" fontId="75" fillId="0" borderId="0" xfId="15" applyNumberFormat="1" applyFont="1" applyFill="1"/>
    <xf numFmtId="182" fontId="44" fillId="0" borderId="0" xfId="15" applyNumberFormat="1" applyFont="1" applyAlignment="1">
      <alignment horizontal="right"/>
    </xf>
    <xf numFmtId="182" fontId="58" fillId="0" borderId="0" xfId="15" applyNumberFormat="1" applyFont="1" applyFill="1" applyAlignment="1">
      <alignment horizontal="right"/>
    </xf>
    <xf numFmtId="182" fontId="75" fillId="0" borderId="0" xfId="15" applyNumberFormat="1" applyFont="1" applyFill="1" applyAlignment="1">
      <alignment horizontal="right"/>
    </xf>
    <xf numFmtId="184" fontId="58" fillId="0" borderId="0" xfId="15" quotePrefix="1" applyNumberFormat="1" applyFont="1" applyAlignment="1">
      <alignment horizontal="center"/>
    </xf>
    <xf numFmtId="184" fontId="58" fillId="0" borderId="0" xfId="15" applyNumberFormat="1" applyFont="1" applyFill="1" applyAlignment="1">
      <alignment horizontal="right"/>
    </xf>
    <xf numFmtId="184" fontId="75" fillId="0" borderId="0" xfId="15" applyNumberFormat="1" applyFont="1" applyFill="1" applyAlignment="1">
      <alignment horizontal="right"/>
    </xf>
    <xf numFmtId="0" fontId="23" fillId="0" borderId="0" xfId="15" quotePrefix="1" applyFont="1"/>
    <xf numFmtId="0" fontId="23" fillId="0" borderId="0" xfId="15" applyFont="1"/>
    <xf numFmtId="0" fontId="23" fillId="0" borderId="0" xfId="15" applyFont="1" applyFill="1"/>
    <xf numFmtId="0" fontId="108" fillId="0" borderId="0" xfId="15" applyFont="1" applyAlignment="1">
      <alignment horizontal="left"/>
    </xf>
    <xf numFmtId="0" fontId="77" fillId="0" borderId="0" xfId="15" quotePrefix="1" applyNumberFormat="1" applyFont="1"/>
    <xf numFmtId="0" fontId="77" fillId="0" borderId="0" xfId="15" quotePrefix="1" applyFont="1"/>
    <xf numFmtId="14" fontId="47" fillId="5" borderId="0" xfId="0" applyNumberFormat="1" applyFont="1" applyFill="1"/>
    <xf numFmtId="14" fontId="23" fillId="5" borderId="0" xfId="0" applyNumberFormat="1" applyFont="1" applyFill="1"/>
    <xf numFmtId="2" fontId="23" fillId="5" borderId="0" xfId="0" applyNumberFormat="1" applyFont="1" applyFill="1" applyAlignment="1">
      <alignment horizontal="left"/>
    </xf>
    <xf numFmtId="0" fontId="39" fillId="2" borderId="0" xfId="0" applyFont="1" applyFill="1" applyAlignment="1">
      <alignment horizontal="right"/>
    </xf>
    <xf numFmtId="0" fontId="48" fillId="8" borderId="0" xfId="0" applyFont="1" applyFill="1" applyBorder="1"/>
    <xf numFmtId="0" fontId="117" fillId="0" borderId="0" xfId="16" applyFont="1"/>
    <xf numFmtId="1" fontId="48" fillId="8" borderId="0" xfId="0" applyNumberFormat="1" applyFont="1" applyFill="1" applyBorder="1" applyAlignment="1">
      <alignment horizontal="left"/>
    </xf>
    <xf numFmtId="0" fontId="49" fillId="3" borderId="0" xfId="0" applyFont="1" applyFill="1" applyBorder="1" applyAlignment="1">
      <alignment horizontal="right" vertical="top" wrapText="1"/>
    </xf>
    <xf numFmtId="0" fontId="49" fillId="3" borderId="2" xfId="0" applyFont="1" applyFill="1" applyBorder="1" applyAlignment="1">
      <alignment horizontal="right" vertical="top" wrapText="1"/>
    </xf>
    <xf numFmtId="3" fontId="49" fillId="0" borderId="4" xfId="0" applyNumberFormat="1" applyFont="1" applyFill="1" applyBorder="1" applyAlignment="1"/>
    <xf numFmtId="184" fontId="48" fillId="6" borderId="4" xfId="0" applyNumberFormat="1" applyFont="1" applyFill="1" applyBorder="1" applyAlignment="1">
      <alignment horizontal="center"/>
    </xf>
    <xf numFmtId="184" fontId="48" fillId="3" borderId="4" xfId="0" applyNumberFormat="1" applyFont="1" applyFill="1" applyBorder="1" applyAlignment="1">
      <alignment horizontal="center"/>
    </xf>
    <xf numFmtId="183" fontId="46" fillId="3" borderId="7" xfId="0" applyNumberFormat="1" applyFont="1" applyFill="1" applyBorder="1" applyAlignment="1"/>
    <xf numFmtId="183" fontId="49" fillId="0" borderId="4" xfId="0" applyNumberFormat="1" applyFont="1" applyFill="1" applyBorder="1" applyAlignment="1"/>
    <xf numFmtId="0" fontId="76" fillId="0" borderId="25" xfId="13" applyFont="1" applyBorder="1" applyAlignment="1">
      <alignment horizontal="justify" vertical="top" wrapText="1"/>
    </xf>
    <xf numFmtId="0" fontId="76" fillId="0" borderId="18" xfId="13" applyFont="1" applyBorder="1" applyAlignment="1">
      <alignment horizontal="justify" vertical="top" wrapText="1"/>
    </xf>
    <xf numFmtId="0" fontId="76" fillId="0" borderId="25" xfId="13" applyFont="1" applyBorder="1" applyAlignment="1">
      <alignment vertical="top" wrapText="1"/>
    </xf>
    <xf numFmtId="0" fontId="76" fillId="0" borderId="18" xfId="13" applyFont="1" applyBorder="1" applyAlignment="1">
      <alignment vertical="top" wrapText="1"/>
    </xf>
    <xf numFmtId="0" fontId="76" fillId="0" borderId="25" xfId="14" applyFont="1" applyBorder="1" applyAlignment="1">
      <alignment horizontal="justify" vertical="top" wrapText="1"/>
    </xf>
    <xf numFmtId="0" fontId="76" fillId="0" borderId="18" xfId="14" applyFont="1" applyBorder="1" applyAlignment="1">
      <alignment horizontal="justify" vertical="top" wrapText="1"/>
    </xf>
    <xf numFmtId="0" fontId="76" fillId="0" borderId="25" xfId="14" applyFont="1" applyBorder="1" applyAlignment="1">
      <alignment vertical="top" wrapText="1"/>
    </xf>
    <xf numFmtId="0" fontId="76" fillId="0" borderId="18" xfId="14" applyFont="1" applyBorder="1" applyAlignment="1">
      <alignment vertical="top" wrapText="1"/>
    </xf>
    <xf numFmtId="0" fontId="76" fillId="0" borderId="20" xfId="0" applyFont="1" applyFill="1" applyBorder="1" applyAlignment="1">
      <alignment horizontal="justify" vertical="top" wrapText="1"/>
    </xf>
    <xf numFmtId="0" fontId="4" fillId="0" borderId="10" xfId="0" applyFont="1" applyFill="1" applyBorder="1" applyAlignment="1">
      <alignment vertical="top" wrapText="1"/>
    </xf>
    <xf numFmtId="0" fontId="4" fillId="0" borderId="17" xfId="0" applyFont="1" applyFill="1" applyBorder="1" applyAlignment="1">
      <alignment vertical="top" wrapText="1"/>
    </xf>
    <xf numFmtId="0" fontId="76" fillId="0" borderId="20" xfId="0" applyFont="1" applyBorder="1" applyAlignment="1">
      <alignment horizontal="justify" vertical="top" wrapText="1"/>
    </xf>
    <xf numFmtId="0" fontId="4" fillId="0" borderId="10" xfId="0" applyFont="1" applyBorder="1" applyAlignment="1">
      <alignment vertical="top" wrapText="1"/>
    </xf>
    <xf numFmtId="0" fontId="75" fillId="0" borderId="20" xfId="0" applyFont="1" applyBorder="1" applyAlignment="1">
      <alignment horizontal="justify" vertical="top" wrapText="1"/>
    </xf>
    <xf numFmtId="0" fontId="18" fillId="0" borderId="17" xfId="0" applyFont="1" applyBorder="1" applyAlignment="1">
      <alignment vertical="top" wrapText="1"/>
    </xf>
    <xf numFmtId="0" fontId="18" fillId="0" borderId="10" xfId="0" applyFont="1" applyBorder="1" applyAlignment="1">
      <alignment vertical="top" wrapText="1"/>
    </xf>
    <xf numFmtId="0" fontId="75" fillId="3" borderId="20" xfId="0" applyFont="1" applyFill="1" applyBorder="1" applyAlignment="1">
      <alignment vertical="top" wrapText="1"/>
    </xf>
    <xf numFmtId="0" fontId="18" fillId="3" borderId="17" xfId="0" applyFont="1" applyFill="1" applyBorder="1" applyAlignment="1">
      <alignment vertical="top" wrapText="1"/>
    </xf>
    <xf numFmtId="0" fontId="75" fillId="6" borderId="20" xfId="0" applyFont="1" applyFill="1" applyBorder="1" applyAlignment="1">
      <alignment vertical="top" wrapText="1"/>
    </xf>
    <xf numFmtId="0" fontId="18" fillId="6" borderId="17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2" fillId="0" borderId="0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/>
    <xf numFmtId="0" fontId="2" fillId="8" borderId="3" xfId="0" applyFont="1" applyFill="1" applyBorder="1" applyAlignment="1">
      <alignment vertical="top" wrapText="1"/>
    </xf>
    <xf numFmtId="3" fontId="2" fillId="0" borderId="3" xfId="0" applyNumberFormat="1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3" fillId="6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6" borderId="2" xfId="0" applyFont="1" applyFill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2" fillId="0" borderId="0" xfId="0" applyFont="1" applyBorder="1" applyAlignment="1">
      <alignment horizontal="left" vertical="top" wrapText="1"/>
    </xf>
    <xf numFmtId="0" fontId="65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8" borderId="0" xfId="0" applyFont="1" applyFill="1" applyAlignment="1">
      <alignment vertical="top" wrapText="1"/>
    </xf>
    <xf numFmtId="0" fontId="8" fillId="5" borderId="0" xfId="21" applyFont="1" applyFill="1" applyAlignment="1">
      <alignment horizontal="center" textRotation="180" wrapText="1"/>
    </xf>
    <xf numFmtId="0" fontId="4" fillId="5" borderId="0" xfId="21" applyFont="1" applyFill="1" applyAlignment="1">
      <alignment horizontal="center"/>
    </xf>
    <xf numFmtId="0" fontId="8" fillId="2" borderId="0" xfId="21" applyFont="1" applyFill="1" applyAlignment="1">
      <alignment horizontal="center" vertical="center" textRotation="180"/>
    </xf>
    <xf numFmtId="0" fontId="89" fillId="0" borderId="0" xfId="21" applyAlignment="1">
      <alignment vertical="center"/>
    </xf>
    <xf numFmtId="0" fontId="2" fillId="0" borderId="3" xfId="0" applyFont="1" applyFill="1" applyBorder="1" applyAlignment="1">
      <alignment vertical="top" wrapText="1"/>
    </xf>
    <xf numFmtId="0" fontId="0" fillId="0" borderId="3" xfId="0" applyFill="1" applyBorder="1" applyAlignment="1">
      <alignment wrapText="1"/>
    </xf>
    <xf numFmtId="0" fontId="5" fillId="3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2" fillId="0" borderId="0" xfId="0" applyFont="1" applyBorder="1" applyAlignment="1">
      <alignment wrapText="1"/>
    </xf>
    <xf numFmtId="0" fontId="22" fillId="0" borderId="0" xfId="0" applyFont="1" applyBorder="1" applyAlignment="1">
      <alignment vertical="top" wrapText="1"/>
    </xf>
    <xf numFmtId="3" fontId="2" fillId="8" borderId="3" xfId="0" applyNumberFormat="1" applyFont="1" applyFill="1" applyBorder="1" applyAlignment="1">
      <alignment horizontal="left" vertical="top" wrapText="1"/>
    </xf>
  </cellXfs>
  <cellStyles count="23">
    <cellStyle name="Normal_KV_liste T1" xfId="1" xr:uid="{27FD49A5-8FAA-D94D-ADEE-0E52D47A7629}"/>
    <cellStyle name="Normal_KV_liste T10" xfId="2" xr:uid="{9F5D5EA9-05CD-1943-A9AE-19B592A452B3}"/>
    <cellStyle name="Normal_KV_liste T11" xfId="3" xr:uid="{CDA4FC48-43E7-6445-97E7-2EC7C7E9707B}"/>
    <cellStyle name="Normal_KV_liste T2" xfId="4" xr:uid="{D1740F43-62E0-3847-A117-71834E2F0AFC}"/>
    <cellStyle name="Normal_KV_liste T3" xfId="5" xr:uid="{EFD5E303-8017-1047-86CA-E814548C6840}"/>
    <cellStyle name="Normal_KV_liste T5" xfId="6" xr:uid="{6CAA479D-AB53-C646-B47A-0F33E06F74A7}"/>
    <cellStyle name="Normal_KV_liste T6" xfId="7" xr:uid="{DDD89259-4C80-2142-BDD0-8ABE4131A1BE}"/>
    <cellStyle name="Normal_KV_liste T7" xfId="8" xr:uid="{E7CCA055-5375-A24D-BA7F-AABA2127E875}"/>
    <cellStyle name="Normal_KV_liste T8" xfId="9" xr:uid="{EAFBED55-2D5A-0747-ADAE-4C1981889790}"/>
    <cellStyle name="Normal_KV_liste T9" xfId="10" xr:uid="{D371E6EF-9C20-904E-9577-415F5BFD90A9}"/>
    <cellStyle name="Normal_KV_T_2006_all_220807_d_sans liaisons" xfId="11" xr:uid="{3DB96BE6-AD5B-3D43-8CDA-F973ECD90168}"/>
    <cellStyle name="Normal_KV0_5 annexe B_fd" xfId="12" xr:uid="{71D424E5-B319-3048-B5E3-64AD1C8ED621}"/>
    <cellStyle name="Normal_KV0_5 annexe F1_fd" xfId="13" xr:uid="{77C6982C-2FF4-5348-AAE6-571436193215}"/>
    <cellStyle name="Normal_KV0_5 annexe F2_fd" xfId="14" xr:uid="{1632801E-6F99-854A-8A25-0EC6B3EBBD04}"/>
    <cellStyle name="Normal_KV0_5 annexe I_fd" xfId="15" xr:uid="{84866FC6-76EE-A64D-8A42-2B3E658F1738}"/>
    <cellStyle name="Normal_KV0_5 annexe J_fd" xfId="16" xr:uid="{CE14394C-88B4-2E45-98E4-F4CF2D344F63}"/>
    <cellStyle name="Normal_KV400_liste T4" xfId="17" xr:uid="{F7E57843-6706-2E4E-A181-9B6AF873D55B}"/>
    <cellStyle name="Normal_KV5_Aufsichtsdaten_2004_formate_310505" xfId="18" xr:uid="{2BF24328-2FED-9D4A-A732-1A8E37EF2DF7}"/>
    <cellStyle name="Normal_KV906" xfId="19" xr:uid="{ABFECD7F-F9A1-1D4C-BE88-EDED1575952E}"/>
    <cellStyle name="Normal_KV907" xfId="20" xr:uid="{110D5972-0335-B442-8672-59687BDDCA52}"/>
    <cellStyle name="Normal_KV908" xfId="21" xr:uid="{05C737C6-7A2B-EE44-948F-1DE8CFC30397}"/>
    <cellStyle name="Normal_modif EF1_112_d_241104" xfId="22" xr:uid="{2CB6A225-1B5D-5148-B7EE-1BB0FE5E18B1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Anzahl Ärzte mit Praxistätigkeit und Apotheken 1985 – 2000 (Daten 1999)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'909d'!$D$5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'909d'!$D$8:$D$34</c:f>
              <c:numCache>
                <c:formatCode>#,##0</c:formatCode>
                <c:ptCount val="27"/>
                <c:pt idx="0">
                  <c:v>1870</c:v>
                </c:pt>
                <c:pt idx="1">
                  <c:v>1044</c:v>
                </c:pt>
                <c:pt idx="2">
                  <c:v>265</c:v>
                </c:pt>
                <c:pt idx="3">
                  <c:v>13</c:v>
                </c:pt>
                <c:pt idx="4">
                  <c:v>82</c:v>
                </c:pt>
                <c:pt idx="5">
                  <c:v>14</c:v>
                </c:pt>
                <c:pt idx="6">
                  <c:v>21</c:v>
                </c:pt>
                <c:pt idx="7">
                  <c:v>21</c:v>
                </c:pt>
                <c:pt idx="8">
                  <c:v>125</c:v>
                </c:pt>
                <c:pt idx="9">
                  <c:v>214</c:v>
                </c:pt>
                <c:pt idx="10">
                  <c:v>178</c:v>
                </c:pt>
                <c:pt idx="11">
                  <c:v>467</c:v>
                </c:pt>
                <c:pt idx="12">
                  <c:v>317</c:v>
                </c:pt>
                <c:pt idx="13">
                  <c:v>68</c:v>
                </c:pt>
                <c:pt idx="14">
                  <c:v>34</c:v>
                </c:pt>
                <c:pt idx="15">
                  <c:v>4</c:v>
                </c:pt>
                <c:pt idx="16">
                  <c:v>392</c:v>
                </c:pt>
                <c:pt idx="17">
                  <c:v>130</c:v>
                </c:pt>
                <c:pt idx="18">
                  <c:v>509</c:v>
                </c:pt>
                <c:pt idx="19">
                  <c:v>139</c:v>
                </c:pt>
                <c:pt idx="20">
                  <c:v>361</c:v>
                </c:pt>
                <c:pt idx="21">
                  <c:v>986</c:v>
                </c:pt>
                <c:pt idx="22">
                  <c:v>242</c:v>
                </c:pt>
                <c:pt idx="23">
                  <c:v>174</c:v>
                </c:pt>
                <c:pt idx="24">
                  <c:v>1015</c:v>
                </c:pt>
                <c:pt idx="25">
                  <c:v>52</c:v>
                </c:pt>
                <c:pt idx="26">
                  <c:v>8737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6-A44F-9B12-D9D53D76C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391600"/>
        <c:axId val="1"/>
      </c:lineChart>
      <c:lineChart>
        <c:grouping val="standard"/>
        <c:varyColors val="0"/>
        <c:ser>
          <c:idx val="0"/>
          <c:order val="1"/>
          <c:tx>
            <c:strRef>
              <c:f>'909d'!$H$5</c:f>
              <c:strCache>
                <c:ptCount val="1"/>
                <c:pt idx="0">
                  <c:v>Anzahl Apotheken (rechte Skala)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'909d'!$H$8:$H$34</c:f>
              <c:numCache>
                <c:formatCode>#,##0</c:formatCode>
                <c:ptCount val="27"/>
                <c:pt idx="0">
                  <c:v>224</c:v>
                </c:pt>
                <c:pt idx="1">
                  <c:v>179</c:v>
                </c:pt>
                <c:pt idx="2">
                  <c:v>33</c:v>
                </c:pt>
                <c:pt idx="3">
                  <c:v>4</c:v>
                </c:pt>
                <c:pt idx="4">
                  <c:v>12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14</c:v>
                </c:pt>
                <c:pt idx="9">
                  <c:v>70</c:v>
                </c:pt>
                <c:pt idx="10">
                  <c:v>26</c:v>
                </c:pt>
                <c:pt idx="11">
                  <c:v>70</c:v>
                </c:pt>
                <c:pt idx="12">
                  <c:v>42</c:v>
                </c:pt>
                <c:pt idx="13">
                  <c:v>13</c:v>
                </c:pt>
                <c:pt idx="14">
                  <c:v>6</c:v>
                </c:pt>
                <c:pt idx="15">
                  <c:v>1</c:v>
                </c:pt>
                <c:pt idx="16">
                  <c:v>51</c:v>
                </c:pt>
                <c:pt idx="17">
                  <c:v>41</c:v>
                </c:pt>
                <c:pt idx="18">
                  <c:v>113</c:v>
                </c:pt>
                <c:pt idx="19">
                  <c:v>26</c:v>
                </c:pt>
                <c:pt idx="20">
                  <c:v>185</c:v>
                </c:pt>
                <c:pt idx="21">
                  <c:v>244</c:v>
                </c:pt>
                <c:pt idx="22">
                  <c:v>110</c:v>
                </c:pt>
                <c:pt idx="23">
                  <c:v>57</c:v>
                </c:pt>
                <c:pt idx="24">
                  <c:v>173</c:v>
                </c:pt>
                <c:pt idx="25">
                  <c:v>20</c:v>
                </c:pt>
                <c:pt idx="26">
                  <c:v>1721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6-A44F-9B12-D9D53D76C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20853916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208539160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55 Helvetica Roman"/>
              <a:ea typeface="55 Helvetica Roman"/>
              <a:cs typeface="55 Helvetica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&amp;B</c:oddHeader>
      <c:oddFooter>Page &amp;S</c:oddFooter>
    </c:headerFooter>
    <c:pageMargins b="0.984251969" l="0.78740157499999996" r="0.78740157499999996" t="0.984251969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Anzahl Ärzte mit Praxistätigkeit und Apotheken 1985 – 2000 (Daten 1999)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'909d'!$D$5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'909d'!$D$8:$D$34</c:f>
              <c:numCache>
                <c:formatCode>#,##0</c:formatCode>
                <c:ptCount val="27"/>
                <c:pt idx="0">
                  <c:v>1870</c:v>
                </c:pt>
                <c:pt idx="1">
                  <c:v>1044</c:v>
                </c:pt>
                <c:pt idx="2">
                  <c:v>265</c:v>
                </c:pt>
                <c:pt idx="3">
                  <c:v>13</c:v>
                </c:pt>
                <c:pt idx="4">
                  <c:v>82</c:v>
                </c:pt>
                <c:pt idx="5">
                  <c:v>14</c:v>
                </c:pt>
                <c:pt idx="6">
                  <c:v>21</c:v>
                </c:pt>
                <c:pt idx="7">
                  <c:v>21</c:v>
                </c:pt>
                <c:pt idx="8">
                  <c:v>125</c:v>
                </c:pt>
                <c:pt idx="9">
                  <c:v>214</c:v>
                </c:pt>
                <c:pt idx="10">
                  <c:v>178</c:v>
                </c:pt>
                <c:pt idx="11">
                  <c:v>467</c:v>
                </c:pt>
                <c:pt idx="12">
                  <c:v>317</c:v>
                </c:pt>
                <c:pt idx="13">
                  <c:v>68</c:v>
                </c:pt>
                <c:pt idx="14">
                  <c:v>34</c:v>
                </c:pt>
                <c:pt idx="15">
                  <c:v>4</c:v>
                </c:pt>
                <c:pt idx="16">
                  <c:v>392</c:v>
                </c:pt>
                <c:pt idx="17">
                  <c:v>130</c:v>
                </c:pt>
                <c:pt idx="18">
                  <c:v>509</c:v>
                </c:pt>
                <c:pt idx="19">
                  <c:v>139</c:v>
                </c:pt>
                <c:pt idx="20">
                  <c:v>361</c:v>
                </c:pt>
                <c:pt idx="21">
                  <c:v>986</c:v>
                </c:pt>
                <c:pt idx="22">
                  <c:v>242</c:v>
                </c:pt>
                <c:pt idx="23">
                  <c:v>174</c:v>
                </c:pt>
                <c:pt idx="24">
                  <c:v>1015</c:v>
                </c:pt>
                <c:pt idx="25">
                  <c:v>52</c:v>
                </c:pt>
                <c:pt idx="26">
                  <c:v>8737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C-DF49-82ED-51B4BABE3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999424"/>
        <c:axId val="1"/>
      </c:lineChart>
      <c:lineChart>
        <c:grouping val="standard"/>
        <c:varyColors val="0"/>
        <c:ser>
          <c:idx val="0"/>
          <c:order val="1"/>
          <c:tx>
            <c:strRef>
              <c:f>'909d'!$H$5</c:f>
              <c:strCache>
                <c:ptCount val="1"/>
                <c:pt idx="0">
                  <c:v>Anzahl Apotheken (rechte Skala)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'909d'!$A$8:$A$34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'909d'!$H$8:$H$34</c:f>
              <c:numCache>
                <c:formatCode>#,##0</c:formatCode>
                <c:ptCount val="27"/>
                <c:pt idx="0">
                  <c:v>224</c:v>
                </c:pt>
                <c:pt idx="1">
                  <c:v>179</c:v>
                </c:pt>
                <c:pt idx="2">
                  <c:v>33</c:v>
                </c:pt>
                <c:pt idx="3">
                  <c:v>4</c:v>
                </c:pt>
                <c:pt idx="4">
                  <c:v>12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14</c:v>
                </c:pt>
                <c:pt idx="9">
                  <c:v>70</c:v>
                </c:pt>
                <c:pt idx="10">
                  <c:v>26</c:v>
                </c:pt>
                <c:pt idx="11">
                  <c:v>70</c:v>
                </c:pt>
                <c:pt idx="12">
                  <c:v>42</c:v>
                </c:pt>
                <c:pt idx="13">
                  <c:v>13</c:v>
                </c:pt>
                <c:pt idx="14">
                  <c:v>6</c:v>
                </c:pt>
                <c:pt idx="15">
                  <c:v>1</c:v>
                </c:pt>
                <c:pt idx="16">
                  <c:v>51</c:v>
                </c:pt>
                <c:pt idx="17">
                  <c:v>41</c:v>
                </c:pt>
                <c:pt idx="18">
                  <c:v>113</c:v>
                </c:pt>
                <c:pt idx="19">
                  <c:v>26</c:v>
                </c:pt>
                <c:pt idx="20">
                  <c:v>185</c:v>
                </c:pt>
                <c:pt idx="21">
                  <c:v>244</c:v>
                </c:pt>
                <c:pt idx="22">
                  <c:v>110</c:v>
                </c:pt>
                <c:pt idx="23">
                  <c:v>57</c:v>
                </c:pt>
                <c:pt idx="24">
                  <c:v>173</c:v>
                </c:pt>
                <c:pt idx="25">
                  <c:v>20</c:v>
                </c:pt>
                <c:pt idx="26">
                  <c:v>1721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C-DF49-82ED-51B4BABE3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20849994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25"/>
        <c:tickMarkSkip val="1"/>
        <c:noMultiLvlLbl val="0"/>
      </c:catAx>
      <c:valAx>
        <c:axId val="1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208499942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55 Helvetica Roman"/>
              <a:ea typeface="55 Helvetica Roman"/>
              <a:cs typeface="55 Helvetica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2</xdr:row>
      <xdr:rowOff>317500</xdr:rowOff>
    </xdr:from>
    <xdr:to>
      <xdr:col>8</xdr:col>
      <xdr:colOff>317500</xdr:colOff>
      <xdr:row>8</xdr:row>
      <xdr:rowOff>63500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717C8B3C-2C61-9BBF-4029-9C91ECC0FC5C}"/>
            </a:ext>
          </a:extLst>
        </xdr:cNvPr>
        <xdr:cNvSpPr>
          <a:spLocks noChangeArrowheads="1"/>
        </xdr:cNvSpPr>
      </xdr:nvSpPr>
      <xdr:spPr bwMode="auto">
        <a:xfrm>
          <a:off x="4279900" y="850900"/>
          <a:ext cx="2616200" cy="1193800"/>
        </a:xfrm>
        <a:prstGeom prst="wedgeRectCallout">
          <a:avLst>
            <a:gd name="adj1" fmla="val -103625"/>
            <a:gd name="adj2" fmla="val 132171"/>
          </a:avLst>
        </a:prstGeom>
        <a:solidFill>
          <a:srgbClr xmlns:mc="http://schemas.openxmlformats.org/markup-compatibility/2006" xmlns:a14="http://schemas.microsoft.com/office/drawing/2010/main" val="E3E3E3" mc:Ignorable="a14" a14:legacySpreadsheetColorIndex="4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55 Helvetica Roman" charset="0"/>
            </a:rPr>
            <a:t>La partie tableaux sous forme Excel n'est disponible qu'en allemand.</a:t>
          </a:r>
        </a:p>
        <a:p>
          <a:pPr algn="l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55 Helvetica Roman" charset="0"/>
            </a:rPr>
            <a:t>La version française est disponible dans la version complète 2008 sous forme PDF publiée ultérieurement (~ mai 2010). Il est aussi possible de se référer à la publication PDF 2007 contenant tous les tableaux en français .</a:t>
          </a:r>
        </a:p>
      </xdr:txBody>
    </xdr:sp>
    <xdr:clientData/>
  </xdr:twoCellAnchor>
  <xdr:twoCellAnchor>
    <xdr:from>
      <xdr:col>0</xdr:col>
      <xdr:colOff>292100</xdr:colOff>
      <xdr:row>70</xdr:row>
      <xdr:rowOff>114300</xdr:rowOff>
    </xdr:from>
    <xdr:to>
      <xdr:col>2</xdr:col>
      <xdr:colOff>622300</xdr:colOff>
      <xdr:row>73</xdr:row>
      <xdr:rowOff>139700</xdr:rowOff>
    </xdr:to>
    <xdr:pic>
      <xdr:nvPicPr>
        <xdr:cNvPr id="6147" name="Picture 3">
          <a:extLst>
            <a:ext uri="{FF2B5EF4-FFF2-40B4-BE49-F238E27FC236}">
              <a16:creationId xmlns:a16="http://schemas.microsoft.com/office/drawing/2014/main" id="{D288DC4D-A58C-FB66-9E95-20693305C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3525500"/>
          <a:ext cx="21336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54</xdr:row>
      <xdr:rowOff>0</xdr:rowOff>
    </xdr:from>
    <xdr:to>
      <xdr:col>11</xdr:col>
      <xdr:colOff>0</xdr:colOff>
      <xdr:row>54</xdr:row>
      <xdr:rowOff>0</xdr:rowOff>
    </xdr:to>
    <xdr:graphicFrame macro="">
      <xdr:nvGraphicFramePr>
        <xdr:cNvPr id="19457" name="Diagramm 1">
          <a:extLst>
            <a:ext uri="{FF2B5EF4-FFF2-40B4-BE49-F238E27FC236}">
              <a16:creationId xmlns:a16="http://schemas.microsoft.com/office/drawing/2014/main" id="{CDCA9096-6612-7F54-0FAC-E39FA9CA2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12700</xdr:colOff>
      <xdr:row>54</xdr:row>
      <xdr:rowOff>0</xdr:rowOff>
    </xdr:from>
    <xdr:to>
      <xdr:col>22</xdr:col>
      <xdr:colOff>0</xdr:colOff>
      <xdr:row>54</xdr:row>
      <xdr:rowOff>0</xdr:rowOff>
    </xdr:to>
    <xdr:graphicFrame macro="">
      <xdr:nvGraphicFramePr>
        <xdr:cNvPr id="19458" name="Diagramm 2">
          <a:extLst>
            <a:ext uri="{FF2B5EF4-FFF2-40B4-BE49-F238E27FC236}">
              <a16:creationId xmlns:a16="http://schemas.microsoft.com/office/drawing/2014/main" id="{E7DF5F19-7886-B7FE-7DEA-6D4FC33A6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E822-C23A-6742-8243-B3E4EDE563AB}">
  <sheetPr>
    <pageSetUpPr fitToPage="1"/>
  </sheetPr>
  <dimension ref="A1:M74"/>
  <sheetViews>
    <sheetView tabSelected="1" zoomScale="75" workbookViewId="0">
      <selection activeCell="E8" sqref="E8"/>
    </sheetView>
  </sheetViews>
  <sheetFormatPr baseColWidth="10" defaultColWidth="11.3984375" defaultRowHeight="13"/>
  <cols>
    <col min="1" max="1" width="16.59765625" style="2" customWidth="1"/>
    <col min="2" max="2" width="11.796875" style="2" customWidth="1"/>
    <col min="3" max="3" width="14.19921875" style="2" customWidth="1"/>
    <col min="4" max="6" width="11.796875" style="2" customWidth="1"/>
    <col min="7" max="7" width="13.796875" style="2" customWidth="1"/>
    <col min="8" max="9" width="11.796875" style="2" customWidth="1"/>
    <col min="10" max="10" width="9.796875" style="2" customWidth="1"/>
    <col min="11" max="11" width="12.19921875" style="2" customWidth="1"/>
    <col min="12" max="16384" width="11.3984375" style="2"/>
  </cols>
  <sheetData>
    <row r="1" spans="1:13" s="1" customFormat="1" ht="12" customHeight="1">
      <c r="A1"/>
      <c r="B1"/>
      <c r="C1"/>
      <c r="D1"/>
      <c r="E1"/>
      <c r="F1"/>
      <c r="G1"/>
      <c r="H1"/>
      <c r="I1"/>
    </row>
    <row r="2" spans="1:13" ht="30.75" customHeight="1">
      <c r="A2" s="4" t="s">
        <v>706</v>
      </c>
      <c r="B2"/>
      <c r="C2"/>
      <c r="D2"/>
      <c r="E2"/>
      <c r="F2"/>
      <c r="G2"/>
      <c r="H2"/>
      <c r="I2"/>
    </row>
    <row r="3" spans="1:13" ht="27" customHeight="1">
      <c r="A3" s="5"/>
      <c r="B3"/>
      <c r="C3"/>
      <c r="D3"/>
      <c r="E3"/>
      <c r="F3"/>
      <c r="G3"/>
      <c r="H3"/>
      <c r="I3"/>
    </row>
    <row r="4" spans="1:13" ht="15" customHeight="1">
      <c r="A4" s="6" t="s">
        <v>1394</v>
      </c>
      <c r="B4"/>
      <c r="C4"/>
      <c r="D4"/>
      <c r="E4"/>
      <c r="F4"/>
      <c r="G4"/>
      <c r="H4"/>
      <c r="I4"/>
    </row>
    <row r="5" spans="1:13" ht="17.25" customHeight="1">
      <c r="A5"/>
      <c r="B5"/>
      <c r="C5"/>
      <c r="D5"/>
      <c r="E5"/>
      <c r="F5"/>
      <c r="G5"/>
      <c r="H5"/>
      <c r="I5"/>
    </row>
    <row r="6" spans="1:13" ht="15.75" customHeight="1">
      <c r="B6"/>
      <c r="C6"/>
      <c r="D6"/>
      <c r="E6"/>
      <c r="F6"/>
      <c r="G6"/>
      <c r="H6"/>
      <c r="I6"/>
      <c r="J6" s="7"/>
    </row>
    <row r="7" spans="1:13" ht="9.75" customHeight="1">
      <c r="A7"/>
      <c r="B7"/>
      <c r="C7"/>
      <c r="D7"/>
      <c r="E7"/>
      <c r="F7"/>
      <c r="G7"/>
      <c r="H7"/>
      <c r="I7"/>
      <c r="J7" s="7"/>
    </row>
    <row r="8" spans="1:13" ht="31.5" customHeight="1">
      <c r="A8" s="19" t="s">
        <v>2014</v>
      </c>
      <c r="B8"/>
      <c r="C8"/>
      <c r="D8"/>
      <c r="E8"/>
      <c r="F8"/>
      <c r="G8"/>
      <c r="H8"/>
      <c r="I8"/>
    </row>
    <row r="9" spans="1:13" ht="11.25" customHeight="1">
      <c r="B9"/>
      <c r="C9"/>
      <c r="D9"/>
      <c r="E9"/>
      <c r="F9"/>
      <c r="G9"/>
      <c r="H9"/>
      <c r="I9"/>
      <c r="K9" s="8"/>
      <c r="L9" s="8"/>
      <c r="M9" s="8"/>
    </row>
    <row r="10" spans="1:13" ht="20" customHeight="1">
      <c r="A10"/>
      <c r="B10"/>
      <c r="C10"/>
      <c r="D10"/>
      <c r="E10"/>
      <c r="F10"/>
      <c r="G10"/>
      <c r="H10"/>
      <c r="I10"/>
    </row>
    <row r="11" spans="1:13" ht="20" customHeight="1">
      <c r="A11" s="6" t="s">
        <v>74</v>
      </c>
      <c r="B11"/>
      <c r="C11"/>
      <c r="D11"/>
      <c r="E11"/>
      <c r="F11"/>
      <c r="G11" s="18" t="s">
        <v>2011</v>
      </c>
      <c r="H11" s="17"/>
      <c r="I11"/>
    </row>
    <row r="12" spans="1:13" ht="20" customHeight="1">
      <c r="A12"/>
      <c r="B12"/>
      <c r="C12"/>
      <c r="D12"/>
      <c r="E12"/>
      <c r="F12"/>
      <c r="G12"/>
      <c r="H12"/>
      <c r="I12"/>
    </row>
    <row r="13" spans="1:13" ht="20.25" customHeight="1">
      <c r="A13"/>
      <c r="B13"/>
      <c r="C13"/>
      <c r="D13"/>
      <c r="E13"/>
      <c r="I13"/>
    </row>
    <row r="14" spans="1:13" ht="26.25" customHeight="1">
      <c r="A14" s="9" t="s">
        <v>1057</v>
      </c>
      <c r="B14" s="10"/>
      <c r="C14" s="10"/>
      <c r="D14" s="11"/>
      <c r="E14" s="11"/>
      <c r="G14" s="40" t="s">
        <v>373</v>
      </c>
      <c r="H14" s="10"/>
      <c r="I14"/>
    </row>
    <row r="15" spans="1:13" s="3" customFormat="1" ht="8.25" customHeight="1">
      <c r="A15" s="26"/>
      <c r="B15" s="23"/>
      <c r="C15" s="23"/>
      <c r="G15" s="27"/>
      <c r="H15" s="23"/>
      <c r="I15" s="23"/>
    </row>
    <row r="16" spans="1:13" ht="15" customHeight="1">
      <c r="A16" s="28" t="s">
        <v>1393</v>
      </c>
      <c r="B16"/>
      <c r="C16"/>
      <c r="D16"/>
      <c r="E16"/>
      <c r="F16"/>
      <c r="G16"/>
      <c r="H16"/>
      <c r="I16"/>
    </row>
    <row r="17" spans="1:13" s="3" customFormat="1" ht="5.25" customHeight="1">
      <c r="A17" s="23"/>
      <c r="B17" s="23"/>
      <c r="C17" s="23"/>
      <c r="D17" s="23"/>
      <c r="E17" s="23"/>
      <c r="F17" s="23"/>
      <c r="G17" s="23"/>
      <c r="H17" s="23"/>
      <c r="I17" s="23"/>
    </row>
    <row r="18" spans="1:13" ht="17.25" customHeight="1">
      <c r="A18" s="41" t="s">
        <v>1275</v>
      </c>
      <c r="B18" s="29"/>
      <c r="C18" s="42"/>
      <c r="D18" s="43"/>
      <c r="E18" s="169" t="s">
        <v>2513</v>
      </c>
      <c r="F18" s="29"/>
      <c r="G18" s="29"/>
      <c r="H18" s="3"/>
      <c r="I18" s="160"/>
      <c r="J18" s="3"/>
      <c r="K18" s="3"/>
    </row>
    <row r="19" spans="1:13" ht="15" customHeight="1">
      <c r="A19" s="41" t="s">
        <v>1276</v>
      </c>
      <c r="B19" s="29"/>
      <c r="C19" s="29"/>
      <c r="D19" s="35"/>
      <c r="E19" s="169" t="s">
        <v>1830</v>
      </c>
      <c r="F19" s="29"/>
      <c r="G19" s="29"/>
      <c r="H19" s="3"/>
      <c r="I19" s="161"/>
      <c r="J19" s="3"/>
      <c r="K19" s="3"/>
    </row>
    <row r="20" spans="1:13" ht="15" customHeight="1">
      <c r="A20" s="41" t="s">
        <v>151</v>
      </c>
      <c r="B20" s="30"/>
      <c r="C20" s="30"/>
      <c r="D20" s="36"/>
      <c r="E20" s="169" t="s">
        <v>2410</v>
      </c>
      <c r="F20" s="29"/>
      <c r="G20" s="29"/>
      <c r="H20" s="3"/>
      <c r="I20" s="161"/>
      <c r="J20" s="3"/>
      <c r="K20" s="3"/>
    </row>
    <row r="21" spans="1:13">
      <c r="A21" s="41" t="s">
        <v>150</v>
      </c>
      <c r="B21" s="29"/>
      <c r="C21" s="30"/>
      <c r="D21" s="36"/>
      <c r="E21" s="169" t="s">
        <v>2149</v>
      </c>
      <c r="F21" s="30"/>
      <c r="G21" s="30"/>
      <c r="H21" s="3"/>
      <c r="I21" s="170" t="s">
        <v>2055</v>
      </c>
      <c r="J21" s="171"/>
      <c r="K21" s="171"/>
    </row>
    <row r="22" spans="1:13">
      <c r="A22" s="41" t="s">
        <v>2348</v>
      </c>
      <c r="B22" s="29"/>
      <c r="C22" s="30"/>
      <c r="D22" s="36"/>
      <c r="E22" s="169" t="s">
        <v>1874</v>
      </c>
      <c r="F22" s="30"/>
      <c r="G22" s="30"/>
      <c r="H22" s="3"/>
      <c r="I22" s="171" t="s">
        <v>2056</v>
      </c>
      <c r="J22" s="171"/>
      <c r="K22" s="171"/>
    </row>
    <row r="23" spans="1:13">
      <c r="A23" s="41" t="s">
        <v>2349</v>
      </c>
      <c r="B23" s="29"/>
      <c r="C23" s="30"/>
      <c r="D23" s="36"/>
      <c r="E23" s="169" t="s">
        <v>1086</v>
      </c>
      <c r="F23" s="30"/>
      <c r="G23" s="30"/>
      <c r="H23" s="3"/>
    </row>
    <row r="24" spans="1:13">
      <c r="A24" s="41" t="s">
        <v>615</v>
      </c>
      <c r="B24" s="29"/>
      <c r="C24" s="30"/>
      <c r="D24" s="36"/>
      <c r="E24" s="169" t="s">
        <v>2458</v>
      </c>
      <c r="F24" s="41"/>
      <c r="G24" s="30"/>
      <c r="H24" s="3"/>
    </row>
    <row r="25" spans="1:13">
      <c r="A25" s="41" t="s">
        <v>2411</v>
      </c>
      <c r="B25" s="29"/>
      <c r="C25" s="30"/>
      <c r="D25" s="36"/>
      <c r="E25" s="169" t="s">
        <v>2067</v>
      </c>
      <c r="F25" s="30"/>
      <c r="G25" s="30"/>
      <c r="H25" s="3"/>
    </row>
    <row r="26" spans="1:13">
      <c r="A26" s="169" t="s">
        <v>154</v>
      </c>
      <c r="B26" s="29"/>
      <c r="C26" s="30"/>
      <c r="D26" s="36"/>
      <c r="E26" s="169" t="s">
        <v>506</v>
      </c>
      <c r="F26" s="30"/>
      <c r="G26" s="30"/>
      <c r="H26" s="3"/>
    </row>
    <row r="27" spans="1:13">
      <c r="A27" s="169" t="s">
        <v>1495</v>
      </c>
      <c r="B27" s="29"/>
      <c r="C27" s="41"/>
      <c r="D27" s="36"/>
      <c r="E27" s="41"/>
      <c r="F27" s="30"/>
      <c r="G27" s="30"/>
      <c r="H27" s="3"/>
    </row>
    <row r="28" spans="1:13" ht="16">
      <c r="A28" s="13"/>
      <c r="B28" s="21"/>
      <c r="C28" s="12"/>
      <c r="I28" s="165" t="s">
        <v>1650</v>
      </c>
      <c r="J28" s="173"/>
      <c r="K28" s="173"/>
    </row>
    <row r="29" spans="1:13" ht="16">
      <c r="A29" s="13"/>
      <c r="I29" s="39"/>
      <c r="J29" s="1985"/>
      <c r="K29" s="173"/>
      <c r="L29" s="3"/>
      <c r="M29" s="3"/>
    </row>
    <row r="30" spans="1:13" ht="16">
      <c r="A30" s="13"/>
      <c r="B30" s="12"/>
      <c r="C30" s="12"/>
      <c r="F30" s="3"/>
    </row>
    <row r="31" spans="1:13" ht="16">
      <c r="A31" s="13"/>
      <c r="I31" s="39"/>
      <c r="J31" s="11"/>
      <c r="K31" s="11"/>
    </row>
    <row r="32" spans="1:13" ht="15">
      <c r="A32" s="44" t="s">
        <v>1441</v>
      </c>
      <c r="B32" s="20"/>
      <c r="C32" s="3"/>
      <c r="D32" s="3"/>
      <c r="E32" s="3"/>
      <c r="F32" s="3"/>
      <c r="G32" s="164"/>
    </row>
    <row r="33" spans="1:11">
      <c r="A33" s="1982" t="s">
        <v>1934</v>
      </c>
      <c r="B33" s="1983"/>
      <c r="C33" s="1923"/>
      <c r="D33" s="1982" t="s">
        <v>1355</v>
      </c>
      <c r="E33" s="1984"/>
      <c r="F33" s="1923"/>
      <c r="G33" s="1982" t="s">
        <v>1306</v>
      </c>
      <c r="H33" s="25"/>
      <c r="I33" s="3"/>
      <c r="J33" s="1982" t="s">
        <v>507</v>
      </c>
      <c r="K33" s="22"/>
    </row>
    <row r="34" spans="1:11">
      <c r="A34" s="1982" t="s">
        <v>934</v>
      </c>
      <c r="B34" s="1983"/>
      <c r="C34" s="1923"/>
      <c r="D34" s="1982" t="s">
        <v>245</v>
      </c>
      <c r="E34" s="1983"/>
      <c r="F34" s="1923"/>
      <c r="G34" s="1982" t="s">
        <v>2478</v>
      </c>
      <c r="H34" s="22"/>
      <c r="I34" s="3"/>
      <c r="J34" s="1982" t="s">
        <v>1358</v>
      </c>
      <c r="K34" s="22"/>
    </row>
    <row r="35" spans="1:11">
      <c r="A35" s="1982" t="s">
        <v>1644</v>
      </c>
      <c r="B35" s="1983"/>
      <c r="C35" s="1923"/>
      <c r="D35" s="1982" t="s">
        <v>1805</v>
      </c>
      <c r="E35" s="1983"/>
      <c r="F35" s="1923"/>
      <c r="G35" s="1984" t="s">
        <v>1012</v>
      </c>
      <c r="H35" s="22"/>
      <c r="I35" s="3"/>
      <c r="J35" s="1982" t="s">
        <v>2164</v>
      </c>
      <c r="K35" s="22"/>
    </row>
    <row r="36" spans="1:11">
      <c r="A36" s="32"/>
      <c r="B36" s="31"/>
      <c r="C36" s="3"/>
      <c r="D36" s="32"/>
      <c r="E36" s="31"/>
      <c r="G36" s="1982" t="s">
        <v>1011</v>
      </c>
      <c r="H36" s="25"/>
      <c r="I36" s="3"/>
      <c r="J36" s="1982" t="s">
        <v>372</v>
      </c>
      <c r="K36" s="20"/>
    </row>
    <row r="37" spans="1:11" ht="16">
      <c r="A37" s="13"/>
    </row>
    <row r="38" spans="1:11" ht="16">
      <c r="A38" s="13"/>
      <c r="B38" s="34" t="s">
        <v>1395</v>
      </c>
      <c r="C38" s="37" t="s">
        <v>2012</v>
      </c>
      <c r="J38" s="24"/>
    </row>
    <row r="39" spans="1:11" ht="16">
      <c r="A39" s="14"/>
      <c r="B39" s="12"/>
      <c r="C39" s="12"/>
    </row>
    <row r="40" spans="1:11" ht="16">
      <c r="A40" s="283" t="s">
        <v>1396</v>
      </c>
      <c r="B40" s="284" t="s">
        <v>2058</v>
      </c>
      <c r="C40" s="285" t="s">
        <v>1415</v>
      </c>
      <c r="D40" s="286"/>
      <c r="E40" s="286"/>
      <c r="F40" s="286"/>
      <c r="G40" s="286"/>
      <c r="H40" s="286"/>
      <c r="I40" s="286"/>
      <c r="J40" s="286"/>
      <c r="K40" s="33"/>
    </row>
    <row r="41" spans="1:11" ht="16">
      <c r="A41" s="283" t="s">
        <v>1397</v>
      </c>
      <c r="B41" s="284" t="s">
        <v>1391</v>
      </c>
      <c r="C41" s="285" t="s">
        <v>1398</v>
      </c>
      <c r="D41" s="286"/>
      <c r="E41" s="286"/>
      <c r="F41" s="286"/>
      <c r="G41" s="286"/>
      <c r="H41" s="286"/>
      <c r="I41" s="286"/>
      <c r="J41" s="286"/>
      <c r="K41" s="33"/>
    </row>
    <row r="42" spans="1:11" ht="16">
      <c r="A42" s="283" t="s">
        <v>1399</v>
      </c>
      <c r="B42" s="284" t="s">
        <v>854</v>
      </c>
      <c r="C42" s="285" t="s">
        <v>1400</v>
      </c>
      <c r="D42" s="286"/>
      <c r="E42" s="286"/>
      <c r="F42" s="286"/>
      <c r="G42" s="286"/>
      <c r="H42" s="286"/>
      <c r="I42" s="286"/>
      <c r="J42" s="286"/>
      <c r="K42" s="33"/>
    </row>
    <row r="43" spans="1:11" ht="16">
      <c r="A43" s="283" t="s">
        <v>1401</v>
      </c>
      <c r="B43" s="284" t="s">
        <v>1839</v>
      </c>
      <c r="C43" s="285" t="s">
        <v>1402</v>
      </c>
      <c r="D43" s="286"/>
      <c r="E43" s="286"/>
      <c r="F43" s="286"/>
      <c r="G43" s="286"/>
      <c r="H43" s="286"/>
      <c r="I43" s="286"/>
      <c r="J43" s="286"/>
      <c r="K43" s="33"/>
    </row>
    <row r="44" spans="1:11" ht="16">
      <c r="A44" s="283" t="s">
        <v>1403</v>
      </c>
      <c r="B44" s="842" t="s">
        <v>2015</v>
      </c>
      <c r="C44" s="285" t="s">
        <v>1404</v>
      </c>
      <c r="D44" s="286"/>
      <c r="E44" s="286"/>
      <c r="F44" s="286"/>
      <c r="G44" s="286"/>
      <c r="H44" s="286"/>
      <c r="I44" s="286"/>
      <c r="J44" s="286"/>
      <c r="K44" s="33"/>
    </row>
    <row r="45" spans="1:11" ht="16">
      <c r="A45" s="283" t="s">
        <v>1405</v>
      </c>
      <c r="B45" s="284" t="s">
        <v>1406</v>
      </c>
      <c r="C45" s="285" t="s">
        <v>1407</v>
      </c>
      <c r="D45" s="286"/>
      <c r="E45" s="286"/>
      <c r="F45" s="286"/>
      <c r="G45" s="286"/>
      <c r="H45" s="286"/>
      <c r="I45" s="286"/>
      <c r="J45" s="286"/>
      <c r="K45" s="33"/>
    </row>
    <row r="46" spans="1:11" ht="16">
      <c r="A46" s="283" t="s">
        <v>1408</v>
      </c>
      <c r="B46" s="284" t="s">
        <v>1062</v>
      </c>
      <c r="C46" s="285" t="s">
        <v>1412</v>
      </c>
      <c r="D46" s="286"/>
      <c r="E46" s="286"/>
      <c r="F46" s="286"/>
      <c r="G46" s="286"/>
      <c r="H46" s="286"/>
      <c r="I46" s="286"/>
      <c r="J46" s="286"/>
      <c r="K46" s="33"/>
    </row>
    <row r="47" spans="1:11" ht="16">
      <c r="A47" s="283" t="s">
        <v>1409</v>
      </c>
      <c r="B47" s="284" t="s">
        <v>2059</v>
      </c>
      <c r="C47" s="285" t="s">
        <v>2013</v>
      </c>
      <c r="D47" s="286"/>
      <c r="E47" s="286"/>
      <c r="F47" s="286"/>
      <c r="G47" s="286"/>
      <c r="H47" s="286"/>
      <c r="I47" s="286"/>
      <c r="J47" s="286"/>
      <c r="K47" s="33"/>
    </row>
    <row r="48" spans="1:11" ht="16">
      <c r="A48" s="283" t="s">
        <v>1410</v>
      </c>
      <c r="B48" s="284" t="s">
        <v>779</v>
      </c>
      <c r="C48" s="285" t="s">
        <v>1411</v>
      </c>
      <c r="D48" s="286"/>
      <c r="E48" s="286"/>
      <c r="F48" s="286"/>
      <c r="G48" s="286"/>
      <c r="H48" s="286"/>
      <c r="I48" s="286"/>
      <c r="J48" s="286"/>
      <c r="K48" s="33"/>
    </row>
    <row r="49" spans="1:11" ht="16">
      <c r="A49" s="283" t="s">
        <v>2016</v>
      </c>
      <c r="B49" s="284" t="s">
        <v>2017</v>
      </c>
      <c r="C49" s="285" t="s">
        <v>918</v>
      </c>
      <c r="D49" s="286"/>
      <c r="E49" s="286"/>
      <c r="F49" s="286"/>
      <c r="G49" s="286"/>
      <c r="H49" s="286"/>
      <c r="I49" s="286"/>
      <c r="J49" s="286"/>
      <c r="K49" s="33"/>
    </row>
    <row r="50" spans="1:11" ht="16">
      <c r="A50" s="283" t="s">
        <v>1067</v>
      </c>
      <c r="B50" s="284" t="s">
        <v>831</v>
      </c>
      <c r="C50" s="285" t="s">
        <v>1068</v>
      </c>
      <c r="D50" s="286"/>
      <c r="E50" s="286"/>
      <c r="F50" s="286"/>
      <c r="G50" s="286"/>
      <c r="H50" s="286"/>
      <c r="I50" s="286"/>
      <c r="J50" s="286"/>
      <c r="K50" s="33"/>
    </row>
    <row r="51" spans="1:11" ht="14">
      <c r="A51" s="1017" t="s">
        <v>1413</v>
      </c>
      <c r="B51" s="1016" t="s">
        <v>710</v>
      </c>
      <c r="C51" s="1016"/>
      <c r="D51" s="1016"/>
      <c r="E51" s="286"/>
      <c r="F51" s="286"/>
      <c r="G51" s="286"/>
      <c r="H51" s="286"/>
      <c r="I51" s="286"/>
      <c r="J51" s="286"/>
      <c r="K51" s="33"/>
    </row>
    <row r="52" spans="1:11" ht="12.75" customHeight="1">
      <c r="A52" s="1017" t="s">
        <v>1066</v>
      </c>
      <c r="B52" s="1016" t="s">
        <v>709</v>
      </c>
      <c r="C52" s="1016"/>
      <c r="D52" s="1016"/>
      <c r="E52" s="286"/>
      <c r="F52" s="286"/>
      <c r="G52" s="286"/>
      <c r="H52" s="286"/>
      <c r="I52" s="286"/>
      <c r="J52" s="286"/>
      <c r="K52" s="33"/>
    </row>
    <row r="53" spans="1:11" s="159" customFormat="1" ht="14" hidden="1">
      <c r="A53" s="174" t="s">
        <v>169</v>
      </c>
      <c r="B53" s="175" t="s">
        <v>708</v>
      </c>
      <c r="C53" s="175"/>
      <c r="D53" s="175"/>
      <c r="E53" s="176"/>
      <c r="F53" s="176"/>
      <c r="G53" s="176"/>
      <c r="H53" s="176"/>
      <c r="I53" s="176"/>
      <c r="J53" s="176"/>
      <c r="K53" s="167"/>
    </row>
    <row r="54" spans="1:11" s="159" customFormat="1" ht="14">
      <c r="A54" s="1017" t="s">
        <v>473</v>
      </c>
      <c r="B54" s="1016" t="s">
        <v>474</v>
      </c>
      <c r="C54" s="175"/>
      <c r="D54" s="175"/>
      <c r="E54" s="176"/>
      <c r="F54" s="176"/>
      <c r="G54" s="176"/>
      <c r="H54" s="176"/>
      <c r="I54" s="176"/>
      <c r="J54" s="176"/>
      <c r="K54" s="167"/>
    </row>
    <row r="55" spans="1:11" ht="14">
      <c r="A55" s="1017" t="s">
        <v>2366</v>
      </c>
      <c r="B55" s="1016" t="s">
        <v>475</v>
      </c>
      <c r="C55" s="1016"/>
      <c r="D55" s="1016"/>
      <c r="E55" s="286"/>
      <c r="F55" s="286"/>
      <c r="G55" s="286"/>
      <c r="H55" s="286"/>
      <c r="I55" s="286"/>
      <c r="J55" s="286"/>
      <c r="K55" s="33"/>
    </row>
    <row r="56" spans="1:11" ht="14">
      <c r="A56" s="1017" t="s">
        <v>1053</v>
      </c>
      <c r="B56" s="1016" t="s">
        <v>476</v>
      </c>
      <c r="C56" s="1016"/>
      <c r="D56" s="1016"/>
      <c r="E56" s="286"/>
      <c r="F56" s="286"/>
      <c r="G56" s="286"/>
      <c r="H56" s="286"/>
      <c r="I56" s="286"/>
      <c r="J56" s="286"/>
      <c r="K56" s="33"/>
    </row>
    <row r="58" spans="1:1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60" spans="1:11" ht="14.25" customHeight="1">
      <c r="A60" s="163" t="s">
        <v>707</v>
      </c>
      <c r="B60"/>
      <c r="C60"/>
      <c r="D60"/>
      <c r="E60"/>
      <c r="F60"/>
      <c r="G60"/>
      <c r="H60"/>
      <c r="I60"/>
    </row>
    <row r="61" spans="1:11" ht="14.25" customHeight="1">
      <c r="A61" s="12"/>
      <c r="B61"/>
      <c r="C61"/>
      <c r="D61"/>
      <c r="E61"/>
      <c r="F61"/>
      <c r="G61"/>
      <c r="H61"/>
      <c r="I61"/>
    </row>
    <row r="62" spans="1:11" ht="18" customHeight="1">
      <c r="A62" s="1" t="s">
        <v>170</v>
      </c>
      <c r="B62"/>
      <c r="C62"/>
      <c r="D62"/>
      <c r="E62"/>
      <c r="F62"/>
      <c r="G62"/>
      <c r="H62"/>
      <c r="I62"/>
    </row>
    <row r="63" spans="1:11" ht="12.75" customHeight="1">
      <c r="A63" s="1"/>
      <c r="B63"/>
      <c r="C63"/>
      <c r="D63"/>
      <c r="E63"/>
      <c r="F63"/>
      <c r="G63"/>
      <c r="H63"/>
      <c r="I63"/>
    </row>
    <row r="64" spans="1:1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6" spans="1:10" ht="16">
      <c r="A66" s="16" t="s">
        <v>75</v>
      </c>
    </row>
    <row r="67" spans="1:10" ht="10.5" customHeight="1">
      <c r="A67" s="16"/>
    </row>
    <row r="68" spans="1:10" ht="16">
      <c r="A68" s="38" t="s">
        <v>588</v>
      </c>
    </row>
    <row r="69" spans="1:10" ht="16">
      <c r="A69" s="38"/>
    </row>
    <row r="74" spans="1:10">
      <c r="J74" s="162" t="s">
        <v>1056</v>
      </c>
    </row>
  </sheetData>
  <phoneticPr fontId="0" type="noConversion"/>
  <pageMargins left="0.47244094488188981" right="0.35433070866141736" top="0.33" bottom="0.28000000000000003" header="0.26" footer="0.19"/>
  <pageSetup paperSize="9" scale="70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8E9C-C12C-4545-BBD6-9BE68F79783C}">
  <sheetPr>
    <pageSetUpPr fitToPage="1"/>
  </sheetPr>
  <dimension ref="A1:M80"/>
  <sheetViews>
    <sheetView topLeftCell="C1" workbookViewId="0">
      <selection activeCell="B78" sqref="B78"/>
    </sheetView>
  </sheetViews>
  <sheetFormatPr baseColWidth="10" defaultColWidth="11.3984375" defaultRowHeight="13"/>
  <cols>
    <col min="1" max="1" width="11.3984375" style="1776"/>
    <col min="2" max="2" width="10.19921875" style="1775" customWidth="1"/>
    <col min="3" max="3" width="4.3984375" style="1776" customWidth="1"/>
    <col min="4" max="4" width="11.3984375" style="1776"/>
    <col min="5" max="5" width="11.3984375" style="1775"/>
    <col min="6" max="7" width="11.3984375" style="1776"/>
    <col min="8" max="8" width="3.59765625" style="1776" customWidth="1"/>
    <col min="9" max="9" width="11.3984375" style="1776"/>
    <col min="10" max="10" width="3.796875" style="1776" customWidth="1"/>
    <col min="11" max="11" width="11.3984375" style="1776"/>
    <col min="12" max="12" width="3.796875" style="1776" customWidth="1"/>
    <col min="13" max="16384" width="11.3984375" style="1776"/>
  </cols>
  <sheetData>
    <row r="1" spans="1:13" ht="16">
      <c r="A1" s="1774" t="s">
        <v>793</v>
      </c>
    </row>
    <row r="2" spans="1:13" ht="18" customHeight="1"/>
    <row r="3" spans="1:13" ht="30" customHeight="1">
      <c r="A3" s="1777" t="s">
        <v>2491</v>
      </c>
      <c r="B3" s="1777" t="s">
        <v>794</v>
      </c>
      <c r="C3" s="1775"/>
      <c r="D3" s="1777" t="str">
        <f>A3</f>
        <v>Publikation 2007</v>
      </c>
      <c r="E3" s="1777" t="str">
        <f>B3</f>
        <v>Publikation 2008</v>
      </c>
      <c r="G3" s="1777" t="str">
        <f>E3</f>
        <v>Publikation 2008</v>
      </c>
      <c r="H3" s="1777"/>
      <c r="I3" s="1777" t="str">
        <f>D3</f>
        <v>Publikation 2007</v>
      </c>
      <c r="K3" s="1777" t="str">
        <f>G3</f>
        <v>Publikation 2008</v>
      </c>
      <c r="L3" s="1777"/>
      <c r="M3" s="1777" t="str">
        <f>I3</f>
        <v>Publikation 2007</v>
      </c>
    </row>
    <row r="4" spans="1:13" ht="13.5" customHeight="1">
      <c r="A4" s="1778"/>
      <c r="B4" s="1778"/>
      <c r="D4" s="1779"/>
      <c r="E4" s="1779"/>
      <c r="G4" s="1780"/>
      <c r="H4" s="1780"/>
      <c r="I4" s="1780"/>
      <c r="K4" s="1780"/>
      <c r="L4" s="1780"/>
      <c r="M4" s="1780"/>
    </row>
    <row r="5" spans="1:13">
      <c r="A5" s="1781">
        <v>1.01</v>
      </c>
      <c r="B5" s="1781">
        <v>1.01</v>
      </c>
      <c r="C5" s="1782"/>
      <c r="D5" s="1783">
        <v>6.05</v>
      </c>
      <c r="E5" s="1784">
        <v>6.05</v>
      </c>
      <c r="G5" s="1785">
        <v>1.01</v>
      </c>
      <c r="H5" s="1785"/>
      <c r="I5" s="1786">
        <v>1.01</v>
      </c>
      <c r="K5" s="1784">
        <v>6.04</v>
      </c>
      <c r="L5" s="1787"/>
      <c r="M5" s="1781">
        <v>6.04</v>
      </c>
    </row>
    <row r="6" spans="1:13">
      <c r="A6" s="1781">
        <v>1.02</v>
      </c>
      <c r="B6" s="1788">
        <v>1.02</v>
      </c>
      <c r="C6" s="1782"/>
      <c r="D6" s="1789">
        <v>6.06</v>
      </c>
      <c r="E6" s="1787">
        <v>6.06</v>
      </c>
      <c r="G6" s="1790">
        <v>1.02</v>
      </c>
      <c r="H6" s="1785"/>
      <c r="I6" s="1786">
        <v>1.02</v>
      </c>
      <c r="K6" s="1784">
        <v>6.05</v>
      </c>
      <c r="L6" s="1787"/>
      <c r="M6" s="1781">
        <v>6.05</v>
      </c>
    </row>
    <row r="7" spans="1:13">
      <c r="A7" s="1781">
        <v>1.03</v>
      </c>
      <c r="B7" s="1788">
        <v>1.03</v>
      </c>
      <c r="C7" s="1782"/>
      <c r="D7" s="1783">
        <v>7.01</v>
      </c>
      <c r="E7" s="1784">
        <v>7.01</v>
      </c>
      <c r="G7" s="1790">
        <v>1.03</v>
      </c>
      <c r="H7" s="1785"/>
      <c r="I7" s="1786">
        <v>1.03</v>
      </c>
      <c r="K7" s="1784">
        <v>6.06</v>
      </c>
      <c r="L7" s="1784"/>
      <c r="M7" s="1788">
        <v>6.06</v>
      </c>
    </row>
    <row r="8" spans="1:13">
      <c r="A8" s="1781">
        <v>1.04</v>
      </c>
      <c r="B8" s="1788">
        <v>1.04</v>
      </c>
      <c r="C8" s="1782"/>
      <c r="D8" s="1783">
        <v>7.02</v>
      </c>
      <c r="E8" s="1784">
        <v>7.02</v>
      </c>
      <c r="G8" s="1790">
        <v>1.04</v>
      </c>
      <c r="H8" s="1785"/>
      <c r="I8" s="1786">
        <v>1.04</v>
      </c>
      <c r="K8" s="1784">
        <v>7.01</v>
      </c>
      <c r="L8" s="1791"/>
      <c r="M8" s="1781">
        <v>7.01</v>
      </c>
    </row>
    <row r="9" spans="1:13">
      <c r="A9" s="1781">
        <v>1.05</v>
      </c>
      <c r="B9" s="1788">
        <v>1.05</v>
      </c>
      <c r="C9" s="1782"/>
      <c r="D9" s="1789">
        <v>7.03</v>
      </c>
      <c r="E9" s="1784">
        <v>7.03</v>
      </c>
      <c r="G9" s="1790">
        <v>1.05</v>
      </c>
      <c r="H9" s="1785"/>
      <c r="I9" s="1786">
        <v>1.05</v>
      </c>
      <c r="K9" s="1784">
        <v>7.02</v>
      </c>
      <c r="L9" s="1791"/>
      <c r="M9" s="1781">
        <v>7.02</v>
      </c>
    </row>
    <row r="10" spans="1:13">
      <c r="A10" s="1781">
        <v>1.06</v>
      </c>
      <c r="B10" s="1788">
        <v>1.06</v>
      </c>
      <c r="C10" s="1782"/>
      <c r="D10" s="1781">
        <v>7.04</v>
      </c>
      <c r="E10" s="1788">
        <v>7.04</v>
      </c>
      <c r="G10" s="1790">
        <v>1.06</v>
      </c>
      <c r="H10" s="1785"/>
      <c r="I10" s="1786">
        <v>1.06</v>
      </c>
      <c r="K10" s="1784">
        <v>7.03</v>
      </c>
      <c r="L10" s="1791"/>
      <c r="M10" s="1781">
        <v>7.03</v>
      </c>
    </row>
    <row r="11" spans="1:13">
      <c r="A11" s="1781">
        <v>1.07</v>
      </c>
      <c r="B11" s="1788">
        <v>1.07</v>
      </c>
      <c r="C11" s="1782"/>
      <c r="D11" s="1787">
        <v>7.05</v>
      </c>
      <c r="E11" s="1784">
        <v>7.05</v>
      </c>
      <c r="G11" s="1790">
        <v>1.07</v>
      </c>
      <c r="H11" s="1785"/>
      <c r="I11" s="1786">
        <v>1.07</v>
      </c>
      <c r="K11" s="1784">
        <v>7.04</v>
      </c>
      <c r="L11" s="1791"/>
      <c r="M11" s="1781">
        <v>7.04</v>
      </c>
    </row>
    <row r="12" spans="1:13">
      <c r="A12" s="1781">
        <v>1.08</v>
      </c>
      <c r="B12" s="1788">
        <v>1.08</v>
      </c>
      <c r="C12" s="1782"/>
      <c r="D12" s="1787">
        <v>8.01</v>
      </c>
      <c r="E12" s="1784">
        <v>8.01</v>
      </c>
      <c r="G12" s="1790">
        <v>1.08</v>
      </c>
      <c r="H12" s="1785"/>
      <c r="I12" s="1786">
        <v>1.08</v>
      </c>
      <c r="K12" s="1784">
        <v>7.05</v>
      </c>
      <c r="L12" s="1792"/>
      <c r="M12" s="1781">
        <v>7.05</v>
      </c>
    </row>
    <row r="13" spans="1:13">
      <c r="A13" s="1789">
        <v>1.0900000000000001</v>
      </c>
      <c r="B13" s="1784">
        <v>1.0900000000000001</v>
      </c>
      <c r="C13" s="1782"/>
      <c r="D13" s="1787">
        <v>8.02</v>
      </c>
      <c r="E13" s="1784">
        <v>8.02</v>
      </c>
      <c r="G13" s="1790">
        <v>1.0900000000000001</v>
      </c>
      <c r="H13" s="1785"/>
      <c r="I13" s="1786">
        <v>1.0900000000000001</v>
      </c>
      <c r="K13" s="1781">
        <v>8.01</v>
      </c>
      <c r="L13" s="1793"/>
      <c r="M13" s="1781">
        <v>8.01</v>
      </c>
    </row>
    <row r="14" spans="1:13">
      <c r="A14" s="1789">
        <v>1.1000000000000001</v>
      </c>
      <c r="B14" s="1788" t="s">
        <v>795</v>
      </c>
      <c r="C14" s="1782"/>
      <c r="D14" s="1781">
        <v>8.0299999999999994</v>
      </c>
      <c r="E14" s="1784">
        <v>8.0299999999999994</v>
      </c>
      <c r="G14" s="1790">
        <v>1.1000000000000001</v>
      </c>
      <c r="H14" s="1785"/>
      <c r="I14" s="1786">
        <v>1.1000000000000001</v>
      </c>
      <c r="K14" s="1781">
        <v>8.02</v>
      </c>
      <c r="L14" s="1793"/>
      <c r="M14" s="1781">
        <v>8.02</v>
      </c>
    </row>
    <row r="15" spans="1:13">
      <c r="A15" s="1789">
        <v>1.1100000000000001</v>
      </c>
      <c r="B15" s="1788">
        <v>1.1100000000000001</v>
      </c>
      <c r="C15" s="1782"/>
      <c r="D15" s="1781">
        <v>8.0399999999999991</v>
      </c>
      <c r="E15" s="1784">
        <v>8.0399999999999991</v>
      </c>
      <c r="G15" s="1790">
        <v>1.1100000000000001</v>
      </c>
      <c r="H15" s="1785"/>
      <c r="I15" s="1786">
        <v>1.1100000000000001</v>
      </c>
      <c r="K15" s="1781">
        <v>8.0299999999999994</v>
      </c>
      <c r="L15" s="1793"/>
      <c r="M15" s="1781">
        <v>8.0299999999999994</v>
      </c>
    </row>
    <row r="16" spans="1:13">
      <c r="A16" s="1789">
        <v>1.1200000000000001</v>
      </c>
      <c r="B16" s="1784">
        <v>1.1200000000000001</v>
      </c>
      <c r="C16" s="1782"/>
      <c r="D16" s="1781">
        <v>8.0500000000000007</v>
      </c>
      <c r="E16" s="1784">
        <v>8.0500000000000007</v>
      </c>
      <c r="G16" s="1790">
        <v>1.1200000000000001</v>
      </c>
      <c r="H16" s="1785"/>
      <c r="I16" s="1786">
        <v>1.1200000000000001</v>
      </c>
      <c r="K16" s="1781">
        <v>8.0399999999999991</v>
      </c>
      <c r="L16" s="1793"/>
      <c r="M16" s="1781">
        <v>8.0399999999999991</v>
      </c>
    </row>
    <row r="17" spans="1:13">
      <c r="A17" s="1789">
        <v>1.1299999999999999</v>
      </c>
      <c r="B17" s="1784">
        <v>1.1299999999999999</v>
      </c>
      <c r="C17" s="1782"/>
      <c r="D17" s="1781">
        <v>8.06</v>
      </c>
      <c r="E17" s="1784">
        <v>8.06</v>
      </c>
      <c r="G17" s="1790">
        <v>1.1299999999999999</v>
      </c>
      <c r="H17" s="1785"/>
      <c r="I17" s="1786">
        <v>1.1299999999999999</v>
      </c>
      <c r="K17" s="1781">
        <v>8.0500000000000007</v>
      </c>
      <c r="L17" s="1793"/>
      <c r="M17" s="1781">
        <v>8.0500000000000007</v>
      </c>
    </row>
    <row r="18" spans="1:13">
      <c r="A18" s="1789">
        <v>1.1399999999999999</v>
      </c>
      <c r="B18" s="1784">
        <v>1.1399999999999999</v>
      </c>
      <c r="C18" s="1782"/>
      <c r="D18" s="1781">
        <v>8.07</v>
      </c>
      <c r="E18" s="1784">
        <v>8.07</v>
      </c>
      <c r="G18" s="1790">
        <v>1.1399999999999999</v>
      </c>
      <c r="H18" s="1785" t="s">
        <v>2346</v>
      </c>
      <c r="I18" s="1790">
        <v>1.1399999999999999</v>
      </c>
      <c r="K18" s="1781">
        <v>8.06</v>
      </c>
      <c r="L18" s="1793"/>
      <c r="M18" s="1781">
        <v>8.06</v>
      </c>
    </row>
    <row r="19" spans="1:13">
      <c r="A19" s="1789">
        <v>1.1499999999999999</v>
      </c>
      <c r="B19" s="1784">
        <v>1.1499999999999999</v>
      </c>
      <c r="C19" s="1782"/>
      <c r="D19" s="1781">
        <v>8.08</v>
      </c>
      <c r="E19" s="1784">
        <v>8.08</v>
      </c>
      <c r="G19" s="1790">
        <v>1.1499999999999999</v>
      </c>
      <c r="H19" s="1785" t="s">
        <v>2346</v>
      </c>
      <c r="I19" s="1790">
        <v>1.1499999999999999</v>
      </c>
      <c r="K19" s="1781">
        <v>8.07</v>
      </c>
      <c r="L19" s="1793"/>
      <c r="M19" s="1781">
        <v>8.07</v>
      </c>
    </row>
    <row r="20" spans="1:13">
      <c r="A20" s="1789">
        <v>2.0099999999999998</v>
      </c>
      <c r="B20" s="1784">
        <v>2.0099999999999998</v>
      </c>
      <c r="C20" s="1782"/>
      <c r="D20" s="1781">
        <v>8.09</v>
      </c>
      <c r="E20" s="1787">
        <v>8.09</v>
      </c>
      <c r="G20" s="1784">
        <v>2.0099999999999998</v>
      </c>
      <c r="H20" s="1785"/>
      <c r="I20" s="1786">
        <v>2.0099999999999998</v>
      </c>
      <c r="K20" s="1781">
        <v>8.08</v>
      </c>
      <c r="L20" s="1793"/>
      <c r="M20" s="1781">
        <v>8.08</v>
      </c>
    </row>
    <row r="21" spans="1:13">
      <c r="A21" s="1789">
        <v>2.02</v>
      </c>
      <c r="B21" s="1784">
        <v>2.02</v>
      </c>
      <c r="C21" s="1782"/>
      <c r="D21" s="1781" t="s">
        <v>1072</v>
      </c>
      <c r="E21" s="1787" t="s">
        <v>1072</v>
      </c>
      <c r="G21" s="1794">
        <v>2.02</v>
      </c>
      <c r="H21" s="1785"/>
      <c r="I21" s="1786">
        <v>2.02</v>
      </c>
      <c r="K21" s="1781">
        <v>8.09</v>
      </c>
      <c r="L21" s="1793"/>
      <c r="M21" s="1781">
        <v>8.09</v>
      </c>
    </row>
    <row r="22" spans="1:13">
      <c r="A22" s="1789">
        <v>2.0299999999999998</v>
      </c>
      <c r="B22" s="1784">
        <v>2.0299999999999998</v>
      </c>
      <c r="C22" s="1782"/>
      <c r="D22" s="1781" t="s">
        <v>1073</v>
      </c>
      <c r="E22" s="1787" t="s">
        <v>1073</v>
      </c>
      <c r="G22" s="1794">
        <v>2.0299999999999998</v>
      </c>
      <c r="H22" s="1785"/>
      <c r="I22" s="1786">
        <v>2.0299999999999998</v>
      </c>
      <c r="K22" s="1781" t="s">
        <v>1072</v>
      </c>
      <c r="L22" s="1793"/>
      <c r="M22" s="1781" t="s">
        <v>1072</v>
      </c>
    </row>
    <row r="23" spans="1:13">
      <c r="A23" s="1789">
        <v>2.04</v>
      </c>
      <c r="B23" s="1784">
        <v>2.04</v>
      </c>
      <c r="C23" s="1782"/>
      <c r="D23" s="1781">
        <v>8.1199999999999992</v>
      </c>
      <c r="E23" s="1785">
        <v>8.1199999999999992</v>
      </c>
      <c r="G23" s="1784">
        <v>2.04</v>
      </c>
      <c r="H23" s="1785" t="s">
        <v>2346</v>
      </c>
      <c r="I23" s="1786">
        <v>2.04</v>
      </c>
      <c r="K23" s="1781" t="s">
        <v>1073</v>
      </c>
      <c r="L23" s="1793"/>
      <c r="M23" s="1787" t="s">
        <v>1073</v>
      </c>
    </row>
    <row r="24" spans="1:13">
      <c r="A24" s="1789">
        <v>2.0499999999999998</v>
      </c>
      <c r="B24" s="1784">
        <v>2.0499999999999998</v>
      </c>
      <c r="C24" s="1782"/>
      <c r="D24" s="1781">
        <v>8.1300000000000008</v>
      </c>
      <c r="E24" s="1785">
        <v>8.1300000000000008</v>
      </c>
      <c r="G24" s="1784">
        <v>2.0499999999999998</v>
      </c>
      <c r="H24" s="1785" t="s">
        <v>2346</v>
      </c>
      <c r="I24" s="1786">
        <v>2.0499999999999998</v>
      </c>
      <c r="K24" s="1784">
        <v>8.1199999999999992</v>
      </c>
      <c r="L24" s="1791"/>
      <c r="M24" s="1781">
        <v>8.1199999999999992</v>
      </c>
    </row>
    <row r="25" spans="1:13">
      <c r="A25" s="1789">
        <v>2.06</v>
      </c>
      <c r="B25" s="1784">
        <v>2.06</v>
      </c>
      <c r="C25" s="1782"/>
      <c r="D25" s="1785">
        <v>9.01</v>
      </c>
      <c r="E25" s="1785">
        <v>9.01</v>
      </c>
      <c r="G25" s="1784">
        <v>2.06</v>
      </c>
      <c r="H25" s="1785"/>
      <c r="I25" s="1786">
        <v>2.06</v>
      </c>
      <c r="K25" s="1794">
        <v>8.1300000000000008</v>
      </c>
      <c r="L25" s="1791"/>
      <c r="M25" s="1787">
        <v>8.1300000000000008</v>
      </c>
    </row>
    <row r="26" spans="1:13">
      <c r="A26" s="1789">
        <v>2.0699999999999998</v>
      </c>
      <c r="B26" s="1784">
        <v>2.0699999999999998</v>
      </c>
      <c r="C26" s="1782"/>
      <c r="D26" s="1785">
        <v>9.02</v>
      </c>
      <c r="E26" s="1785">
        <v>9.02</v>
      </c>
      <c r="G26" s="1784">
        <v>2.0699999999999998</v>
      </c>
      <c r="H26" s="1785" t="s">
        <v>2346</v>
      </c>
      <c r="I26" s="1786">
        <v>2.0699999999999998</v>
      </c>
      <c r="K26" s="1781">
        <v>9.01</v>
      </c>
      <c r="L26" s="1793"/>
      <c r="M26" s="1787">
        <v>9.01</v>
      </c>
    </row>
    <row r="27" spans="1:13">
      <c r="A27" s="1789">
        <v>2.08</v>
      </c>
      <c r="B27" s="1788">
        <v>2.08</v>
      </c>
      <c r="C27" s="1782"/>
      <c r="D27" s="1785">
        <v>9.0299999999999994</v>
      </c>
      <c r="E27" s="1785">
        <v>9.0299999999999994</v>
      </c>
      <c r="G27" s="1784">
        <v>2.08</v>
      </c>
      <c r="H27" s="1785" t="s">
        <v>2346</v>
      </c>
      <c r="I27" s="1786">
        <v>2.08</v>
      </c>
      <c r="K27" s="1781">
        <v>9.02</v>
      </c>
      <c r="L27" s="1793"/>
      <c r="M27" s="1781">
        <v>9.02</v>
      </c>
    </row>
    <row r="28" spans="1:13">
      <c r="A28" s="1789">
        <v>2.09</v>
      </c>
      <c r="B28" s="1784">
        <v>2.09</v>
      </c>
      <c r="C28" s="1782"/>
      <c r="D28" s="1781">
        <v>9.0399999999999991</v>
      </c>
      <c r="E28" s="1781">
        <v>9.0399999999999991</v>
      </c>
      <c r="G28" s="1784">
        <v>2.09</v>
      </c>
      <c r="H28" s="1785"/>
      <c r="I28" s="1786">
        <v>2.09</v>
      </c>
      <c r="K28" s="1781">
        <v>9.0299999999999994</v>
      </c>
      <c r="L28" s="1793"/>
      <c r="M28" s="1781">
        <v>9.0299999999999994</v>
      </c>
    </row>
    <row r="29" spans="1:13">
      <c r="A29" s="1789" t="s">
        <v>1366</v>
      </c>
      <c r="B29" s="1790" t="s">
        <v>1366</v>
      </c>
      <c r="C29" s="1782"/>
      <c r="D29" s="1781">
        <v>9.0500000000000007</v>
      </c>
      <c r="E29" s="1781">
        <v>9.0500000000000007</v>
      </c>
      <c r="G29" s="1784" t="s">
        <v>1366</v>
      </c>
      <c r="H29" s="1785" t="s">
        <v>2346</v>
      </c>
      <c r="I29" s="1786" t="s">
        <v>1366</v>
      </c>
      <c r="K29" s="1781">
        <v>9.0399999999999991</v>
      </c>
      <c r="L29" s="1793"/>
      <c r="M29" s="1781">
        <v>9.0399999999999991</v>
      </c>
    </row>
    <row r="30" spans="1:13">
      <c r="A30" s="1789">
        <v>2.11</v>
      </c>
      <c r="B30" s="1790">
        <v>2.11</v>
      </c>
      <c r="C30" s="1782"/>
      <c r="D30" s="1787">
        <v>9.06</v>
      </c>
      <c r="E30" s="1787">
        <v>9.06</v>
      </c>
      <c r="G30" s="1784">
        <v>2.11</v>
      </c>
      <c r="H30" s="1785"/>
      <c r="I30" s="1786">
        <v>2.11</v>
      </c>
      <c r="K30" s="1781">
        <v>9.0500000000000007</v>
      </c>
      <c r="L30" s="1793"/>
      <c r="M30" s="1781">
        <v>9.0500000000000007</v>
      </c>
    </row>
    <row r="31" spans="1:13">
      <c r="A31" s="1789">
        <v>2.12</v>
      </c>
      <c r="B31" s="1795">
        <v>2.12</v>
      </c>
      <c r="C31" s="1782"/>
      <c r="D31" s="1787">
        <v>9.07</v>
      </c>
      <c r="E31" s="1787">
        <v>9.07</v>
      </c>
      <c r="G31" s="1784">
        <v>2.12</v>
      </c>
      <c r="H31" s="1785" t="s">
        <v>2346</v>
      </c>
      <c r="I31" s="1786">
        <v>2.12</v>
      </c>
      <c r="K31" s="1796">
        <v>9.06</v>
      </c>
      <c r="L31" s="1793"/>
      <c r="M31" s="1781">
        <v>9.06</v>
      </c>
    </row>
    <row r="32" spans="1:13">
      <c r="A32" s="1789">
        <v>2.13</v>
      </c>
      <c r="B32" s="1790">
        <v>2.13</v>
      </c>
      <c r="C32" s="1782"/>
      <c r="D32" s="1781">
        <v>9.08</v>
      </c>
      <c r="E32" s="1784">
        <v>9.08</v>
      </c>
      <c r="G32" s="1784">
        <v>2.13</v>
      </c>
      <c r="H32" s="1785" t="s">
        <v>2346</v>
      </c>
      <c r="I32" s="1786">
        <v>2.13</v>
      </c>
      <c r="K32" s="1796">
        <v>9.07</v>
      </c>
      <c r="L32" s="1793"/>
      <c r="M32" s="1781">
        <v>9.07</v>
      </c>
    </row>
    <row r="33" spans="1:13">
      <c r="A33" s="1789">
        <v>2.14</v>
      </c>
      <c r="B33" s="1795">
        <v>2.14</v>
      </c>
      <c r="C33" s="1782"/>
      <c r="D33" s="1781">
        <v>9.09</v>
      </c>
      <c r="E33" s="1787">
        <v>9.09</v>
      </c>
      <c r="G33" s="1784">
        <v>2.14</v>
      </c>
      <c r="H33" s="1785"/>
      <c r="I33" s="1786">
        <v>2.14</v>
      </c>
      <c r="K33" s="1796">
        <v>9.08</v>
      </c>
      <c r="L33" s="1793"/>
      <c r="M33" s="1781">
        <v>9.08</v>
      </c>
    </row>
    <row r="34" spans="1:13">
      <c r="A34" s="1789">
        <v>2.15</v>
      </c>
      <c r="B34" s="1795">
        <v>2.15</v>
      </c>
      <c r="C34" s="1782"/>
      <c r="D34" s="1781" t="s">
        <v>927</v>
      </c>
      <c r="E34" s="1787" t="s">
        <v>927</v>
      </c>
      <c r="G34" s="1794">
        <v>2.15</v>
      </c>
      <c r="H34" s="1785"/>
      <c r="I34" s="1786">
        <v>2.15</v>
      </c>
      <c r="K34" s="1796">
        <v>9.09</v>
      </c>
      <c r="L34" s="1793" t="s">
        <v>2346</v>
      </c>
      <c r="M34" s="1781">
        <v>9.09</v>
      </c>
    </row>
    <row r="35" spans="1:13">
      <c r="A35" s="1789">
        <v>2.16</v>
      </c>
      <c r="B35" s="1795">
        <v>2.16</v>
      </c>
      <c r="C35" s="1782"/>
      <c r="D35" s="1781">
        <v>9.11</v>
      </c>
      <c r="E35" s="1787">
        <v>9.11</v>
      </c>
      <c r="G35" s="1784">
        <v>2.16</v>
      </c>
      <c r="H35" s="1785"/>
      <c r="I35" s="1786">
        <v>2.16</v>
      </c>
      <c r="K35" s="1781" t="s">
        <v>927</v>
      </c>
      <c r="L35" s="1793"/>
      <c r="M35" s="1781" t="s">
        <v>927</v>
      </c>
    </row>
    <row r="36" spans="1:13">
      <c r="A36" s="1789">
        <v>2.17</v>
      </c>
      <c r="B36" s="1795">
        <v>2.17</v>
      </c>
      <c r="C36" s="1782"/>
      <c r="D36" s="1781">
        <v>9.1199999999999992</v>
      </c>
      <c r="E36" s="1787">
        <v>9.1199999999999992</v>
      </c>
      <c r="G36" s="1784">
        <v>2.17</v>
      </c>
      <c r="H36" s="1785"/>
      <c r="I36" s="1786">
        <v>2.17</v>
      </c>
      <c r="K36" s="1796">
        <v>9.11</v>
      </c>
      <c r="L36" s="1793"/>
      <c r="M36" s="1781">
        <v>9.11</v>
      </c>
    </row>
    <row r="37" spans="1:13">
      <c r="A37" s="1789">
        <v>2.1800000000000002</v>
      </c>
      <c r="B37" s="1795">
        <v>2.1800000000000002</v>
      </c>
      <c r="C37" s="1782"/>
      <c r="D37" s="1781">
        <v>9.1300000000000008</v>
      </c>
      <c r="E37" s="1787">
        <v>9.1300000000000008</v>
      </c>
      <c r="G37" s="1784">
        <v>2.1800000000000002</v>
      </c>
      <c r="H37" s="1785"/>
      <c r="I37" s="1786">
        <v>2.1800000000000002</v>
      </c>
      <c r="K37" s="1781">
        <v>9.1199999999999992</v>
      </c>
      <c r="L37" s="1793"/>
      <c r="M37" s="1781">
        <v>9.1199999999999992</v>
      </c>
    </row>
    <row r="38" spans="1:13">
      <c r="A38" s="1789">
        <v>2.19</v>
      </c>
      <c r="B38" s="1790">
        <v>2.19</v>
      </c>
      <c r="C38" s="1782"/>
      <c r="D38" s="1781">
        <v>9.14</v>
      </c>
      <c r="E38" s="1787">
        <v>9.14</v>
      </c>
      <c r="G38" s="1784">
        <v>2.19</v>
      </c>
      <c r="H38" s="1785"/>
      <c r="I38" s="1786">
        <v>2.19</v>
      </c>
      <c r="K38" s="1781">
        <v>9.1300000000000008</v>
      </c>
      <c r="L38" s="1793"/>
      <c r="M38" s="1781">
        <v>9.1300000000000008</v>
      </c>
    </row>
    <row r="39" spans="1:13">
      <c r="A39" s="1789" t="s">
        <v>1071</v>
      </c>
      <c r="B39" s="1790" t="s">
        <v>1071</v>
      </c>
      <c r="C39" s="1782"/>
      <c r="D39" s="1781">
        <v>9.15</v>
      </c>
      <c r="E39" s="1787">
        <v>9.15</v>
      </c>
      <c r="G39" s="1788" t="s">
        <v>1071</v>
      </c>
      <c r="H39" s="1785"/>
      <c r="I39" s="1786" t="s">
        <v>1071</v>
      </c>
      <c r="K39" s="1781">
        <v>9.14</v>
      </c>
      <c r="L39" s="1793"/>
      <c r="M39" s="1781">
        <v>9.14</v>
      </c>
    </row>
    <row r="40" spans="1:13">
      <c r="A40" s="1781">
        <v>2.21</v>
      </c>
      <c r="B40" s="1788">
        <v>2.21</v>
      </c>
      <c r="C40" s="1782"/>
      <c r="D40" s="1781">
        <v>9.16</v>
      </c>
      <c r="E40" s="1787" t="s">
        <v>1060</v>
      </c>
      <c r="G40" s="1794">
        <v>2.21</v>
      </c>
      <c r="H40" s="1785"/>
      <c r="I40" s="1786">
        <v>2.21</v>
      </c>
      <c r="K40" s="1796">
        <v>9.15</v>
      </c>
      <c r="L40" s="1797"/>
      <c r="M40" s="1781">
        <v>9.15</v>
      </c>
    </row>
    <row r="41" spans="1:13">
      <c r="A41" s="1781">
        <v>2.2200000000000002</v>
      </c>
      <c r="B41" s="1788">
        <v>2.2200000000000002</v>
      </c>
      <c r="C41" s="1782"/>
      <c r="D41" s="1781">
        <v>9.17</v>
      </c>
      <c r="E41" s="1787">
        <v>9.17</v>
      </c>
      <c r="G41" s="1784">
        <v>2.2200000000000002</v>
      </c>
      <c r="H41" s="1785"/>
      <c r="I41" s="1786">
        <v>2.2200000000000002</v>
      </c>
      <c r="K41" s="1781">
        <v>9.16</v>
      </c>
      <c r="L41" s="1793"/>
      <c r="M41" s="1781">
        <v>9.2200000000000006</v>
      </c>
    </row>
    <row r="42" spans="1:13">
      <c r="A42" s="1781">
        <v>2.23</v>
      </c>
      <c r="B42" s="1788">
        <v>2.23</v>
      </c>
      <c r="C42" s="1782"/>
      <c r="D42" s="1781">
        <v>9.18</v>
      </c>
      <c r="E42" s="1787">
        <v>9.18</v>
      </c>
      <c r="G42" s="1784">
        <v>2.23</v>
      </c>
      <c r="H42" s="1785"/>
      <c r="I42" s="1786">
        <v>2.23</v>
      </c>
      <c r="K42" s="1796">
        <v>9.17</v>
      </c>
      <c r="L42" s="1797"/>
      <c r="M42" s="1781">
        <v>9.17</v>
      </c>
    </row>
    <row r="43" spans="1:13">
      <c r="A43" s="1781">
        <v>3.01</v>
      </c>
      <c r="B43" s="1788">
        <v>3.01</v>
      </c>
      <c r="C43" s="1782"/>
      <c r="D43" s="1781">
        <v>9.19</v>
      </c>
      <c r="E43" s="1781">
        <v>9.19</v>
      </c>
      <c r="G43" s="1784">
        <v>3.01</v>
      </c>
      <c r="H43" s="1798"/>
      <c r="I43" s="1786">
        <v>3.01</v>
      </c>
      <c r="K43" s="1796">
        <v>9.18</v>
      </c>
      <c r="L43" s="1797"/>
      <c r="M43" s="1781">
        <v>9.18</v>
      </c>
    </row>
    <row r="44" spans="1:13">
      <c r="A44" s="1781">
        <v>3.02</v>
      </c>
      <c r="B44" s="1788">
        <v>3.02</v>
      </c>
      <c r="C44" s="1782"/>
      <c r="D44" s="1781" t="s">
        <v>0</v>
      </c>
      <c r="E44" s="1787" t="s">
        <v>0</v>
      </c>
      <c r="G44" s="1784">
        <v>3.02</v>
      </c>
      <c r="H44" s="1798" t="s">
        <v>2346</v>
      </c>
      <c r="I44" s="1786">
        <v>3.02</v>
      </c>
      <c r="K44" s="1781">
        <v>9.19</v>
      </c>
      <c r="L44" s="1797"/>
      <c r="M44" s="1781">
        <v>9.19</v>
      </c>
    </row>
    <row r="45" spans="1:13">
      <c r="A45" s="1789">
        <v>3.03</v>
      </c>
      <c r="B45" s="1784">
        <v>3.03</v>
      </c>
      <c r="C45" s="1782"/>
      <c r="D45" s="1781" t="s">
        <v>1392</v>
      </c>
      <c r="E45" s="1781" t="s">
        <v>1392</v>
      </c>
      <c r="G45" s="1784">
        <v>3.03</v>
      </c>
      <c r="H45" s="1798" t="s">
        <v>2346</v>
      </c>
      <c r="I45" s="1786">
        <v>3.03</v>
      </c>
      <c r="K45" s="1781" t="s">
        <v>0</v>
      </c>
      <c r="L45" s="1797"/>
      <c r="M45" s="1787" t="s">
        <v>0</v>
      </c>
    </row>
    <row r="46" spans="1:13">
      <c r="A46" s="1789">
        <v>3.04</v>
      </c>
      <c r="B46" s="1784">
        <v>3.04</v>
      </c>
      <c r="C46" s="1782"/>
      <c r="D46" s="1781" t="s">
        <v>1075</v>
      </c>
      <c r="E46" s="1781" t="s">
        <v>796</v>
      </c>
      <c r="G46" s="1784">
        <v>3.04</v>
      </c>
      <c r="H46" s="1798" t="s">
        <v>2346</v>
      </c>
      <c r="I46" s="1786">
        <v>3.04</v>
      </c>
      <c r="K46" s="1796" t="s">
        <v>1392</v>
      </c>
      <c r="L46" s="1793"/>
      <c r="M46" s="1781" t="s">
        <v>1392</v>
      </c>
    </row>
    <row r="47" spans="1:13">
      <c r="A47" s="1787">
        <v>3.05</v>
      </c>
      <c r="B47" s="1788">
        <v>3.05</v>
      </c>
      <c r="C47" s="1782"/>
      <c r="D47" s="1781" t="s">
        <v>1063</v>
      </c>
      <c r="E47" s="1781" t="s">
        <v>1063</v>
      </c>
      <c r="G47" s="1784">
        <v>3.05</v>
      </c>
      <c r="H47" s="1798" t="s">
        <v>2346</v>
      </c>
      <c r="I47" s="1786">
        <v>3.05</v>
      </c>
      <c r="K47" s="1781" t="s">
        <v>1063</v>
      </c>
      <c r="L47" s="1797"/>
      <c r="M47" s="1781" t="s">
        <v>1063</v>
      </c>
    </row>
    <row r="48" spans="1:13">
      <c r="A48" s="1781">
        <v>3.06</v>
      </c>
      <c r="B48" s="1788">
        <v>3.06</v>
      </c>
      <c r="C48" s="1782"/>
      <c r="D48" s="1781" t="s">
        <v>1064</v>
      </c>
      <c r="E48" s="1781" t="s">
        <v>1064</v>
      </c>
      <c r="G48" s="1784">
        <v>3.06</v>
      </c>
      <c r="H48" s="1798" t="s">
        <v>2346</v>
      </c>
      <c r="I48" s="1786">
        <v>3.06</v>
      </c>
      <c r="K48" s="1781" t="s">
        <v>1064</v>
      </c>
      <c r="L48" s="1797"/>
      <c r="M48" s="1781" t="s">
        <v>1064</v>
      </c>
    </row>
    <row r="49" spans="1:13">
      <c r="A49" s="1789">
        <v>3.07</v>
      </c>
      <c r="B49" s="1795">
        <v>3.07</v>
      </c>
      <c r="C49" s="1782"/>
      <c r="D49" s="1781" t="s">
        <v>1065</v>
      </c>
      <c r="E49" s="1781" t="s">
        <v>1065</v>
      </c>
      <c r="G49" s="1784">
        <v>3.07</v>
      </c>
      <c r="H49" s="1798" t="s">
        <v>2346</v>
      </c>
      <c r="I49" s="1786">
        <v>3.07</v>
      </c>
      <c r="K49" s="1781" t="s">
        <v>1065</v>
      </c>
      <c r="L49" s="1797"/>
      <c r="M49" s="1781" t="s">
        <v>1065</v>
      </c>
    </row>
    <row r="50" spans="1:13">
      <c r="A50" s="1789">
        <v>3.08</v>
      </c>
      <c r="B50" s="1784">
        <v>3.08</v>
      </c>
      <c r="C50" s="1782"/>
      <c r="D50" s="1781">
        <v>11.01</v>
      </c>
      <c r="E50" s="1781">
        <v>11.01</v>
      </c>
      <c r="G50" s="1784">
        <v>3.08</v>
      </c>
      <c r="H50" s="1798" t="s">
        <v>2346</v>
      </c>
      <c r="I50" s="1799">
        <v>3.08</v>
      </c>
      <c r="K50" s="1781">
        <v>11.01</v>
      </c>
      <c r="L50" s="1793"/>
      <c r="M50" s="1781">
        <v>11.01</v>
      </c>
    </row>
    <row r="51" spans="1:13">
      <c r="A51" s="1789">
        <v>3.09</v>
      </c>
      <c r="B51" s="1784">
        <v>3.09</v>
      </c>
      <c r="C51" s="1782"/>
      <c r="D51" s="1781">
        <v>11.02</v>
      </c>
      <c r="E51" s="1781">
        <v>11.02</v>
      </c>
      <c r="G51" s="1784">
        <v>3.09</v>
      </c>
      <c r="H51" s="1798"/>
      <c r="I51" s="1786">
        <v>3.09</v>
      </c>
      <c r="K51" s="1781">
        <v>11.02</v>
      </c>
      <c r="L51" s="1793"/>
      <c r="M51" s="1781">
        <v>11.02</v>
      </c>
    </row>
    <row r="52" spans="1:13">
      <c r="A52" s="1781" t="s">
        <v>1414</v>
      </c>
      <c r="B52" s="1784" t="s">
        <v>1414</v>
      </c>
      <c r="C52" s="1782"/>
      <c r="D52" s="1781">
        <v>11.03</v>
      </c>
      <c r="E52" s="1781">
        <v>11.03</v>
      </c>
      <c r="G52" s="1781" t="s">
        <v>1414</v>
      </c>
      <c r="H52" s="1787"/>
      <c r="I52" s="1781" t="s">
        <v>1414</v>
      </c>
      <c r="K52" s="1781">
        <v>11.03</v>
      </c>
      <c r="L52" s="1793"/>
      <c r="M52" s="1781">
        <v>11.03</v>
      </c>
    </row>
    <row r="53" spans="1:13">
      <c r="A53" s="1787">
        <v>3.11</v>
      </c>
      <c r="B53" s="1781">
        <v>3.11</v>
      </c>
      <c r="C53" s="1782"/>
      <c r="D53" s="1787">
        <v>11.04</v>
      </c>
      <c r="E53" s="1781">
        <v>11.04</v>
      </c>
      <c r="G53" s="1787">
        <v>3.11</v>
      </c>
      <c r="H53" s="1787"/>
      <c r="I53" s="1787">
        <v>3.11</v>
      </c>
      <c r="K53" s="1781">
        <v>11.04</v>
      </c>
      <c r="L53" s="1793"/>
      <c r="M53" s="1781">
        <v>11.04</v>
      </c>
    </row>
    <row r="54" spans="1:13">
      <c r="A54" s="1781">
        <v>3.12</v>
      </c>
      <c r="B54" s="1781">
        <v>3.12</v>
      </c>
      <c r="C54" s="1782"/>
      <c r="D54" s="1787">
        <v>11.05</v>
      </c>
      <c r="E54" s="1781">
        <v>11.05</v>
      </c>
      <c r="G54" s="1800">
        <v>3.12</v>
      </c>
      <c r="H54" s="1787"/>
      <c r="I54" s="1781">
        <v>3.12</v>
      </c>
      <c r="K54" s="1781">
        <v>11.05</v>
      </c>
      <c r="L54" s="1793"/>
      <c r="M54" s="1781">
        <v>11.05</v>
      </c>
    </row>
    <row r="55" spans="1:13">
      <c r="A55" s="1787">
        <v>4.01</v>
      </c>
      <c r="B55" s="1781">
        <v>4.01</v>
      </c>
      <c r="C55" s="1782"/>
      <c r="D55" s="1781">
        <v>11.06</v>
      </c>
      <c r="E55" s="1781">
        <v>11.06</v>
      </c>
      <c r="G55" s="1801">
        <v>3.13</v>
      </c>
      <c r="H55" s="1787"/>
      <c r="I55" s="1787" t="s">
        <v>1060</v>
      </c>
      <c r="K55" s="1781">
        <v>11.06</v>
      </c>
      <c r="L55" s="1793"/>
      <c r="M55" s="1781">
        <v>11.06</v>
      </c>
    </row>
    <row r="56" spans="1:13">
      <c r="A56" s="1789">
        <v>4.0199999999999996</v>
      </c>
      <c r="B56" s="1786">
        <v>4.0199999999999996</v>
      </c>
      <c r="C56" s="1782"/>
      <c r="D56" s="1781">
        <v>11.07</v>
      </c>
      <c r="E56" s="1781">
        <v>11.09</v>
      </c>
      <c r="G56" s="1787">
        <v>4.01</v>
      </c>
      <c r="H56" s="1798"/>
      <c r="I56" s="1781">
        <v>4.01</v>
      </c>
      <c r="K56" s="1781">
        <v>11.07</v>
      </c>
      <c r="L56" s="1793"/>
      <c r="M56" s="1781">
        <v>11.11</v>
      </c>
    </row>
    <row r="57" spans="1:13">
      <c r="A57" s="1789">
        <v>4.03</v>
      </c>
      <c r="B57" s="1787">
        <v>4.03</v>
      </c>
      <c r="C57" s="1782"/>
      <c r="D57" s="1781">
        <v>11.08</v>
      </c>
      <c r="E57" s="1781">
        <v>11.08</v>
      </c>
      <c r="G57" s="1784">
        <v>4.0199999999999996</v>
      </c>
      <c r="H57" s="1798" t="s">
        <v>2346</v>
      </c>
      <c r="I57" s="1781">
        <v>4.0199999999999996</v>
      </c>
      <c r="K57" s="1781">
        <v>11.08</v>
      </c>
      <c r="L57" s="1793" t="s">
        <v>2346</v>
      </c>
      <c r="M57" s="1781">
        <v>11.08</v>
      </c>
    </row>
    <row r="58" spans="1:13">
      <c r="A58" s="1787">
        <v>4.04</v>
      </c>
      <c r="B58" s="1781">
        <v>4.04</v>
      </c>
      <c r="C58" s="1782"/>
      <c r="D58" s="1781">
        <v>11.09</v>
      </c>
      <c r="E58" s="1787" t="s">
        <v>1060</v>
      </c>
      <c r="G58" s="1794">
        <v>4.03</v>
      </c>
      <c r="H58" s="1798"/>
      <c r="I58" s="1781">
        <v>4.03</v>
      </c>
      <c r="K58" s="1781">
        <v>11.09</v>
      </c>
      <c r="L58" s="1793"/>
      <c r="M58" s="1781">
        <v>11.07</v>
      </c>
    </row>
    <row r="59" spans="1:13">
      <c r="A59" s="1787">
        <v>4.05</v>
      </c>
      <c r="B59" s="1781">
        <v>4.05</v>
      </c>
      <c r="C59" s="1782"/>
      <c r="D59" s="1781" t="s">
        <v>1074</v>
      </c>
      <c r="E59" s="1787" t="s">
        <v>1060</v>
      </c>
      <c r="G59" s="1794">
        <v>4.04</v>
      </c>
      <c r="H59" s="1798" t="s">
        <v>2346</v>
      </c>
      <c r="I59" s="1781">
        <v>4.04</v>
      </c>
      <c r="K59" s="1781" t="s">
        <v>1074</v>
      </c>
      <c r="L59" s="1793"/>
      <c r="M59" s="1781" t="s">
        <v>797</v>
      </c>
    </row>
    <row r="60" spans="1:13">
      <c r="A60" s="1787">
        <v>4.0599999999999996</v>
      </c>
      <c r="B60" s="1787" t="s">
        <v>1060</v>
      </c>
      <c r="C60" s="1782"/>
      <c r="D60" s="1781">
        <v>11.11</v>
      </c>
      <c r="E60" s="1787">
        <v>11.07</v>
      </c>
      <c r="G60" s="1794">
        <v>4.05</v>
      </c>
      <c r="H60" s="1798" t="s">
        <v>2346</v>
      </c>
      <c r="I60" s="1781">
        <v>4.05</v>
      </c>
      <c r="K60" s="1781">
        <v>11.11</v>
      </c>
      <c r="L60" s="1797"/>
      <c r="M60" s="1781">
        <v>11.18</v>
      </c>
    </row>
    <row r="61" spans="1:13">
      <c r="A61" s="1789">
        <v>4.07</v>
      </c>
      <c r="B61" s="1787">
        <v>4.07</v>
      </c>
      <c r="C61" s="1782"/>
      <c r="D61" s="1781">
        <v>11.12</v>
      </c>
      <c r="E61" s="1781">
        <v>11.12</v>
      </c>
      <c r="G61" s="1794">
        <v>4.0599999999999996</v>
      </c>
      <c r="H61" s="1798" t="s">
        <v>2346</v>
      </c>
      <c r="I61" s="1781">
        <v>4.1100000000000003</v>
      </c>
      <c r="K61" s="1781">
        <v>11.12</v>
      </c>
      <c r="L61" s="1797"/>
      <c r="M61" s="1781">
        <v>11.12</v>
      </c>
    </row>
    <row r="62" spans="1:13">
      <c r="A62" s="1789">
        <v>4.08</v>
      </c>
      <c r="B62" s="1787">
        <v>4.08</v>
      </c>
      <c r="C62" s="1782"/>
      <c r="D62" s="1781">
        <v>11.13</v>
      </c>
      <c r="E62" s="1781">
        <v>11.13</v>
      </c>
      <c r="G62" s="1794">
        <v>4.07</v>
      </c>
      <c r="H62" s="1798"/>
      <c r="I62" s="1781">
        <v>4.07</v>
      </c>
      <c r="K62" s="1781">
        <v>11.13</v>
      </c>
      <c r="L62" s="1797"/>
      <c r="M62" s="1787">
        <v>11.13</v>
      </c>
    </row>
    <row r="63" spans="1:13">
      <c r="A63" s="1789">
        <v>4.09</v>
      </c>
      <c r="B63" s="1784" t="s">
        <v>1060</v>
      </c>
      <c r="C63" s="1782"/>
      <c r="D63" s="1781">
        <v>11.14</v>
      </c>
      <c r="E63" s="1781">
        <v>11.14</v>
      </c>
      <c r="G63" s="1794">
        <v>4.08</v>
      </c>
      <c r="H63" s="1798" t="s">
        <v>2346</v>
      </c>
      <c r="I63" s="1781">
        <v>4.08</v>
      </c>
      <c r="K63" s="1796">
        <v>11.14</v>
      </c>
      <c r="L63" s="1793" t="s">
        <v>2346</v>
      </c>
      <c r="M63" s="1787">
        <v>11.14</v>
      </c>
    </row>
    <row r="64" spans="1:13">
      <c r="A64" s="1789">
        <v>4.0999999999999996</v>
      </c>
      <c r="B64" s="1788" t="s">
        <v>798</v>
      </c>
      <c r="C64" s="1782"/>
      <c r="D64" s="1781">
        <v>11.15</v>
      </c>
      <c r="E64" s="1781">
        <v>11.15</v>
      </c>
      <c r="G64" s="1784">
        <v>4.09</v>
      </c>
      <c r="H64" s="1798" t="s">
        <v>2346</v>
      </c>
      <c r="I64" s="1781" t="s">
        <v>1070</v>
      </c>
      <c r="K64" s="1781">
        <v>11.15</v>
      </c>
      <c r="L64" s="1797"/>
      <c r="M64" s="1787">
        <v>11.15</v>
      </c>
    </row>
    <row r="65" spans="1:13">
      <c r="A65" s="1789">
        <v>4.1100000000000003</v>
      </c>
      <c r="B65" s="1784">
        <v>4.0599999999999996</v>
      </c>
      <c r="C65" s="1782"/>
      <c r="D65" s="1781">
        <v>11.16</v>
      </c>
      <c r="E65" s="1781">
        <v>11.16</v>
      </c>
      <c r="G65" s="1802">
        <v>4.0999999999999996</v>
      </c>
      <c r="H65" s="1798" t="s">
        <v>2346</v>
      </c>
      <c r="I65" s="1787" t="s">
        <v>1060</v>
      </c>
      <c r="K65" s="1781">
        <v>11.16</v>
      </c>
      <c r="L65" s="1793" t="s">
        <v>2346</v>
      </c>
      <c r="M65" s="1787">
        <v>11.16</v>
      </c>
    </row>
    <row r="66" spans="1:13">
      <c r="A66" s="1789">
        <v>5.01</v>
      </c>
      <c r="B66" s="1784">
        <v>5.01</v>
      </c>
      <c r="C66" s="1782"/>
      <c r="D66" s="1781">
        <v>11.17</v>
      </c>
      <c r="E66" s="1781" t="s">
        <v>1074</v>
      </c>
      <c r="G66" s="1781">
        <v>5.01</v>
      </c>
      <c r="H66" s="1787"/>
      <c r="I66" s="1781">
        <v>5.01</v>
      </c>
      <c r="K66" s="1788">
        <v>11.17</v>
      </c>
      <c r="L66" s="1803"/>
      <c r="M66" s="1784">
        <v>11.19</v>
      </c>
    </row>
    <row r="67" spans="1:13">
      <c r="A67" s="1789">
        <v>5.0199999999999996</v>
      </c>
      <c r="B67" s="1784">
        <v>5.0199999999999996</v>
      </c>
      <c r="C67" s="1782"/>
      <c r="D67" s="1781">
        <v>11.18</v>
      </c>
      <c r="E67" s="1781">
        <v>11.11</v>
      </c>
      <c r="G67" s="1781">
        <v>5.0199999999999996</v>
      </c>
      <c r="H67" s="1787"/>
      <c r="I67" s="1781">
        <v>5.0199999999999996</v>
      </c>
      <c r="K67" s="1804"/>
      <c r="L67" s="1805"/>
      <c r="M67" s="1806"/>
    </row>
    <row r="68" spans="1:13">
      <c r="A68" s="1789">
        <v>5.03</v>
      </c>
      <c r="B68" s="1784">
        <v>5.03</v>
      </c>
      <c r="C68" s="1782"/>
      <c r="D68" s="1788">
        <v>11.19</v>
      </c>
      <c r="E68" s="1784">
        <v>11.17</v>
      </c>
      <c r="G68" s="1784">
        <v>5.03</v>
      </c>
      <c r="H68" s="1787"/>
      <c r="I68" s="1784">
        <v>5.03</v>
      </c>
      <c r="K68" s="1804"/>
      <c r="L68" s="1805"/>
      <c r="M68" s="1806"/>
    </row>
    <row r="69" spans="1:13">
      <c r="A69" s="1789">
        <v>5.04</v>
      </c>
      <c r="B69" s="1784">
        <v>5.04</v>
      </c>
      <c r="C69" s="1782"/>
      <c r="D69" s="1784" t="s">
        <v>1060</v>
      </c>
      <c r="E69" s="1784">
        <v>3.13</v>
      </c>
      <c r="F69" s="1806"/>
      <c r="G69" s="1784">
        <v>5.04</v>
      </c>
      <c r="H69" s="1787"/>
      <c r="I69" s="1784">
        <v>5.04</v>
      </c>
      <c r="K69" s="1807" t="s">
        <v>799</v>
      </c>
    </row>
    <row r="70" spans="1:13">
      <c r="A70" s="1789">
        <v>6.01</v>
      </c>
      <c r="B70" s="1784">
        <v>6.01</v>
      </c>
      <c r="D70" s="1806"/>
      <c r="E70" s="1806"/>
      <c r="F70" s="1806"/>
      <c r="G70" s="1784">
        <v>6.01</v>
      </c>
      <c r="H70" s="1787"/>
      <c r="I70" s="1781">
        <v>6.01</v>
      </c>
    </row>
    <row r="71" spans="1:13">
      <c r="A71" s="1789">
        <v>6.02</v>
      </c>
      <c r="B71" s="1784">
        <v>6.02</v>
      </c>
      <c r="D71" s="1806"/>
      <c r="E71" s="1806"/>
      <c r="F71" s="1806"/>
      <c r="G71" s="1784">
        <v>6.02</v>
      </c>
      <c r="H71" s="1787"/>
      <c r="I71" s="1781">
        <v>6.02</v>
      </c>
    </row>
    <row r="72" spans="1:13">
      <c r="A72" s="1783">
        <v>6.03</v>
      </c>
      <c r="B72" s="1784">
        <v>6.03</v>
      </c>
      <c r="D72" s="1804"/>
      <c r="E72" s="1804"/>
      <c r="G72" s="1784">
        <v>6.03</v>
      </c>
      <c r="H72" s="1787"/>
      <c r="I72" s="1781">
        <v>6.03</v>
      </c>
    </row>
    <row r="73" spans="1:13">
      <c r="A73" s="1783">
        <v>6.04</v>
      </c>
      <c r="B73" s="1784">
        <v>6.04</v>
      </c>
      <c r="D73" s="1804"/>
      <c r="E73" s="1804"/>
    </row>
    <row r="74" spans="1:13">
      <c r="A74" s="1808"/>
      <c r="B74" s="1806"/>
      <c r="D74" s="1804"/>
      <c r="E74" s="1804"/>
      <c r="G74" s="1809"/>
      <c r="H74" s="1809"/>
      <c r="I74" s="1809"/>
    </row>
    <row r="75" spans="1:13">
      <c r="A75" s="1808"/>
      <c r="B75" s="1806"/>
      <c r="L75" s="1806"/>
      <c r="M75" s="1804"/>
    </row>
    <row r="76" spans="1:13">
      <c r="A76" s="1789"/>
      <c r="B76" s="1806"/>
      <c r="K76" s="1807"/>
    </row>
    <row r="77" spans="1:13">
      <c r="A77" s="1810"/>
      <c r="B77" s="1811" t="s">
        <v>505</v>
      </c>
      <c r="F77" s="1812" t="s">
        <v>1060</v>
      </c>
      <c r="G77" s="1813" t="s">
        <v>800</v>
      </c>
      <c r="J77" s="1814" t="s">
        <v>2346</v>
      </c>
      <c r="K77" s="1813" t="s">
        <v>801</v>
      </c>
    </row>
    <row r="78" spans="1:13">
      <c r="A78" s="1810"/>
      <c r="B78" s="1815" t="s">
        <v>802</v>
      </c>
    </row>
    <row r="79" spans="1:13" ht="7.5" customHeight="1"/>
    <row r="80" spans="1:13">
      <c r="A80" s="1811" t="s">
        <v>803</v>
      </c>
      <c r="G80" s="1816"/>
      <c r="H80" s="1816"/>
    </row>
  </sheetData>
  <phoneticPr fontId="30" type="noConversion"/>
  <pageMargins left="0.56999999999999995" right="0.46" top="0.31" bottom="0.33" header="0.22" footer="0.21"/>
  <pageSetup paperSize="9" scale="78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BCDB-FD64-E641-81EB-183D09AB5C5B}">
  <sheetPr>
    <pageSetUpPr fitToPage="1"/>
  </sheetPr>
  <dimension ref="A1:Q194"/>
  <sheetViews>
    <sheetView topLeftCell="C1" workbookViewId="0">
      <selection activeCell="D57" sqref="D57:G57"/>
    </sheetView>
  </sheetViews>
  <sheetFormatPr baseColWidth="10" defaultColWidth="11.3984375" defaultRowHeight="11"/>
  <cols>
    <col min="1" max="3" width="11.3984375" style="1817"/>
    <col min="4" max="4" width="11.19921875" style="1818" customWidth="1"/>
    <col min="5" max="5" width="10.19921875" style="1818" customWidth="1"/>
    <col min="6" max="8" width="11.3984375" style="1818"/>
    <col min="9" max="9" width="10.796875" style="1818" customWidth="1"/>
    <col min="10" max="11" width="9.796875" style="1817" customWidth="1"/>
    <col min="12" max="13" width="11.3984375" style="1817"/>
    <col min="14" max="15" width="11.3984375" style="1818"/>
    <col min="16" max="16384" width="11.3984375" style="1817"/>
  </cols>
  <sheetData>
    <row r="1" spans="1:15" ht="16">
      <c r="A1" s="1774" t="s">
        <v>1707</v>
      </c>
    </row>
    <row r="2" spans="1:15" ht="12.75" customHeight="1">
      <c r="G2" s="1819"/>
      <c r="H2" s="1819"/>
    </row>
    <row r="3" spans="1:15" ht="16">
      <c r="A3" s="1774" t="s">
        <v>804</v>
      </c>
      <c r="G3" s="1819"/>
      <c r="H3" s="1819"/>
    </row>
    <row r="4" spans="1:15" ht="15" customHeight="1">
      <c r="D4" s="1819"/>
      <c r="E4" s="1819"/>
      <c r="F4" s="1820"/>
      <c r="G4" s="1820"/>
      <c r="H4" s="1820"/>
      <c r="I4" s="1820"/>
      <c r="L4" s="1821"/>
      <c r="M4" s="1821"/>
      <c r="N4" s="1819"/>
      <c r="O4" s="1819"/>
    </row>
    <row r="5" spans="1:15" s="1823" customFormat="1" ht="28.5" customHeight="1">
      <c r="A5" s="1777" t="s">
        <v>794</v>
      </c>
      <c r="B5" s="1777" t="s">
        <v>2491</v>
      </c>
      <c r="C5" s="1777" t="s">
        <v>73</v>
      </c>
      <c r="D5" s="1777" t="s">
        <v>1069</v>
      </c>
      <c r="E5" s="1777" t="s">
        <v>8</v>
      </c>
      <c r="F5" s="1777" t="s">
        <v>7</v>
      </c>
      <c r="G5" s="1777" t="s">
        <v>6</v>
      </c>
      <c r="H5" s="1777" t="s">
        <v>5</v>
      </c>
      <c r="I5" s="1777" t="s">
        <v>1368</v>
      </c>
      <c r="J5" s="1777" t="s">
        <v>4</v>
      </c>
      <c r="K5" s="1777" t="s">
        <v>3</v>
      </c>
      <c r="L5" s="1777" t="s">
        <v>2</v>
      </c>
      <c r="M5" s="1777" t="s">
        <v>1</v>
      </c>
      <c r="N5" s="1822"/>
      <c r="O5" s="1822"/>
    </row>
    <row r="6" spans="1:15" ht="14.25" customHeight="1">
      <c r="A6" s="1824"/>
      <c r="B6" s="1824"/>
      <c r="C6" s="1824"/>
      <c r="D6" s="1824"/>
      <c r="E6" s="1824"/>
      <c r="F6" s="1824"/>
      <c r="G6" s="1824"/>
      <c r="H6" s="1825"/>
      <c r="I6" s="1825"/>
      <c r="J6" s="1825"/>
      <c r="K6" s="1825"/>
      <c r="L6" s="1825"/>
      <c r="M6" s="1825"/>
      <c r="N6" s="1817"/>
      <c r="O6" s="1817"/>
    </row>
    <row r="7" spans="1:15">
      <c r="A7" s="1826">
        <v>1.01</v>
      </c>
      <c r="B7" s="1826">
        <v>1.01</v>
      </c>
      <c r="C7" s="1826">
        <v>1.01</v>
      </c>
      <c r="D7" s="1826">
        <v>1.01</v>
      </c>
      <c r="E7" s="1826">
        <v>1.43</v>
      </c>
      <c r="F7" s="1826">
        <v>1.43</v>
      </c>
      <c r="G7" s="1826">
        <v>1.43</v>
      </c>
      <c r="H7" s="1826">
        <v>1.43</v>
      </c>
      <c r="I7" s="1827" t="s">
        <v>1060</v>
      </c>
      <c r="J7" s="1828" t="s">
        <v>1060</v>
      </c>
      <c r="K7" s="1828" t="s">
        <v>1060</v>
      </c>
      <c r="L7" s="1828" t="s">
        <v>1060</v>
      </c>
      <c r="M7" s="1828" t="s">
        <v>1060</v>
      </c>
      <c r="N7" s="1817"/>
      <c r="O7" s="1817"/>
    </row>
    <row r="8" spans="1:15">
      <c r="A8" s="1829">
        <v>1.02</v>
      </c>
      <c r="B8" s="1826">
        <v>1.02</v>
      </c>
      <c r="C8" s="1826">
        <v>1.02</v>
      </c>
      <c r="D8" s="1826">
        <v>1.02</v>
      </c>
      <c r="E8" s="1826">
        <v>1.27</v>
      </c>
      <c r="F8" s="1826">
        <v>1.27</v>
      </c>
      <c r="G8" s="1826">
        <v>1.27</v>
      </c>
      <c r="H8" s="1826">
        <v>1.27</v>
      </c>
      <c r="I8" s="1827">
        <v>1.27</v>
      </c>
      <c r="J8" s="1830" t="s">
        <v>54</v>
      </c>
      <c r="K8" s="1830" t="s">
        <v>54</v>
      </c>
      <c r="L8" s="1830" t="s">
        <v>54</v>
      </c>
      <c r="M8" s="1830" t="s">
        <v>54</v>
      </c>
      <c r="N8" s="1817"/>
      <c r="O8" s="1817"/>
    </row>
    <row r="9" spans="1:15">
      <c r="A9" s="1829">
        <v>1.03</v>
      </c>
      <c r="B9" s="1826">
        <v>1.03</v>
      </c>
      <c r="C9" s="1826">
        <v>1.03</v>
      </c>
      <c r="D9" s="1826">
        <v>1.03</v>
      </c>
      <c r="E9" s="1826">
        <v>1.28</v>
      </c>
      <c r="F9" s="1826">
        <v>1.28</v>
      </c>
      <c r="G9" s="1826">
        <v>1.28</v>
      </c>
      <c r="H9" s="1826">
        <v>1.28</v>
      </c>
      <c r="I9" s="1827">
        <v>1.28</v>
      </c>
      <c r="J9" s="1830" t="s">
        <v>55</v>
      </c>
      <c r="K9" s="1830" t="s">
        <v>55</v>
      </c>
      <c r="L9" s="1830" t="s">
        <v>55</v>
      </c>
      <c r="M9" s="1830" t="s">
        <v>55</v>
      </c>
      <c r="N9" s="1817"/>
      <c r="O9" s="1817"/>
    </row>
    <row r="10" spans="1:15">
      <c r="A10" s="1829">
        <v>1.04</v>
      </c>
      <c r="B10" s="1829">
        <v>1.04</v>
      </c>
      <c r="C10" s="1829">
        <v>1.04</v>
      </c>
      <c r="D10" s="1829">
        <v>1.04</v>
      </c>
      <c r="E10" s="1829">
        <v>1.29</v>
      </c>
      <c r="F10" s="1829">
        <v>1.29</v>
      </c>
      <c r="G10" s="1829">
        <v>1.29</v>
      </c>
      <c r="H10" s="1829">
        <v>1.29</v>
      </c>
      <c r="I10" s="1831">
        <v>1.29</v>
      </c>
      <c r="J10" s="1832" t="s">
        <v>56</v>
      </c>
      <c r="K10" s="1832" t="s">
        <v>56</v>
      </c>
      <c r="L10" s="1832" t="s">
        <v>56</v>
      </c>
      <c r="M10" s="1832" t="s">
        <v>56</v>
      </c>
      <c r="N10" s="1817"/>
      <c r="O10" s="1817"/>
    </row>
    <row r="11" spans="1:15">
      <c r="A11" s="1829">
        <v>1.05</v>
      </c>
      <c r="B11" s="1829">
        <v>1.05</v>
      </c>
      <c r="C11" s="1829">
        <v>1.05</v>
      </c>
      <c r="D11" s="1829">
        <v>1.05</v>
      </c>
      <c r="E11" s="1829">
        <v>1.3</v>
      </c>
      <c r="F11" s="1829">
        <v>1.3</v>
      </c>
      <c r="G11" s="1829">
        <v>1.3</v>
      </c>
      <c r="H11" s="1829">
        <v>1.3</v>
      </c>
      <c r="I11" s="1831">
        <v>1.3</v>
      </c>
      <c r="J11" s="1832" t="s">
        <v>57</v>
      </c>
      <c r="K11" s="1832" t="s">
        <v>57</v>
      </c>
      <c r="L11" s="1832" t="s">
        <v>57</v>
      </c>
      <c r="M11" s="1832" t="s">
        <v>57</v>
      </c>
      <c r="N11" s="1817"/>
      <c r="O11" s="1817"/>
    </row>
    <row r="12" spans="1:15">
      <c r="A12" s="1829">
        <v>1.06</v>
      </c>
      <c r="B12" s="1829">
        <v>1.06</v>
      </c>
      <c r="C12" s="1829">
        <v>1.06</v>
      </c>
      <c r="D12" s="1829">
        <v>1.06</v>
      </c>
      <c r="E12" s="1829">
        <v>1.31</v>
      </c>
      <c r="F12" s="1829">
        <v>1.31</v>
      </c>
      <c r="G12" s="1829">
        <v>1.31</v>
      </c>
      <c r="H12" s="1829">
        <v>1.31</v>
      </c>
      <c r="I12" s="1831">
        <v>1.31</v>
      </c>
      <c r="J12" s="1832" t="s">
        <v>58</v>
      </c>
      <c r="K12" s="1832" t="s">
        <v>58</v>
      </c>
      <c r="L12" s="1832" t="s">
        <v>58</v>
      </c>
      <c r="M12" s="1832" t="s">
        <v>58</v>
      </c>
      <c r="N12" s="1817"/>
      <c r="O12" s="1817"/>
    </row>
    <row r="13" spans="1:15">
      <c r="A13" s="1829">
        <v>1.07</v>
      </c>
      <c r="B13" s="1829">
        <v>1.07</v>
      </c>
      <c r="C13" s="1829">
        <v>1.07</v>
      </c>
      <c r="D13" s="1829">
        <v>1.07</v>
      </c>
      <c r="E13" s="1833" t="s">
        <v>1061</v>
      </c>
      <c r="F13" s="1834">
        <v>7.06</v>
      </c>
      <c r="G13" s="1834">
        <v>7.06</v>
      </c>
      <c r="H13" s="1834" t="s">
        <v>1060</v>
      </c>
      <c r="I13" s="1834" t="s">
        <v>1060</v>
      </c>
      <c r="J13" s="1834" t="s">
        <v>1060</v>
      </c>
      <c r="K13" s="1834" t="s">
        <v>1060</v>
      </c>
      <c r="L13" s="1834" t="s">
        <v>1060</v>
      </c>
      <c r="M13" s="1834" t="s">
        <v>1060</v>
      </c>
      <c r="N13" s="1817"/>
      <c r="O13" s="1817"/>
    </row>
    <row r="14" spans="1:15">
      <c r="A14" s="1829">
        <v>1.08</v>
      </c>
      <c r="B14" s="1829">
        <v>1.08</v>
      </c>
      <c r="C14" s="1829">
        <v>1.08</v>
      </c>
      <c r="D14" s="1829">
        <v>1.08</v>
      </c>
      <c r="E14" s="1829">
        <v>1.25</v>
      </c>
      <c r="F14" s="1829">
        <v>1.25</v>
      </c>
      <c r="G14" s="1829">
        <v>1.25</v>
      </c>
      <c r="H14" s="1829">
        <v>1.25</v>
      </c>
      <c r="I14" s="1831">
        <v>1.25</v>
      </c>
      <c r="J14" s="1835" t="s">
        <v>1060</v>
      </c>
      <c r="K14" s="1835" t="s">
        <v>1060</v>
      </c>
      <c r="L14" s="1835" t="s">
        <v>1060</v>
      </c>
      <c r="M14" s="1835" t="s">
        <v>1060</v>
      </c>
      <c r="N14" s="1817"/>
      <c r="O14" s="1817"/>
    </row>
    <row r="15" spans="1:15">
      <c r="A15" s="1829">
        <v>1.0900000000000001</v>
      </c>
      <c r="B15" s="1829">
        <v>1.0900000000000001</v>
      </c>
      <c r="C15" s="1829">
        <v>1.0900000000000001</v>
      </c>
      <c r="D15" s="1829">
        <v>1.0900000000000001</v>
      </c>
      <c r="E15" s="1829">
        <v>1.26</v>
      </c>
      <c r="F15" s="1829">
        <v>1.26</v>
      </c>
      <c r="G15" s="1829">
        <v>1.26</v>
      </c>
      <c r="H15" s="1829">
        <v>1.26</v>
      </c>
      <c r="I15" s="1831">
        <v>1.26</v>
      </c>
      <c r="J15" s="1835" t="s">
        <v>1060</v>
      </c>
      <c r="K15" s="1835" t="s">
        <v>1060</v>
      </c>
      <c r="L15" s="1835" t="s">
        <v>1060</v>
      </c>
      <c r="M15" s="1835" t="s">
        <v>1060</v>
      </c>
      <c r="N15" s="1817"/>
      <c r="O15" s="1817"/>
    </row>
    <row r="16" spans="1:15">
      <c r="A16" s="1829" t="s">
        <v>795</v>
      </c>
      <c r="B16" s="1829">
        <v>1.1000000000000001</v>
      </c>
      <c r="C16" s="1829">
        <v>1.1000000000000001</v>
      </c>
      <c r="D16" s="1829">
        <v>1.1000000000000001</v>
      </c>
      <c r="E16" s="1829">
        <v>1.23</v>
      </c>
      <c r="F16" s="1829">
        <v>1.23</v>
      </c>
      <c r="G16" s="1829">
        <v>1.23</v>
      </c>
      <c r="H16" s="1829">
        <v>1.23</v>
      </c>
      <c r="I16" s="1831">
        <v>1.23</v>
      </c>
      <c r="J16" s="1835" t="s">
        <v>1060</v>
      </c>
      <c r="K16" s="1835" t="s">
        <v>1060</v>
      </c>
      <c r="L16" s="1835" t="s">
        <v>1060</v>
      </c>
      <c r="M16" s="1835" t="s">
        <v>1060</v>
      </c>
      <c r="N16" s="1817"/>
      <c r="O16" s="1817"/>
    </row>
    <row r="17" spans="1:15">
      <c r="A17" s="1829">
        <v>1.1100000000000001</v>
      </c>
      <c r="B17" s="1829">
        <v>1.1100000000000001</v>
      </c>
      <c r="C17" s="1829">
        <v>1.1100000000000001</v>
      </c>
      <c r="D17" s="1829">
        <v>1.1100000000000001</v>
      </c>
      <c r="E17" s="1829">
        <v>1.24</v>
      </c>
      <c r="F17" s="1829">
        <v>1.24</v>
      </c>
      <c r="G17" s="1829">
        <v>1.24</v>
      </c>
      <c r="H17" s="1829">
        <v>1.24</v>
      </c>
      <c r="I17" s="1831">
        <v>1.24</v>
      </c>
      <c r="J17" s="1835" t="s">
        <v>1060</v>
      </c>
      <c r="K17" s="1835" t="s">
        <v>1060</v>
      </c>
      <c r="L17" s="1835" t="s">
        <v>1060</v>
      </c>
      <c r="M17" s="1835" t="s">
        <v>1060</v>
      </c>
      <c r="N17" s="1817"/>
      <c r="O17" s="1817"/>
    </row>
    <row r="18" spans="1:15">
      <c r="A18" s="1829">
        <v>1.1200000000000001</v>
      </c>
      <c r="B18" s="1829">
        <v>1.1200000000000001</v>
      </c>
      <c r="C18" s="1829">
        <v>1.1200000000000001</v>
      </c>
      <c r="D18" s="1829">
        <v>1.1200000000000001</v>
      </c>
      <c r="E18" s="1829">
        <v>1.32</v>
      </c>
      <c r="F18" s="1829">
        <v>1.32</v>
      </c>
      <c r="G18" s="1829">
        <v>1.32</v>
      </c>
      <c r="H18" s="1829">
        <v>1.32</v>
      </c>
      <c r="I18" s="1831">
        <v>1.32</v>
      </c>
      <c r="J18" s="1832" t="s">
        <v>52</v>
      </c>
      <c r="K18" s="1832" t="s">
        <v>52</v>
      </c>
      <c r="L18" s="1832" t="s">
        <v>52</v>
      </c>
      <c r="M18" s="1832" t="s">
        <v>52</v>
      </c>
      <c r="N18" s="1817"/>
      <c r="O18" s="1817"/>
    </row>
    <row r="19" spans="1:15">
      <c r="A19" s="1829">
        <v>1.1299999999999999</v>
      </c>
      <c r="B19" s="1829">
        <v>1.1299999999999999</v>
      </c>
      <c r="C19" s="1829">
        <v>1.1299999999999999</v>
      </c>
      <c r="D19" s="1829">
        <v>1.1299999999999999</v>
      </c>
      <c r="E19" s="1829">
        <v>1.33</v>
      </c>
      <c r="F19" s="1829">
        <v>1.33</v>
      </c>
      <c r="G19" s="1829">
        <v>1.33</v>
      </c>
      <c r="H19" s="1829">
        <v>1.33</v>
      </c>
      <c r="I19" s="1831">
        <v>1.33</v>
      </c>
      <c r="J19" s="1835" t="s">
        <v>1060</v>
      </c>
      <c r="K19" s="1835" t="s">
        <v>1060</v>
      </c>
      <c r="L19" s="1835" t="s">
        <v>1060</v>
      </c>
      <c r="M19" s="1835" t="s">
        <v>1060</v>
      </c>
      <c r="N19" s="1817"/>
      <c r="O19" s="1817"/>
    </row>
    <row r="20" spans="1:15">
      <c r="A20" s="1829">
        <v>1.1399999999999999</v>
      </c>
      <c r="B20" s="1836">
        <v>1.1399999999999999</v>
      </c>
      <c r="C20" s="1829" t="s">
        <v>1060</v>
      </c>
      <c r="D20" s="1829" t="s">
        <v>1060</v>
      </c>
      <c r="E20" s="1829" t="s">
        <v>1060</v>
      </c>
      <c r="F20" s="1829" t="s">
        <v>1060</v>
      </c>
      <c r="G20" s="1829" t="s">
        <v>1060</v>
      </c>
      <c r="H20" s="1829" t="s">
        <v>1060</v>
      </c>
      <c r="I20" s="1831" t="s">
        <v>1060</v>
      </c>
      <c r="J20" s="1831" t="s">
        <v>1060</v>
      </c>
      <c r="K20" s="1831" t="s">
        <v>1060</v>
      </c>
      <c r="L20" s="1831" t="s">
        <v>1060</v>
      </c>
      <c r="M20" s="1831" t="s">
        <v>1060</v>
      </c>
      <c r="N20" s="1817"/>
      <c r="O20" s="1817"/>
    </row>
    <row r="21" spans="1:15">
      <c r="A21" s="1829">
        <v>1.1499999999999999</v>
      </c>
      <c r="B21" s="1829">
        <v>1.1499999999999999</v>
      </c>
      <c r="C21" s="1834" t="s">
        <v>1060</v>
      </c>
      <c r="D21" s="1834" t="s">
        <v>1060</v>
      </c>
      <c r="E21" s="1834" t="s">
        <v>1060</v>
      </c>
      <c r="F21" s="1834" t="s">
        <v>1060</v>
      </c>
      <c r="G21" s="1834" t="s">
        <v>1060</v>
      </c>
      <c r="H21" s="1834" t="s">
        <v>1060</v>
      </c>
      <c r="I21" s="1832" t="s">
        <v>1060</v>
      </c>
      <c r="J21" s="1832" t="s">
        <v>1060</v>
      </c>
      <c r="K21" s="1832" t="s">
        <v>1060</v>
      </c>
      <c r="L21" s="1832" t="s">
        <v>1060</v>
      </c>
      <c r="M21" s="1832" t="s">
        <v>1060</v>
      </c>
      <c r="N21" s="1817"/>
      <c r="O21" s="1817"/>
    </row>
    <row r="22" spans="1:15">
      <c r="A22" s="1834">
        <v>2.0099999999999998</v>
      </c>
      <c r="B22" s="1829">
        <v>2.0099999999999998</v>
      </c>
      <c r="C22" s="1829">
        <v>2.0099999999999998</v>
      </c>
      <c r="D22" s="1829">
        <v>2.0099999999999998</v>
      </c>
      <c r="E22" s="1829">
        <v>1.19</v>
      </c>
      <c r="F22" s="1829">
        <v>1.19</v>
      </c>
      <c r="G22" s="1829">
        <v>1.19</v>
      </c>
      <c r="H22" s="1829">
        <v>1.19</v>
      </c>
      <c r="I22" s="1831">
        <v>1.19</v>
      </c>
      <c r="J22" s="1835" t="s">
        <v>1060</v>
      </c>
      <c r="K22" s="1835" t="s">
        <v>1060</v>
      </c>
      <c r="L22" s="1835" t="s">
        <v>1060</v>
      </c>
      <c r="M22" s="1835" t="s">
        <v>1060</v>
      </c>
      <c r="N22" s="1817"/>
      <c r="O22" s="1817"/>
    </row>
    <row r="23" spans="1:15">
      <c r="A23" s="1834">
        <v>2.02</v>
      </c>
      <c r="B23" s="1829">
        <v>2.02</v>
      </c>
      <c r="C23" s="1829">
        <v>2.02</v>
      </c>
      <c r="D23" s="1829">
        <v>2.02</v>
      </c>
      <c r="E23" s="1829">
        <v>1.2</v>
      </c>
      <c r="F23" s="1829">
        <v>1.2</v>
      </c>
      <c r="G23" s="1829">
        <v>1.2</v>
      </c>
      <c r="H23" s="1829">
        <v>1.2</v>
      </c>
      <c r="I23" s="1831">
        <v>1.2</v>
      </c>
      <c r="J23" s="1835" t="s">
        <v>1060</v>
      </c>
      <c r="K23" s="1835" t="s">
        <v>1060</v>
      </c>
      <c r="L23" s="1835" t="s">
        <v>1060</v>
      </c>
      <c r="M23" s="1835" t="s">
        <v>1060</v>
      </c>
      <c r="N23" s="1817"/>
      <c r="O23" s="1817"/>
    </row>
    <row r="24" spans="1:15">
      <c r="A24" s="1834">
        <v>2.0299999999999998</v>
      </c>
      <c r="B24" s="1829">
        <v>2.0299999999999998</v>
      </c>
      <c r="C24" s="1829">
        <v>2.0299999999999998</v>
      </c>
      <c r="D24" s="1829">
        <v>2.0299999999999998</v>
      </c>
      <c r="E24" s="1833">
        <v>1.51</v>
      </c>
      <c r="F24" s="1834" t="s">
        <v>1060</v>
      </c>
      <c r="G24" s="1834" t="s">
        <v>1060</v>
      </c>
      <c r="H24" s="1834" t="s">
        <v>1060</v>
      </c>
      <c r="I24" s="1834" t="s">
        <v>1060</v>
      </c>
      <c r="J24" s="1834" t="s">
        <v>1060</v>
      </c>
      <c r="K24" s="1834" t="s">
        <v>1060</v>
      </c>
      <c r="L24" s="1834" t="s">
        <v>1060</v>
      </c>
      <c r="M24" s="1834" t="s">
        <v>1060</v>
      </c>
      <c r="N24" s="1817"/>
      <c r="O24" s="1817"/>
    </row>
    <row r="25" spans="1:15">
      <c r="A25" s="1834">
        <v>2.04</v>
      </c>
      <c r="B25" s="1833">
        <v>2.04</v>
      </c>
      <c r="C25" s="1833">
        <v>2.04</v>
      </c>
      <c r="D25" s="1833">
        <v>2.04</v>
      </c>
      <c r="E25" s="1834">
        <v>2.04</v>
      </c>
      <c r="F25" s="1834">
        <v>2.04</v>
      </c>
      <c r="G25" s="1834">
        <v>2.04</v>
      </c>
      <c r="H25" s="1834">
        <v>2.04</v>
      </c>
      <c r="I25" s="1832">
        <v>2.04</v>
      </c>
      <c r="J25" s="1832" t="s">
        <v>922</v>
      </c>
      <c r="K25" s="1832" t="s">
        <v>922</v>
      </c>
      <c r="L25" s="1832" t="s">
        <v>1060</v>
      </c>
      <c r="M25" s="1832" t="s">
        <v>1060</v>
      </c>
      <c r="N25" s="1817"/>
      <c r="O25" s="1817"/>
    </row>
    <row r="26" spans="1:15">
      <c r="A26" s="1834">
        <v>2.0499999999999998</v>
      </c>
      <c r="B26" s="1829">
        <v>2.0499999999999998</v>
      </c>
      <c r="C26" s="1829">
        <v>2.0499999999999998</v>
      </c>
      <c r="D26" s="1829">
        <v>2.0499999999999998</v>
      </c>
      <c r="E26" s="1834">
        <v>2.0499999999999998</v>
      </c>
      <c r="F26" s="1834">
        <v>2.0499999999999998</v>
      </c>
      <c r="G26" s="1834">
        <v>2.0499999999999998</v>
      </c>
      <c r="H26" s="1834">
        <v>2.0499999999999998</v>
      </c>
      <c r="I26" s="1832">
        <v>2.0499999999999998</v>
      </c>
      <c r="J26" s="1832" t="s">
        <v>327</v>
      </c>
      <c r="K26" s="1832" t="s">
        <v>327</v>
      </c>
      <c r="L26" s="1832" t="s">
        <v>1060</v>
      </c>
      <c r="M26" s="1832" t="s">
        <v>1060</v>
      </c>
      <c r="N26" s="1817"/>
      <c r="O26" s="1817"/>
    </row>
    <row r="27" spans="1:15">
      <c r="A27" s="1834">
        <v>2.06</v>
      </c>
      <c r="B27" s="1834">
        <v>2.06</v>
      </c>
      <c r="C27" s="1834">
        <v>2.06</v>
      </c>
      <c r="D27" s="1834">
        <v>2.06</v>
      </c>
      <c r="E27" s="1834">
        <v>2.06</v>
      </c>
      <c r="F27" s="1834">
        <v>2.06</v>
      </c>
      <c r="G27" s="1834">
        <v>2.06</v>
      </c>
      <c r="H27" s="1834">
        <v>2.06</v>
      </c>
      <c r="I27" s="1832">
        <v>2.06</v>
      </c>
      <c r="J27" s="1832" t="s">
        <v>925</v>
      </c>
      <c r="K27" s="1832" t="s">
        <v>925</v>
      </c>
      <c r="L27" s="1832" t="s">
        <v>1060</v>
      </c>
      <c r="M27" s="1832" t="s">
        <v>1060</v>
      </c>
      <c r="N27" s="1817"/>
      <c r="O27" s="1817"/>
    </row>
    <row r="28" spans="1:15">
      <c r="A28" s="1834">
        <v>2.0699999999999998</v>
      </c>
      <c r="B28" s="1834">
        <v>2.0699999999999998</v>
      </c>
      <c r="C28" s="1834">
        <v>2.0699999999999998</v>
      </c>
      <c r="D28" s="1834">
        <v>2.0699999999999998</v>
      </c>
      <c r="E28" s="1834">
        <v>2.0699999999999998</v>
      </c>
      <c r="F28" s="1834">
        <v>2.0699999999999998</v>
      </c>
      <c r="G28" s="1834">
        <v>2.0699999999999998</v>
      </c>
      <c r="H28" s="1834">
        <v>2.0699999999999998</v>
      </c>
      <c r="I28" s="1832">
        <v>2.0699999999999998</v>
      </c>
      <c r="J28" s="1832" t="s">
        <v>928</v>
      </c>
      <c r="K28" s="1832" t="s">
        <v>928</v>
      </c>
      <c r="L28" s="1832" t="s">
        <v>922</v>
      </c>
      <c r="M28" s="1832" t="s">
        <v>1060</v>
      </c>
      <c r="N28" s="1817"/>
      <c r="O28" s="1817"/>
    </row>
    <row r="29" spans="1:15">
      <c r="A29" s="1834">
        <v>2.08</v>
      </c>
      <c r="B29" s="1834">
        <v>2.08</v>
      </c>
      <c r="C29" s="1834">
        <v>2.08</v>
      </c>
      <c r="D29" s="1834">
        <v>2.08</v>
      </c>
      <c r="E29" s="1834">
        <v>2.08</v>
      </c>
      <c r="F29" s="1834">
        <v>2.08</v>
      </c>
      <c r="G29" s="1834">
        <v>2.08</v>
      </c>
      <c r="H29" s="1834">
        <v>2.08</v>
      </c>
      <c r="I29" s="1832">
        <v>2.08</v>
      </c>
      <c r="J29" s="1832" t="s">
        <v>1363</v>
      </c>
      <c r="K29" s="1832" t="s">
        <v>1363</v>
      </c>
      <c r="L29" s="1832" t="s">
        <v>327</v>
      </c>
      <c r="M29" s="1832" t="s">
        <v>1060</v>
      </c>
      <c r="N29" s="1817"/>
      <c r="O29" s="1817"/>
    </row>
    <row r="30" spans="1:15">
      <c r="A30" s="1834">
        <v>2.09</v>
      </c>
      <c r="B30" s="1834">
        <v>2.09</v>
      </c>
      <c r="C30" s="1834">
        <v>2.09</v>
      </c>
      <c r="D30" s="1834">
        <v>2.09</v>
      </c>
      <c r="E30" s="1834">
        <v>2.09</v>
      </c>
      <c r="F30" s="1834">
        <v>2.09</v>
      </c>
      <c r="G30" s="1834">
        <v>2.09</v>
      </c>
      <c r="H30" s="1834">
        <v>2.09</v>
      </c>
      <c r="I30" s="1832">
        <v>2.09</v>
      </c>
      <c r="J30" s="1832" t="s">
        <v>1365</v>
      </c>
      <c r="K30" s="1832" t="s">
        <v>1060</v>
      </c>
      <c r="L30" s="1832" t="s">
        <v>1060</v>
      </c>
      <c r="M30" s="1832" t="s">
        <v>1060</v>
      </c>
      <c r="N30" s="1817"/>
      <c r="O30" s="1817"/>
    </row>
    <row r="31" spans="1:15">
      <c r="A31" s="1834" t="s">
        <v>1366</v>
      </c>
      <c r="B31" s="1834" t="s">
        <v>1366</v>
      </c>
      <c r="C31" s="1834" t="s">
        <v>1366</v>
      </c>
      <c r="D31" s="1834" t="s">
        <v>1366</v>
      </c>
      <c r="E31" s="1837" t="s">
        <v>1366</v>
      </c>
      <c r="F31" s="1837" t="s">
        <v>1366</v>
      </c>
      <c r="G31" s="1837" t="s">
        <v>1366</v>
      </c>
      <c r="H31" s="1837" t="s">
        <v>1366</v>
      </c>
      <c r="I31" s="1831" t="s">
        <v>1060</v>
      </c>
      <c r="J31" s="1835" t="s">
        <v>1060</v>
      </c>
      <c r="K31" s="1835" t="s">
        <v>1060</v>
      </c>
      <c r="L31" s="1835" t="s">
        <v>1060</v>
      </c>
      <c r="M31" s="1835" t="s">
        <v>1060</v>
      </c>
      <c r="N31" s="1817"/>
      <c r="O31" s="1817"/>
    </row>
    <row r="32" spans="1:15">
      <c r="A32" s="1834">
        <v>2.11</v>
      </c>
      <c r="B32" s="1834">
        <v>2.11</v>
      </c>
      <c r="C32" s="1834">
        <v>2.11</v>
      </c>
      <c r="D32" s="1834">
        <v>2.11</v>
      </c>
      <c r="E32" s="1829">
        <v>2.11</v>
      </c>
      <c r="F32" s="1829">
        <v>2.11</v>
      </c>
      <c r="G32" s="1829">
        <v>2.11</v>
      </c>
      <c r="H32" s="1829">
        <v>2.11</v>
      </c>
      <c r="I32" s="1831" t="s">
        <v>1060</v>
      </c>
      <c r="J32" s="1835" t="s">
        <v>1060</v>
      </c>
      <c r="K32" s="1835" t="s">
        <v>1060</v>
      </c>
      <c r="L32" s="1835" t="s">
        <v>1060</v>
      </c>
      <c r="M32" s="1835" t="s">
        <v>1060</v>
      </c>
      <c r="N32" s="1817"/>
      <c r="O32" s="1817"/>
    </row>
    <row r="33" spans="1:15">
      <c r="A33" s="1834">
        <v>2.12</v>
      </c>
      <c r="B33" s="1834">
        <v>2.12</v>
      </c>
      <c r="C33" s="1834">
        <v>2.12</v>
      </c>
      <c r="D33" s="1834">
        <v>2.12</v>
      </c>
      <c r="E33" s="1829">
        <v>2.12</v>
      </c>
      <c r="F33" s="1829" t="s">
        <v>1060</v>
      </c>
      <c r="G33" s="1829" t="s">
        <v>1060</v>
      </c>
      <c r="H33" s="1829" t="s">
        <v>1060</v>
      </c>
      <c r="I33" s="1829" t="s">
        <v>1060</v>
      </c>
      <c r="J33" s="1829" t="s">
        <v>1060</v>
      </c>
      <c r="K33" s="1829" t="s">
        <v>1060</v>
      </c>
      <c r="L33" s="1829" t="s">
        <v>1060</v>
      </c>
      <c r="M33" s="1829" t="s">
        <v>1060</v>
      </c>
      <c r="N33" s="1817"/>
      <c r="O33" s="1817"/>
    </row>
    <row r="34" spans="1:15">
      <c r="A34" s="1834">
        <v>2.13</v>
      </c>
      <c r="B34" s="1837">
        <v>2.13</v>
      </c>
      <c r="C34" s="1837">
        <v>2.13</v>
      </c>
      <c r="D34" s="1837">
        <v>2.13</v>
      </c>
      <c r="E34" s="1829">
        <v>2.13</v>
      </c>
      <c r="F34" s="1829" t="s">
        <v>1060</v>
      </c>
      <c r="G34" s="1829" t="s">
        <v>1060</v>
      </c>
      <c r="H34" s="1829" t="s">
        <v>1060</v>
      </c>
      <c r="I34" s="1829" t="s">
        <v>1060</v>
      </c>
      <c r="J34" s="1829" t="s">
        <v>1060</v>
      </c>
      <c r="K34" s="1829" t="s">
        <v>1060</v>
      </c>
      <c r="L34" s="1829" t="s">
        <v>1060</v>
      </c>
      <c r="M34" s="1829" t="s">
        <v>1060</v>
      </c>
      <c r="N34" s="1817"/>
      <c r="O34" s="1817"/>
    </row>
    <row r="35" spans="1:15">
      <c r="A35" s="1834">
        <v>2.14</v>
      </c>
      <c r="B35" s="1829">
        <v>2.14</v>
      </c>
      <c r="C35" s="1829">
        <v>2.14</v>
      </c>
      <c r="D35" s="1829">
        <v>2.14</v>
      </c>
      <c r="E35" s="1829">
        <v>1.1299999999999999</v>
      </c>
      <c r="F35" s="1829">
        <v>1.1299999999999999</v>
      </c>
      <c r="G35" s="1829">
        <v>1.1299999999999999</v>
      </c>
      <c r="H35" s="1829">
        <v>1.1299999999999999</v>
      </c>
      <c r="I35" s="1831">
        <v>1.1299999999999999</v>
      </c>
      <c r="J35" s="1832" t="s">
        <v>40</v>
      </c>
      <c r="K35" s="1832" t="s">
        <v>40</v>
      </c>
      <c r="L35" s="1832" t="s">
        <v>40</v>
      </c>
      <c r="M35" s="1832" t="s">
        <v>40</v>
      </c>
      <c r="N35" s="1817"/>
      <c r="O35" s="1817"/>
    </row>
    <row r="36" spans="1:15">
      <c r="A36" s="1834">
        <v>2.15</v>
      </c>
      <c r="B36" s="1829">
        <v>2.15</v>
      </c>
      <c r="C36" s="1829">
        <v>2.15</v>
      </c>
      <c r="D36" s="1829">
        <v>2.15</v>
      </c>
      <c r="E36" s="1829">
        <v>1.1399999999999999</v>
      </c>
      <c r="F36" s="1829">
        <v>1.1399999999999999</v>
      </c>
      <c r="G36" s="1829">
        <v>1.1399999999999999</v>
      </c>
      <c r="H36" s="1829">
        <v>1.1399999999999999</v>
      </c>
      <c r="I36" s="1831">
        <v>1.1399999999999999</v>
      </c>
      <c r="J36" s="1832" t="s">
        <v>42</v>
      </c>
      <c r="K36" s="1832" t="s">
        <v>42</v>
      </c>
      <c r="L36" s="1832" t="s">
        <v>42</v>
      </c>
      <c r="M36" s="1832" t="s">
        <v>42</v>
      </c>
      <c r="N36" s="1817"/>
      <c r="O36" s="1817"/>
    </row>
    <row r="37" spans="1:15">
      <c r="A37" s="1834">
        <v>2.16</v>
      </c>
      <c r="B37" s="1829">
        <v>2.16</v>
      </c>
      <c r="C37" s="1829">
        <v>2.16</v>
      </c>
      <c r="D37" s="1829">
        <v>2.16</v>
      </c>
      <c r="E37" s="1829">
        <v>1.1499999999999999</v>
      </c>
      <c r="F37" s="1829">
        <v>1.1499999999999999</v>
      </c>
      <c r="G37" s="1829">
        <v>1.1499999999999999</v>
      </c>
      <c r="H37" s="1829">
        <v>1.1499999999999999</v>
      </c>
      <c r="I37" s="1831">
        <v>1.1499999999999999</v>
      </c>
      <c r="J37" s="1832" t="s">
        <v>44</v>
      </c>
      <c r="K37" s="1832" t="s">
        <v>44</v>
      </c>
      <c r="L37" s="1832" t="s">
        <v>44</v>
      </c>
      <c r="M37" s="1832" t="s">
        <v>44</v>
      </c>
      <c r="N37" s="1817"/>
      <c r="O37" s="1817"/>
    </row>
    <row r="38" spans="1:15">
      <c r="A38" s="1834">
        <v>2.17</v>
      </c>
      <c r="B38" s="1829">
        <v>2.17</v>
      </c>
      <c r="C38" s="1829">
        <v>2.17</v>
      </c>
      <c r="D38" s="1829">
        <v>2.17</v>
      </c>
      <c r="E38" s="1829">
        <v>1.1599999999999999</v>
      </c>
      <c r="F38" s="1829">
        <v>1.1599999999999999</v>
      </c>
      <c r="G38" s="1829">
        <v>1.1599999999999999</v>
      </c>
      <c r="H38" s="1829">
        <v>1.1599999999999999</v>
      </c>
      <c r="I38" s="1831">
        <v>1.1599999999999999</v>
      </c>
      <c r="J38" s="1832" t="s">
        <v>45</v>
      </c>
      <c r="K38" s="1832" t="s">
        <v>45</v>
      </c>
      <c r="L38" s="1832" t="s">
        <v>45</v>
      </c>
      <c r="M38" s="1832" t="s">
        <v>45</v>
      </c>
      <c r="N38" s="1817"/>
      <c r="O38" s="1817"/>
    </row>
    <row r="39" spans="1:15">
      <c r="A39" s="1834">
        <v>2.1800000000000002</v>
      </c>
      <c r="B39" s="1829">
        <v>2.1800000000000002</v>
      </c>
      <c r="C39" s="1829">
        <v>2.1800000000000002</v>
      </c>
      <c r="D39" s="1829">
        <v>2.1800000000000002</v>
      </c>
      <c r="E39" s="1829">
        <v>1.17</v>
      </c>
      <c r="F39" s="1829">
        <v>1.17</v>
      </c>
      <c r="G39" s="1829">
        <v>1.17</v>
      </c>
      <c r="H39" s="1829">
        <v>1.17</v>
      </c>
      <c r="I39" s="1831">
        <v>1.17</v>
      </c>
      <c r="J39" s="1832" t="s">
        <v>46</v>
      </c>
      <c r="K39" s="1832" t="s">
        <v>46</v>
      </c>
      <c r="L39" s="1832" t="s">
        <v>46</v>
      </c>
      <c r="M39" s="1832" t="s">
        <v>46</v>
      </c>
      <c r="N39" s="1817"/>
      <c r="O39" s="1817"/>
    </row>
    <row r="40" spans="1:15">
      <c r="A40" s="1834">
        <v>2.19</v>
      </c>
      <c r="B40" s="1829">
        <v>2.19</v>
      </c>
      <c r="C40" s="1829">
        <v>2.19</v>
      </c>
      <c r="D40" s="1829">
        <v>2.19</v>
      </c>
      <c r="E40" s="1829">
        <v>1.18</v>
      </c>
      <c r="F40" s="1829">
        <v>1.18</v>
      </c>
      <c r="G40" s="1829">
        <v>1.18</v>
      </c>
      <c r="H40" s="1829">
        <v>1.18</v>
      </c>
      <c r="I40" s="1831">
        <v>1.18</v>
      </c>
      <c r="J40" s="1832" t="s">
        <v>47</v>
      </c>
      <c r="K40" s="1832" t="s">
        <v>47</v>
      </c>
      <c r="L40" s="1832" t="s">
        <v>47</v>
      </c>
      <c r="M40" s="1832" t="s">
        <v>47</v>
      </c>
      <c r="N40" s="1817"/>
      <c r="O40" s="1817"/>
    </row>
    <row r="41" spans="1:15">
      <c r="A41" s="1833" t="s">
        <v>1071</v>
      </c>
      <c r="B41" s="1829" t="s">
        <v>1071</v>
      </c>
      <c r="C41" s="1829" t="s">
        <v>1071</v>
      </c>
      <c r="D41" s="1829" t="s">
        <v>1071</v>
      </c>
      <c r="E41" s="1829">
        <v>1.21</v>
      </c>
      <c r="F41" s="1829">
        <v>1.21</v>
      </c>
      <c r="G41" s="1829">
        <v>1.21</v>
      </c>
      <c r="H41" s="1829">
        <v>1.21</v>
      </c>
      <c r="I41" s="1831">
        <v>1.21</v>
      </c>
      <c r="J41" s="1835" t="s">
        <v>1060</v>
      </c>
      <c r="K41" s="1835" t="s">
        <v>1060</v>
      </c>
      <c r="L41" s="1835" t="s">
        <v>1060</v>
      </c>
      <c r="M41" s="1835" t="s">
        <v>1060</v>
      </c>
      <c r="N41" s="1817"/>
      <c r="O41" s="1817"/>
    </row>
    <row r="42" spans="1:15">
      <c r="A42" s="1834">
        <v>2.21</v>
      </c>
      <c r="B42" s="1829">
        <v>2.21</v>
      </c>
      <c r="C42" s="1829">
        <v>2.21</v>
      </c>
      <c r="D42" s="1829">
        <v>2.21</v>
      </c>
      <c r="E42" s="1829">
        <v>1.22</v>
      </c>
      <c r="F42" s="1829">
        <v>1.22</v>
      </c>
      <c r="G42" s="1829">
        <v>1.22</v>
      </c>
      <c r="H42" s="1829">
        <v>1.22</v>
      </c>
      <c r="I42" s="1831">
        <v>1.22</v>
      </c>
      <c r="J42" s="1835" t="s">
        <v>1060</v>
      </c>
      <c r="K42" s="1835" t="s">
        <v>1060</v>
      </c>
      <c r="L42" s="1835" t="s">
        <v>1060</v>
      </c>
      <c r="M42" s="1835" t="s">
        <v>1060</v>
      </c>
      <c r="N42" s="1817"/>
      <c r="O42" s="1817"/>
    </row>
    <row r="43" spans="1:15">
      <c r="A43" s="1834">
        <v>2.2200000000000002</v>
      </c>
      <c r="B43" s="1829">
        <v>2.2200000000000002</v>
      </c>
      <c r="C43" s="1829">
        <v>2.2200000000000002</v>
      </c>
      <c r="D43" s="1829">
        <v>2.2200000000000002</v>
      </c>
      <c r="E43" s="1829">
        <v>1.39</v>
      </c>
      <c r="F43" s="1829">
        <v>1.39</v>
      </c>
      <c r="G43" s="1829">
        <v>1.39</v>
      </c>
      <c r="H43" s="1829">
        <v>1.39</v>
      </c>
      <c r="I43" s="1831" t="s">
        <v>1060</v>
      </c>
      <c r="J43" s="1832" t="s">
        <v>41</v>
      </c>
      <c r="K43" s="1832" t="s">
        <v>41</v>
      </c>
      <c r="L43" s="1832" t="s">
        <v>41</v>
      </c>
      <c r="M43" s="1832" t="s">
        <v>41</v>
      </c>
      <c r="N43" s="1817"/>
      <c r="O43" s="1817"/>
    </row>
    <row r="44" spans="1:15">
      <c r="A44" s="1834">
        <v>2.23</v>
      </c>
      <c r="B44" s="1829">
        <v>2.23</v>
      </c>
      <c r="C44" s="1829">
        <v>2.23</v>
      </c>
      <c r="D44" s="1829">
        <v>2.23</v>
      </c>
      <c r="E44" s="1829">
        <v>1.4</v>
      </c>
      <c r="F44" s="1829">
        <v>1.4</v>
      </c>
      <c r="G44" s="1829">
        <v>1.4</v>
      </c>
      <c r="H44" s="1829">
        <v>1.4</v>
      </c>
      <c r="I44" s="1831" t="s">
        <v>1060</v>
      </c>
      <c r="J44" s="1832" t="s">
        <v>43</v>
      </c>
      <c r="K44" s="1832" t="s">
        <v>43</v>
      </c>
      <c r="L44" s="1832" t="s">
        <v>43</v>
      </c>
      <c r="M44" s="1832" t="s">
        <v>43</v>
      </c>
      <c r="N44" s="1817"/>
      <c r="O44" s="1817"/>
    </row>
    <row r="45" spans="1:15">
      <c r="A45" s="1834">
        <v>3.01</v>
      </c>
      <c r="B45" s="1829">
        <v>3.01</v>
      </c>
      <c r="C45" s="1829">
        <v>3.01</v>
      </c>
      <c r="D45" s="1829">
        <v>3.01</v>
      </c>
      <c r="E45" s="1829" t="s">
        <v>1060</v>
      </c>
      <c r="F45" s="1829" t="s">
        <v>1060</v>
      </c>
      <c r="G45" s="1829" t="s">
        <v>1060</v>
      </c>
      <c r="H45" s="1829" t="s">
        <v>1060</v>
      </c>
      <c r="I45" s="1829" t="s">
        <v>1060</v>
      </c>
      <c r="J45" s="1829" t="s">
        <v>1060</v>
      </c>
      <c r="K45" s="1829" t="s">
        <v>1060</v>
      </c>
      <c r="L45" s="1829" t="s">
        <v>1060</v>
      </c>
      <c r="M45" s="1829" t="s">
        <v>1060</v>
      </c>
      <c r="N45" s="1817"/>
      <c r="O45" s="1817"/>
    </row>
    <row r="46" spans="1:15">
      <c r="A46" s="1834">
        <v>3.02</v>
      </c>
      <c r="B46" s="1834">
        <v>3.02</v>
      </c>
      <c r="C46" s="1834">
        <v>3.02</v>
      </c>
      <c r="D46" s="1834">
        <v>3.02</v>
      </c>
      <c r="E46" s="1833" t="s">
        <v>1371</v>
      </c>
      <c r="F46" s="1833" t="s">
        <v>1371</v>
      </c>
      <c r="G46" s="1833" t="s">
        <v>1371</v>
      </c>
      <c r="H46" s="1834" t="s">
        <v>1060</v>
      </c>
      <c r="I46" s="1834" t="s">
        <v>1060</v>
      </c>
      <c r="J46" s="1834" t="s">
        <v>1060</v>
      </c>
      <c r="K46" s="1834" t="s">
        <v>1060</v>
      </c>
      <c r="L46" s="1834" t="s">
        <v>1060</v>
      </c>
      <c r="M46" s="1834" t="s">
        <v>1060</v>
      </c>
      <c r="N46" s="1817"/>
      <c r="O46" s="1817"/>
    </row>
    <row r="47" spans="1:15">
      <c r="A47" s="1834">
        <v>3.03</v>
      </c>
      <c r="B47" s="1834">
        <v>3.03</v>
      </c>
      <c r="C47" s="1834">
        <v>3.03</v>
      </c>
      <c r="D47" s="1834">
        <v>3.03</v>
      </c>
      <c r="E47" s="1833" t="s">
        <v>1372</v>
      </c>
      <c r="F47" s="1833" t="s">
        <v>1372</v>
      </c>
      <c r="G47" s="1833" t="s">
        <v>1372</v>
      </c>
      <c r="H47" s="1834" t="s">
        <v>1060</v>
      </c>
      <c r="I47" s="1834" t="s">
        <v>1060</v>
      </c>
      <c r="J47" s="1834" t="s">
        <v>1060</v>
      </c>
      <c r="K47" s="1834" t="s">
        <v>1060</v>
      </c>
      <c r="L47" s="1834" t="s">
        <v>1060</v>
      </c>
      <c r="M47" s="1834" t="s">
        <v>1060</v>
      </c>
      <c r="N47" s="1817"/>
      <c r="O47" s="1817"/>
    </row>
    <row r="48" spans="1:15">
      <c r="A48" s="1834">
        <v>3.04</v>
      </c>
      <c r="B48" s="1834">
        <v>3.04</v>
      </c>
      <c r="C48" s="1834">
        <v>3.04</v>
      </c>
      <c r="D48" s="1834">
        <v>3.04</v>
      </c>
      <c r="E48" s="1833" t="s">
        <v>1373</v>
      </c>
      <c r="F48" s="1833" t="s">
        <v>1373</v>
      </c>
      <c r="G48" s="1833" t="s">
        <v>1373</v>
      </c>
      <c r="H48" s="1834" t="s">
        <v>1060</v>
      </c>
      <c r="I48" s="1834" t="s">
        <v>1060</v>
      </c>
      <c r="J48" s="1834" t="s">
        <v>1060</v>
      </c>
      <c r="K48" s="1834" t="s">
        <v>1060</v>
      </c>
      <c r="L48" s="1834" t="s">
        <v>1060</v>
      </c>
      <c r="M48" s="1834" t="s">
        <v>1060</v>
      </c>
      <c r="N48" s="1817"/>
      <c r="O48" s="1817"/>
    </row>
    <row r="49" spans="1:15">
      <c r="A49" s="1834">
        <v>3.05</v>
      </c>
      <c r="B49" s="1829">
        <v>3.05</v>
      </c>
      <c r="C49" s="1829">
        <v>3.05</v>
      </c>
      <c r="D49" s="1829">
        <v>3.05</v>
      </c>
      <c r="E49" s="1834">
        <v>3.07</v>
      </c>
      <c r="F49" s="1834">
        <v>3.07</v>
      </c>
      <c r="G49" s="1834">
        <v>3.07</v>
      </c>
      <c r="H49" s="1834">
        <v>3.07</v>
      </c>
      <c r="I49" s="1832" t="s">
        <v>1060</v>
      </c>
      <c r="J49" s="1835" t="s">
        <v>1060</v>
      </c>
      <c r="K49" s="1835" t="s">
        <v>1060</v>
      </c>
      <c r="L49" s="1835" t="s">
        <v>1060</v>
      </c>
      <c r="M49" s="1835" t="s">
        <v>1060</v>
      </c>
      <c r="N49" s="1817"/>
      <c r="O49" s="1817"/>
    </row>
    <row r="50" spans="1:15">
      <c r="A50" s="1834">
        <v>3.06</v>
      </c>
      <c r="B50" s="1829">
        <v>3.06</v>
      </c>
      <c r="C50" s="1829">
        <v>3.06</v>
      </c>
      <c r="D50" s="1829">
        <v>3.06</v>
      </c>
      <c r="E50" s="1834">
        <v>3.08</v>
      </c>
      <c r="F50" s="1834">
        <v>3.08</v>
      </c>
      <c r="G50" s="1834">
        <v>3.08</v>
      </c>
      <c r="H50" s="1834">
        <v>3.08</v>
      </c>
      <c r="I50" s="1832" t="s">
        <v>1060</v>
      </c>
      <c r="J50" s="1835" t="s">
        <v>1060</v>
      </c>
      <c r="K50" s="1835" t="s">
        <v>1060</v>
      </c>
      <c r="L50" s="1835" t="s">
        <v>1060</v>
      </c>
      <c r="M50" s="1835" t="s">
        <v>1060</v>
      </c>
      <c r="N50" s="1817"/>
      <c r="O50" s="1817"/>
    </row>
    <row r="51" spans="1:15">
      <c r="A51" s="1834">
        <v>3.07</v>
      </c>
      <c r="B51" s="1838">
        <v>3.07</v>
      </c>
      <c r="C51" s="1838">
        <v>3.07</v>
      </c>
      <c r="D51" s="1838">
        <v>3.07</v>
      </c>
      <c r="E51" s="1834">
        <v>3.09</v>
      </c>
      <c r="F51" s="1834">
        <v>3.09</v>
      </c>
      <c r="G51" s="1834">
        <v>3.09</v>
      </c>
      <c r="H51" s="1834">
        <v>3.09</v>
      </c>
      <c r="I51" s="1832" t="s">
        <v>1060</v>
      </c>
      <c r="J51" s="1835" t="s">
        <v>1060</v>
      </c>
      <c r="K51" s="1835" t="s">
        <v>1060</v>
      </c>
      <c r="L51" s="1835" t="s">
        <v>1060</v>
      </c>
      <c r="M51" s="1835" t="s">
        <v>1060</v>
      </c>
      <c r="N51" s="1817"/>
      <c r="O51" s="1817"/>
    </row>
    <row r="52" spans="1:15">
      <c r="A52" s="1834">
        <v>3.08</v>
      </c>
      <c r="B52" s="1833">
        <v>3.08</v>
      </c>
      <c r="C52" s="1833">
        <v>3.08</v>
      </c>
      <c r="D52" s="1833">
        <v>3.08</v>
      </c>
      <c r="E52" s="1833" t="s">
        <v>1414</v>
      </c>
      <c r="F52" s="1834" t="s">
        <v>1060</v>
      </c>
      <c r="G52" s="1834" t="s">
        <v>1060</v>
      </c>
      <c r="H52" s="1834" t="s">
        <v>1060</v>
      </c>
      <c r="I52" s="1834" t="s">
        <v>1060</v>
      </c>
      <c r="J52" s="1834" t="s">
        <v>1060</v>
      </c>
      <c r="K52" s="1834" t="s">
        <v>1060</v>
      </c>
      <c r="L52" s="1834" t="s">
        <v>1060</v>
      </c>
      <c r="M52" s="1834" t="s">
        <v>1060</v>
      </c>
      <c r="N52" s="1817"/>
      <c r="O52" s="1817"/>
    </row>
    <row r="53" spans="1:15">
      <c r="A53" s="1834">
        <v>3.09</v>
      </c>
      <c r="B53" s="1829">
        <v>3.09</v>
      </c>
      <c r="C53" s="1829">
        <v>3.09</v>
      </c>
      <c r="D53" s="1829">
        <v>3.09</v>
      </c>
      <c r="E53" s="1829">
        <v>1.0900000000000001</v>
      </c>
      <c r="F53" s="1829">
        <v>1.0900000000000001</v>
      </c>
      <c r="G53" s="1829">
        <v>1.0900000000000001</v>
      </c>
      <c r="H53" s="1829">
        <v>1.0900000000000001</v>
      </c>
      <c r="I53" s="1831">
        <v>1.0900000000000001</v>
      </c>
      <c r="J53" s="1832" t="s">
        <v>36</v>
      </c>
      <c r="K53" s="1832" t="s">
        <v>36</v>
      </c>
      <c r="L53" s="1832" t="s">
        <v>36</v>
      </c>
      <c r="M53" s="1832" t="s">
        <v>36</v>
      </c>
      <c r="N53" s="1817"/>
      <c r="O53" s="1817"/>
    </row>
    <row r="54" spans="1:15">
      <c r="A54" s="1839" t="s">
        <v>1414</v>
      </c>
      <c r="B54" s="1829" t="s">
        <v>1414</v>
      </c>
      <c r="C54" s="1829" t="s">
        <v>1414</v>
      </c>
      <c r="D54" s="1829" t="s">
        <v>1414</v>
      </c>
      <c r="E54" s="1829">
        <v>1.1100000000000001</v>
      </c>
      <c r="F54" s="1829">
        <v>1.1100000000000001</v>
      </c>
      <c r="G54" s="1829">
        <v>1.1100000000000001</v>
      </c>
      <c r="H54" s="1829">
        <v>1.1100000000000001</v>
      </c>
      <c r="I54" s="1831">
        <v>1.1100000000000001</v>
      </c>
      <c r="J54" s="1832" t="s">
        <v>37</v>
      </c>
      <c r="K54" s="1832" t="s">
        <v>37</v>
      </c>
      <c r="L54" s="1832" t="s">
        <v>37</v>
      </c>
      <c r="M54" s="1832" t="s">
        <v>37</v>
      </c>
      <c r="N54" s="1817"/>
      <c r="O54" s="1817"/>
    </row>
    <row r="55" spans="1:15">
      <c r="A55" s="1840">
        <v>3.11</v>
      </c>
      <c r="B55" s="1826">
        <v>3.11</v>
      </c>
      <c r="C55" s="1826">
        <v>3.11</v>
      </c>
      <c r="D55" s="1826">
        <v>3.11</v>
      </c>
      <c r="E55" s="1829">
        <v>1.1200000000000001</v>
      </c>
      <c r="F55" s="1829">
        <v>1.1200000000000001</v>
      </c>
      <c r="G55" s="1829">
        <v>1.1200000000000001</v>
      </c>
      <c r="H55" s="1829">
        <v>1.1200000000000001</v>
      </c>
      <c r="I55" s="1831">
        <v>1.1200000000000001</v>
      </c>
      <c r="J55" s="1832" t="s">
        <v>39</v>
      </c>
      <c r="K55" s="1832" t="s">
        <v>39</v>
      </c>
      <c r="L55" s="1832" t="s">
        <v>39</v>
      </c>
      <c r="M55" s="1832" t="s">
        <v>39</v>
      </c>
      <c r="N55" s="1817"/>
      <c r="O55" s="1817"/>
    </row>
    <row r="56" spans="1:15">
      <c r="A56" s="1840">
        <v>3.12</v>
      </c>
      <c r="B56" s="1829">
        <v>3.12</v>
      </c>
      <c r="C56" s="1829">
        <v>3.12</v>
      </c>
      <c r="D56" s="1829">
        <v>3.12</v>
      </c>
      <c r="E56" s="1829">
        <v>1.1000000000000001</v>
      </c>
      <c r="F56" s="1829">
        <v>1.1000000000000001</v>
      </c>
      <c r="G56" s="1829">
        <v>1.1000000000000001</v>
      </c>
      <c r="H56" s="1829">
        <v>1.1000000000000001</v>
      </c>
      <c r="I56" s="1831">
        <v>1.1000000000000001</v>
      </c>
      <c r="J56" s="1832" t="s">
        <v>38</v>
      </c>
      <c r="K56" s="1832" t="s">
        <v>38</v>
      </c>
      <c r="L56" s="1832" t="s">
        <v>38</v>
      </c>
      <c r="M56" s="1832" t="s">
        <v>38</v>
      </c>
      <c r="N56" s="1817"/>
      <c r="O56" s="1817"/>
    </row>
    <row r="57" spans="1:15">
      <c r="A57" s="1830">
        <v>3.13</v>
      </c>
      <c r="B57" s="1829" t="s">
        <v>1060</v>
      </c>
      <c r="C57" s="1829" t="s">
        <v>1060</v>
      </c>
      <c r="D57" s="1829" t="s">
        <v>1060</v>
      </c>
      <c r="E57" s="1829" t="s">
        <v>1060</v>
      </c>
      <c r="F57" s="1829" t="s">
        <v>1060</v>
      </c>
      <c r="G57" s="1829" t="s">
        <v>1060</v>
      </c>
      <c r="H57" s="1829" t="s">
        <v>1060</v>
      </c>
      <c r="I57" s="1829" t="s">
        <v>1060</v>
      </c>
      <c r="J57" s="1829" t="s">
        <v>1060</v>
      </c>
      <c r="K57" s="1829" t="s">
        <v>1060</v>
      </c>
      <c r="L57" s="1829" t="s">
        <v>1060</v>
      </c>
      <c r="M57" s="1829" t="s">
        <v>1060</v>
      </c>
      <c r="N57" s="1817"/>
      <c r="O57" s="1817"/>
    </row>
    <row r="58" spans="1:15">
      <c r="A58" s="1840">
        <v>4.01</v>
      </c>
      <c r="B58" s="1834">
        <v>4.01</v>
      </c>
      <c r="C58" s="1834">
        <v>4.01</v>
      </c>
      <c r="D58" s="1834">
        <v>4.01</v>
      </c>
      <c r="E58" s="1834">
        <v>4.01</v>
      </c>
      <c r="F58" s="1834">
        <v>4.01</v>
      </c>
      <c r="G58" s="1834">
        <v>4.01</v>
      </c>
      <c r="H58" s="1834">
        <v>4.01</v>
      </c>
      <c r="I58" s="1832">
        <v>4.01</v>
      </c>
      <c r="J58" s="1832" t="s">
        <v>1388</v>
      </c>
      <c r="K58" s="1832" t="s">
        <v>1388</v>
      </c>
      <c r="L58" s="1832" t="s">
        <v>1060</v>
      </c>
      <c r="M58" s="1832" t="s">
        <v>1060</v>
      </c>
      <c r="N58" s="1817"/>
      <c r="O58" s="1817"/>
    </row>
    <row r="59" spans="1:15">
      <c r="A59" s="1834">
        <v>4.0199999999999996</v>
      </c>
      <c r="B59" s="1834">
        <v>4.0199999999999996</v>
      </c>
      <c r="C59" s="1834">
        <v>4.0199999999999996</v>
      </c>
      <c r="D59" s="1834">
        <v>4.0199999999999996</v>
      </c>
      <c r="E59" s="1834">
        <v>4.0199999999999996</v>
      </c>
      <c r="F59" s="1834">
        <v>4.0199999999999996</v>
      </c>
      <c r="G59" s="1834">
        <v>4.0199999999999996</v>
      </c>
      <c r="H59" s="1834">
        <v>4.0199999999999996</v>
      </c>
      <c r="I59" s="1832">
        <v>4.0199999999999996</v>
      </c>
      <c r="J59" s="1832" t="s">
        <v>1418</v>
      </c>
      <c r="K59" s="1832" t="s">
        <v>1418</v>
      </c>
      <c r="L59" s="1832" t="s">
        <v>1417</v>
      </c>
      <c r="M59" s="1832" t="s">
        <v>1417</v>
      </c>
      <c r="N59" s="1817"/>
      <c r="O59" s="1817"/>
    </row>
    <row r="60" spans="1:15">
      <c r="A60" s="1834">
        <v>4.03</v>
      </c>
      <c r="B60" s="1834">
        <v>4.03</v>
      </c>
      <c r="C60" s="1834">
        <v>4.03</v>
      </c>
      <c r="D60" s="1834">
        <v>4.03</v>
      </c>
      <c r="E60" s="1834">
        <v>4.03</v>
      </c>
      <c r="F60" s="1834">
        <v>4.03</v>
      </c>
      <c r="G60" s="1834">
        <v>4.03</v>
      </c>
      <c r="H60" s="1834">
        <v>4.03</v>
      </c>
      <c r="I60" s="1832">
        <v>4.03</v>
      </c>
      <c r="J60" s="1835" t="s">
        <v>1060</v>
      </c>
      <c r="K60" s="1835" t="s">
        <v>1060</v>
      </c>
      <c r="L60" s="1835" t="s">
        <v>1060</v>
      </c>
      <c r="M60" s="1835" t="s">
        <v>1060</v>
      </c>
      <c r="N60" s="1817"/>
      <c r="O60" s="1817"/>
    </row>
    <row r="61" spans="1:15">
      <c r="A61" s="1834">
        <v>4.04</v>
      </c>
      <c r="B61" s="1834">
        <v>4.04</v>
      </c>
      <c r="C61" s="1834">
        <v>4.04</v>
      </c>
      <c r="D61" s="1834">
        <v>4.04</v>
      </c>
      <c r="E61" s="1834">
        <v>4.04</v>
      </c>
      <c r="F61" s="1834">
        <v>4.04</v>
      </c>
      <c r="G61" s="1834">
        <v>4.04</v>
      </c>
      <c r="H61" s="1834">
        <v>4.04</v>
      </c>
      <c r="I61" s="1832">
        <v>4.04</v>
      </c>
      <c r="J61" s="1832" t="s">
        <v>1422</v>
      </c>
      <c r="K61" s="1832" t="s">
        <v>1422</v>
      </c>
      <c r="L61" s="1832" t="s">
        <v>1421</v>
      </c>
      <c r="M61" s="1832" t="s">
        <v>1421</v>
      </c>
      <c r="N61" s="1817"/>
      <c r="O61" s="1817"/>
    </row>
    <row r="62" spans="1:15">
      <c r="A62" s="1834">
        <v>4.05</v>
      </c>
      <c r="B62" s="1834">
        <v>4.05</v>
      </c>
      <c r="C62" s="1834">
        <v>4.05</v>
      </c>
      <c r="D62" s="1834">
        <v>4.05</v>
      </c>
      <c r="E62" s="1834">
        <v>4.05</v>
      </c>
      <c r="F62" s="1834">
        <v>4.05</v>
      </c>
      <c r="G62" s="1834">
        <v>4.05</v>
      </c>
      <c r="H62" s="1834">
        <v>4.05</v>
      </c>
      <c r="I62" s="1832">
        <v>4.05</v>
      </c>
      <c r="J62" s="1832" t="s">
        <v>1423</v>
      </c>
      <c r="K62" s="1832" t="s">
        <v>1423</v>
      </c>
      <c r="L62" s="1832" t="s">
        <v>1422</v>
      </c>
      <c r="M62" s="1832" t="s">
        <v>1422</v>
      </c>
      <c r="N62" s="1817"/>
      <c r="O62" s="1817"/>
    </row>
    <row r="63" spans="1:15">
      <c r="A63" s="1833">
        <v>4.0599999999999996</v>
      </c>
      <c r="B63" s="1834">
        <v>4.1100000000000003</v>
      </c>
      <c r="C63" s="1834">
        <v>4.1100000000000003</v>
      </c>
      <c r="D63" s="1834">
        <v>4.1100000000000003</v>
      </c>
      <c r="E63" s="1829">
        <v>4.13</v>
      </c>
      <c r="F63" s="1829">
        <v>4.13</v>
      </c>
      <c r="G63" s="1829">
        <v>4.13</v>
      </c>
      <c r="H63" s="1829" t="s">
        <v>1060</v>
      </c>
      <c r="I63" s="1829" t="s">
        <v>1060</v>
      </c>
      <c r="J63" s="1829" t="s">
        <v>1060</v>
      </c>
      <c r="K63" s="1829" t="s">
        <v>1060</v>
      </c>
      <c r="L63" s="1829" t="s">
        <v>1060</v>
      </c>
      <c r="M63" s="1829" t="s">
        <v>1060</v>
      </c>
      <c r="N63" s="1817"/>
      <c r="O63" s="1817"/>
    </row>
    <row r="64" spans="1:15">
      <c r="A64" s="1834">
        <v>4.07</v>
      </c>
      <c r="B64" s="1833">
        <v>4.07</v>
      </c>
      <c r="C64" s="1833">
        <v>4.07</v>
      </c>
      <c r="D64" s="1833">
        <v>4.07</v>
      </c>
      <c r="E64" s="1834">
        <v>4.07</v>
      </c>
      <c r="F64" s="1834">
        <v>4.07</v>
      </c>
      <c r="G64" s="1834">
        <v>4.07</v>
      </c>
      <c r="H64" s="1834">
        <v>4.07</v>
      </c>
      <c r="I64" s="1832">
        <v>4.07</v>
      </c>
      <c r="J64" s="1832" t="s">
        <v>1387</v>
      </c>
      <c r="K64" s="1832" t="s">
        <v>1387</v>
      </c>
      <c r="L64" s="1832" t="s">
        <v>1060</v>
      </c>
      <c r="M64" s="1832" t="s">
        <v>1060</v>
      </c>
      <c r="N64" s="1817"/>
      <c r="O64" s="1817"/>
    </row>
    <row r="65" spans="1:15">
      <c r="A65" s="1834">
        <v>4.08</v>
      </c>
      <c r="B65" s="1833">
        <v>4.08</v>
      </c>
      <c r="C65" s="1833">
        <v>4.08</v>
      </c>
      <c r="D65" s="1833">
        <v>4.08</v>
      </c>
      <c r="E65" s="1834">
        <v>4.08</v>
      </c>
      <c r="F65" s="1834">
        <v>4.08</v>
      </c>
      <c r="G65" s="1834">
        <v>4.08</v>
      </c>
      <c r="H65" s="1834">
        <v>4.08</v>
      </c>
      <c r="I65" s="1832">
        <v>4.08</v>
      </c>
      <c r="J65" s="1832" t="s">
        <v>1390</v>
      </c>
      <c r="K65" s="1832" t="s">
        <v>1390</v>
      </c>
      <c r="L65" s="1832" t="s">
        <v>1389</v>
      </c>
      <c r="M65" s="1832" t="s">
        <v>1389</v>
      </c>
      <c r="N65" s="1817"/>
      <c r="O65" s="1817"/>
    </row>
    <row r="66" spans="1:15">
      <c r="A66" s="1833" t="s">
        <v>798</v>
      </c>
      <c r="B66" s="1833" t="s">
        <v>1070</v>
      </c>
      <c r="C66" s="1833" t="s">
        <v>1070</v>
      </c>
      <c r="D66" s="1833" t="s">
        <v>1070</v>
      </c>
      <c r="E66" s="1829">
        <v>4.0999999999999996</v>
      </c>
      <c r="F66" s="1829">
        <v>4.0999999999999996</v>
      </c>
      <c r="G66" s="1829">
        <v>4.0999999999999996</v>
      </c>
      <c r="H66" s="1829">
        <v>4.0999999999999996</v>
      </c>
      <c r="I66" s="1831">
        <v>4.0999999999999996</v>
      </c>
      <c r="J66" s="1832" t="s">
        <v>1417</v>
      </c>
      <c r="K66" s="1832" t="s">
        <v>1417</v>
      </c>
      <c r="L66" s="1832" t="s">
        <v>1416</v>
      </c>
      <c r="M66" s="1832" t="s">
        <v>1416</v>
      </c>
      <c r="N66" s="1817"/>
      <c r="O66" s="1817"/>
    </row>
    <row r="67" spans="1:15">
      <c r="A67" s="1833" t="s">
        <v>1070</v>
      </c>
      <c r="B67" s="1834" t="s">
        <v>1060</v>
      </c>
      <c r="C67" s="1834" t="s">
        <v>1060</v>
      </c>
      <c r="D67" s="1834" t="s">
        <v>1060</v>
      </c>
      <c r="E67" s="1834" t="s">
        <v>1060</v>
      </c>
      <c r="F67" s="1834" t="s">
        <v>1060</v>
      </c>
      <c r="G67" s="1834" t="s">
        <v>1060</v>
      </c>
      <c r="H67" s="1834" t="s">
        <v>1060</v>
      </c>
      <c r="I67" s="1834" t="s">
        <v>1060</v>
      </c>
      <c r="J67" s="1834" t="s">
        <v>1060</v>
      </c>
      <c r="K67" s="1834" t="s">
        <v>1060</v>
      </c>
      <c r="L67" s="1834" t="s">
        <v>1060</v>
      </c>
      <c r="M67" s="1834" t="s">
        <v>1060</v>
      </c>
      <c r="N67" s="1817"/>
      <c r="O67" s="1817"/>
    </row>
    <row r="68" spans="1:15">
      <c r="A68" s="1834">
        <v>5.01</v>
      </c>
      <c r="B68" s="1834">
        <v>5.01</v>
      </c>
      <c r="C68" s="1834">
        <v>5.01</v>
      </c>
      <c r="D68" s="1834">
        <v>5.01</v>
      </c>
      <c r="E68" s="1834">
        <v>5.01</v>
      </c>
      <c r="F68" s="1834">
        <v>5.01</v>
      </c>
      <c r="G68" s="1834">
        <v>5.01</v>
      </c>
      <c r="H68" s="1834">
        <v>5.0199999999999996</v>
      </c>
      <c r="I68" s="1832" t="s">
        <v>1374</v>
      </c>
      <c r="J68" s="1835" t="s">
        <v>1060</v>
      </c>
      <c r="K68" s="1835" t="s">
        <v>1060</v>
      </c>
      <c r="L68" s="1835" t="s">
        <v>1060</v>
      </c>
      <c r="M68" s="1835" t="s">
        <v>1060</v>
      </c>
      <c r="N68" s="1817"/>
      <c r="O68" s="1817"/>
    </row>
    <row r="69" spans="1:15">
      <c r="A69" s="1840">
        <v>5.0199999999999996</v>
      </c>
      <c r="B69" s="1834">
        <v>5.0199999999999996</v>
      </c>
      <c r="C69" s="1834">
        <v>5.0199999999999996</v>
      </c>
      <c r="D69" s="1834">
        <v>5.0199999999999996</v>
      </c>
      <c r="E69" s="1834">
        <v>5.0199999999999996</v>
      </c>
      <c r="F69" s="1834">
        <v>5.0199999999999996</v>
      </c>
      <c r="G69" s="1834">
        <v>5.0199999999999996</v>
      </c>
      <c r="H69" s="1834">
        <v>5.01</v>
      </c>
      <c r="I69" s="1835" t="s">
        <v>1375</v>
      </c>
      <c r="J69" s="1832" t="s">
        <v>1060</v>
      </c>
      <c r="K69" s="1832" t="s">
        <v>1060</v>
      </c>
      <c r="L69" s="1832" t="s">
        <v>1060</v>
      </c>
      <c r="M69" s="1832" t="s">
        <v>1060</v>
      </c>
      <c r="N69" s="1817"/>
      <c r="O69" s="1817"/>
    </row>
    <row r="70" spans="1:15">
      <c r="A70" s="1840">
        <v>5.03</v>
      </c>
      <c r="B70" s="1834">
        <v>5.03</v>
      </c>
      <c r="C70" s="1834">
        <v>5.03</v>
      </c>
      <c r="D70" s="1834">
        <v>5.03</v>
      </c>
      <c r="E70" s="1834">
        <v>5.03</v>
      </c>
      <c r="F70" s="1834">
        <v>5.03</v>
      </c>
      <c r="G70" s="1834">
        <v>5.03</v>
      </c>
      <c r="H70" s="1834" t="s">
        <v>1060</v>
      </c>
      <c r="I70" s="1834" t="s">
        <v>1060</v>
      </c>
      <c r="J70" s="1834" t="s">
        <v>1060</v>
      </c>
      <c r="K70" s="1834" t="s">
        <v>1060</v>
      </c>
      <c r="L70" s="1834" t="s">
        <v>1060</v>
      </c>
      <c r="M70" s="1834" t="s">
        <v>1060</v>
      </c>
      <c r="N70" s="1817"/>
      <c r="O70" s="1817"/>
    </row>
    <row r="71" spans="1:15">
      <c r="A71" s="1834">
        <v>5.04</v>
      </c>
      <c r="B71" s="1834">
        <v>5.04</v>
      </c>
      <c r="C71" s="1834">
        <v>5.04</v>
      </c>
      <c r="D71" s="1834">
        <v>5.04</v>
      </c>
      <c r="E71" s="1834">
        <v>5.04</v>
      </c>
      <c r="F71" s="1834">
        <v>5.04</v>
      </c>
      <c r="G71" s="1834">
        <v>5.04</v>
      </c>
      <c r="H71" s="1834" t="s">
        <v>1060</v>
      </c>
      <c r="I71" s="1834" t="s">
        <v>1060</v>
      </c>
      <c r="J71" s="1834" t="s">
        <v>1060</v>
      </c>
      <c r="K71" s="1834" t="s">
        <v>1060</v>
      </c>
      <c r="L71" s="1834" t="s">
        <v>1060</v>
      </c>
      <c r="M71" s="1834" t="s">
        <v>1060</v>
      </c>
      <c r="N71" s="1817"/>
      <c r="O71" s="1817"/>
    </row>
    <row r="72" spans="1:15">
      <c r="A72" s="1834">
        <v>6.01</v>
      </c>
      <c r="B72" s="1834">
        <v>6.01</v>
      </c>
      <c r="C72" s="1834">
        <v>6.01</v>
      </c>
      <c r="D72" s="1834">
        <v>6.01</v>
      </c>
      <c r="E72" s="1834">
        <v>6.01</v>
      </c>
      <c r="F72" s="1834">
        <v>6.01</v>
      </c>
      <c r="G72" s="1834">
        <v>6.01</v>
      </c>
      <c r="H72" s="1834">
        <v>6.01</v>
      </c>
      <c r="I72" s="1832">
        <v>6.01</v>
      </c>
      <c r="J72" s="1832" t="s">
        <v>59</v>
      </c>
      <c r="K72" s="1832" t="s">
        <v>59</v>
      </c>
      <c r="L72" s="1832" t="s">
        <v>59</v>
      </c>
      <c r="M72" s="1832" t="s">
        <v>59</v>
      </c>
      <c r="N72" s="1817"/>
      <c r="O72" s="1817"/>
    </row>
    <row r="73" spans="1:15">
      <c r="A73" s="1834">
        <v>6.02</v>
      </c>
      <c r="B73" s="1834">
        <v>6.02</v>
      </c>
      <c r="C73" s="1834">
        <v>6.02</v>
      </c>
      <c r="D73" s="1834">
        <v>6.02</v>
      </c>
      <c r="E73" s="1834">
        <v>6.02</v>
      </c>
      <c r="F73" s="1834">
        <v>6.02</v>
      </c>
      <c r="G73" s="1834">
        <v>6.02</v>
      </c>
      <c r="H73" s="1834">
        <v>6.02</v>
      </c>
      <c r="I73" s="1832">
        <v>6.02</v>
      </c>
      <c r="J73" s="1832" t="s">
        <v>1377</v>
      </c>
      <c r="K73" s="1832" t="s">
        <v>1377</v>
      </c>
      <c r="L73" s="1832" t="s">
        <v>1377</v>
      </c>
      <c r="M73" s="1832" t="s">
        <v>1377</v>
      </c>
      <c r="N73" s="1817"/>
      <c r="O73" s="1817"/>
    </row>
    <row r="74" spans="1:15">
      <c r="A74" s="1834">
        <v>6.03</v>
      </c>
      <c r="B74" s="1834">
        <v>6.03</v>
      </c>
      <c r="C74" s="1834">
        <v>6.03</v>
      </c>
      <c r="D74" s="1834">
        <v>6.03</v>
      </c>
      <c r="E74" s="1834">
        <v>6.03</v>
      </c>
      <c r="F74" s="1834">
        <v>6.03</v>
      </c>
      <c r="G74" s="1834">
        <v>6.03</v>
      </c>
      <c r="H74" s="1834">
        <v>6.03</v>
      </c>
      <c r="I74" s="1832">
        <v>6.03</v>
      </c>
      <c r="J74" s="1832" t="s">
        <v>60</v>
      </c>
      <c r="K74" s="1832" t="s">
        <v>60</v>
      </c>
      <c r="L74" s="1832" t="s">
        <v>60</v>
      </c>
      <c r="M74" s="1832" t="s">
        <v>60</v>
      </c>
      <c r="N74" s="1817"/>
      <c r="O74" s="1817"/>
    </row>
    <row r="75" spans="1:15">
      <c r="A75" s="1834">
        <v>6.04</v>
      </c>
      <c r="B75" s="1829">
        <v>6.04</v>
      </c>
      <c r="C75" s="1829">
        <v>6.04</v>
      </c>
      <c r="D75" s="1829">
        <v>6.04</v>
      </c>
      <c r="E75" s="1834">
        <v>6.04</v>
      </c>
      <c r="F75" s="1834">
        <v>6.04</v>
      </c>
      <c r="G75" s="1834">
        <v>6.04</v>
      </c>
      <c r="H75" s="1834">
        <v>6.04</v>
      </c>
      <c r="I75" s="1832">
        <v>6.04</v>
      </c>
      <c r="J75" s="1832" t="s">
        <v>1379</v>
      </c>
      <c r="K75" s="1832" t="s">
        <v>1379</v>
      </c>
      <c r="L75" s="1832" t="s">
        <v>1379</v>
      </c>
      <c r="M75" s="1832" t="s">
        <v>1379</v>
      </c>
      <c r="N75" s="1817"/>
      <c r="O75" s="1817"/>
    </row>
    <row r="76" spans="1:15">
      <c r="A76" s="1834">
        <v>6.05</v>
      </c>
      <c r="B76" s="1829">
        <v>6.05</v>
      </c>
      <c r="C76" s="1829">
        <v>6.05</v>
      </c>
      <c r="D76" s="1829">
        <v>6.05</v>
      </c>
      <c r="E76" s="1834">
        <v>6.05</v>
      </c>
      <c r="F76" s="1834">
        <v>6.05</v>
      </c>
      <c r="G76" s="1834">
        <v>6.05</v>
      </c>
      <c r="H76" s="1834">
        <v>6.05</v>
      </c>
      <c r="I76" s="1832">
        <v>6.05</v>
      </c>
      <c r="J76" s="1832" t="s">
        <v>1380</v>
      </c>
      <c r="K76" s="1832" t="s">
        <v>1380</v>
      </c>
      <c r="L76" s="1832" t="s">
        <v>1380</v>
      </c>
      <c r="M76" s="1832" t="s">
        <v>1380</v>
      </c>
      <c r="N76" s="1817"/>
      <c r="O76" s="1817"/>
    </row>
    <row r="77" spans="1:15">
      <c r="A77" s="1834">
        <v>6.06</v>
      </c>
      <c r="B77" s="1829">
        <v>6.06</v>
      </c>
      <c r="C77" s="1829">
        <v>6.06</v>
      </c>
      <c r="D77" s="1829">
        <v>6.06</v>
      </c>
      <c r="E77" s="1834">
        <v>6.06</v>
      </c>
      <c r="F77" s="1834">
        <v>6.06</v>
      </c>
      <c r="G77" s="1834">
        <v>6.06</v>
      </c>
      <c r="H77" s="1834">
        <v>6.06</v>
      </c>
      <c r="I77" s="1832">
        <v>6.06</v>
      </c>
      <c r="J77" s="1832" t="s">
        <v>1381</v>
      </c>
      <c r="K77" s="1832" t="s">
        <v>1381</v>
      </c>
      <c r="L77" s="1832" t="s">
        <v>1381</v>
      </c>
      <c r="M77" s="1832" t="s">
        <v>1381</v>
      </c>
      <c r="N77" s="1817"/>
      <c r="O77" s="1817"/>
    </row>
    <row r="78" spans="1:15">
      <c r="A78" s="1834">
        <v>7.01</v>
      </c>
      <c r="B78" s="1826">
        <v>7.01</v>
      </c>
      <c r="C78" s="1826">
        <v>7.01</v>
      </c>
      <c r="D78" s="1826">
        <v>7.01</v>
      </c>
      <c r="E78" s="1834">
        <v>7.01</v>
      </c>
      <c r="F78" s="1834">
        <v>7.01</v>
      </c>
      <c r="G78" s="1834">
        <v>7.01</v>
      </c>
      <c r="H78" s="1834">
        <v>7.01</v>
      </c>
      <c r="I78" s="1832">
        <v>7.01</v>
      </c>
      <c r="J78" s="1832" t="s">
        <v>1382</v>
      </c>
      <c r="K78" s="1832" t="s">
        <v>1382</v>
      </c>
      <c r="L78" s="1832" t="s">
        <v>1382</v>
      </c>
      <c r="M78" s="1832" t="s">
        <v>1382</v>
      </c>
      <c r="N78" s="1817"/>
      <c r="O78" s="1817"/>
    </row>
    <row r="79" spans="1:15">
      <c r="A79" s="1834">
        <v>7.02</v>
      </c>
      <c r="B79" s="1834">
        <v>7.02</v>
      </c>
      <c r="C79" s="1834">
        <v>7.02</v>
      </c>
      <c r="D79" s="1834">
        <v>7.02</v>
      </c>
      <c r="E79" s="1834">
        <v>7.02</v>
      </c>
      <c r="F79" s="1834">
        <v>7.02</v>
      </c>
      <c r="G79" s="1834">
        <v>7.02</v>
      </c>
      <c r="H79" s="1834">
        <v>7.02</v>
      </c>
      <c r="I79" s="1832">
        <v>7.02</v>
      </c>
      <c r="J79" s="1832" t="s">
        <v>1383</v>
      </c>
      <c r="K79" s="1832" t="s">
        <v>1383</v>
      </c>
      <c r="L79" s="1832" t="s">
        <v>1383</v>
      </c>
      <c r="M79" s="1832" t="s">
        <v>1383</v>
      </c>
      <c r="N79" s="1817"/>
      <c r="O79" s="1817"/>
    </row>
    <row r="80" spans="1:15">
      <c r="A80" s="1834">
        <v>7.03</v>
      </c>
      <c r="B80" s="1834">
        <v>7.03</v>
      </c>
      <c r="C80" s="1834">
        <v>7.03</v>
      </c>
      <c r="D80" s="1834">
        <v>7.03</v>
      </c>
      <c r="E80" s="1834">
        <v>7.03</v>
      </c>
      <c r="F80" s="1834">
        <v>7.03</v>
      </c>
      <c r="G80" s="1834">
        <v>7.03</v>
      </c>
      <c r="H80" s="1834">
        <v>7.03</v>
      </c>
      <c r="I80" s="1832">
        <v>7.03</v>
      </c>
      <c r="J80" s="1832" t="s">
        <v>1384</v>
      </c>
      <c r="K80" s="1832" t="s">
        <v>1384</v>
      </c>
      <c r="L80" s="1832" t="s">
        <v>1384</v>
      </c>
      <c r="M80" s="1832" t="s">
        <v>1384</v>
      </c>
      <c r="N80" s="1817"/>
      <c r="O80" s="1817"/>
    </row>
    <row r="81" spans="1:15">
      <c r="A81" s="1833">
        <v>7.04</v>
      </c>
      <c r="B81" s="1834">
        <v>7.04</v>
      </c>
      <c r="C81" s="1834">
        <v>7.04</v>
      </c>
      <c r="D81" s="1834">
        <v>7.04</v>
      </c>
      <c r="E81" s="1834">
        <v>7.04</v>
      </c>
      <c r="F81" s="1834">
        <v>7.04</v>
      </c>
      <c r="G81" s="1834">
        <v>7.04</v>
      </c>
      <c r="H81" s="1834">
        <v>7.04</v>
      </c>
      <c r="I81" s="1832">
        <v>7.04</v>
      </c>
      <c r="J81" s="1832" t="s">
        <v>1385</v>
      </c>
      <c r="K81" s="1832" t="s">
        <v>1385</v>
      </c>
      <c r="L81" s="1832" t="s">
        <v>1385</v>
      </c>
      <c r="M81" s="1832" t="s">
        <v>1385</v>
      </c>
      <c r="N81" s="1817"/>
      <c r="O81" s="1817"/>
    </row>
    <row r="82" spans="1:15">
      <c r="A82" s="1833">
        <v>7.05</v>
      </c>
      <c r="B82" s="1834">
        <v>7.05</v>
      </c>
      <c r="C82" s="1834">
        <v>7.05</v>
      </c>
      <c r="D82" s="1834">
        <v>7.05</v>
      </c>
      <c r="E82" s="1840">
        <v>7.05</v>
      </c>
      <c r="F82" s="1840">
        <v>7.05</v>
      </c>
      <c r="G82" s="1840">
        <v>7.05</v>
      </c>
      <c r="H82" s="1840">
        <v>7.05</v>
      </c>
      <c r="I82" s="1830">
        <v>7.05</v>
      </c>
      <c r="J82" s="1830" t="s">
        <v>1386</v>
      </c>
      <c r="K82" s="1830" t="s">
        <v>1386</v>
      </c>
      <c r="L82" s="1830" t="s">
        <v>1386</v>
      </c>
      <c r="M82" s="1830" t="s">
        <v>1386</v>
      </c>
      <c r="N82" s="1817"/>
      <c r="O82" s="1817"/>
    </row>
    <row r="83" spans="1:15">
      <c r="A83" s="1833">
        <v>8.01</v>
      </c>
      <c r="B83" s="1834">
        <v>8.01</v>
      </c>
      <c r="C83" s="1834">
        <v>8.01</v>
      </c>
      <c r="D83" s="1834">
        <v>8.01</v>
      </c>
      <c r="E83" s="1826">
        <v>8.01</v>
      </c>
      <c r="F83" s="1826">
        <v>8.01</v>
      </c>
      <c r="G83" s="1826">
        <v>8.01</v>
      </c>
      <c r="H83" s="1826">
        <v>8.01</v>
      </c>
      <c r="I83" s="1827">
        <v>8.01</v>
      </c>
      <c r="J83" s="1830" t="s">
        <v>9</v>
      </c>
      <c r="K83" s="1830" t="s">
        <v>9</v>
      </c>
      <c r="L83" s="1830" t="s">
        <v>9</v>
      </c>
      <c r="M83" s="1830" t="s">
        <v>9</v>
      </c>
      <c r="N83" s="1817"/>
      <c r="O83" s="1817"/>
    </row>
    <row r="84" spans="1:15">
      <c r="A84" s="1839">
        <v>8.02</v>
      </c>
      <c r="B84" s="1829">
        <v>8.02</v>
      </c>
      <c r="C84" s="1829">
        <v>8.02</v>
      </c>
      <c r="D84" s="1829">
        <v>8.02</v>
      </c>
      <c r="E84" s="1826">
        <v>1.01</v>
      </c>
      <c r="F84" s="1826">
        <v>1.01</v>
      </c>
      <c r="G84" s="1826">
        <v>1.01</v>
      </c>
      <c r="H84" s="1826">
        <v>1.01</v>
      </c>
      <c r="I84" s="1827">
        <v>1.01</v>
      </c>
      <c r="J84" s="1828" t="s">
        <v>1060</v>
      </c>
      <c r="K84" s="1828" t="s">
        <v>1060</v>
      </c>
      <c r="L84" s="1828" t="s">
        <v>1060</v>
      </c>
      <c r="M84" s="1828" t="s">
        <v>1060</v>
      </c>
      <c r="N84" s="1817"/>
      <c r="O84" s="1817"/>
    </row>
    <row r="85" spans="1:15">
      <c r="A85" s="1839">
        <v>8.0299999999999994</v>
      </c>
      <c r="B85" s="1834">
        <v>8.0299999999999994</v>
      </c>
      <c r="C85" s="1834">
        <v>8.0299999999999994</v>
      </c>
      <c r="D85" s="1834">
        <v>8.0299999999999994</v>
      </c>
      <c r="E85" s="1826">
        <v>8.0299999999999994</v>
      </c>
      <c r="F85" s="1826">
        <v>8.0299999999999994</v>
      </c>
      <c r="G85" s="1826">
        <v>8.0299999999999994</v>
      </c>
      <c r="H85" s="1826">
        <v>8.0299999999999994</v>
      </c>
      <c r="I85" s="1827">
        <v>8.0299999999999994</v>
      </c>
      <c r="J85" s="1830" t="s">
        <v>14</v>
      </c>
      <c r="K85" s="1830" t="s">
        <v>14</v>
      </c>
      <c r="L85" s="1830" t="s">
        <v>14</v>
      </c>
      <c r="M85" s="1830" t="s">
        <v>14</v>
      </c>
      <c r="N85" s="1817"/>
      <c r="O85" s="1817"/>
    </row>
    <row r="86" spans="1:15">
      <c r="A86" s="1839">
        <v>8.0399999999999991</v>
      </c>
      <c r="B86" s="1834">
        <v>8.0399999999999991</v>
      </c>
      <c r="C86" s="1834">
        <v>8.0399999999999991</v>
      </c>
      <c r="D86" s="1834">
        <v>8.0399999999999991</v>
      </c>
      <c r="E86" s="1826">
        <v>8.0399999999999991</v>
      </c>
      <c r="F86" s="1826">
        <v>8.0399999999999991</v>
      </c>
      <c r="G86" s="1826">
        <v>8.0399999999999991</v>
      </c>
      <c r="H86" s="1826">
        <v>8.0399999999999991</v>
      </c>
      <c r="I86" s="1827">
        <v>8.0399999999999991</v>
      </c>
      <c r="J86" s="1830" t="s">
        <v>16</v>
      </c>
      <c r="K86" s="1830" t="s">
        <v>16</v>
      </c>
      <c r="L86" s="1830" t="s">
        <v>16</v>
      </c>
      <c r="M86" s="1830" t="s">
        <v>16</v>
      </c>
      <c r="N86" s="1817"/>
      <c r="O86" s="1817"/>
    </row>
    <row r="87" spans="1:15">
      <c r="A87" s="1839">
        <v>8.0500000000000007</v>
      </c>
      <c r="B87" s="1834">
        <v>8.0500000000000007</v>
      </c>
      <c r="C87" s="1834">
        <v>8.0500000000000007</v>
      </c>
      <c r="D87" s="1834">
        <v>8.0500000000000007</v>
      </c>
      <c r="E87" s="1829">
        <v>8.0500000000000007</v>
      </c>
      <c r="F87" s="1829">
        <v>8.0500000000000007</v>
      </c>
      <c r="G87" s="1829">
        <v>8.0500000000000007</v>
      </c>
      <c r="H87" s="1829">
        <v>8.0500000000000007</v>
      </c>
      <c r="I87" s="1831">
        <v>8.0500000000000007</v>
      </c>
      <c r="J87" s="1832" t="s">
        <v>18</v>
      </c>
      <c r="K87" s="1832" t="s">
        <v>18</v>
      </c>
      <c r="L87" s="1830" t="s">
        <v>18</v>
      </c>
      <c r="M87" s="1830" t="s">
        <v>18</v>
      </c>
      <c r="N87" s="1817"/>
      <c r="O87" s="1817"/>
    </row>
    <row r="88" spans="1:15">
      <c r="A88" s="1839">
        <v>8.06</v>
      </c>
      <c r="B88" s="1834">
        <v>8.06</v>
      </c>
      <c r="C88" s="1834">
        <v>8.06</v>
      </c>
      <c r="D88" s="1834">
        <v>8.06</v>
      </c>
      <c r="E88" s="1829">
        <v>8.06</v>
      </c>
      <c r="F88" s="1829">
        <v>8.06</v>
      </c>
      <c r="G88" s="1829">
        <v>8.06</v>
      </c>
      <c r="H88" s="1829">
        <v>8.06</v>
      </c>
      <c r="I88" s="1831">
        <v>8.06</v>
      </c>
      <c r="J88" s="1832" t="s">
        <v>19</v>
      </c>
      <c r="K88" s="1832" t="s">
        <v>19</v>
      </c>
      <c r="L88" s="1832" t="s">
        <v>19</v>
      </c>
      <c r="M88" s="1832" t="s">
        <v>19</v>
      </c>
      <c r="N88" s="1817"/>
      <c r="O88" s="1817"/>
    </row>
    <row r="89" spans="1:15">
      <c r="A89" s="1839">
        <v>8.07</v>
      </c>
      <c r="B89" s="1834">
        <v>8.07</v>
      </c>
      <c r="C89" s="1834">
        <v>8.07</v>
      </c>
      <c r="D89" s="1834">
        <v>8.07</v>
      </c>
      <c r="E89" s="1829">
        <v>8.07</v>
      </c>
      <c r="F89" s="1829">
        <v>8.07</v>
      </c>
      <c r="G89" s="1829">
        <v>8.07</v>
      </c>
      <c r="H89" s="1829">
        <v>8.07</v>
      </c>
      <c r="I89" s="1831">
        <v>8.07</v>
      </c>
      <c r="J89" s="1832" t="s">
        <v>22</v>
      </c>
      <c r="K89" s="1832" t="s">
        <v>22</v>
      </c>
      <c r="L89" s="1832" t="s">
        <v>22</v>
      </c>
      <c r="M89" s="1832" t="s">
        <v>22</v>
      </c>
      <c r="N89" s="1817"/>
      <c r="O89" s="1817"/>
    </row>
    <row r="90" spans="1:15">
      <c r="A90" s="1839">
        <v>8.08</v>
      </c>
      <c r="B90" s="1834">
        <v>8.08</v>
      </c>
      <c r="C90" s="1834">
        <v>8.08</v>
      </c>
      <c r="D90" s="1834">
        <v>8.08</v>
      </c>
      <c r="E90" s="1829">
        <v>8.08</v>
      </c>
      <c r="F90" s="1829">
        <v>8.08</v>
      </c>
      <c r="G90" s="1829">
        <v>8.08</v>
      </c>
      <c r="H90" s="1829">
        <v>8.08</v>
      </c>
      <c r="I90" s="1831">
        <v>8.08</v>
      </c>
      <c r="J90" s="1832" t="s">
        <v>26</v>
      </c>
      <c r="K90" s="1832" t="s">
        <v>26</v>
      </c>
      <c r="L90" s="1832" t="s">
        <v>26</v>
      </c>
      <c r="M90" s="1832" t="s">
        <v>26</v>
      </c>
      <c r="N90" s="1817"/>
      <c r="O90" s="1817"/>
    </row>
    <row r="91" spans="1:15">
      <c r="A91" s="1839">
        <v>8.09</v>
      </c>
      <c r="B91" s="1840">
        <v>8.09</v>
      </c>
      <c r="C91" s="1840">
        <v>8.09</v>
      </c>
      <c r="D91" s="1840">
        <v>8.09</v>
      </c>
      <c r="E91" s="1829">
        <v>8.09</v>
      </c>
      <c r="F91" s="1829">
        <v>8.09</v>
      </c>
      <c r="G91" s="1829">
        <v>8.09</v>
      </c>
      <c r="H91" s="1829">
        <v>8.09</v>
      </c>
      <c r="I91" s="1831">
        <v>8.09</v>
      </c>
      <c r="J91" s="1832" t="s">
        <v>24</v>
      </c>
      <c r="K91" s="1832" t="s">
        <v>24</v>
      </c>
      <c r="L91" s="1832" t="s">
        <v>24</v>
      </c>
      <c r="M91" s="1832" t="s">
        <v>24</v>
      </c>
      <c r="N91" s="1817"/>
      <c r="O91" s="1817"/>
    </row>
    <row r="92" spans="1:15">
      <c r="A92" s="1840" t="s">
        <v>1072</v>
      </c>
      <c r="B92" s="1840" t="s">
        <v>1072</v>
      </c>
      <c r="C92" s="1840" t="s">
        <v>1072</v>
      </c>
      <c r="D92" s="1840" t="s">
        <v>1072</v>
      </c>
      <c r="E92" s="1829">
        <v>8.1</v>
      </c>
      <c r="F92" s="1829">
        <v>8.1</v>
      </c>
      <c r="G92" s="1829">
        <v>8.1</v>
      </c>
      <c r="H92" s="1829">
        <v>8.1</v>
      </c>
      <c r="I92" s="1831">
        <v>8.1</v>
      </c>
      <c r="J92" s="1832" t="s">
        <v>25</v>
      </c>
      <c r="K92" s="1832" t="s">
        <v>25</v>
      </c>
      <c r="L92" s="1832" t="s">
        <v>25</v>
      </c>
      <c r="M92" s="1832" t="s">
        <v>25</v>
      </c>
      <c r="N92" s="1817"/>
      <c r="O92" s="1817"/>
    </row>
    <row r="93" spans="1:15">
      <c r="A93" s="1840" t="s">
        <v>1073</v>
      </c>
      <c r="B93" s="1840" t="s">
        <v>1073</v>
      </c>
      <c r="C93" s="1840" t="s">
        <v>1073</v>
      </c>
      <c r="D93" s="1840" t="s">
        <v>1073</v>
      </c>
      <c r="E93" s="1829">
        <v>8.11</v>
      </c>
      <c r="F93" s="1829">
        <v>8.11</v>
      </c>
      <c r="G93" s="1829" t="s">
        <v>1060</v>
      </c>
      <c r="H93" s="1829" t="s">
        <v>1060</v>
      </c>
      <c r="I93" s="1829" t="s">
        <v>1060</v>
      </c>
      <c r="J93" s="1829" t="s">
        <v>1060</v>
      </c>
      <c r="K93" s="1829" t="s">
        <v>1060</v>
      </c>
      <c r="L93" s="1829" t="s">
        <v>1060</v>
      </c>
      <c r="M93" s="1829" t="s">
        <v>1060</v>
      </c>
      <c r="N93" s="1817"/>
      <c r="O93" s="1817"/>
    </row>
    <row r="94" spans="1:15">
      <c r="A94" s="1839">
        <v>8.1199999999999992</v>
      </c>
      <c r="B94" s="1840">
        <v>8.1199999999999992</v>
      </c>
      <c r="C94" s="1840">
        <v>8.1199999999999992</v>
      </c>
      <c r="D94" s="1840">
        <v>8.1199999999999992</v>
      </c>
      <c r="E94" s="1829">
        <v>8.02</v>
      </c>
      <c r="F94" s="1829">
        <v>8.1199999999999992</v>
      </c>
      <c r="G94" s="1829" t="s">
        <v>1060</v>
      </c>
      <c r="H94" s="1829" t="s">
        <v>1060</v>
      </c>
      <c r="I94" s="1829" t="s">
        <v>1060</v>
      </c>
      <c r="J94" s="1829" t="s">
        <v>1060</v>
      </c>
      <c r="K94" s="1829" t="s">
        <v>1060</v>
      </c>
      <c r="L94" s="1829" t="s">
        <v>1060</v>
      </c>
      <c r="M94" s="1829" t="s">
        <v>1060</v>
      </c>
      <c r="N94" s="1817"/>
      <c r="O94" s="1817"/>
    </row>
    <row r="95" spans="1:15">
      <c r="A95" s="1833">
        <v>8.1300000000000008</v>
      </c>
      <c r="B95" s="1826">
        <v>8.1300000000000008</v>
      </c>
      <c r="C95" s="1840" t="s">
        <v>1060</v>
      </c>
      <c r="D95" s="1840" t="s">
        <v>1060</v>
      </c>
      <c r="E95" s="1834" t="s">
        <v>1060</v>
      </c>
      <c r="F95" s="1834" t="s">
        <v>1060</v>
      </c>
      <c r="G95" s="1834" t="s">
        <v>1060</v>
      </c>
      <c r="H95" s="1834" t="s">
        <v>1060</v>
      </c>
      <c r="I95" s="1832" t="s">
        <v>1060</v>
      </c>
      <c r="J95" s="1832" t="s">
        <v>1060</v>
      </c>
      <c r="K95" s="1832" t="s">
        <v>1060</v>
      </c>
      <c r="L95" s="1832" t="s">
        <v>1060</v>
      </c>
      <c r="M95" s="1832" t="s">
        <v>1060</v>
      </c>
      <c r="N95" s="1817"/>
      <c r="O95" s="1817"/>
    </row>
    <row r="96" spans="1:15">
      <c r="A96" s="1833">
        <v>9.01</v>
      </c>
      <c r="B96" s="1829">
        <v>9.01</v>
      </c>
      <c r="C96" s="1829">
        <v>9.01</v>
      </c>
      <c r="D96" s="1829">
        <v>9.01</v>
      </c>
      <c r="E96" s="1829">
        <v>9.01</v>
      </c>
      <c r="F96" s="1829">
        <v>9.01</v>
      </c>
      <c r="G96" s="1829" t="s">
        <v>1060</v>
      </c>
      <c r="H96" s="1829" t="s">
        <v>1060</v>
      </c>
      <c r="I96" s="1829" t="s">
        <v>1060</v>
      </c>
      <c r="J96" s="1835" t="s">
        <v>1060</v>
      </c>
      <c r="K96" s="1835" t="s">
        <v>1060</v>
      </c>
      <c r="L96" s="1835" t="s">
        <v>1060</v>
      </c>
      <c r="M96" s="1835" t="s">
        <v>1060</v>
      </c>
      <c r="N96" s="1817"/>
      <c r="O96" s="1817"/>
    </row>
    <row r="97" spans="1:15">
      <c r="A97" s="1839">
        <v>9.02</v>
      </c>
      <c r="B97" s="1829">
        <v>9.02</v>
      </c>
      <c r="C97" s="1829">
        <v>9.02</v>
      </c>
      <c r="D97" s="1829">
        <v>9.02</v>
      </c>
      <c r="E97" s="1829">
        <v>9.02</v>
      </c>
      <c r="F97" s="1829">
        <v>9.02</v>
      </c>
      <c r="G97" s="1829">
        <v>9.02</v>
      </c>
      <c r="H97" s="1829">
        <v>9.02</v>
      </c>
      <c r="I97" s="1831">
        <v>9.02</v>
      </c>
      <c r="J97" s="1835" t="s">
        <v>1060</v>
      </c>
      <c r="K97" s="1835" t="s">
        <v>1060</v>
      </c>
      <c r="L97" s="1835" t="s">
        <v>1060</v>
      </c>
      <c r="M97" s="1835" t="s">
        <v>1060</v>
      </c>
      <c r="N97" s="1817"/>
      <c r="O97" s="1817"/>
    </row>
    <row r="98" spans="1:15">
      <c r="A98" s="1839">
        <v>9.0299999999999994</v>
      </c>
      <c r="B98" s="1829">
        <v>9.0299999999999994</v>
      </c>
      <c r="C98" s="1829">
        <v>9.0299999999999994</v>
      </c>
      <c r="D98" s="1829">
        <v>9.0299999999999994</v>
      </c>
      <c r="E98" s="1829">
        <v>9.0299999999999994</v>
      </c>
      <c r="F98" s="1829">
        <v>9.0299999999999994</v>
      </c>
      <c r="G98" s="1829">
        <v>9.0299999999999994</v>
      </c>
      <c r="H98" s="1829">
        <v>9.0299999999999994</v>
      </c>
      <c r="I98" s="1831">
        <v>9.0299999999999994</v>
      </c>
      <c r="J98" s="1835" t="s">
        <v>1060</v>
      </c>
      <c r="K98" s="1835" t="s">
        <v>1060</v>
      </c>
      <c r="L98" s="1835" t="s">
        <v>1060</v>
      </c>
      <c r="M98" s="1835" t="s">
        <v>1060</v>
      </c>
      <c r="N98" s="1817"/>
      <c r="O98" s="1817"/>
    </row>
    <row r="99" spans="1:15">
      <c r="A99" s="1839">
        <v>9.0399999999999991</v>
      </c>
      <c r="B99" s="1829">
        <v>9.0399999999999991</v>
      </c>
      <c r="C99" s="1829">
        <v>9.0399999999999991</v>
      </c>
      <c r="D99" s="1829">
        <v>9.0399999999999991</v>
      </c>
      <c r="E99" s="1829">
        <v>9.0399999999999991</v>
      </c>
      <c r="F99" s="1829">
        <v>9.0399999999999991</v>
      </c>
      <c r="G99" s="1829">
        <v>9.0399999999999991</v>
      </c>
      <c r="H99" s="1829">
        <v>9.0399999999999991</v>
      </c>
      <c r="I99" s="1841" t="s">
        <v>1060</v>
      </c>
      <c r="J99" s="1835" t="s">
        <v>1060</v>
      </c>
      <c r="K99" s="1835" t="s">
        <v>1060</v>
      </c>
      <c r="L99" s="1835" t="s">
        <v>1060</v>
      </c>
      <c r="M99" s="1835" t="s">
        <v>1060</v>
      </c>
      <c r="N99" s="1817"/>
      <c r="O99" s="1817"/>
    </row>
    <row r="100" spans="1:15">
      <c r="A100" s="1839">
        <v>9.0500000000000007</v>
      </c>
      <c r="B100" s="1829">
        <v>9.0500000000000007</v>
      </c>
      <c r="C100" s="1829">
        <v>9.0500000000000007</v>
      </c>
      <c r="D100" s="1829">
        <v>9.0500000000000007</v>
      </c>
      <c r="E100" s="1829">
        <v>9.0500000000000007</v>
      </c>
      <c r="F100" s="1829">
        <v>9.0500000000000007</v>
      </c>
      <c r="G100" s="1829">
        <v>9.0500000000000007</v>
      </c>
      <c r="H100" s="1829">
        <v>9.0500000000000007</v>
      </c>
      <c r="I100" s="1841" t="s">
        <v>1060</v>
      </c>
      <c r="J100" s="1835" t="s">
        <v>1060</v>
      </c>
      <c r="K100" s="1835" t="s">
        <v>1060</v>
      </c>
      <c r="L100" s="1835" t="s">
        <v>1060</v>
      </c>
      <c r="M100" s="1835" t="s">
        <v>1060</v>
      </c>
      <c r="N100" s="1817"/>
      <c r="O100" s="1817"/>
    </row>
    <row r="101" spans="1:15">
      <c r="A101" s="1839">
        <v>9.06</v>
      </c>
      <c r="B101" s="1829">
        <v>9.06</v>
      </c>
      <c r="C101" s="1829">
        <v>9.06</v>
      </c>
      <c r="D101" s="1829">
        <v>9.06</v>
      </c>
      <c r="E101" s="1829">
        <v>9.06</v>
      </c>
      <c r="F101" s="1829">
        <v>9.06</v>
      </c>
      <c r="G101" s="1829">
        <v>9.06</v>
      </c>
      <c r="H101" s="1829">
        <v>9.06</v>
      </c>
      <c r="I101" s="1831" t="s">
        <v>1060</v>
      </c>
      <c r="J101" s="1832" t="s">
        <v>1060</v>
      </c>
      <c r="K101" s="1832" t="s">
        <v>1060</v>
      </c>
      <c r="L101" s="1832" t="s">
        <v>1060</v>
      </c>
      <c r="M101" s="1832" t="s">
        <v>1060</v>
      </c>
      <c r="N101" s="1817"/>
      <c r="O101" s="1817"/>
    </row>
    <row r="102" spans="1:15">
      <c r="A102" s="1839">
        <v>9.07</v>
      </c>
      <c r="B102" s="1829">
        <v>9.07</v>
      </c>
      <c r="C102" s="1829">
        <v>9.07</v>
      </c>
      <c r="D102" s="1829">
        <v>9.07</v>
      </c>
      <c r="E102" s="1833">
        <v>9.2100000000000009</v>
      </c>
      <c r="F102" s="1834" t="s">
        <v>1060</v>
      </c>
      <c r="G102" s="1834" t="s">
        <v>1060</v>
      </c>
      <c r="H102" s="1834" t="s">
        <v>1060</v>
      </c>
      <c r="I102" s="1834" t="s">
        <v>1060</v>
      </c>
      <c r="J102" s="1834" t="s">
        <v>1060</v>
      </c>
      <c r="K102" s="1834" t="s">
        <v>1060</v>
      </c>
      <c r="L102" s="1834" t="s">
        <v>1060</v>
      </c>
      <c r="M102" s="1834" t="s">
        <v>1060</v>
      </c>
      <c r="N102" s="1817"/>
      <c r="O102" s="1817"/>
    </row>
    <row r="103" spans="1:15">
      <c r="A103" s="1839">
        <v>9.08</v>
      </c>
      <c r="B103" s="1829">
        <v>9.08</v>
      </c>
      <c r="C103" s="1829">
        <v>9.08</v>
      </c>
      <c r="D103" s="1829">
        <v>9.08</v>
      </c>
      <c r="E103" s="1829">
        <v>9.08</v>
      </c>
      <c r="F103" s="1829">
        <v>9.08</v>
      </c>
      <c r="G103" s="1829">
        <v>9.08</v>
      </c>
      <c r="H103" s="1829">
        <v>9.08</v>
      </c>
      <c r="I103" s="1831" t="s">
        <v>1060</v>
      </c>
      <c r="J103" s="1832" t="s">
        <v>1060</v>
      </c>
      <c r="K103" s="1832" t="s">
        <v>1060</v>
      </c>
      <c r="L103" s="1832" t="s">
        <v>1060</v>
      </c>
      <c r="M103" s="1832" t="s">
        <v>1060</v>
      </c>
      <c r="N103" s="1817"/>
      <c r="O103" s="1817"/>
    </row>
    <row r="104" spans="1:15">
      <c r="A104" s="1839">
        <v>9.09</v>
      </c>
      <c r="B104" s="1829">
        <v>9.09</v>
      </c>
      <c r="C104" s="1829">
        <v>9.09</v>
      </c>
      <c r="D104" s="1829">
        <v>9.09</v>
      </c>
      <c r="E104" s="1829">
        <v>9.09</v>
      </c>
      <c r="F104" s="1829">
        <v>9.09</v>
      </c>
      <c r="G104" s="1829">
        <v>9.09</v>
      </c>
      <c r="H104" s="1829">
        <v>9.09</v>
      </c>
      <c r="I104" s="1831">
        <v>9.09</v>
      </c>
      <c r="J104" s="1832" t="s">
        <v>1376</v>
      </c>
      <c r="K104" s="1832" t="s">
        <v>1376</v>
      </c>
      <c r="L104" s="1832" t="s">
        <v>1376</v>
      </c>
      <c r="M104" s="1832" t="s">
        <v>1059</v>
      </c>
      <c r="N104" s="1817"/>
      <c r="O104" s="1817"/>
    </row>
    <row r="105" spans="1:15">
      <c r="A105" s="1839" t="s">
        <v>927</v>
      </c>
      <c r="B105" s="1829" t="s">
        <v>927</v>
      </c>
      <c r="C105" s="1829" t="s">
        <v>927</v>
      </c>
      <c r="D105" s="1829" t="s">
        <v>927</v>
      </c>
      <c r="E105" s="1837" t="s">
        <v>927</v>
      </c>
      <c r="F105" s="1829">
        <v>9.09</v>
      </c>
      <c r="G105" s="1829">
        <v>9.09</v>
      </c>
      <c r="H105" s="1837" t="s">
        <v>927</v>
      </c>
      <c r="I105" s="1831">
        <v>9.08</v>
      </c>
      <c r="J105" s="1832" t="s">
        <v>929</v>
      </c>
      <c r="K105" s="1832" t="s">
        <v>926</v>
      </c>
      <c r="L105" s="1832" t="s">
        <v>926</v>
      </c>
      <c r="M105" s="1832" t="s">
        <v>925</v>
      </c>
      <c r="N105" s="1817"/>
      <c r="O105" s="1817"/>
    </row>
    <row r="106" spans="1:15">
      <c r="A106" s="1839">
        <v>9.11</v>
      </c>
      <c r="B106" s="1829">
        <v>9.11</v>
      </c>
      <c r="C106" s="1829">
        <v>9.11</v>
      </c>
      <c r="D106" s="1829">
        <v>9.11</v>
      </c>
      <c r="E106" s="1829">
        <v>9.11</v>
      </c>
      <c r="F106" s="1829">
        <v>9.11</v>
      </c>
      <c r="G106" s="1829">
        <v>9.11</v>
      </c>
      <c r="H106" s="1829">
        <v>9.11</v>
      </c>
      <c r="I106" s="1831">
        <v>9.11</v>
      </c>
      <c r="J106" s="1835" t="s">
        <v>1060</v>
      </c>
      <c r="K106" s="1835" t="s">
        <v>1060</v>
      </c>
      <c r="L106" s="1835" t="s">
        <v>1060</v>
      </c>
      <c r="M106" s="1835" t="s">
        <v>1060</v>
      </c>
      <c r="N106" s="1817"/>
      <c r="O106" s="1817"/>
    </row>
    <row r="107" spans="1:15">
      <c r="A107" s="1839">
        <v>9.1199999999999992</v>
      </c>
      <c r="B107" s="1829">
        <v>9.1199999999999992</v>
      </c>
      <c r="C107" s="1829">
        <v>9.1199999999999992</v>
      </c>
      <c r="D107" s="1829">
        <v>9.1199999999999992</v>
      </c>
      <c r="E107" s="1829">
        <v>9.1199999999999992</v>
      </c>
      <c r="F107" s="1829">
        <v>9.1199999999999992</v>
      </c>
      <c r="G107" s="1829">
        <v>9.1199999999999992</v>
      </c>
      <c r="H107" s="1829">
        <v>9.1199999999999992</v>
      </c>
      <c r="I107" s="1831">
        <v>9.0399999999999991</v>
      </c>
      <c r="J107" s="1832" t="s">
        <v>1435</v>
      </c>
      <c r="K107" s="1832" t="s">
        <v>1435</v>
      </c>
      <c r="L107" s="1832" t="s">
        <v>1435</v>
      </c>
      <c r="M107" s="1832" t="s">
        <v>1434</v>
      </c>
      <c r="N107" s="1817"/>
      <c r="O107" s="1817"/>
    </row>
    <row r="108" spans="1:15">
      <c r="A108" s="1839">
        <v>9.1300000000000008</v>
      </c>
      <c r="B108" s="1829">
        <v>9.1300000000000008</v>
      </c>
      <c r="C108" s="1829">
        <v>9.1300000000000008</v>
      </c>
      <c r="D108" s="1829">
        <v>9.1300000000000008</v>
      </c>
      <c r="E108" s="1829">
        <v>9.1300000000000008</v>
      </c>
      <c r="F108" s="1829">
        <v>9.1300000000000008</v>
      </c>
      <c r="G108" s="1829">
        <v>9.1300000000000008</v>
      </c>
      <c r="H108" s="1829">
        <v>9.1300000000000008</v>
      </c>
      <c r="I108" s="1831">
        <v>9.0500000000000007</v>
      </c>
      <c r="J108" s="1832" t="s">
        <v>1437</v>
      </c>
      <c r="K108" s="1832" t="s">
        <v>1437</v>
      </c>
      <c r="L108" s="1832" t="s">
        <v>1437</v>
      </c>
      <c r="M108" s="1832" t="s">
        <v>1436</v>
      </c>
      <c r="N108" s="1817"/>
      <c r="O108" s="1817"/>
    </row>
    <row r="109" spans="1:15">
      <c r="A109" s="1839">
        <v>9.14</v>
      </c>
      <c r="B109" s="1829">
        <v>9.14</v>
      </c>
      <c r="C109" s="1829">
        <v>9.14</v>
      </c>
      <c r="D109" s="1829">
        <v>9.14</v>
      </c>
      <c r="E109" s="1829">
        <v>9.14</v>
      </c>
      <c r="F109" s="1829">
        <v>9.14</v>
      </c>
      <c r="G109" s="1829">
        <v>9.14</v>
      </c>
      <c r="H109" s="1829">
        <v>9.14</v>
      </c>
      <c r="I109" s="1831">
        <v>9.06</v>
      </c>
      <c r="J109" s="1832" t="s">
        <v>1433</v>
      </c>
      <c r="K109" s="1832" t="s">
        <v>1433</v>
      </c>
      <c r="L109" s="1832" t="s">
        <v>1433</v>
      </c>
      <c r="M109" s="1832" t="s">
        <v>1429</v>
      </c>
      <c r="N109" s="1817"/>
      <c r="O109" s="1817"/>
    </row>
    <row r="110" spans="1:15">
      <c r="A110" s="1839">
        <v>9.15</v>
      </c>
      <c r="B110" s="1829">
        <v>9.15</v>
      </c>
      <c r="C110" s="1829">
        <v>9.15</v>
      </c>
      <c r="D110" s="1829">
        <v>9.15</v>
      </c>
      <c r="E110" s="1829">
        <v>1.41</v>
      </c>
      <c r="F110" s="1829" t="s">
        <v>1060</v>
      </c>
      <c r="G110" s="1829" t="s">
        <v>1060</v>
      </c>
      <c r="H110" s="1829" t="s">
        <v>1060</v>
      </c>
      <c r="I110" s="1829" t="s">
        <v>1060</v>
      </c>
      <c r="J110" s="1829" t="s">
        <v>1060</v>
      </c>
      <c r="K110" s="1829" t="s">
        <v>1060</v>
      </c>
      <c r="L110" s="1829" t="s">
        <v>1060</v>
      </c>
      <c r="M110" s="1829" t="s">
        <v>1060</v>
      </c>
      <c r="N110" s="1817"/>
      <c r="O110" s="1817"/>
    </row>
    <row r="111" spans="1:15">
      <c r="A111" s="1839" t="s">
        <v>796</v>
      </c>
      <c r="B111" s="1829" t="s">
        <v>1075</v>
      </c>
      <c r="C111" s="1829" t="s">
        <v>1075</v>
      </c>
      <c r="D111" s="1829" t="s">
        <v>1075</v>
      </c>
      <c r="E111" s="1829">
        <v>1.07</v>
      </c>
      <c r="F111" s="1829">
        <v>1.07</v>
      </c>
      <c r="G111" s="1829">
        <v>1.07</v>
      </c>
      <c r="H111" s="1829">
        <v>1.07</v>
      </c>
      <c r="I111" s="1831">
        <v>1.07</v>
      </c>
      <c r="J111" s="1832" t="s">
        <v>50</v>
      </c>
      <c r="K111" s="1832" t="s">
        <v>50</v>
      </c>
      <c r="L111" s="1832" t="s">
        <v>50</v>
      </c>
      <c r="M111" s="1832" t="s">
        <v>50</v>
      </c>
      <c r="N111" s="1817"/>
      <c r="O111" s="1817"/>
    </row>
    <row r="112" spans="1:15">
      <c r="A112" s="1839">
        <v>9.17</v>
      </c>
      <c r="B112" s="1829">
        <v>9.17</v>
      </c>
      <c r="C112" s="1829">
        <v>9.17</v>
      </c>
      <c r="D112" s="1829">
        <v>9.17</v>
      </c>
      <c r="E112" s="1829">
        <v>9.17</v>
      </c>
      <c r="F112" s="1829">
        <v>9.17</v>
      </c>
      <c r="G112" s="1829">
        <v>9.17</v>
      </c>
      <c r="H112" s="1829">
        <v>9.17</v>
      </c>
      <c r="I112" s="1841" t="s">
        <v>1060</v>
      </c>
      <c r="J112" s="1835" t="s">
        <v>1060</v>
      </c>
      <c r="K112" s="1835" t="s">
        <v>1060</v>
      </c>
      <c r="L112" s="1835" t="s">
        <v>1060</v>
      </c>
      <c r="M112" s="1835" t="s">
        <v>1060</v>
      </c>
      <c r="N112" s="1817"/>
      <c r="O112" s="1817"/>
    </row>
    <row r="113" spans="1:15">
      <c r="A113" s="1839">
        <v>9.18</v>
      </c>
      <c r="B113" s="1829">
        <v>9.18</v>
      </c>
      <c r="C113" s="1829">
        <v>9.18</v>
      </c>
      <c r="D113" s="1829">
        <v>9.18</v>
      </c>
      <c r="E113" s="1829">
        <v>9.18</v>
      </c>
      <c r="F113" s="1829">
        <v>9.18</v>
      </c>
      <c r="G113" s="1829">
        <v>9.18</v>
      </c>
      <c r="H113" s="1829">
        <v>9.18</v>
      </c>
      <c r="I113" s="1841" t="s">
        <v>1060</v>
      </c>
      <c r="J113" s="1835" t="s">
        <v>1060</v>
      </c>
      <c r="K113" s="1835" t="s">
        <v>1060</v>
      </c>
      <c r="L113" s="1835" t="s">
        <v>1060</v>
      </c>
      <c r="M113" s="1835" t="s">
        <v>1060</v>
      </c>
      <c r="N113" s="1817"/>
      <c r="O113" s="1817"/>
    </row>
    <row r="114" spans="1:15">
      <c r="A114" s="1839">
        <v>9.19</v>
      </c>
      <c r="B114" s="1829">
        <v>9.19</v>
      </c>
      <c r="C114" s="1829">
        <v>9.19</v>
      </c>
      <c r="D114" s="1829">
        <v>9.19</v>
      </c>
      <c r="E114" s="1829">
        <v>9.19</v>
      </c>
      <c r="F114" s="1829">
        <v>9.19</v>
      </c>
      <c r="G114" s="1829">
        <v>9.01</v>
      </c>
      <c r="H114" s="1829">
        <v>9.01</v>
      </c>
      <c r="I114" s="1831">
        <v>9.01</v>
      </c>
      <c r="J114" s="1835" t="s">
        <v>1060</v>
      </c>
      <c r="K114" s="1835" t="s">
        <v>1060</v>
      </c>
      <c r="L114" s="1835" t="s">
        <v>1060</v>
      </c>
      <c r="M114" s="1835" t="s">
        <v>1060</v>
      </c>
      <c r="N114" s="1817"/>
      <c r="O114" s="1817"/>
    </row>
    <row r="115" spans="1:15">
      <c r="A115" s="1839" t="s">
        <v>0</v>
      </c>
      <c r="B115" s="1829" t="s">
        <v>0</v>
      </c>
      <c r="C115" s="1829" t="s">
        <v>0</v>
      </c>
      <c r="D115" s="1829" t="s">
        <v>0</v>
      </c>
      <c r="E115" s="1829">
        <v>9.1999999999999993</v>
      </c>
      <c r="F115" s="1829">
        <v>9.1999999999999993</v>
      </c>
      <c r="G115" s="1829" t="s">
        <v>1060</v>
      </c>
      <c r="H115" s="1829" t="s">
        <v>1060</v>
      </c>
      <c r="I115" s="1829" t="s">
        <v>1060</v>
      </c>
      <c r="J115" s="1829" t="s">
        <v>1060</v>
      </c>
      <c r="K115" s="1829" t="s">
        <v>1060</v>
      </c>
      <c r="L115" s="1829" t="s">
        <v>1060</v>
      </c>
      <c r="M115" s="1829" t="s">
        <v>1060</v>
      </c>
      <c r="N115" s="1817"/>
      <c r="O115" s="1817"/>
    </row>
    <row r="116" spans="1:15">
      <c r="A116" s="1839" t="s">
        <v>1392</v>
      </c>
      <c r="B116" s="1829" t="s">
        <v>1392</v>
      </c>
      <c r="C116" s="1829" t="s">
        <v>1392</v>
      </c>
      <c r="D116" s="1829" t="s">
        <v>1392</v>
      </c>
      <c r="E116" s="1829">
        <v>1.08</v>
      </c>
      <c r="F116" s="1829">
        <v>1.08</v>
      </c>
      <c r="G116" s="1829">
        <v>1.08</v>
      </c>
      <c r="H116" s="1829">
        <v>1.08</v>
      </c>
      <c r="I116" s="1831">
        <v>1.08</v>
      </c>
      <c r="J116" s="1832" t="s">
        <v>51</v>
      </c>
      <c r="K116" s="1832" t="s">
        <v>51</v>
      </c>
      <c r="L116" s="1832" t="s">
        <v>51</v>
      </c>
      <c r="M116" s="1832" t="s">
        <v>51</v>
      </c>
      <c r="N116" s="1817"/>
      <c r="O116" s="1817"/>
    </row>
    <row r="117" spans="1:15">
      <c r="A117" s="1839" t="s">
        <v>1063</v>
      </c>
      <c r="B117" s="1829" t="s">
        <v>1063</v>
      </c>
      <c r="C117" s="1829" t="s">
        <v>1063</v>
      </c>
      <c r="D117" s="1829" t="s">
        <v>1063</v>
      </c>
      <c r="E117" s="1833" t="s">
        <v>1063</v>
      </c>
      <c r="F117" s="1834">
        <v>2.0099999999999998</v>
      </c>
      <c r="G117" s="1834">
        <v>2.0099999999999998</v>
      </c>
      <c r="H117" s="1834">
        <v>2.0099999999999998</v>
      </c>
      <c r="I117" s="1834">
        <v>2.0099999999999998</v>
      </c>
      <c r="J117" s="1832" t="s">
        <v>930</v>
      </c>
      <c r="K117" s="1832" t="s">
        <v>930</v>
      </c>
      <c r="L117" s="1832" t="s">
        <v>930</v>
      </c>
      <c r="M117" s="1832" t="s">
        <v>1060</v>
      </c>
      <c r="N117" s="1817"/>
      <c r="O117" s="1817"/>
    </row>
    <row r="118" spans="1:15">
      <c r="A118" s="1839" t="s">
        <v>1064</v>
      </c>
      <c r="B118" s="1837" t="s">
        <v>1064</v>
      </c>
      <c r="C118" s="1837" t="s">
        <v>1064</v>
      </c>
      <c r="D118" s="1837" t="s">
        <v>1064</v>
      </c>
      <c r="E118" s="1833" t="s">
        <v>1064</v>
      </c>
      <c r="F118" s="1834">
        <v>2.02</v>
      </c>
      <c r="G118" s="1834">
        <v>2.02</v>
      </c>
      <c r="H118" s="1834">
        <v>2.02</v>
      </c>
      <c r="I118" s="1834">
        <v>2.02</v>
      </c>
      <c r="J118" s="1832" t="s">
        <v>930</v>
      </c>
      <c r="K118" s="1832" t="s">
        <v>930</v>
      </c>
      <c r="L118" s="1832" t="s">
        <v>930</v>
      </c>
      <c r="M118" s="1832" t="s">
        <v>1060</v>
      </c>
      <c r="N118" s="1817"/>
      <c r="O118" s="1817"/>
    </row>
    <row r="119" spans="1:15">
      <c r="A119" s="1839" t="s">
        <v>1065</v>
      </c>
      <c r="B119" s="1829" t="s">
        <v>1065</v>
      </c>
      <c r="C119" s="1829" t="s">
        <v>1065</v>
      </c>
      <c r="D119" s="1829" t="s">
        <v>1065</v>
      </c>
      <c r="E119" s="1837" t="s">
        <v>1065</v>
      </c>
      <c r="F119" s="1829">
        <v>2.13</v>
      </c>
      <c r="G119" s="1829" t="s">
        <v>1060</v>
      </c>
      <c r="H119" s="1829" t="s">
        <v>1060</v>
      </c>
      <c r="I119" s="1829" t="s">
        <v>1060</v>
      </c>
      <c r="J119" s="1829" t="s">
        <v>1060</v>
      </c>
      <c r="K119" s="1829" t="s">
        <v>1060</v>
      </c>
      <c r="L119" s="1829" t="s">
        <v>1060</v>
      </c>
      <c r="M119" s="1829" t="s">
        <v>1060</v>
      </c>
      <c r="N119" s="1817"/>
      <c r="O119" s="1817"/>
    </row>
    <row r="120" spans="1:15">
      <c r="A120" s="1839">
        <v>11.01</v>
      </c>
      <c r="B120" s="1829">
        <v>11.01</v>
      </c>
      <c r="C120" s="1829">
        <v>11.01</v>
      </c>
      <c r="D120" s="1829">
        <v>11.01</v>
      </c>
      <c r="E120" s="1829">
        <v>1.42</v>
      </c>
      <c r="F120" s="1829">
        <v>1.42</v>
      </c>
      <c r="G120" s="1829">
        <v>1.42</v>
      </c>
      <c r="H120" s="1829">
        <v>1.42</v>
      </c>
      <c r="I120" s="1831">
        <v>8.02</v>
      </c>
      <c r="J120" s="1832" t="s">
        <v>12</v>
      </c>
      <c r="K120" s="1832" t="s">
        <v>12</v>
      </c>
      <c r="L120" s="1832" t="s">
        <v>12</v>
      </c>
      <c r="M120" s="1832" t="s">
        <v>12</v>
      </c>
      <c r="N120" s="1817"/>
      <c r="O120" s="1817"/>
    </row>
    <row r="121" spans="1:15">
      <c r="A121" s="1839">
        <v>11.02</v>
      </c>
      <c r="B121" s="1829">
        <v>11.02</v>
      </c>
      <c r="C121" s="1829">
        <v>11.02</v>
      </c>
      <c r="D121" s="1829">
        <v>11.02</v>
      </c>
      <c r="E121" s="1829">
        <v>1.02</v>
      </c>
      <c r="F121" s="1829">
        <v>1.02</v>
      </c>
      <c r="G121" s="1829">
        <v>1.02</v>
      </c>
      <c r="H121" s="1829">
        <v>1.02</v>
      </c>
      <c r="I121" s="1831">
        <v>1.02</v>
      </c>
      <c r="J121" s="1835" t="s">
        <v>1060</v>
      </c>
      <c r="K121" s="1835" t="s">
        <v>1060</v>
      </c>
      <c r="L121" s="1835" t="s">
        <v>1060</v>
      </c>
      <c r="M121" s="1835" t="s">
        <v>1060</v>
      </c>
      <c r="N121" s="1817"/>
      <c r="O121" s="1817"/>
    </row>
    <row r="122" spans="1:15">
      <c r="A122" s="1839">
        <v>11.03</v>
      </c>
      <c r="B122" s="1829">
        <v>11.03</v>
      </c>
      <c r="C122" s="1829">
        <v>11.03</v>
      </c>
      <c r="D122" s="1829">
        <v>11.03</v>
      </c>
      <c r="E122" s="1829">
        <v>1.03</v>
      </c>
      <c r="F122" s="1829">
        <v>1.03</v>
      </c>
      <c r="G122" s="1829">
        <v>1.03</v>
      </c>
      <c r="H122" s="1829">
        <v>1.03</v>
      </c>
      <c r="I122" s="1831">
        <v>1.03</v>
      </c>
      <c r="J122" s="1832" t="s">
        <v>30</v>
      </c>
      <c r="K122" s="1832" t="s">
        <v>30</v>
      </c>
      <c r="L122" s="1832" t="s">
        <v>30</v>
      </c>
      <c r="M122" s="1832" t="s">
        <v>30</v>
      </c>
      <c r="N122" s="1817"/>
      <c r="O122" s="1817"/>
    </row>
    <row r="123" spans="1:15">
      <c r="A123" s="1839">
        <v>11.04</v>
      </c>
      <c r="B123" s="1829">
        <v>11.04</v>
      </c>
      <c r="C123" s="1829">
        <v>11.04</v>
      </c>
      <c r="D123" s="1829">
        <v>11.04</v>
      </c>
      <c r="E123" s="1829">
        <v>1.04</v>
      </c>
      <c r="F123" s="1829">
        <v>1.04</v>
      </c>
      <c r="G123" s="1829">
        <v>1.04</v>
      </c>
      <c r="H123" s="1829">
        <v>1.04</v>
      </c>
      <c r="I123" s="1831">
        <v>1.04</v>
      </c>
      <c r="J123" s="1832" t="s">
        <v>31</v>
      </c>
      <c r="K123" s="1832" t="s">
        <v>31</v>
      </c>
      <c r="L123" s="1832" t="s">
        <v>31</v>
      </c>
      <c r="M123" s="1832" t="s">
        <v>31</v>
      </c>
      <c r="N123" s="1817"/>
      <c r="O123" s="1817"/>
    </row>
    <row r="124" spans="1:15">
      <c r="A124" s="1839">
        <v>11.05</v>
      </c>
      <c r="B124" s="1829">
        <v>11.05</v>
      </c>
      <c r="C124" s="1829">
        <v>11.05</v>
      </c>
      <c r="D124" s="1829">
        <v>11.05</v>
      </c>
      <c r="E124" s="1829">
        <v>1.05</v>
      </c>
      <c r="F124" s="1829">
        <v>1.05</v>
      </c>
      <c r="G124" s="1829">
        <v>1.05</v>
      </c>
      <c r="H124" s="1829">
        <v>1.05</v>
      </c>
      <c r="I124" s="1831">
        <v>1.05</v>
      </c>
      <c r="J124" s="1832" t="s">
        <v>34</v>
      </c>
      <c r="K124" s="1832" t="s">
        <v>34</v>
      </c>
      <c r="L124" s="1832" t="s">
        <v>34</v>
      </c>
      <c r="M124" s="1832" t="s">
        <v>34</v>
      </c>
      <c r="N124" s="1817"/>
      <c r="O124" s="1817"/>
    </row>
    <row r="125" spans="1:15">
      <c r="A125" s="1839">
        <v>11.06</v>
      </c>
      <c r="B125" s="1829">
        <v>11.06</v>
      </c>
      <c r="C125" s="1829">
        <v>11.06</v>
      </c>
      <c r="D125" s="1829">
        <v>11.06</v>
      </c>
      <c r="E125" s="1829">
        <v>1.06</v>
      </c>
      <c r="F125" s="1829">
        <v>1.06</v>
      </c>
      <c r="G125" s="1829">
        <v>1.06</v>
      </c>
      <c r="H125" s="1829">
        <v>1.06</v>
      </c>
      <c r="I125" s="1831">
        <v>1.06</v>
      </c>
      <c r="J125" s="1832" t="s">
        <v>35</v>
      </c>
      <c r="K125" s="1832" t="s">
        <v>35</v>
      </c>
      <c r="L125" s="1832" t="s">
        <v>35</v>
      </c>
      <c r="M125" s="1832" t="s">
        <v>35</v>
      </c>
      <c r="N125" s="1817"/>
      <c r="O125" s="1817"/>
    </row>
    <row r="126" spans="1:15">
      <c r="A126" s="1839">
        <v>11.07</v>
      </c>
      <c r="B126" s="1829">
        <v>11.11</v>
      </c>
      <c r="C126" s="1829">
        <v>11.11</v>
      </c>
      <c r="D126" s="1829">
        <v>11.11</v>
      </c>
      <c r="E126" s="1829">
        <v>1.34</v>
      </c>
      <c r="F126" s="1829">
        <v>1.34</v>
      </c>
      <c r="G126" s="1829">
        <v>1.34</v>
      </c>
      <c r="H126" s="1829">
        <v>1.34</v>
      </c>
      <c r="I126" s="1831" t="s">
        <v>1060</v>
      </c>
      <c r="J126" s="1835" t="s">
        <v>1060</v>
      </c>
      <c r="K126" s="1835" t="s">
        <v>1060</v>
      </c>
      <c r="L126" s="1835" t="s">
        <v>1060</v>
      </c>
      <c r="M126" s="1835" t="s">
        <v>1060</v>
      </c>
      <c r="N126" s="1817"/>
      <c r="O126" s="1817"/>
    </row>
    <row r="127" spans="1:15">
      <c r="A127" s="1839">
        <v>11.08</v>
      </c>
      <c r="B127" s="1829">
        <v>11.08</v>
      </c>
      <c r="C127" s="1829">
        <v>11.08</v>
      </c>
      <c r="D127" s="1829">
        <v>11.08</v>
      </c>
      <c r="E127" s="1829">
        <v>1.36</v>
      </c>
      <c r="F127" s="1829">
        <v>1.36</v>
      </c>
      <c r="G127" s="1829">
        <v>1.36</v>
      </c>
      <c r="H127" s="1829">
        <v>1.36</v>
      </c>
      <c r="I127" s="1831" t="s">
        <v>1060</v>
      </c>
      <c r="J127" s="1835" t="s">
        <v>1060</v>
      </c>
      <c r="K127" s="1835" t="s">
        <v>1060</v>
      </c>
      <c r="L127" s="1835" t="s">
        <v>1060</v>
      </c>
      <c r="M127" s="1835" t="s">
        <v>1060</v>
      </c>
      <c r="N127" s="1817"/>
      <c r="O127" s="1817"/>
    </row>
    <row r="128" spans="1:15">
      <c r="A128" s="1839">
        <v>11.09</v>
      </c>
      <c r="B128" s="1829">
        <v>11.07</v>
      </c>
      <c r="C128" s="1829">
        <v>11.07</v>
      </c>
      <c r="D128" s="1829">
        <v>11.07</v>
      </c>
      <c r="E128" s="1829">
        <v>1.35</v>
      </c>
      <c r="F128" s="1829">
        <v>1.35</v>
      </c>
      <c r="G128" s="1829">
        <v>1.35</v>
      </c>
      <c r="H128" s="1829">
        <v>1.35</v>
      </c>
      <c r="I128" s="1831" t="s">
        <v>1060</v>
      </c>
      <c r="J128" s="1835" t="s">
        <v>1060</v>
      </c>
      <c r="K128" s="1835" t="s">
        <v>1060</v>
      </c>
      <c r="L128" s="1835" t="s">
        <v>1060</v>
      </c>
      <c r="M128" s="1835" t="s">
        <v>1060</v>
      </c>
      <c r="N128" s="1817"/>
      <c r="O128" s="1817"/>
    </row>
    <row r="129" spans="1:15">
      <c r="A129" s="1830" t="s">
        <v>1074</v>
      </c>
      <c r="B129" s="1829">
        <v>11.17</v>
      </c>
      <c r="C129" s="1829">
        <v>11.17</v>
      </c>
      <c r="D129" s="1829">
        <v>11.17</v>
      </c>
      <c r="E129" s="1829">
        <v>1.49</v>
      </c>
      <c r="F129" s="1829">
        <v>1.49</v>
      </c>
      <c r="G129" s="1829" t="s">
        <v>1060</v>
      </c>
      <c r="H129" s="1829" t="s">
        <v>1060</v>
      </c>
      <c r="I129" s="1829" t="s">
        <v>1060</v>
      </c>
      <c r="J129" s="1829" t="s">
        <v>1060</v>
      </c>
      <c r="K129" s="1829" t="s">
        <v>1060</v>
      </c>
      <c r="L129" s="1829" t="s">
        <v>1060</v>
      </c>
      <c r="M129" s="1829" t="s">
        <v>1060</v>
      </c>
      <c r="N129" s="1817"/>
      <c r="O129" s="1817"/>
    </row>
    <row r="130" spans="1:15">
      <c r="A130" s="1830">
        <v>11.11</v>
      </c>
      <c r="B130" s="1829">
        <v>11.18</v>
      </c>
      <c r="C130" s="1829">
        <v>11.18</v>
      </c>
      <c r="D130" s="1829">
        <v>11.18</v>
      </c>
      <c r="E130" s="1829" t="s">
        <v>1060</v>
      </c>
      <c r="F130" s="1829" t="s">
        <v>1060</v>
      </c>
      <c r="G130" s="1829" t="s">
        <v>1060</v>
      </c>
      <c r="H130" s="1829" t="s">
        <v>1060</v>
      </c>
      <c r="I130" s="1829" t="s">
        <v>1060</v>
      </c>
      <c r="J130" s="1829" t="s">
        <v>1060</v>
      </c>
      <c r="K130" s="1829" t="s">
        <v>1060</v>
      </c>
      <c r="L130" s="1829" t="s">
        <v>1060</v>
      </c>
      <c r="M130" s="1829" t="s">
        <v>1060</v>
      </c>
      <c r="N130" s="1817"/>
      <c r="O130" s="1817"/>
    </row>
    <row r="131" spans="1:15">
      <c r="A131" s="1839">
        <v>11.12</v>
      </c>
      <c r="B131" s="1829">
        <v>11.12</v>
      </c>
      <c r="C131" s="1829">
        <v>11.12</v>
      </c>
      <c r="D131" s="1829">
        <v>11.12</v>
      </c>
      <c r="E131" s="1829">
        <v>1.48</v>
      </c>
      <c r="F131" s="1829">
        <v>1.48</v>
      </c>
      <c r="G131" s="1829" t="s">
        <v>1060</v>
      </c>
      <c r="H131" s="1829" t="s">
        <v>1060</v>
      </c>
      <c r="I131" s="1829" t="s">
        <v>1060</v>
      </c>
      <c r="J131" s="1829" t="s">
        <v>1060</v>
      </c>
      <c r="K131" s="1829" t="s">
        <v>1060</v>
      </c>
      <c r="L131" s="1829" t="s">
        <v>1060</v>
      </c>
      <c r="M131" s="1829" t="s">
        <v>1060</v>
      </c>
      <c r="N131" s="1817"/>
      <c r="O131" s="1817"/>
    </row>
    <row r="132" spans="1:15">
      <c r="A132" s="1839">
        <v>11.13</v>
      </c>
      <c r="B132" s="1836">
        <v>11.13</v>
      </c>
      <c r="C132" s="1836">
        <v>11.13</v>
      </c>
      <c r="D132" s="1836">
        <v>11.13</v>
      </c>
      <c r="E132" s="1829">
        <v>1.47</v>
      </c>
      <c r="F132" s="1829">
        <v>1.47</v>
      </c>
      <c r="G132" s="1829" t="s">
        <v>1060</v>
      </c>
      <c r="H132" s="1829" t="s">
        <v>1060</v>
      </c>
      <c r="I132" s="1829" t="s">
        <v>1060</v>
      </c>
      <c r="J132" s="1829" t="s">
        <v>1060</v>
      </c>
      <c r="K132" s="1829" t="s">
        <v>1060</v>
      </c>
      <c r="L132" s="1829" t="s">
        <v>1060</v>
      </c>
      <c r="M132" s="1829" t="s">
        <v>1060</v>
      </c>
      <c r="N132" s="1817"/>
      <c r="O132" s="1817"/>
    </row>
    <row r="133" spans="1:15">
      <c r="A133" s="1839">
        <v>11.14</v>
      </c>
      <c r="B133" s="1829">
        <v>11.14</v>
      </c>
      <c r="C133" s="1829">
        <v>11.14</v>
      </c>
      <c r="D133" s="1829">
        <v>11.14</v>
      </c>
      <c r="E133" s="1833">
        <v>2.0099999999999998</v>
      </c>
      <c r="F133" s="1834" t="s">
        <v>1060</v>
      </c>
      <c r="G133" s="1834" t="s">
        <v>1060</v>
      </c>
      <c r="H133" s="1834" t="s">
        <v>1060</v>
      </c>
      <c r="I133" s="1834" t="s">
        <v>1060</v>
      </c>
      <c r="J133" s="1834" t="s">
        <v>1060</v>
      </c>
      <c r="K133" s="1834" t="s">
        <v>1060</v>
      </c>
      <c r="L133" s="1834" t="s">
        <v>1060</v>
      </c>
      <c r="M133" s="1834" t="s">
        <v>1060</v>
      </c>
      <c r="N133" s="1817"/>
      <c r="O133" s="1817"/>
    </row>
    <row r="134" spans="1:15">
      <c r="A134" s="1840">
        <v>11.15</v>
      </c>
      <c r="B134" s="1833">
        <v>11.15</v>
      </c>
      <c r="C134" s="1833">
        <v>11.15</v>
      </c>
      <c r="D134" s="1833">
        <v>11.15</v>
      </c>
      <c r="E134" s="1829">
        <v>2.02</v>
      </c>
      <c r="F134" s="1829">
        <v>2.12</v>
      </c>
      <c r="G134" s="1829">
        <v>2.12</v>
      </c>
      <c r="H134" s="1829" t="s">
        <v>1060</v>
      </c>
      <c r="I134" s="1829" t="s">
        <v>1060</v>
      </c>
      <c r="J134" s="1829" t="s">
        <v>1060</v>
      </c>
      <c r="K134" s="1829" t="s">
        <v>1060</v>
      </c>
      <c r="L134" s="1829" t="s">
        <v>1060</v>
      </c>
      <c r="M134" s="1829" t="s">
        <v>1060</v>
      </c>
      <c r="N134" s="1817"/>
      <c r="O134" s="1817"/>
    </row>
    <row r="135" spans="1:15">
      <c r="A135" s="1826">
        <v>11.16</v>
      </c>
      <c r="B135" s="1833">
        <v>11.16</v>
      </c>
      <c r="C135" s="1833">
        <v>11.16</v>
      </c>
      <c r="D135" s="1833">
        <v>11.16</v>
      </c>
      <c r="E135" s="1834">
        <v>2.0299999999999998</v>
      </c>
      <c r="F135" s="1834">
        <v>2.0299999999999998</v>
      </c>
      <c r="G135" s="1834">
        <v>2.0299999999999998</v>
      </c>
      <c r="H135" s="1834">
        <v>2.0299999999999998</v>
      </c>
      <c r="I135" s="1832">
        <v>2.0299999999999998</v>
      </c>
      <c r="J135" s="1832" t="s">
        <v>326</v>
      </c>
      <c r="K135" s="1832" t="s">
        <v>326</v>
      </c>
      <c r="L135" s="1832" t="s">
        <v>326</v>
      </c>
      <c r="M135" s="1832" t="s">
        <v>1060</v>
      </c>
      <c r="N135" s="1817"/>
      <c r="O135" s="1817"/>
    </row>
    <row r="136" spans="1:15">
      <c r="A136" s="1830">
        <v>11.17</v>
      </c>
      <c r="B136" s="1829">
        <v>11.19</v>
      </c>
      <c r="C136" s="1829">
        <v>11.19</v>
      </c>
      <c r="D136" s="1829" t="s">
        <v>1060</v>
      </c>
      <c r="E136" s="1829" t="s">
        <v>1060</v>
      </c>
      <c r="F136" s="1829" t="s">
        <v>1060</v>
      </c>
      <c r="G136" s="1829" t="s">
        <v>1060</v>
      </c>
      <c r="H136" s="1829" t="s">
        <v>1060</v>
      </c>
      <c r="I136" s="1829" t="s">
        <v>1060</v>
      </c>
      <c r="J136" s="1829" t="s">
        <v>1060</v>
      </c>
      <c r="K136" s="1829" t="s">
        <v>1060</v>
      </c>
      <c r="L136" s="1829" t="s">
        <v>1060</v>
      </c>
      <c r="M136" s="1829" t="s">
        <v>1060</v>
      </c>
      <c r="N136" s="1817"/>
      <c r="O136" s="1817"/>
    </row>
    <row r="137" spans="1:15">
      <c r="A137" s="1834" t="s">
        <v>1060</v>
      </c>
      <c r="B137" s="1833">
        <v>4.0599999999999996</v>
      </c>
      <c r="C137" s="1833">
        <v>4.0599999999999996</v>
      </c>
      <c r="D137" s="1833">
        <v>4.0599999999999996</v>
      </c>
      <c r="E137" s="1834">
        <v>4.0599999999999996</v>
      </c>
      <c r="F137" s="1834">
        <v>4.0599999999999996</v>
      </c>
      <c r="G137" s="1834">
        <v>4.0599999999999996</v>
      </c>
      <c r="H137" s="1834">
        <v>4.0599999999999996</v>
      </c>
      <c r="I137" s="1832">
        <v>4.0599999999999996</v>
      </c>
      <c r="J137" s="1832" t="s">
        <v>1424</v>
      </c>
      <c r="K137" s="1832" t="s">
        <v>1424</v>
      </c>
      <c r="L137" s="1832" t="s">
        <v>1423</v>
      </c>
      <c r="M137" s="1832" t="s">
        <v>1423</v>
      </c>
      <c r="N137" s="1817"/>
      <c r="O137" s="1817"/>
    </row>
    <row r="138" spans="1:15">
      <c r="A138" s="1834" t="s">
        <v>1060</v>
      </c>
      <c r="B138" s="1833">
        <v>4.09</v>
      </c>
      <c r="C138" s="1833">
        <v>4.09</v>
      </c>
      <c r="D138" s="1833">
        <v>4.09</v>
      </c>
      <c r="E138" s="1834">
        <v>4.09</v>
      </c>
      <c r="F138" s="1834">
        <v>4.09</v>
      </c>
      <c r="G138" s="1834">
        <v>4.09</v>
      </c>
      <c r="H138" s="1834">
        <v>4.09</v>
      </c>
      <c r="I138" s="1832">
        <v>4.09</v>
      </c>
      <c r="J138" s="1832" t="s">
        <v>1416</v>
      </c>
      <c r="K138" s="1832" t="s">
        <v>1416</v>
      </c>
      <c r="L138" s="1832" t="s">
        <v>1390</v>
      </c>
      <c r="M138" s="1832" t="s">
        <v>1390</v>
      </c>
      <c r="N138" s="1817"/>
      <c r="O138" s="1817"/>
    </row>
    <row r="139" spans="1:15">
      <c r="A139" s="1834" t="s">
        <v>1060</v>
      </c>
      <c r="B139" s="1829">
        <v>9.16</v>
      </c>
      <c r="C139" s="1829">
        <v>9.16</v>
      </c>
      <c r="D139" s="1829">
        <v>9.16</v>
      </c>
      <c r="E139" s="1829">
        <v>9.16</v>
      </c>
      <c r="F139" s="1829">
        <v>9.16</v>
      </c>
      <c r="G139" s="1829">
        <v>9.16</v>
      </c>
      <c r="H139" s="1829">
        <v>9.16</v>
      </c>
      <c r="I139" s="1831">
        <v>9.1</v>
      </c>
      <c r="J139" s="1832" t="s">
        <v>929</v>
      </c>
      <c r="K139" s="1832" t="s">
        <v>929</v>
      </c>
      <c r="L139" s="1832" t="s">
        <v>929</v>
      </c>
      <c r="M139" s="1832" t="s">
        <v>928</v>
      </c>
      <c r="N139" s="1817"/>
      <c r="O139" s="1817"/>
    </row>
    <row r="140" spans="1:15">
      <c r="A140" s="1834" t="s">
        <v>1060</v>
      </c>
      <c r="B140" s="1829">
        <v>11.09</v>
      </c>
      <c r="C140" s="1829">
        <v>11.09</v>
      </c>
      <c r="D140" s="1829">
        <v>11.09</v>
      </c>
      <c r="E140" s="1829">
        <v>1.37</v>
      </c>
      <c r="F140" s="1829">
        <v>1.37</v>
      </c>
      <c r="G140" s="1829">
        <v>1.37</v>
      </c>
      <c r="H140" s="1829">
        <v>1.37</v>
      </c>
      <c r="I140" s="1831" t="s">
        <v>1060</v>
      </c>
      <c r="J140" s="1835" t="s">
        <v>1060</v>
      </c>
      <c r="K140" s="1835" t="s">
        <v>1060</v>
      </c>
      <c r="L140" s="1835" t="s">
        <v>1060</v>
      </c>
      <c r="M140" s="1835" t="s">
        <v>1060</v>
      </c>
      <c r="N140" s="1817"/>
      <c r="O140" s="1817"/>
    </row>
    <row r="141" spans="1:15">
      <c r="A141" s="1834" t="s">
        <v>1060</v>
      </c>
      <c r="B141" s="1836" t="s">
        <v>1074</v>
      </c>
      <c r="C141" s="1836" t="s">
        <v>1074</v>
      </c>
      <c r="D141" s="1836" t="s">
        <v>1074</v>
      </c>
      <c r="E141" s="1829">
        <v>1.38</v>
      </c>
      <c r="F141" s="1829">
        <v>1.38</v>
      </c>
      <c r="G141" s="1829">
        <v>1.38</v>
      </c>
      <c r="H141" s="1829">
        <v>1.38</v>
      </c>
      <c r="I141" s="1831" t="s">
        <v>1060</v>
      </c>
      <c r="J141" s="1835" t="s">
        <v>1060</v>
      </c>
      <c r="K141" s="1835" t="s">
        <v>1060</v>
      </c>
      <c r="L141" s="1835" t="s">
        <v>1060</v>
      </c>
      <c r="M141" s="1835" t="s">
        <v>1060</v>
      </c>
      <c r="N141" s="1817"/>
      <c r="O141" s="1817"/>
    </row>
    <row r="142" spans="1:15">
      <c r="A142" s="1834" t="s">
        <v>1060</v>
      </c>
      <c r="B142" s="1834" t="s">
        <v>1060</v>
      </c>
      <c r="C142" s="1834" t="s">
        <v>1060</v>
      </c>
      <c r="D142" s="1834" t="s">
        <v>1060</v>
      </c>
      <c r="E142" s="1829">
        <v>1.44</v>
      </c>
      <c r="F142" s="1829">
        <v>1.44</v>
      </c>
      <c r="G142" s="1829">
        <v>1.44</v>
      </c>
      <c r="H142" s="1829" t="s">
        <v>1060</v>
      </c>
      <c r="I142" s="1829" t="s">
        <v>1060</v>
      </c>
      <c r="J142" s="1829" t="s">
        <v>1060</v>
      </c>
      <c r="K142" s="1829" t="s">
        <v>1060</v>
      </c>
      <c r="L142" s="1829" t="s">
        <v>1060</v>
      </c>
      <c r="M142" s="1829" t="s">
        <v>1060</v>
      </c>
      <c r="N142" s="1817"/>
      <c r="O142" s="1817"/>
    </row>
    <row r="143" spans="1:15">
      <c r="A143" s="1834" t="s">
        <v>1060</v>
      </c>
      <c r="B143" s="1829" t="s">
        <v>1060</v>
      </c>
      <c r="C143" s="1829" t="s">
        <v>1060</v>
      </c>
      <c r="D143" s="1829" t="s">
        <v>1060</v>
      </c>
      <c r="E143" s="1829">
        <v>1.45</v>
      </c>
      <c r="F143" s="1829">
        <v>1.45</v>
      </c>
      <c r="G143" s="1829" t="s">
        <v>1060</v>
      </c>
      <c r="H143" s="1829" t="s">
        <v>1060</v>
      </c>
      <c r="I143" s="1829" t="s">
        <v>1060</v>
      </c>
      <c r="J143" s="1829" t="s">
        <v>1060</v>
      </c>
      <c r="K143" s="1829" t="s">
        <v>1060</v>
      </c>
      <c r="L143" s="1829" t="s">
        <v>1060</v>
      </c>
      <c r="M143" s="1829" t="s">
        <v>1060</v>
      </c>
      <c r="N143" s="1817"/>
      <c r="O143" s="1817"/>
    </row>
    <row r="144" spans="1:15">
      <c r="A144" s="1834" t="s">
        <v>1060</v>
      </c>
      <c r="B144" s="1829" t="s">
        <v>1060</v>
      </c>
      <c r="C144" s="1829" t="s">
        <v>1060</v>
      </c>
      <c r="D144" s="1829" t="s">
        <v>1060</v>
      </c>
      <c r="E144" s="1829">
        <v>1.46</v>
      </c>
      <c r="F144" s="1829">
        <v>1.46</v>
      </c>
      <c r="G144" s="1829" t="s">
        <v>1060</v>
      </c>
      <c r="H144" s="1829" t="s">
        <v>1060</v>
      </c>
      <c r="I144" s="1829" t="s">
        <v>1060</v>
      </c>
      <c r="J144" s="1829" t="s">
        <v>1060</v>
      </c>
      <c r="K144" s="1829" t="s">
        <v>1060</v>
      </c>
      <c r="L144" s="1829" t="s">
        <v>1060</v>
      </c>
      <c r="M144" s="1829" t="s">
        <v>1060</v>
      </c>
      <c r="N144" s="1817"/>
      <c r="O144" s="1817"/>
    </row>
    <row r="145" spans="1:15">
      <c r="A145" s="1834" t="s">
        <v>1060</v>
      </c>
      <c r="B145" s="1835" t="s">
        <v>1060</v>
      </c>
      <c r="C145" s="1835" t="s">
        <v>1060</v>
      </c>
      <c r="D145" s="1835" t="s">
        <v>1060</v>
      </c>
      <c r="E145" s="1834">
        <v>3.01</v>
      </c>
      <c r="F145" s="1834">
        <v>3.01</v>
      </c>
      <c r="G145" s="1834">
        <v>3.01</v>
      </c>
      <c r="H145" s="1834">
        <v>3.01</v>
      </c>
      <c r="I145" s="1832">
        <v>3.01</v>
      </c>
      <c r="J145" s="1832" t="s">
        <v>1425</v>
      </c>
      <c r="K145" s="1832" t="s">
        <v>1425</v>
      </c>
      <c r="L145" s="1832" t="s">
        <v>1369</v>
      </c>
      <c r="M145" s="1832" t="s">
        <v>1370</v>
      </c>
      <c r="N145" s="1817"/>
      <c r="O145" s="1817"/>
    </row>
    <row r="146" spans="1:15">
      <c r="A146" s="1834" t="s">
        <v>1060</v>
      </c>
      <c r="B146" s="1835" t="s">
        <v>1060</v>
      </c>
      <c r="C146" s="1835" t="s">
        <v>1060</v>
      </c>
      <c r="D146" s="1835" t="s">
        <v>1060</v>
      </c>
      <c r="E146" s="1834">
        <v>3.02</v>
      </c>
      <c r="F146" s="1834">
        <v>3.02</v>
      </c>
      <c r="G146" s="1834">
        <v>3.02</v>
      </c>
      <c r="H146" s="1834">
        <v>3.02</v>
      </c>
      <c r="I146" s="1832">
        <v>3.02</v>
      </c>
      <c r="J146" s="1835" t="s">
        <v>1060</v>
      </c>
      <c r="K146" s="1835" t="s">
        <v>1060</v>
      </c>
      <c r="L146" s="1835" t="s">
        <v>1060</v>
      </c>
      <c r="M146" s="1835" t="s">
        <v>1060</v>
      </c>
      <c r="N146" s="1817"/>
      <c r="O146" s="1817"/>
    </row>
    <row r="147" spans="1:15">
      <c r="A147" s="1834" t="s">
        <v>1060</v>
      </c>
      <c r="B147" s="1835" t="s">
        <v>1060</v>
      </c>
      <c r="C147" s="1835" t="s">
        <v>1060</v>
      </c>
      <c r="D147" s="1835" t="s">
        <v>1060</v>
      </c>
      <c r="E147" s="1834">
        <v>3.03</v>
      </c>
      <c r="F147" s="1834">
        <v>3.03</v>
      </c>
      <c r="G147" s="1834">
        <v>3.03</v>
      </c>
      <c r="H147" s="1834">
        <v>3.03</v>
      </c>
      <c r="I147" s="1832">
        <v>3.03</v>
      </c>
      <c r="J147" s="1832" t="s">
        <v>1426</v>
      </c>
      <c r="K147" s="1832" t="s">
        <v>1426</v>
      </c>
      <c r="L147" s="1832" t="s">
        <v>1060</v>
      </c>
      <c r="M147" s="1832" t="s">
        <v>1060</v>
      </c>
      <c r="N147" s="1817"/>
      <c r="O147" s="1817"/>
    </row>
    <row r="148" spans="1:15">
      <c r="A148" s="1834" t="s">
        <v>1060</v>
      </c>
      <c r="B148" s="1835" t="s">
        <v>1060</v>
      </c>
      <c r="C148" s="1835" t="s">
        <v>1060</v>
      </c>
      <c r="D148" s="1835" t="s">
        <v>1060</v>
      </c>
      <c r="E148" s="1834">
        <v>3.05</v>
      </c>
      <c r="F148" s="1834">
        <v>3.05</v>
      </c>
      <c r="G148" s="1834">
        <v>3.05</v>
      </c>
      <c r="H148" s="1834">
        <v>3.05</v>
      </c>
      <c r="I148" s="1832">
        <v>3.05</v>
      </c>
      <c r="J148" s="1832" t="s">
        <v>1427</v>
      </c>
      <c r="K148" s="1832" t="s">
        <v>1427</v>
      </c>
      <c r="L148" s="1832" t="s">
        <v>1060</v>
      </c>
      <c r="M148" s="1832" t="s">
        <v>1060</v>
      </c>
      <c r="N148" s="1817"/>
      <c r="O148" s="1817"/>
    </row>
    <row r="149" spans="1:15" ht="9.75" customHeight="1">
      <c r="A149" s="1834" t="s">
        <v>1060</v>
      </c>
      <c r="B149" s="1834" t="s">
        <v>1060</v>
      </c>
      <c r="C149" s="1834" t="s">
        <v>1060</v>
      </c>
      <c r="D149" s="1834" t="s">
        <v>1060</v>
      </c>
      <c r="E149" s="1834">
        <v>3.06</v>
      </c>
      <c r="F149" s="1834">
        <v>3.06</v>
      </c>
      <c r="G149" s="1834">
        <v>3.06</v>
      </c>
      <c r="H149" s="1834">
        <v>3.06</v>
      </c>
      <c r="I149" s="1832">
        <v>3.06</v>
      </c>
      <c r="J149" s="1835" t="s">
        <v>1060</v>
      </c>
      <c r="K149" s="1835" t="s">
        <v>1060</v>
      </c>
      <c r="L149" s="1835" t="s">
        <v>1060</v>
      </c>
      <c r="M149" s="1835" t="s">
        <v>1060</v>
      </c>
      <c r="N149" s="1817"/>
      <c r="O149" s="1817"/>
    </row>
    <row r="150" spans="1:15" ht="9.75" customHeight="1">
      <c r="A150" s="1834" t="s">
        <v>1060</v>
      </c>
      <c r="B150" s="1829" t="s">
        <v>1060</v>
      </c>
      <c r="C150" s="1829" t="s">
        <v>1060</v>
      </c>
      <c r="D150" s="1829" t="s">
        <v>1060</v>
      </c>
      <c r="E150" s="1829">
        <v>4.1100000000000003</v>
      </c>
      <c r="F150" s="1829">
        <v>4.1100000000000003</v>
      </c>
      <c r="G150" s="1829">
        <v>4.1100000000000003</v>
      </c>
      <c r="H150" s="1829" t="s">
        <v>1060</v>
      </c>
      <c r="I150" s="1829" t="s">
        <v>1060</v>
      </c>
      <c r="J150" s="1829" t="s">
        <v>1060</v>
      </c>
      <c r="K150" s="1829" t="s">
        <v>1060</v>
      </c>
      <c r="L150" s="1829" t="s">
        <v>1060</v>
      </c>
      <c r="M150" s="1829" t="s">
        <v>1060</v>
      </c>
      <c r="N150" s="1817"/>
      <c r="O150" s="1817"/>
    </row>
    <row r="151" spans="1:15">
      <c r="A151" s="1834" t="s">
        <v>1060</v>
      </c>
      <c r="B151" s="1829" t="s">
        <v>1060</v>
      </c>
      <c r="C151" s="1829" t="s">
        <v>1060</v>
      </c>
      <c r="D151" s="1829" t="s">
        <v>1060</v>
      </c>
      <c r="E151" s="1829">
        <v>4.12</v>
      </c>
      <c r="F151" s="1829">
        <v>4.12</v>
      </c>
      <c r="G151" s="1829">
        <v>4.12</v>
      </c>
      <c r="H151" s="1829" t="s">
        <v>1060</v>
      </c>
      <c r="I151" s="1829" t="s">
        <v>1060</v>
      </c>
      <c r="J151" s="1829" t="s">
        <v>1060</v>
      </c>
      <c r="K151" s="1829" t="s">
        <v>1060</v>
      </c>
      <c r="L151" s="1829" t="s">
        <v>1060</v>
      </c>
      <c r="M151" s="1829" t="s">
        <v>1060</v>
      </c>
      <c r="N151" s="1817"/>
      <c r="O151" s="1817"/>
    </row>
    <row r="152" spans="1:15">
      <c r="A152" s="1834" t="s">
        <v>1060</v>
      </c>
      <c r="B152" s="1832" t="s">
        <v>1060</v>
      </c>
      <c r="C152" s="1832" t="s">
        <v>1060</v>
      </c>
      <c r="D152" s="1832" t="s">
        <v>1060</v>
      </c>
      <c r="E152" s="1829">
        <v>9.07</v>
      </c>
      <c r="F152" s="1829">
        <v>9.07</v>
      </c>
      <c r="G152" s="1829">
        <v>9.07</v>
      </c>
      <c r="H152" s="1829">
        <v>9.07</v>
      </c>
      <c r="I152" s="1831" t="s">
        <v>1060</v>
      </c>
      <c r="J152" s="1832" t="s">
        <v>1060</v>
      </c>
      <c r="K152" s="1832" t="s">
        <v>1060</v>
      </c>
      <c r="L152" s="1832" t="s">
        <v>1060</v>
      </c>
      <c r="M152" s="1832" t="s">
        <v>1060</v>
      </c>
      <c r="N152" s="1817"/>
      <c r="O152" s="1817"/>
    </row>
    <row r="153" spans="1:15">
      <c r="A153" s="1834" t="s">
        <v>1060</v>
      </c>
      <c r="B153" s="1832" t="s">
        <v>1060</v>
      </c>
      <c r="C153" s="1832" t="s">
        <v>1060</v>
      </c>
      <c r="D153" s="1832" t="s">
        <v>1060</v>
      </c>
      <c r="E153" s="1829">
        <v>9.15</v>
      </c>
      <c r="F153" s="1829">
        <v>9.15</v>
      </c>
      <c r="G153" s="1829">
        <v>9.15</v>
      </c>
      <c r="H153" s="1829">
        <v>9.15</v>
      </c>
      <c r="I153" s="1831" t="s">
        <v>1060</v>
      </c>
      <c r="J153" s="1835" t="s">
        <v>1060</v>
      </c>
      <c r="K153" s="1835" t="s">
        <v>1060</v>
      </c>
      <c r="L153" s="1835" t="s">
        <v>1060</v>
      </c>
      <c r="M153" s="1835" t="s">
        <v>1060</v>
      </c>
      <c r="N153" s="1817"/>
      <c r="O153" s="1817"/>
    </row>
    <row r="154" spans="1:15">
      <c r="A154" s="1834" t="s">
        <v>1060</v>
      </c>
      <c r="B154" s="1829" t="s">
        <v>1060</v>
      </c>
      <c r="C154" s="1829" t="s">
        <v>1060</v>
      </c>
      <c r="D154" s="1829" t="s">
        <v>1060</v>
      </c>
      <c r="E154" s="1829" t="s">
        <v>1060</v>
      </c>
      <c r="F154" s="1829">
        <v>1.41</v>
      </c>
      <c r="G154" s="1829">
        <v>1.41</v>
      </c>
      <c r="H154" s="1829">
        <v>1.41</v>
      </c>
      <c r="I154" s="1831">
        <v>9.07</v>
      </c>
      <c r="J154" s="1835" t="s">
        <v>1060</v>
      </c>
      <c r="K154" s="1835" t="s">
        <v>1060</v>
      </c>
      <c r="L154" s="1835" t="s">
        <v>1060</v>
      </c>
      <c r="M154" s="1835" t="s">
        <v>1060</v>
      </c>
      <c r="N154" s="1817"/>
      <c r="O154" s="1817"/>
    </row>
    <row r="155" spans="1:15">
      <c r="A155" s="1834" t="s">
        <v>1060</v>
      </c>
      <c r="B155" s="1840" t="s">
        <v>1060</v>
      </c>
      <c r="C155" s="1840" t="s">
        <v>1060</v>
      </c>
      <c r="D155" s="1840" t="s">
        <v>1060</v>
      </c>
      <c r="E155" s="1840" t="s">
        <v>1060</v>
      </c>
      <c r="F155" s="1839" t="s">
        <v>1414</v>
      </c>
      <c r="G155" s="1839" t="s">
        <v>1414</v>
      </c>
      <c r="H155" s="1840" t="s">
        <v>1060</v>
      </c>
      <c r="I155" s="1840" t="s">
        <v>1060</v>
      </c>
      <c r="J155" s="1840" t="s">
        <v>1060</v>
      </c>
      <c r="K155" s="1840" t="s">
        <v>1428</v>
      </c>
      <c r="L155" s="1840" t="s">
        <v>1060</v>
      </c>
      <c r="M155" s="1840" t="s">
        <v>1060</v>
      </c>
      <c r="N155" s="1817"/>
      <c r="O155" s="1817"/>
    </row>
    <row r="156" spans="1:15">
      <c r="A156" s="1834" t="s">
        <v>1060</v>
      </c>
      <c r="B156" s="1829" t="s">
        <v>1060</v>
      </c>
      <c r="C156" s="1829" t="s">
        <v>1060</v>
      </c>
      <c r="D156" s="1829" t="s">
        <v>1060</v>
      </c>
      <c r="E156" s="1829" t="s">
        <v>1060</v>
      </c>
      <c r="F156" s="1829">
        <v>8.02</v>
      </c>
      <c r="G156" s="1829">
        <v>8.02</v>
      </c>
      <c r="H156" s="1829">
        <v>8.02</v>
      </c>
      <c r="I156" s="1831">
        <v>8.01</v>
      </c>
      <c r="J156" s="1832" t="s">
        <v>9</v>
      </c>
      <c r="K156" s="1832" t="s">
        <v>9</v>
      </c>
      <c r="L156" s="1832" t="s">
        <v>9</v>
      </c>
      <c r="M156" s="1832" t="s">
        <v>9</v>
      </c>
      <c r="N156" s="1817"/>
      <c r="O156" s="1817"/>
    </row>
    <row r="157" spans="1:15">
      <c r="A157" s="1834" t="s">
        <v>1060</v>
      </c>
      <c r="B157" s="1829" t="s">
        <v>1060</v>
      </c>
      <c r="C157" s="1829" t="s">
        <v>1060</v>
      </c>
      <c r="D157" s="1829" t="s">
        <v>1060</v>
      </c>
      <c r="E157" s="1829" t="s">
        <v>1060</v>
      </c>
      <c r="F157" s="1829" t="s">
        <v>1060</v>
      </c>
      <c r="G157" s="1829" t="s">
        <v>1060</v>
      </c>
      <c r="H157" s="1829" t="s">
        <v>1060</v>
      </c>
      <c r="I157" s="1831" t="s">
        <v>1060</v>
      </c>
      <c r="J157" s="1832" t="s">
        <v>10</v>
      </c>
      <c r="K157" s="1832" t="s">
        <v>10</v>
      </c>
      <c r="L157" s="1832" t="s">
        <v>10</v>
      </c>
      <c r="M157" s="1832" t="s">
        <v>10</v>
      </c>
      <c r="N157" s="1817"/>
      <c r="O157" s="1817"/>
    </row>
    <row r="158" spans="1:15">
      <c r="A158" s="1834" t="s">
        <v>1060</v>
      </c>
      <c r="B158" s="1829" t="s">
        <v>1060</v>
      </c>
      <c r="C158" s="1829" t="s">
        <v>1060</v>
      </c>
      <c r="D158" s="1829" t="s">
        <v>1060</v>
      </c>
      <c r="E158" s="1829" t="s">
        <v>1060</v>
      </c>
      <c r="F158" s="1829" t="s">
        <v>1060</v>
      </c>
      <c r="G158" s="1829" t="s">
        <v>1060</v>
      </c>
      <c r="H158" s="1829" t="s">
        <v>1060</v>
      </c>
      <c r="I158" s="1831" t="s">
        <v>1060</v>
      </c>
      <c r="J158" s="1832" t="s">
        <v>11</v>
      </c>
      <c r="K158" s="1832" t="s">
        <v>11</v>
      </c>
      <c r="L158" s="1832" t="s">
        <v>11</v>
      </c>
      <c r="M158" s="1832" t="s">
        <v>11</v>
      </c>
      <c r="N158" s="1817"/>
      <c r="O158" s="1817"/>
    </row>
    <row r="159" spans="1:15">
      <c r="A159" s="1834" t="s">
        <v>1060</v>
      </c>
      <c r="B159" s="1829" t="s">
        <v>1060</v>
      </c>
      <c r="C159" s="1829" t="s">
        <v>1060</v>
      </c>
      <c r="D159" s="1829" t="s">
        <v>1060</v>
      </c>
      <c r="E159" s="1829" t="s">
        <v>1060</v>
      </c>
      <c r="F159" s="1829" t="s">
        <v>1060</v>
      </c>
      <c r="G159" s="1829" t="s">
        <v>1060</v>
      </c>
      <c r="H159" s="1829" t="s">
        <v>1060</v>
      </c>
      <c r="I159" s="1831" t="s">
        <v>1060</v>
      </c>
      <c r="J159" s="1832" t="s">
        <v>13</v>
      </c>
      <c r="K159" s="1832" t="s">
        <v>13</v>
      </c>
      <c r="L159" s="1832" t="s">
        <v>13</v>
      </c>
      <c r="M159" s="1832" t="s">
        <v>13</v>
      </c>
      <c r="N159" s="1817"/>
      <c r="O159" s="1817"/>
    </row>
    <row r="160" spans="1:15">
      <c r="A160" s="1834" t="s">
        <v>1060</v>
      </c>
      <c r="B160" s="1829" t="s">
        <v>1060</v>
      </c>
      <c r="C160" s="1829" t="s">
        <v>1060</v>
      </c>
      <c r="D160" s="1829" t="s">
        <v>1060</v>
      </c>
      <c r="E160" s="1829" t="s">
        <v>1060</v>
      </c>
      <c r="F160" s="1829" t="s">
        <v>1060</v>
      </c>
      <c r="G160" s="1829" t="s">
        <v>1060</v>
      </c>
      <c r="H160" s="1829" t="s">
        <v>1060</v>
      </c>
      <c r="I160" s="1831" t="s">
        <v>1060</v>
      </c>
      <c r="J160" s="1832" t="s">
        <v>15</v>
      </c>
      <c r="K160" s="1832" t="s">
        <v>15</v>
      </c>
      <c r="L160" s="1832" t="s">
        <v>15</v>
      </c>
      <c r="M160" s="1832" t="s">
        <v>15</v>
      </c>
      <c r="N160" s="1817"/>
      <c r="O160" s="1817"/>
    </row>
    <row r="161" spans="1:15">
      <c r="A161" s="1834" t="s">
        <v>1060</v>
      </c>
      <c r="B161" s="1829" t="s">
        <v>1060</v>
      </c>
      <c r="C161" s="1829" t="s">
        <v>1060</v>
      </c>
      <c r="D161" s="1829" t="s">
        <v>1060</v>
      </c>
      <c r="E161" s="1829" t="s">
        <v>1060</v>
      </c>
      <c r="F161" s="1829" t="s">
        <v>1060</v>
      </c>
      <c r="G161" s="1829" t="s">
        <v>1060</v>
      </c>
      <c r="H161" s="1829" t="s">
        <v>1060</v>
      </c>
      <c r="I161" s="1831" t="s">
        <v>1060</v>
      </c>
      <c r="J161" s="1832" t="s">
        <v>17</v>
      </c>
      <c r="K161" s="1832" t="s">
        <v>17</v>
      </c>
      <c r="L161" s="1832" t="s">
        <v>17</v>
      </c>
      <c r="M161" s="1832" t="s">
        <v>17</v>
      </c>
      <c r="N161" s="1817"/>
      <c r="O161" s="1817"/>
    </row>
    <row r="162" spans="1:15">
      <c r="A162" s="1834" t="s">
        <v>1060</v>
      </c>
      <c r="B162" s="1829" t="s">
        <v>1060</v>
      </c>
      <c r="C162" s="1829" t="s">
        <v>1060</v>
      </c>
      <c r="D162" s="1829" t="s">
        <v>1060</v>
      </c>
      <c r="E162" s="1829" t="s">
        <v>1060</v>
      </c>
      <c r="F162" s="1829" t="s">
        <v>1060</v>
      </c>
      <c r="G162" s="1829" t="s">
        <v>1060</v>
      </c>
      <c r="H162" s="1829" t="s">
        <v>1060</v>
      </c>
      <c r="I162" s="1831" t="s">
        <v>1060</v>
      </c>
      <c r="J162" s="1832" t="s">
        <v>20</v>
      </c>
      <c r="K162" s="1832" t="s">
        <v>20</v>
      </c>
      <c r="L162" s="1832" t="s">
        <v>20</v>
      </c>
      <c r="M162" s="1832" t="s">
        <v>20</v>
      </c>
      <c r="N162" s="1817"/>
      <c r="O162" s="1817"/>
    </row>
    <row r="163" spans="1:15">
      <c r="A163" s="1834" t="s">
        <v>1060</v>
      </c>
      <c r="B163" s="1829" t="s">
        <v>1060</v>
      </c>
      <c r="C163" s="1829" t="s">
        <v>1060</v>
      </c>
      <c r="D163" s="1829" t="s">
        <v>1060</v>
      </c>
      <c r="E163" s="1829" t="s">
        <v>1060</v>
      </c>
      <c r="F163" s="1829" t="s">
        <v>1060</v>
      </c>
      <c r="G163" s="1829" t="s">
        <v>1060</v>
      </c>
      <c r="H163" s="1829" t="s">
        <v>1060</v>
      </c>
      <c r="I163" s="1831" t="s">
        <v>1060</v>
      </c>
      <c r="J163" s="1832" t="s">
        <v>21</v>
      </c>
      <c r="K163" s="1832" t="s">
        <v>21</v>
      </c>
      <c r="L163" s="1832" t="s">
        <v>21</v>
      </c>
      <c r="M163" s="1832" t="s">
        <v>21</v>
      </c>
      <c r="N163" s="1817"/>
      <c r="O163" s="1817"/>
    </row>
    <row r="164" spans="1:15">
      <c r="A164" s="1834" t="s">
        <v>1060</v>
      </c>
      <c r="B164" s="1829" t="s">
        <v>1060</v>
      </c>
      <c r="C164" s="1829" t="s">
        <v>1060</v>
      </c>
      <c r="D164" s="1829" t="s">
        <v>1060</v>
      </c>
      <c r="E164" s="1829" t="s">
        <v>1060</v>
      </c>
      <c r="F164" s="1829" t="s">
        <v>1060</v>
      </c>
      <c r="G164" s="1829" t="s">
        <v>1060</v>
      </c>
      <c r="H164" s="1829" t="s">
        <v>1060</v>
      </c>
      <c r="I164" s="1831" t="s">
        <v>1060</v>
      </c>
      <c r="J164" s="1832" t="s">
        <v>23</v>
      </c>
      <c r="K164" s="1832" t="s">
        <v>23</v>
      </c>
      <c r="L164" s="1832" t="s">
        <v>23</v>
      </c>
      <c r="M164" s="1832" t="s">
        <v>23</v>
      </c>
      <c r="N164" s="1817"/>
      <c r="O164" s="1817"/>
    </row>
    <row r="165" spans="1:15">
      <c r="A165" s="1834" t="s">
        <v>1060</v>
      </c>
      <c r="B165" s="1829" t="s">
        <v>1060</v>
      </c>
      <c r="C165" s="1829" t="s">
        <v>1060</v>
      </c>
      <c r="D165" s="1829" t="s">
        <v>1060</v>
      </c>
      <c r="E165" s="1829" t="s">
        <v>1060</v>
      </c>
      <c r="F165" s="1829" t="s">
        <v>1060</v>
      </c>
      <c r="G165" s="1829" t="s">
        <v>1060</v>
      </c>
      <c r="H165" s="1829" t="s">
        <v>1060</v>
      </c>
      <c r="I165" s="1831" t="s">
        <v>1060</v>
      </c>
      <c r="J165" s="1832" t="s">
        <v>27</v>
      </c>
      <c r="K165" s="1832" t="s">
        <v>27</v>
      </c>
      <c r="L165" s="1832" t="s">
        <v>27</v>
      </c>
      <c r="M165" s="1832" t="s">
        <v>27</v>
      </c>
      <c r="N165" s="1817"/>
      <c r="O165" s="1817"/>
    </row>
    <row r="166" spans="1:15">
      <c r="A166" s="1834" t="s">
        <v>1060</v>
      </c>
      <c r="B166" s="1829" t="s">
        <v>1060</v>
      </c>
      <c r="C166" s="1829" t="s">
        <v>1060</v>
      </c>
      <c r="D166" s="1829" t="s">
        <v>1060</v>
      </c>
      <c r="E166" s="1829" t="s">
        <v>1060</v>
      </c>
      <c r="F166" s="1829" t="s">
        <v>1060</v>
      </c>
      <c r="G166" s="1829" t="s">
        <v>1060</v>
      </c>
      <c r="H166" s="1829" t="s">
        <v>1060</v>
      </c>
      <c r="I166" s="1831" t="s">
        <v>1060</v>
      </c>
      <c r="J166" s="1832" t="s">
        <v>28</v>
      </c>
      <c r="K166" s="1832" t="s">
        <v>28</v>
      </c>
      <c r="L166" s="1832" t="s">
        <v>28</v>
      </c>
      <c r="M166" s="1832" t="s">
        <v>28</v>
      </c>
      <c r="N166" s="1817"/>
      <c r="O166" s="1817"/>
    </row>
    <row r="167" spans="1:15">
      <c r="A167" s="1834" t="s">
        <v>1060</v>
      </c>
      <c r="B167" s="1829" t="s">
        <v>1060</v>
      </c>
      <c r="C167" s="1829" t="s">
        <v>1060</v>
      </c>
      <c r="D167" s="1829" t="s">
        <v>1060</v>
      </c>
      <c r="E167" s="1829" t="s">
        <v>1060</v>
      </c>
      <c r="F167" s="1829" t="s">
        <v>1060</v>
      </c>
      <c r="G167" s="1829" t="s">
        <v>1060</v>
      </c>
      <c r="H167" s="1829" t="s">
        <v>1060</v>
      </c>
      <c r="I167" s="1831" t="s">
        <v>1060</v>
      </c>
      <c r="J167" s="1832" t="s">
        <v>29</v>
      </c>
      <c r="K167" s="1832" t="s">
        <v>29</v>
      </c>
      <c r="L167" s="1832" t="s">
        <v>29</v>
      </c>
      <c r="M167" s="1832" t="s">
        <v>29</v>
      </c>
      <c r="N167" s="1817"/>
      <c r="O167" s="1817"/>
    </row>
    <row r="168" spans="1:15">
      <c r="A168" s="1834" t="s">
        <v>1060</v>
      </c>
      <c r="B168" s="1829" t="s">
        <v>1060</v>
      </c>
      <c r="C168" s="1829" t="s">
        <v>1060</v>
      </c>
      <c r="D168" s="1829" t="s">
        <v>1060</v>
      </c>
      <c r="E168" s="1829" t="s">
        <v>1060</v>
      </c>
      <c r="F168" s="1829" t="s">
        <v>1060</v>
      </c>
      <c r="G168" s="1829" t="s">
        <v>1060</v>
      </c>
      <c r="H168" s="1829" t="s">
        <v>1060</v>
      </c>
      <c r="I168" s="1831" t="s">
        <v>1060</v>
      </c>
      <c r="J168" s="1832" t="s">
        <v>32</v>
      </c>
      <c r="K168" s="1832" t="s">
        <v>32</v>
      </c>
      <c r="L168" s="1832" t="s">
        <v>32</v>
      </c>
      <c r="M168" s="1832" t="s">
        <v>32</v>
      </c>
      <c r="N168" s="1817"/>
      <c r="O168" s="1817"/>
    </row>
    <row r="169" spans="1:15">
      <c r="A169" s="1834" t="s">
        <v>1060</v>
      </c>
      <c r="B169" s="1829" t="s">
        <v>1060</v>
      </c>
      <c r="C169" s="1829" t="s">
        <v>1060</v>
      </c>
      <c r="D169" s="1829" t="s">
        <v>1060</v>
      </c>
      <c r="E169" s="1829" t="s">
        <v>1060</v>
      </c>
      <c r="F169" s="1829" t="s">
        <v>1060</v>
      </c>
      <c r="G169" s="1829" t="s">
        <v>1060</v>
      </c>
      <c r="H169" s="1829" t="s">
        <v>1060</v>
      </c>
      <c r="I169" s="1831" t="s">
        <v>1060</v>
      </c>
      <c r="J169" s="1832" t="s">
        <v>33</v>
      </c>
      <c r="K169" s="1832" t="s">
        <v>33</v>
      </c>
      <c r="L169" s="1832" t="s">
        <v>33</v>
      </c>
      <c r="M169" s="1832" t="s">
        <v>33</v>
      </c>
      <c r="N169" s="1817"/>
      <c r="O169" s="1817"/>
    </row>
    <row r="170" spans="1:15">
      <c r="A170" s="1834" t="s">
        <v>1060</v>
      </c>
      <c r="B170" s="1829" t="s">
        <v>1060</v>
      </c>
      <c r="C170" s="1829" t="s">
        <v>1060</v>
      </c>
      <c r="D170" s="1829" t="s">
        <v>1060</v>
      </c>
      <c r="E170" s="1829" t="s">
        <v>1060</v>
      </c>
      <c r="F170" s="1829" t="s">
        <v>1060</v>
      </c>
      <c r="G170" s="1829" t="s">
        <v>1060</v>
      </c>
      <c r="H170" s="1829" t="s">
        <v>1060</v>
      </c>
      <c r="I170" s="1831" t="s">
        <v>1060</v>
      </c>
      <c r="J170" s="1832" t="s">
        <v>48</v>
      </c>
      <c r="K170" s="1832" t="s">
        <v>48</v>
      </c>
      <c r="L170" s="1832" t="s">
        <v>48</v>
      </c>
      <c r="M170" s="1832" t="s">
        <v>48</v>
      </c>
      <c r="N170" s="1817"/>
      <c r="O170" s="1817"/>
    </row>
    <row r="171" spans="1:15">
      <c r="A171" s="1834" t="s">
        <v>1060</v>
      </c>
      <c r="B171" s="1829" t="s">
        <v>1060</v>
      </c>
      <c r="C171" s="1829" t="s">
        <v>1060</v>
      </c>
      <c r="D171" s="1829" t="s">
        <v>1060</v>
      </c>
      <c r="E171" s="1829" t="s">
        <v>1060</v>
      </c>
      <c r="F171" s="1829" t="s">
        <v>1060</v>
      </c>
      <c r="G171" s="1829" t="s">
        <v>1060</v>
      </c>
      <c r="H171" s="1829" t="s">
        <v>1060</v>
      </c>
      <c r="I171" s="1831" t="s">
        <v>1060</v>
      </c>
      <c r="J171" s="1832" t="s">
        <v>49</v>
      </c>
      <c r="K171" s="1832" t="s">
        <v>49</v>
      </c>
      <c r="L171" s="1832" t="s">
        <v>49</v>
      </c>
      <c r="M171" s="1832" t="s">
        <v>49</v>
      </c>
      <c r="N171" s="1817"/>
      <c r="O171" s="1817"/>
    </row>
    <row r="172" spans="1:15">
      <c r="A172" s="1834" t="s">
        <v>1060</v>
      </c>
      <c r="B172" s="1829" t="s">
        <v>1060</v>
      </c>
      <c r="C172" s="1829" t="s">
        <v>1060</v>
      </c>
      <c r="D172" s="1829" t="s">
        <v>1060</v>
      </c>
      <c r="E172" s="1829" t="s">
        <v>1060</v>
      </c>
      <c r="F172" s="1829" t="s">
        <v>1060</v>
      </c>
      <c r="G172" s="1829" t="s">
        <v>1060</v>
      </c>
      <c r="H172" s="1829" t="s">
        <v>1060</v>
      </c>
      <c r="I172" s="1831" t="s">
        <v>1060</v>
      </c>
      <c r="J172" s="1832" t="s">
        <v>53</v>
      </c>
      <c r="K172" s="1832" t="s">
        <v>53</v>
      </c>
      <c r="L172" s="1832" t="s">
        <v>53</v>
      </c>
      <c r="M172" s="1832" t="s">
        <v>53</v>
      </c>
      <c r="N172" s="1817"/>
      <c r="O172" s="1817"/>
    </row>
    <row r="173" spans="1:15">
      <c r="A173" s="1834" t="s">
        <v>1060</v>
      </c>
      <c r="B173" s="1829" t="s">
        <v>1060</v>
      </c>
      <c r="C173" s="1829" t="s">
        <v>1060</v>
      </c>
      <c r="D173" s="1829" t="s">
        <v>1060</v>
      </c>
      <c r="E173" s="1829" t="s">
        <v>1060</v>
      </c>
      <c r="F173" s="1829" t="s">
        <v>1060</v>
      </c>
      <c r="G173" s="1829" t="s">
        <v>1060</v>
      </c>
      <c r="H173" s="1829" t="s">
        <v>1060</v>
      </c>
      <c r="I173" s="1831" t="s">
        <v>1060</v>
      </c>
      <c r="J173" s="1832" t="s">
        <v>1378</v>
      </c>
      <c r="K173" s="1832" t="s">
        <v>1378</v>
      </c>
      <c r="L173" s="1832" t="s">
        <v>1378</v>
      </c>
      <c r="M173" s="1832" t="s">
        <v>1378</v>
      </c>
      <c r="N173" s="1817"/>
      <c r="O173" s="1817"/>
    </row>
    <row r="174" spans="1:15">
      <c r="A174" s="1834" t="s">
        <v>1060</v>
      </c>
      <c r="B174" s="1829" t="s">
        <v>1060</v>
      </c>
      <c r="C174" s="1829" t="s">
        <v>1060</v>
      </c>
      <c r="D174" s="1829" t="s">
        <v>1060</v>
      </c>
      <c r="E174" s="1829" t="s">
        <v>1060</v>
      </c>
      <c r="F174" s="1829" t="s">
        <v>1060</v>
      </c>
      <c r="G174" s="1829" t="s">
        <v>1060</v>
      </c>
      <c r="H174" s="1829" t="s">
        <v>1060</v>
      </c>
      <c r="I174" s="1831" t="s">
        <v>1060</v>
      </c>
      <c r="J174" s="1832" t="s">
        <v>1419</v>
      </c>
      <c r="K174" s="1832" t="s">
        <v>1419</v>
      </c>
      <c r="L174" s="1832" t="s">
        <v>1418</v>
      </c>
      <c r="M174" s="1832" t="s">
        <v>1418</v>
      </c>
      <c r="N174" s="1817"/>
      <c r="O174" s="1817"/>
    </row>
    <row r="175" spans="1:15">
      <c r="A175" s="1834" t="s">
        <v>1060</v>
      </c>
      <c r="B175" s="1829" t="s">
        <v>1060</v>
      </c>
      <c r="C175" s="1829" t="s">
        <v>1060</v>
      </c>
      <c r="D175" s="1829" t="s">
        <v>1060</v>
      </c>
      <c r="E175" s="1829" t="s">
        <v>1060</v>
      </c>
      <c r="F175" s="1829" t="s">
        <v>1060</v>
      </c>
      <c r="G175" s="1829" t="s">
        <v>1060</v>
      </c>
      <c r="H175" s="1829" t="s">
        <v>1060</v>
      </c>
      <c r="I175" s="1831" t="s">
        <v>1060</v>
      </c>
      <c r="J175" s="1832" t="s">
        <v>1420</v>
      </c>
      <c r="K175" s="1832" t="s">
        <v>1420</v>
      </c>
      <c r="L175" s="1832" t="s">
        <v>1419</v>
      </c>
      <c r="M175" s="1832" t="s">
        <v>1419</v>
      </c>
      <c r="N175" s="1817"/>
      <c r="O175" s="1817"/>
    </row>
    <row r="176" spans="1:15">
      <c r="A176" s="1834" t="s">
        <v>1060</v>
      </c>
      <c r="B176" s="1829" t="s">
        <v>1060</v>
      </c>
      <c r="C176" s="1829" t="s">
        <v>1060</v>
      </c>
      <c r="D176" s="1829" t="s">
        <v>1060</v>
      </c>
      <c r="E176" s="1829" t="s">
        <v>1060</v>
      </c>
      <c r="F176" s="1829" t="s">
        <v>1060</v>
      </c>
      <c r="G176" s="1829" t="s">
        <v>1060</v>
      </c>
      <c r="H176" s="1829" t="s">
        <v>1060</v>
      </c>
      <c r="I176" s="1831" t="s">
        <v>1060</v>
      </c>
      <c r="J176" s="1832" t="s">
        <v>1421</v>
      </c>
      <c r="K176" s="1832" t="s">
        <v>1421</v>
      </c>
      <c r="L176" s="1832" t="s">
        <v>1420</v>
      </c>
      <c r="M176" s="1832" t="s">
        <v>1420</v>
      </c>
      <c r="N176" s="1817"/>
      <c r="O176" s="1817"/>
    </row>
    <row r="177" spans="1:17">
      <c r="A177" s="1834" t="s">
        <v>1060</v>
      </c>
      <c r="B177" s="1829" t="s">
        <v>1060</v>
      </c>
      <c r="C177" s="1829" t="s">
        <v>1060</v>
      </c>
      <c r="D177" s="1829" t="s">
        <v>1060</v>
      </c>
      <c r="E177" s="1829" t="s">
        <v>1060</v>
      </c>
      <c r="F177" s="1829" t="s">
        <v>1060</v>
      </c>
      <c r="G177" s="1829" t="s">
        <v>1060</v>
      </c>
      <c r="H177" s="1829" t="s">
        <v>1060</v>
      </c>
      <c r="I177" s="1831" t="s">
        <v>1060</v>
      </c>
      <c r="J177" s="1832" t="s">
        <v>1434</v>
      </c>
      <c r="K177" s="1832" t="s">
        <v>1434</v>
      </c>
      <c r="L177" s="1832" t="s">
        <v>1434</v>
      </c>
      <c r="M177" s="1832" t="s">
        <v>1060</v>
      </c>
      <c r="N177" s="1817"/>
      <c r="O177" s="1817"/>
    </row>
    <row r="178" spans="1:17">
      <c r="A178" s="1834" t="s">
        <v>1060</v>
      </c>
      <c r="B178" s="1829" t="s">
        <v>1060</v>
      </c>
      <c r="C178" s="1829" t="s">
        <v>1060</v>
      </c>
      <c r="D178" s="1829" t="s">
        <v>1060</v>
      </c>
      <c r="E178" s="1829" t="s">
        <v>1060</v>
      </c>
      <c r="F178" s="1829" t="s">
        <v>1060</v>
      </c>
      <c r="G178" s="1829" t="s">
        <v>1060</v>
      </c>
      <c r="H178" s="1829" t="s">
        <v>1060</v>
      </c>
      <c r="I178" s="1831" t="s">
        <v>1060</v>
      </c>
      <c r="J178" s="1832" t="s">
        <v>1436</v>
      </c>
      <c r="K178" s="1832" t="s">
        <v>1436</v>
      </c>
      <c r="L178" s="1832" t="s">
        <v>1436</v>
      </c>
      <c r="M178" s="1832" t="s">
        <v>1060</v>
      </c>
      <c r="N178" s="1817"/>
      <c r="O178" s="1817"/>
    </row>
    <row r="179" spans="1:17">
      <c r="A179" s="1834" t="s">
        <v>1060</v>
      </c>
      <c r="B179" s="1829" t="s">
        <v>1060</v>
      </c>
      <c r="C179" s="1829" t="s">
        <v>1060</v>
      </c>
      <c r="D179" s="1829" t="s">
        <v>1060</v>
      </c>
      <c r="E179" s="1829" t="s">
        <v>1060</v>
      </c>
      <c r="F179" s="1829" t="s">
        <v>1060</v>
      </c>
      <c r="G179" s="1829" t="s">
        <v>1060</v>
      </c>
      <c r="H179" s="1829" t="s">
        <v>1060</v>
      </c>
      <c r="I179" s="1831" t="s">
        <v>1060</v>
      </c>
      <c r="J179" s="1832" t="s">
        <v>931</v>
      </c>
      <c r="K179" s="1832" t="s">
        <v>931</v>
      </c>
      <c r="L179" s="1832" t="s">
        <v>931</v>
      </c>
      <c r="M179" s="1832" t="s">
        <v>1060</v>
      </c>
      <c r="N179" s="1817"/>
      <c r="O179" s="1817"/>
    </row>
    <row r="180" spans="1:17">
      <c r="A180" s="1834" t="s">
        <v>1060</v>
      </c>
      <c r="B180" s="1829" t="s">
        <v>1060</v>
      </c>
      <c r="C180" s="1829" t="s">
        <v>1060</v>
      </c>
      <c r="D180" s="1829" t="s">
        <v>1060</v>
      </c>
      <c r="E180" s="1829" t="s">
        <v>1060</v>
      </c>
      <c r="F180" s="1829" t="s">
        <v>1060</v>
      </c>
      <c r="G180" s="1829" t="s">
        <v>1060</v>
      </c>
      <c r="H180" s="1829" t="s">
        <v>1060</v>
      </c>
      <c r="I180" s="1831" t="s">
        <v>1060</v>
      </c>
      <c r="J180" s="1832" t="s">
        <v>325</v>
      </c>
      <c r="K180" s="1832" t="s">
        <v>325</v>
      </c>
      <c r="L180" s="1832" t="s">
        <v>325</v>
      </c>
      <c r="M180" s="1832" t="s">
        <v>1060</v>
      </c>
      <c r="N180" s="1817"/>
      <c r="O180" s="1817"/>
    </row>
    <row r="181" spans="1:17">
      <c r="A181" s="1834" t="s">
        <v>1060</v>
      </c>
      <c r="B181" s="1829" t="s">
        <v>1060</v>
      </c>
      <c r="C181" s="1829" t="s">
        <v>1060</v>
      </c>
      <c r="D181" s="1829" t="s">
        <v>1060</v>
      </c>
      <c r="E181" s="1829" t="s">
        <v>1060</v>
      </c>
      <c r="F181" s="1829" t="s">
        <v>1060</v>
      </c>
      <c r="G181" s="1829" t="s">
        <v>1060</v>
      </c>
      <c r="H181" s="1829" t="s">
        <v>1060</v>
      </c>
      <c r="I181" s="1831" t="s">
        <v>1060</v>
      </c>
      <c r="J181" s="1832" t="s">
        <v>924</v>
      </c>
      <c r="K181" s="1832" t="s">
        <v>924</v>
      </c>
      <c r="L181" s="1832" t="s">
        <v>1060</v>
      </c>
      <c r="M181" s="1832" t="s">
        <v>1060</v>
      </c>
      <c r="N181" s="1817"/>
      <c r="O181" s="1817"/>
    </row>
    <row r="182" spans="1:17">
      <c r="A182" s="1834" t="s">
        <v>1060</v>
      </c>
      <c r="B182" s="1829" t="s">
        <v>1060</v>
      </c>
      <c r="C182" s="1829" t="s">
        <v>1060</v>
      </c>
      <c r="D182" s="1829" t="s">
        <v>1060</v>
      </c>
      <c r="E182" s="1829" t="s">
        <v>1060</v>
      </c>
      <c r="F182" s="1829" t="s">
        <v>1060</v>
      </c>
      <c r="G182" s="1829" t="s">
        <v>1060</v>
      </c>
      <c r="H182" s="1829" t="s">
        <v>1060</v>
      </c>
      <c r="I182" s="1831" t="s">
        <v>1060</v>
      </c>
      <c r="J182" s="1832" t="s">
        <v>1364</v>
      </c>
      <c r="K182" s="1832" t="s">
        <v>1060</v>
      </c>
      <c r="L182" s="1832" t="s">
        <v>1060</v>
      </c>
      <c r="M182" s="1832" t="s">
        <v>1060</v>
      </c>
      <c r="N182" s="1817"/>
      <c r="O182" s="1817"/>
    </row>
    <row r="183" spans="1:17">
      <c r="A183" s="1834" t="s">
        <v>1060</v>
      </c>
      <c r="B183" s="1829" t="s">
        <v>1060</v>
      </c>
      <c r="C183" s="1829" t="s">
        <v>1060</v>
      </c>
      <c r="D183" s="1829" t="s">
        <v>1060</v>
      </c>
      <c r="E183" s="1829" t="s">
        <v>1060</v>
      </c>
      <c r="F183" s="1829" t="s">
        <v>1060</v>
      </c>
      <c r="G183" s="1829" t="s">
        <v>1060</v>
      </c>
      <c r="H183" s="1829" t="s">
        <v>1060</v>
      </c>
      <c r="I183" s="1831" t="s">
        <v>1060</v>
      </c>
      <c r="J183" s="1832" t="s">
        <v>1439</v>
      </c>
      <c r="K183" s="1832" t="s">
        <v>1439</v>
      </c>
      <c r="L183" s="1832" t="s">
        <v>1439</v>
      </c>
      <c r="M183" s="1832" t="s">
        <v>1438</v>
      </c>
      <c r="N183" s="1817"/>
      <c r="O183" s="1817"/>
    </row>
    <row r="184" spans="1:17">
      <c r="A184" s="1834" t="s">
        <v>1060</v>
      </c>
      <c r="B184" s="1829" t="s">
        <v>1060</v>
      </c>
      <c r="C184" s="1829" t="s">
        <v>1060</v>
      </c>
      <c r="D184" s="1829" t="s">
        <v>1060</v>
      </c>
      <c r="E184" s="1829" t="s">
        <v>1060</v>
      </c>
      <c r="F184" s="1829" t="s">
        <v>1060</v>
      </c>
      <c r="G184" s="1829" t="s">
        <v>1060</v>
      </c>
      <c r="H184" s="1829" t="s">
        <v>1060</v>
      </c>
      <c r="I184" s="1831" t="s">
        <v>1060</v>
      </c>
      <c r="J184" s="1832" t="s">
        <v>919</v>
      </c>
      <c r="K184" s="1832" t="s">
        <v>919</v>
      </c>
      <c r="L184" s="1832" t="s">
        <v>919</v>
      </c>
      <c r="M184" s="1832" t="s">
        <v>1440</v>
      </c>
      <c r="N184" s="1817"/>
      <c r="O184" s="1817"/>
    </row>
    <row r="185" spans="1:17">
      <c r="A185" s="1834" t="s">
        <v>1060</v>
      </c>
      <c r="B185" s="1829" t="s">
        <v>1060</v>
      </c>
      <c r="C185" s="1829" t="s">
        <v>1060</v>
      </c>
      <c r="D185" s="1829" t="s">
        <v>1060</v>
      </c>
      <c r="E185" s="1829" t="s">
        <v>1060</v>
      </c>
      <c r="F185" s="1829" t="s">
        <v>1060</v>
      </c>
      <c r="G185" s="1829" t="s">
        <v>1060</v>
      </c>
      <c r="H185" s="1829" t="s">
        <v>1060</v>
      </c>
      <c r="I185" s="1831" t="s">
        <v>1060</v>
      </c>
      <c r="J185" s="1832" t="s">
        <v>921</v>
      </c>
      <c r="K185" s="1832" t="s">
        <v>921</v>
      </c>
      <c r="L185" s="1832" t="s">
        <v>921</v>
      </c>
      <c r="M185" s="1832" t="s">
        <v>920</v>
      </c>
      <c r="N185" s="1817"/>
      <c r="O185" s="1817"/>
    </row>
    <row r="186" spans="1:17">
      <c r="A186" s="1834" t="s">
        <v>1060</v>
      </c>
      <c r="B186" s="1829" t="s">
        <v>1060</v>
      </c>
      <c r="C186" s="1829" t="s">
        <v>1060</v>
      </c>
      <c r="D186" s="1829" t="s">
        <v>1060</v>
      </c>
      <c r="E186" s="1829" t="s">
        <v>1060</v>
      </c>
      <c r="F186" s="1829" t="s">
        <v>1060</v>
      </c>
      <c r="G186" s="1829" t="s">
        <v>1060</v>
      </c>
      <c r="H186" s="1829" t="s">
        <v>1060</v>
      </c>
      <c r="I186" s="1831" t="s">
        <v>1060</v>
      </c>
      <c r="J186" s="1832" t="s">
        <v>923</v>
      </c>
      <c r="K186" s="1832" t="s">
        <v>923</v>
      </c>
      <c r="L186" s="1832" t="s">
        <v>923</v>
      </c>
      <c r="M186" s="1832" t="s">
        <v>922</v>
      </c>
      <c r="N186" s="1817"/>
      <c r="O186" s="1817"/>
    </row>
    <row r="187" spans="1:17">
      <c r="A187" s="1834" t="s">
        <v>1060</v>
      </c>
      <c r="B187" s="1834" t="s">
        <v>1060</v>
      </c>
      <c r="C187" s="1834" t="s">
        <v>1060</v>
      </c>
      <c r="D187" s="1834" t="s">
        <v>1060</v>
      </c>
      <c r="E187" s="1834" t="s">
        <v>1060</v>
      </c>
      <c r="F187" s="1834" t="s">
        <v>1060</v>
      </c>
      <c r="G187" s="1834" t="s">
        <v>1060</v>
      </c>
      <c r="H187" s="1834" t="s">
        <v>1060</v>
      </c>
      <c r="I187" s="1832" t="s">
        <v>1060</v>
      </c>
      <c r="J187" s="1832" t="s">
        <v>1060</v>
      </c>
      <c r="K187" s="1832" t="s">
        <v>1428</v>
      </c>
      <c r="L187" s="1832" t="s">
        <v>1060</v>
      </c>
      <c r="M187" s="1832" t="s">
        <v>1060</v>
      </c>
      <c r="N187" s="1817"/>
      <c r="O187" s="1817"/>
    </row>
    <row r="188" spans="1:17">
      <c r="A188" s="1834" t="s">
        <v>1060</v>
      </c>
      <c r="B188" s="1834" t="s">
        <v>1060</v>
      </c>
      <c r="C188" s="1834" t="s">
        <v>1060</v>
      </c>
      <c r="D188" s="1834" t="s">
        <v>1060</v>
      </c>
      <c r="E188" s="1834" t="s">
        <v>1060</v>
      </c>
      <c r="F188" s="1834" t="s">
        <v>1060</v>
      </c>
      <c r="G188" s="1834" t="s">
        <v>1060</v>
      </c>
      <c r="H188" s="1834" t="s">
        <v>1060</v>
      </c>
      <c r="I188" s="1832" t="s">
        <v>1060</v>
      </c>
      <c r="J188" s="1832" t="s">
        <v>1060</v>
      </c>
      <c r="K188" s="1832" t="s">
        <v>1060</v>
      </c>
      <c r="L188" s="1832" t="s">
        <v>1425</v>
      </c>
      <c r="M188" s="1832" t="s">
        <v>1428</v>
      </c>
      <c r="N188" s="1817"/>
      <c r="O188" s="1817"/>
    </row>
    <row r="189" spans="1:17">
      <c r="A189" s="1842">
        <f>COUNTIF(A7:A188,"&lt;&gt;-")</f>
        <v>130</v>
      </c>
      <c r="B189" s="1842">
        <f>COUNTIF(B7:B188,"&lt;&gt;-")</f>
        <v>133</v>
      </c>
      <c r="C189" s="1842">
        <f>COUNTIF(C7:C188,"&lt;&gt;-")</f>
        <v>130</v>
      </c>
      <c r="D189" s="1842">
        <f>COUNTIF(D7:D188,"&lt;&gt;-")</f>
        <v>129</v>
      </c>
      <c r="E189" s="1842">
        <v>140</v>
      </c>
      <c r="F189" s="1842">
        <f t="shared" ref="F189:M189" si="0">COUNTIF(F7:F188,"&lt;&gt;-")</f>
        <v>135</v>
      </c>
      <c r="G189" s="1842">
        <f t="shared" si="0"/>
        <v>125</v>
      </c>
      <c r="H189" s="1842">
        <f t="shared" si="0"/>
        <v>113</v>
      </c>
      <c r="I189" s="1842">
        <f t="shared" si="0"/>
        <v>92</v>
      </c>
      <c r="J189" s="1842">
        <f t="shared" si="0"/>
        <v>103</v>
      </c>
      <c r="K189" s="1842">
        <f t="shared" si="0"/>
        <v>103</v>
      </c>
      <c r="L189" s="1842">
        <f t="shared" si="0"/>
        <v>94</v>
      </c>
      <c r="M189" s="1842">
        <f t="shared" si="0"/>
        <v>85</v>
      </c>
      <c r="N189" s="1817"/>
      <c r="O189" s="1817"/>
    </row>
    <row r="190" spans="1:17">
      <c r="C190" s="1843"/>
      <c r="D190" s="1843"/>
      <c r="E190" s="1843"/>
      <c r="F190" s="1843"/>
      <c r="G190" s="1843"/>
      <c r="H190" s="1843"/>
      <c r="I190" s="1843"/>
      <c r="J190" s="1843"/>
      <c r="K190" s="1843"/>
      <c r="L190" s="1843"/>
      <c r="N190" s="1817"/>
      <c r="O190" s="1817"/>
    </row>
    <row r="191" spans="1:17" ht="13">
      <c r="A191" s="1817" t="s">
        <v>1367</v>
      </c>
      <c r="D191" s="1817"/>
      <c r="E191" s="1817"/>
      <c r="F191" s="1776"/>
      <c r="G191" s="1776"/>
      <c r="J191" s="1818"/>
      <c r="K191" s="1818"/>
      <c r="L191" s="1844"/>
      <c r="M191" s="1844"/>
      <c r="N191" s="1844"/>
      <c r="O191" s="1844"/>
      <c r="P191" s="1845"/>
      <c r="Q191" s="1845"/>
    </row>
    <row r="192" spans="1:17" ht="9.75" customHeight="1">
      <c r="D192" s="1817"/>
      <c r="E192" s="1776"/>
      <c r="F192" s="1776"/>
      <c r="J192" s="1818"/>
      <c r="N192" s="1817"/>
      <c r="P192" s="1818"/>
    </row>
    <row r="193" spans="4:16">
      <c r="D193" s="1817"/>
      <c r="J193" s="1818"/>
      <c r="N193" s="1817"/>
      <c r="P193" s="1818"/>
    </row>
    <row r="194" spans="4:16">
      <c r="D194" s="1817"/>
      <c r="J194" s="1818"/>
      <c r="N194" s="1817"/>
      <c r="P194" s="1818"/>
    </row>
  </sheetData>
  <phoneticPr fontId="30" type="noConversion"/>
  <pageMargins left="0.55000000000000004" right="0.41" top="0.46" bottom="0.48" header="0.36" footer="0.28000000000000003"/>
  <pageSetup paperSize="9" scale="65" fitToHeight="2" orientation="portrait"/>
  <headerFooter alignWithMargins="0">
    <oddFooter>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4BDE-3632-B149-B2D2-481A1D241817}">
  <sheetPr codeName="Tabelle2">
    <pageSetUpPr fitToPage="1"/>
  </sheetPr>
  <dimension ref="A1:C87"/>
  <sheetViews>
    <sheetView topLeftCell="A68" workbookViewId="0">
      <selection activeCell="C71" sqref="C71:C75"/>
    </sheetView>
  </sheetViews>
  <sheetFormatPr baseColWidth="10" defaultColWidth="11.3984375" defaultRowHeight="13"/>
  <cols>
    <col min="1" max="1" width="25.59765625" style="939" customWidth="1"/>
    <col min="2" max="2" width="23" style="939" customWidth="1"/>
    <col min="3" max="3" width="28.59765625" style="939" customWidth="1"/>
    <col min="4" max="4" width="7.796875" style="939" customWidth="1"/>
    <col min="5" max="5" width="4.796875" style="939" customWidth="1"/>
    <col min="6" max="16384" width="11.3984375" style="939"/>
  </cols>
  <sheetData>
    <row r="1" spans="1:2" ht="16">
      <c r="A1" s="938" t="s">
        <v>246</v>
      </c>
    </row>
    <row r="2" spans="1:2" ht="16">
      <c r="A2" s="940"/>
    </row>
    <row r="3" spans="1:2" ht="16">
      <c r="A3" s="938" t="s">
        <v>247</v>
      </c>
    </row>
    <row r="4" spans="1:2" ht="15.75" customHeight="1"/>
    <row r="5" spans="1:2" ht="21" customHeight="1">
      <c r="A5" s="941" t="s">
        <v>2109</v>
      </c>
      <c r="B5" s="942" t="s">
        <v>248</v>
      </c>
    </row>
    <row r="6" spans="1:2" ht="18.75" customHeight="1">
      <c r="A6" s="943" t="s">
        <v>249</v>
      </c>
      <c r="B6" s="944" t="s">
        <v>250</v>
      </c>
    </row>
    <row r="7" spans="1:2" ht="41.25" customHeight="1">
      <c r="A7" s="945" t="s">
        <v>251</v>
      </c>
      <c r="B7" s="946" t="s">
        <v>252</v>
      </c>
    </row>
    <row r="8" spans="1:2" ht="22.5" customHeight="1">
      <c r="A8" s="947" t="s">
        <v>253</v>
      </c>
      <c r="B8" s="948" t="s">
        <v>1060</v>
      </c>
    </row>
    <row r="9" spans="1:2" ht="14">
      <c r="A9" s="947" t="s">
        <v>254</v>
      </c>
      <c r="B9" s="949">
        <v>0.1</v>
      </c>
    </row>
    <row r="10" spans="1:2" ht="14">
      <c r="A10" s="947" t="s">
        <v>255</v>
      </c>
      <c r="B10" s="949">
        <v>0.2</v>
      </c>
    </row>
    <row r="11" spans="1:2" ht="14">
      <c r="A11" s="947" t="s">
        <v>256</v>
      </c>
      <c r="B11" s="949">
        <v>0.35</v>
      </c>
    </row>
    <row r="12" spans="1:2" ht="14">
      <c r="A12" s="947" t="s">
        <v>2085</v>
      </c>
      <c r="B12" s="949">
        <v>0.4</v>
      </c>
    </row>
    <row r="13" spans="1:2" ht="25.5" customHeight="1">
      <c r="A13" s="950"/>
    </row>
    <row r="14" spans="1:2" ht="21" customHeight="1">
      <c r="A14" s="941" t="s">
        <v>2109</v>
      </c>
      <c r="B14" s="951" t="s">
        <v>2086</v>
      </c>
    </row>
    <row r="15" spans="1:2" ht="19.5" customHeight="1">
      <c r="A15" s="952" t="s">
        <v>249</v>
      </c>
      <c r="B15" s="953" t="s">
        <v>250</v>
      </c>
    </row>
    <row r="16" spans="1:2" ht="42" customHeight="1">
      <c r="A16" s="945" t="s">
        <v>251</v>
      </c>
      <c r="B16" s="946" t="s">
        <v>252</v>
      </c>
    </row>
    <row r="17" spans="1:3" ht="24" customHeight="1">
      <c r="A17" s="954" t="s">
        <v>2110</v>
      </c>
      <c r="B17" s="948" t="s">
        <v>1060</v>
      </c>
    </row>
    <row r="18" spans="1:3" ht="14">
      <c r="A18" s="955" t="s">
        <v>2111</v>
      </c>
      <c r="B18" s="956">
        <v>0.08</v>
      </c>
    </row>
    <row r="19" spans="1:3" ht="14">
      <c r="A19" s="947" t="s">
        <v>255</v>
      </c>
      <c r="B19" s="956">
        <v>0.15</v>
      </c>
    </row>
    <row r="20" spans="1:3" ht="14">
      <c r="A20" s="947" t="s">
        <v>256</v>
      </c>
      <c r="B20" s="956">
        <v>0.3</v>
      </c>
    </row>
    <row r="21" spans="1:3" ht="14">
      <c r="A21" s="947" t="s">
        <v>2085</v>
      </c>
      <c r="B21" s="949">
        <v>0.4</v>
      </c>
    </row>
    <row r="22" spans="1:3" ht="24" customHeight="1">
      <c r="A22" s="950"/>
    </row>
    <row r="23" spans="1:3" ht="21" customHeight="1">
      <c r="A23" s="941" t="s">
        <v>2109</v>
      </c>
      <c r="B23" s="951" t="s">
        <v>2087</v>
      </c>
      <c r="C23" s="957"/>
    </row>
    <row r="24" spans="1:3" ht="21.75" customHeight="1">
      <c r="A24" s="952" t="s">
        <v>249</v>
      </c>
      <c r="B24" s="953" t="s">
        <v>250</v>
      </c>
      <c r="C24" s="958"/>
    </row>
    <row r="25" spans="1:3" ht="21" customHeight="1">
      <c r="A25" s="1996" t="s">
        <v>251</v>
      </c>
      <c r="B25" s="1998" t="s">
        <v>252</v>
      </c>
      <c r="C25" s="959" t="s">
        <v>2088</v>
      </c>
    </row>
    <row r="26" spans="1:3" ht="29.25" customHeight="1">
      <c r="A26" s="1997"/>
      <c r="B26" s="1999"/>
      <c r="C26" s="960" t="s">
        <v>2089</v>
      </c>
    </row>
    <row r="27" spans="1:3" ht="18.75" customHeight="1">
      <c r="A27" s="961" t="s">
        <v>2090</v>
      </c>
      <c r="B27" s="948" t="s">
        <v>1060</v>
      </c>
      <c r="C27" s="962" t="s">
        <v>1060</v>
      </c>
    </row>
    <row r="28" spans="1:3" ht="14">
      <c r="A28" s="947" t="s">
        <v>2091</v>
      </c>
      <c r="B28" s="949">
        <v>0.08</v>
      </c>
      <c r="C28" s="963">
        <v>170</v>
      </c>
    </row>
    <row r="29" spans="1:3" ht="14">
      <c r="A29" s="947" t="s">
        <v>255</v>
      </c>
      <c r="B29" s="949">
        <v>0.15</v>
      </c>
      <c r="C29" s="963">
        <v>370</v>
      </c>
    </row>
    <row r="30" spans="1:3" ht="14">
      <c r="A30" s="947" t="s">
        <v>256</v>
      </c>
      <c r="B30" s="949">
        <v>0.3</v>
      </c>
      <c r="C30" s="963">
        <v>970</v>
      </c>
    </row>
    <row r="31" spans="1:3" ht="14">
      <c r="A31" s="947" t="s">
        <v>2085</v>
      </c>
      <c r="B31" s="949">
        <v>0.4</v>
      </c>
      <c r="C31" s="963">
        <v>1270</v>
      </c>
    </row>
    <row r="32" spans="1:3" ht="25.5" customHeight="1">
      <c r="A32" s="950"/>
    </row>
    <row r="33" spans="1:3" ht="15" customHeight="1">
      <c r="A33" s="950"/>
    </row>
    <row r="34" spans="1:3" ht="21" customHeight="1">
      <c r="A34" s="941" t="s">
        <v>2109</v>
      </c>
      <c r="B34" s="964">
        <v>2004</v>
      </c>
      <c r="C34" s="957"/>
    </row>
    <row r="35" spans="1:3" ht="21.75" customHeight="1">
      <c r="A35" s="952" t="s">
        <v>249</v>
      </c>
      <c r="B35" s="965" t="s">
        <v>2112</v>
      </c>
      <c r="C35" s="958"/>
    </row>
    <row r="36" spans="1:3" ht="19.5" customHeight="1">
      <c r="A36" s="1996" t="s">
        <v>251</v>
      </c>
      <c r="B36" s="1998" t="s">
        <v>252</v>
      </c>
      <c r="C36" s="959" t="s">
        <v>2088</v>
      </c>
    </row>
    <row r="37" spans="1:3" ht="42" customHeight="1">
      <c r="A37" s="1997"/>
      <c r="B37" s="1999"/>
      <c r="C37" s="960" t="s">
        <v>2092</v>
      </c>
    </row>
    <row r="38" spans="1:3" ht="16.5" customHeight="1">
      <c r="A38" s="954" t="s">
        <v>2113</v>
      </c>
      <c r="B38" s="948" t="s">
        <v>1060</v>
      </c>
      <c r="C38" s="962" t="s">
        <v>1060</v>
      </c>
    </row>
    <row r="39" spans="1:3" ht="14">
      <c r="A39" s="947" t="s">
        <v>2091</v>
      </c>
      <c r="B39" s="956">
        <v>0.03</v>
      </c>
      <c r="C39" s="963">
        <v>80</v>
      </c>
    </row>
    <row r="40" spans="1:3" ht="14">
      <c r="A40" s="947" t="s">
        <v>255</v>
      </c>
      <c r="B40" s="956">
        <v>0.09</v>
      </c>
      <c r="C40" s="963">
        <v>240</v>
      </c>
    </row>
    <row r="41" spans="1:3" ht="14">
      <c r="A41" s="947" t="s">
        <v>256</v>
      </c>
      <c r="B41" s="956">
        <v>0.24</v>
      </c>
      <c r="C41" s="963">
        <v>720</v>
      </c>
    </row>
    <row r="42" spans="1:3" ht="14">
      <c r="A42" s="947" t="s">
        <v>2085</v>
      </c>
      <c r="B42" s="956">
        <v>0.3</v>
      </c>
      <c r="C42" s="963">
        <v>960</v>
      </c>
    </row>
    <row r="43" spans="1:3" ht="22.5" customHeight="1">
      <c r="A43" s="950"/>
    </row>
    <row r="44" spans="1:3" ht="21" customHeight="1">
      <c r="A44" s="941" t="s">
        <v>2109</v>
      </c>
      <c r="B44" s="964">
        <v>2005</v>
      </c>
      <c r="C44" s="957"/>
    </row>
    <row r="45" spans="1:3" ht="21" customHeight="1">
      <c r="A45" s="952" t="s">
        <v>249</v>
      </c>
      <c r="B45" s="953" t="s">
        <v>2093</v>
      </c>
      <c r="C45" s="958"/>
    </row>
    <row r="46" spans="1:3" ht="20.25" customHeight="1">
      <c r="A46" s="1996" t="s">
        <v>251</v>
      </c>
      <c r="B46" s="1998" t="s">
        <v>252</v>
      </c>
      <c r="C46" s="959" t="s">
        <v>2088</v>
      </c>
    </row>
    <row r="47" spans="1:3" ht="41.25" customHeight="1">
      <c r="A47" s="1997"/>
      <c r="B47" s="1999"/>
      <c r="C47" s="966" t="s">
        <v>2092</v>
      </c>
    </row>
    <row r="48" spans="1:3" ht="15" customHeight="1">
      <c r="A48" s="947" t="s">
        <v>2094</v>
      </c>
      <c r="B48" s="948" t="s">
        <v>1060</v>
      </c>
      <c r="C48" s="962" t="s">
        <v>1060</v>
      </c>
    </row>
    <row r="49" spans="1:3" ht="14">
      <c r="A49" s="967" t="s">
        <v>2095</v>
      </c>
      <c r="B49" s="956">
        <v>0.5</v>
      </c>
      <c r="C49" s="963">
        <v>160</v>
      </c>
    </row>
    <row r="50" spans="1:3" ht="14">
      <c r="A50" s="967" t="s">
        <v>2096</v>
      </c>
      <c r="B50" s="956">
        <v>0.5</v>
      </c>
      <c r="C50" s="963">
        <v>560</v>
      </c>
    </row>
    <row r="51" spans="1:3" ht="14">
      <c r="A51" s="947" t="s">
        <v>2097</v>
      </c>
      <c r="B51" s="956">
        <v>0.5</v>
      </c>
      <c r="C51" s="962">
        <v>960</v>
      </c>
    </row>
    <row r="52" spans="1:3" ht="14">
      <c r="A52" s="967" t="s">
        <v>2098</v>
      </c>
      <c r="B52" s="956">
        <v>0.5</v>
      </c>
      <c r="C52" s="963">
        <v>1360</v>
      </c>
    </row>
    <row r="53" spans="1:3" ht="14">
      <c r="A53" s="967" t="s">
        <v>2099</v>
      </c>
      <c r="B53" s="956">
        <v>0.5</v>
      </c>
      <c r="C53" s="963">
        <v>1760</v>
      </c>
    </row>
    <row r="54" spans="1:3" ht="22.5" customHeight="1">
      <c r="A54" s="968"/>
    </row>
    <row r="55" spans="1:3" ht="23.25" customHeight="1">
      <c r="A55" s="941" t="s">
        <v>2109</v>
      </c>
      <c r="B55" s="951" t="s">
        <v>2100</v>
      </c>
      <c r="C55" s="957"/>
    </row>
    <row r="56" spans="1:3" ht="21" customHeight="1">
      <c r="A56" s="952" t="s">
        <v>249</v>
      </c>
      <c r="B56" s="969" t="s">
        <v>2114</v>
      </c>
      <c r="C56" s="958"/>
    </row>
    <row r="57" spans="1:3" ht="20.25" customHeight="1">
      <c r="A57" s="1996" t="s">
        <v>251</v>
      </c>
      <c r="B57" s="1998" t="s">
        <v>252</v>
      </c>
      <c r="C57" s="959" t="s">
        <v>2088</v>
      </c>
    </row>
    <row r="58" spans="1:3" ht="41.25" customHeight="1">
      <c r="A58" s="1997"/>
      <c r="B58" s="1999"/>
      <c r="C58" s="966" t="s">
        <v>2092</v>
      </c>
    </row>
    <row r="59" spans="1:3" ht="12.75" customHeight="1">
      <c r="A59" s="947" t="s">
        <v>2094</v>
      </c>
      <c r="B59" s="948" t="s">
        <v>1060</v>
      </c>
      <c r="C59" s="962" t="s">
        <v>1060</v>
      </c>
    </row>
    <row r="60" spans="1:3" ht="14">
      <c r="A60" s="961" t="s">
        <v>2095</v>
      </c>
      <c r="B60" s="970">
        <v>0.5</v>
      </c>
      <c r="C60" s="971">
        <v>160</v>
      </c>
    </row>
    <row r="61" spans="1:3" ht="14">
      <c r="A61" s="961" t="s">
        <v>2096</v>
      </c>
      <c r="B61" s="970">
        <v>0.5</v>
      </c>
      <c r="C61" s="971">
        <v>560</v>
      </c>
    </row>
    <row r="62" spans="1:3" ht="14">
      <c r="A62" s="961" t="s">
        <v>2097</v>
      </c>
      <c r="B62" s="970">
        <v>0.5</v>
      </c>
      <c r="C62" s="971">
        <v>960</v>
      </c>
    </row>
    <row r="63" spans="1:3" ht="14">
      <c r="A63" s="961" t="s">
        <v>2098</v>
      </c>
      <c r="B63" s="970">
        <v>0.5</v>
      </c>
      <c r="C63" s="971">
        <v>1360</v>
      </c>
    </row>
    <row r="64" spans="1:3" ht="14">
      <c r="A64" s="961" t="s">
        <v>2099</v>
      </c>
      <c r="B64" s="970">
        <v>0.5</v>
      </c>
      <c r="C64" s="971">
        <v>1760</v>
      </c>
    </row>
    <row r="65" spans="1:3" ht="22.5" customHeight="1">
      <c r="A65" s="968"/>
    </row>
    <row r="66" spans="1:3" ht="23.25" customHeight="1">
      <c r="A66" s="941" t="s">
        <v>2109</v>
      </c>
      <c r="B66" s="951" t="s">
        <v>2101</v>
      </c>
      <c r="C66" s="957"/>
    </row>
    <row r="67" spans="1:3" ht="21" customHeight="1">
      <c r="A67" s="952" t="s">
        <v>249</v>
      </c>
      <c r="B67" s="972" t="s">
        <v>2114</v>
      </c>
      <c r="C67" s="958"/>
    </row>
    <row r="68" spans="1:3" ht="20.25" customHeight="1">
      <c r="A68" s="1996" t="s">
        <v>251</v>
      </c>
      <c r="B68" s="1998" t="s">
        <v>252</v>
      </c>
      <c r="C68" s="959" t="s">
        <v>2088</v>
      </c>
    </row>
    <row r="69" spans="1:3" ht="41.25" customHeight="1">
      <c r="A69" s="1997"/>
      <c r="B69" s="1999"/>
      <c r="C69" s="973" t="s">
        <v>2102</v>
      </c>
    </row>
    <row r="70" spans="1:3" ht="12.75" customHeight="1">
      <c r="A70" s="947" t="s">
        <v>2094</v>
      </c>
      <c r="B70" s="948" t="s">
        <v>1060</v>
      </c>
      <c r="C70" s="974" t="s">
        <v>1060</v>
      </c>
    </row>
    <row r="71" spans="1:3" ht="14">
      <c r="A71" s="961" t="s">
        <v>2095</v>
      </c>
      <c r="B71" s="970">
        <v>0.5</v>
      </c>
      <c r="C71" s="973">
        <f>(0.7*(500-300))</f>
        <v>140</v>
      </c>
    </row>
    <row r="72" spans="1:3" ht="14">
      <c r="A72" s="961" t="s">
        <v>2096</v>
      </c>
      <c r="B72" s="970">
        <v>0.5</v>
      </c>
      <c r="C72" s="973">
        <f>(0.7*(1000-300))</f>
        <v>489.99999999999994</v>
      </c>
    </row>
    <row r="73" spans="1:3" ht="14">
      <c r="A73" s="961" t="s">
        <v>2097</v>
      </c>
      <c r="B73" s="970">
        <v>0.5</v>
      </c>
      <c r="C73" s="973">
        <f>(0.7*(1500-300))</f>
        <v>840</v>
      </c>
    </row>
    <row r="74" spans="1:3" ht="14">
      <c r="A74" s="961" t="s">
        <v>2098</v>
      </c>
      <c r="B74" s="970">
        <v>0.5</v>
      </c>
      <c r="C74" s="973">
        <f>(0.7*(2000-300))</f>
        <v>1190</v>
      </c>
    </row>
    <row r="75" spans="1:3" ht="14">
      <c r="A75" s="961" t="s">
        <v>2099</v>
      </c>
      <c r="B75" s="970">
        <v>0.5</v>
      </c>
      <c r="C75" s="973">
        <f>(0.7*(2500-300))</f>
        <v>1540</v>
      </c>
    </row>
    <row r="76" spans="1:3" ht="15.75" customHeight="1">
      <c r="A76" s="975" t="s">
        <v>2103</v>
      </c>
    </row>
    <row r="77" spans="1:3" ht="9" customHeight="1">
      <c r="A77" s="976"/>
    </row>
    <row r="78" spans="1:3">
      <c r="A78" s="976" t="s">
        <v>2104</v>
      </c>
    </row>
    <row r="79" spans="1:3">
      <c r="A79" s="976"/>
    </row>
    <row r="80" spans="1:3">
      <c r="A80" s="976" t="s">
        <v>2105</v>
      </c>
    </row>
    <row r="81" spans="1:1">
      <c r="A81" s="976" t="s">
        <v>2106</v>
      </c>
    </row>
    <row r="82" spans="1:1">
      <c r="A82" s="976" t="s">
        <v>2107</v>
      </c>
    </row>
    <row r="83" spans="1:1">
      <c r="A83" s="976"/>
    </row>
    <row r="84" spans="1:1">
      <c r="A84" s="977" t="s">
        <v>2108</v>
      </c>
    </row>
    <row r="85" spans="1:1">
      <c r="A85" s="976"/>
    </row>
    <row r="86" spans="1:1">
      <c r="A86" s="976"/>
    </row>
    <row r="87" spans="1:1">
      <c r="A87" s="976"/>
    </row>
  </sheetData>
  <mergeCells count="10">
    <mergeCell ref="A68:A69"/>
    <mergeCell ref="B68:B69"/>
    <mergeCell ref="A25:A26"/>
    <mergeCell ref="B25:B26"/>
    <mergeCell ref="A36:A37"/>
    <mergeCell ref="B36:B37"/>
    <mergeCell ref="A57:A58"/>
    <mergeCell ref="B57:B58"/>
    <mergeCell ref="A46:A47"/>
    <mergeCell ref="B46:B47"/>
  </mergeCells>
  <phoneticPr fontId="30" type="noConversion"/>
  <pageMargins left="0.45" right="0.36" top="0.36" bottom="0.38" header="0.24" footer="0.21"/>
  <pageSetup paperSize="9" fitToHeight="2" orientation="portrait"/>
  <headerFooter alignWithMargins="0"/>
  <rowBreaks count="1" manualBreakCount="1">
    <brk id="3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D2C7-F04A-1B4D-94C1-F62C938A1E78}">
  <sheetPr codeName="Tabelle3">
    <pageSetUpPr fitToPage="1"/>
  </sheetPr>
  <dimension ref="A1:C85"/>
  <sheetViews>
    <sheetView topLeftCell="A58" workbookViewId="0">
      <selection activeCell="C68" sqref="C68"/>
    </sheetView>
  </sheetViews>
  <sheetFormatPr baseColWidth="10" defaultColWidth="11.3984375" defaultRowHeight="13"/>
  <cols>
    <col min="1" max="1" width="23.19921875" style="979" customWidth="1"/>
    <col min="2" max="2" width="23.3984375" style="979" customWidth="1"/>
    <col min="3" max="3" width="28.796875" style="979" customWidth="1"/>
    <col min="4" max="4" width="13.3984375" style="979" customWidth="1"/>
    <col min="5" max="5" width="6" style="979" customWidth="1"/>
    <col min="6" max="16384" width="11.3984375" style="979"/>
  </cols>
  <sheetData>
    <row r="1" spans="1:2" ht="16">
      <c r="A1" s="978" t="s">
        <v>2115</v>
      </c>
    </row>
    <row r="2" spans="1:2" ht="16">
      <c r="A2" s="980"/>
    </row>
    <row r="3" spans="1:2" ht="16">
      <c r="A3" s="978" t="s">
        <v>247</v>
      </c>
    </row>
    <row r="4" spans="1:2" ht="25.5" customHeight="1"/>
    <row r="5" spans="1:2" ht="21.75" customHeight="1">
      <c r="A5" s="981" t="s">
        <v>2116</v>
      </c>
      <c r="B5" s="982" t="s">
        <v>248</v>
      </c>
    </row>
    <row r="6" spans="1:2" ht="21.75" customHeight="1">
      <c r="A6" s="983" t="s">
        <v>249</v>
      </c>
      <c r="B6" s="984" t="s">
        <v>2117</v>
      </c>
    </row>
    <row r="7" spans="1:2" ht="43.5" customHeight="1">
      <c r="A7" s="985" t="s">
        <v>251</v>
      </c>
      <c r="B7" s="986" t="s">
        <v>252</v>
      </c>
    </row>
    <row r="8" spans="1:2" ht="22.5" customHeight="1">
      <c r="A8" s="987" t="s">
        <v>2118</v>
      </c>
      <c r="B8" s="988" t="s">
        <v>1060</v>
      </c>
    </row>
    <row r="9" spans="1:2" ht="14">
      <c r="A9" s="987" t="s">
        <v>2119</v>
      </c>
      <c r="B9" s="989">
        <v>0.2</v>
      </c>
    </row>
    <row r="10" spans="1:2" ht="14">
      <c r="A10" s="987" t="s">
        <v>2120</v>
      </c>
      <c r="B10" s="989">
        <v>0.35</v>
      </c>
    </row>
    <row r="11" spans="1:2" ht="14">
      <c r="A11" s="987" t="s">
        <v>2121</v>
      </c>
      <c r="B11" s="989">
        <v>0.4</v>
      </c>
    </row>
    <row r="12" spans="1:2" ht="34.5" customHeight="1">
      <c r="A12" s="990"/>
    </row>
    <row r="13" spans="1:2" ht="21.75" customHeight="1">
      <c r="A13" s="981" t="s">
        <v>2116</v>
      </c>
      <c r="B13" s="991" t="s">
        <v>2086</v>
      </c>
    </row>
    <row r="14" spans="1:2" ht="17.25" customHeight="1">
      <c r="A14" s="992" t="s">
        <v>249</v>
      </c>
      <c r="B14" s="993" t="s">
        <v>2117</v>
      </c>
    </row>
    <row r="15" spans="1:2" ht="33" customHeight="1">
      <c r="A15" s="985" t="s">
        <v>251</v>
      </c>
      <c r="B15" s="986" t="s">
        <v>252</v>
      </c>
    </row>
    <row r="16" spans="1:2" ht="20.25" customHeight="1">
      <c r="A16" s="987" t="s">
        <v>2118</v>
      </c>
      <c r="B16" s="988" t="s">
        <v>1060</v>
      </c>
    </row>
    <row r="17" spans="1:3" ht="14">
      <c r="A17" s="987" t="s">
        <v>2119</v>
      </c>
      <c r="B17" s="994">
        <v>0.15</v>
      </c>
    </row>
    <row r="18" spans="1:3" ht="14">
      <c r="A18" s="987" t="s">
        <v>2120</v>
      </c>
      <c r="B18" s="994">
        <v>0.3</v>
      </c>
    </row>
    <row r="19" spans="1:3" ht="14">
      <c r="A19" s="987" t="s">
        <v>2121</v>
      </c>
      <c r="B19" s="989">
        <v>0.4</v>
      </c>
    </row>
    <row r="20" spans="1:3" ht="30.75" customHeight="1">
      <c r="A20" s="990"/>
    </row>
    <row r="21" spans="1:3" ht="20.25" customHeight="1">
      <c r="A21" s="981" t="s">
        <v>2116</v>
      </c>
      <c r="B21" s="991" t="s">
        <v>2087</v>
      </c>
      <c r="C21" s="995"/>
    </row>
    <row r="22" spans="1:3" ht="25.5" customHeight="1">
      <c r="A22" s="992" t="s">
        <v>249</v>
      </c>
      <c r="B22" s="993" t="s">
        <v>2117</v>
      </c>
      <c r="C22" s="996"/>
    </row>
    <row r="23" spans="1:3" ht="28">
      <c r="A23" s="2000" t="s">
        <v>251</v>
      </c>
      <c r="B23" s="2002" t="s">
        <v>252</v>
      </c>
      <c r="C23" s="997" t="s">
        <v>2088</v>
      </c>
    </row>
    <row r="24" spans="1:3" ht="39" customHeight="1">
      <c r="A24" s="2001"/>
      <c r="B24" s="2003"/>
      <c r="C24" s="998" t="s">
        <v>2089</v>
      </c>
    </row>
    <row r="25" spans="1:3" ht="19.5" customHeight="1">
      <c r="A25" s="987" t="s">
        <v>2118</v>
      </c>
      <c r="B25" s="988" t="s">
        <v>1060</v>
      </c>
      <c r="C25" s="999" t="s">
        <v>1060</v>
      </c>
    </row>
    <row r="26" spans="1:3" ht="14">
      <c r="A26" s="987" t="s">
        <v>2119</v>
      </c>
      <c r="B26" s="989">
        <v>0.15</v>
      </c>
      <c r="C26" s="1000">
        <v>150</v>
      </c>
    </row>
    <row r="27" spans="1:3" ht="14">
      <c r="A27" s="987" t="s">
        <v>2120</v>
      </c>
      <c r="B27" s="989">
        <v>0.3</v>
      </c>
      <c r="C27" s="1000">
        <v>300</v>
      </c>
    </row>
    <row r="28" spans="1:3" ht="14">
      <c r="A28" s="987" t="s">
        <v>2121</v>
      </c>
      <c r="B28" s="989">
        <v>0.4</v>
      </c>
      <c r="C28" s="1000">
        <v>375</v>
      </c>
    </row>
    <row r="29" spans="1:3" ht="30.75" customHeight="1">
      <c r="A29" s="990"/>
    </row>
    <row r="30" spans="1:3" ht="18.75" customHeight="1">
      <c r="A30" s="990"/>
    </row>
    <row r="31" spans="1:3" ht="15.75" customHeight="1">
      <c r="A31" s="981" t="s">
        <v>2116</v>
      </c>
      <c r="B31" s="1001">
        <v>2004</v>
      </c>
      <c r="C31" s="995"/>
    </row>
    <row r="32" spans="1:3" ht="29.25" customHeight="1">
      <c r="A32" s="992" t="s">
        <v>249</v>
      </c>
      <c r="B32" s="1002" t="s">
        <v>2130</v>
      </c>
      <c r="C32" s="996"/>
    </row>
    <row r="33" spans="1:3" ht="19.5" customHeight="1">
      <c r="A33" s="2000" t="s">
        <v>251</v>
      </c>
      <c r="B33" s="2002" t="s">
        <v>252</v>
      </c>
      <c r="C33" s="1003" t="s">
        <v>2088</v>
      </c>
    </row>
    <row r="34" spans="1:3" ht="49.5" customHeight="1">
      <c r="A34" s="2001"/>
      <c r="B34" s="2003"/>
      <c r="C34" s="998" t="s">
        <v>2092</v>
      </c>
    </row>
    <row r="35" spans="1:3" ht="15" customHeight="1">
      <c r="A35" s="987" t="s">
        <v>2118</v>
      </c>
      <c r="B35" s="988" t="s">
        <v>1060</v>
      </c>
      <c r="C35" s="1004" t="s">
        <v>1060</v>
      </c>
    </row>
    <row r="36" spans="1:3" ht="14">
      <c r="A36" s="987" t="s">
        <v>2119</v>
      </c>
      <c r="B36" s="994">
        <v>0.21</v>
      </c>
      <c r="C36" s="1000">
        <v>120</v>
      </c>
    </row>
    <row r="37" spans="1:3" ht="14">
      <c r="A37" s="987" t="s">
        <v>2120</v>
      </c>
      <c r="B37" s="1005">
        <v>0.37</v>
      </c>
      <c r="C37" s="1000">
        <v>240</v>
      </c>
    </row>
    <row r="38" spans="1:3" ht="14">
      <c r="A38" s="987" t="s">
        <v>2121</v>
      </c>
      <c r="B38" s="994">
        <v>0.43</v>
      </c>
      <c r="C38" s="1000">
        <v>300</v>
      </c>
    </row>
    <row r="39" spans="1:3" ht="26.25" customHeight="1">
      <c r="A39" s="990"/>
    </row>
    <row r="40" spans="1:3" ht="20.25" customHeight="1">
      <c r="A40" s="981" t="s">
        <v>2116</v>
      </c>
      <c r="B40" s="1001">
        <v>2005</v>
      </c>
      <c r="C40" s="995"/>
    </row>
    <row r="41" spans="1:3" ht="18" customHeight="1">
      <c r="A41" s="992" t="s">
        <v>249</v>
      </c>
      <c r="B41" s="993" t="s">
        <v>2122</v>
      </c>
      <c r="C41" s="996"/>
    </row>
    <row r="42" spans="1:3" ht="19.5" customHeight="1">
      <c r="A42" s="2000" t="s">
        <v>251</v>
      </c>
      <c r="B42" s="2002" t="s">
        <v>252</v>
      </c>
      <c r="C42" s="1003" t="s">
        <v>2088</v>
      </c>
    </row>
    <row r="43" spans="1:3" ht="42.75" customHeight="1">
      <c r="A43" s="2001"/>
      <c r="B43" s="2003"/>
      <c r="C43" s="1006" t="s">
        <v>2092</v>
      </c>
    </row>
    <row r="44" spans="1:3" ht="15.75" customHeight="1">
      <c r="A44" s="987" t="s">
        <v>2118</v>
      </c>
      <c r="B44" s="988" t="s">
        <v>1060</v>
      </c>
      <c r="C44" s="1004" t="s">
        <v>1060</v>
      </c>
    </row>
    <row r="45" spans="1:3" ht="14">
      <c r="A45" s="1007" t="s">
        <v>2123</v>
      </c>
      <c r="B45" s="994">
        <v>0.5</v>
      </c>
      <c r="C45" s="1000">
        <v>80</v>
      </c>
    </row>
    <row r="46" spans="1:3" ht="14">
      <c r="A46" s="1007" t="s">
        <v>2124</v>
      </c>
      <c r="B46" s="994">
        <v>0.5</v>
      </c>
      <c r="C46" s="1000">
        <v>160</v>
      </c>
    </row>
    <row r="47" spans="1:3" ht="14">
      <c r="A47" s="987" t="s">
        <v>2125</v>
      </c>
      <c r="B47" s="994">
        <v>0.5</v>
      </c>
      <c r="C47" s="1004">
        <v>240</v>
      </c>
    </row>
    <row r="48" spans="1:3" ht="14">
      <c r="A48" s="1007" t="s">
        <v>2126</v>
      </c>
      <c r="B48" s="994">
        <v>0.5</v>
      </c>
      <c r="C48" s="1000">
        <v>320</v>
      </c>
    </row>
    <row r="49" spans="1:3" ht="14">
      <c r="A49" s="1007" t="s">
        <v>2127</v>
      </c>
      <c r="B49" s="994">
        <v>0.5</v>
      </c>
      <c r="C49" s="1000">
        <v>400</v>
      </c>
    </row>
    <row r="50" spans="1:3" ht="14">
      <c r="A50" s="1007" t="s">
        <v>2128</v>
      </c>
      <c r="B50" s="994">
        <v>0.5</v>
      </c>
      <c r="C50" s="1000">
        <v>480</v>
      </c>
    </row>
    <row r="51" spans="1:3" ht="29.25" customHeight="1">
      <c r="A51" s="1008"/>
    </row>
    <row r="52" spans="1:3" ht="20.25" customHeight="1">
      <c r="A52" s="981" t="s">
        <v>2116</v>
      </c>
      <c r="B52" s="991" t="s">
        <v>2100</v>
      </c>
      <c r="C52" s="995"/>
    </row>
    <row r="53" spans="1:3" ht="18" customHeight="1">
      <c r="A53" s="992" t="s">
        <v>249</v>
      </c>
      <c r="B53" s="1009" t="s">
        <v>2131</v>
      </c>
      <c r="C53" s="996"/>
    </row>
    <row r="54" spans="1:3" ht="20.25" customHeight="1">
      <c r="A54" s="2000" t="s">
        <v>251</v>
      </c>
      <c r="B54" s="2002" t="s">
        <v>252</v>
      </c>
      <c r="C54" s="1003" t="s">
        <v>2088</v>
      </c>
    </row>
    <row r="55" spans="1:3" ht="39" customHeight="1">
      <c r="A55" s="2001"/>
      <c r="B55" s="2003"/>
      <c r="C55" s="1006" t="s">
        <v>2092</v>
      </c>
    </row>
    <row r="56" spans="1:3" ht="14.25" customHeight="1">
      <c r="A56" s="987" t="s">
        <v>2118</v>
      </c>
      <c r="B56" s="988" t="s">
        <v>1060</v>
      </c>
      <c r="C56" s="1004" t="s">
        <v>1060</v>
      </c>
    </row>
    <row r="57" spans="1:3" ht="14">
      <c r="A57" s="1010" t="s">
        <v>2123</v>
      </c>
      <c r="B57" s="1011">
        <v>0.5</v>
      </c>
      <c r="C57" s="999">
        <v>80</v>
      </c>
    </row>
    <row r="58" spans="1:3" ht="14">
      <c r="A58" s="1010" t="s">
        <v>2124</v>
      </c>
      <c r="B58" s="1011">
        <v>0.5</v>
      </c>
      <c r="C58" s="999">
        <v>160</v>
      </c>
    </row>
    <row r="59" spans="1:3" ht="14">
      <c r="A59" s="1010" t="s">
        <v>2125</v>
      </c>
      <c r="B59" s="1011">
        <v>0.5</v>
      </c>
      <c r="C59" s="999">
        <v>240</v>
      </c>
    </row>
    <row r="60" spans="1:3" ht="14">
      <c r="A60" s="1010" t="s">
        <v>2126</v>
      </c>
      <c r="B60" s="1011">
        <v>0.5</v>
      </c>
      <c r="C60" s="999">
        <v>320</v>
      </c>
    </row>
    <row r="61" spans="1:3" ht="14">
      <c r="A61" s="1010" t="s">
        <v>2127</v>
      </c>
      <c r="B61" s="1011">
        <v>0.5</v>
      </c>
      <c r="C61" s="999">
        <v>400</v>
      </c>
    </row>
    <row r="62" spans="1:3" ht="14">
      <c r="A62" s="1010" t="s">
        <v>2128</v>
      </c>
      <c r="B62" s="1011">
        <v>0.5</v>
      </c>
      <c r="C62" s="999">
        <v>480</v>
      </c>
    </row>
    <row r="63" spans="1:3" ht="29.25" customHeight="1">
      <c r="A63" s="1008"/>
    </row>
    <row r="64" spans="1:3" ht="20.25" customHeight="1">
      <c r="A64" s="981" t="s">
        <v>2116</v>
      </c>
      <c r="B64" s="991" t="s">
        <v>2101</v>
      </c>
      <c r="C64" s="995"/>
    </row>
    <row r="65" spans="1:3" ht="18" customHeight="1">
      <c r="A65" s="992" t="s">
        <v>249</v>
      </c>
      <c r="B65" s="1012" t="s">
        <v>2131</v>
      </c>
      <c r="C65" s="996"/>
    </row>
    <row r="66" spans="1:3" ht="20.25" customHeight="1">
      <c r="A66" s="2000" t="s">
        <v>251</v>
      </c>
      <c r="B66" s="2002" t="s">
        <v>252</v>
      </c>
      <c r="C66" s="1003" t="s">
        <v>2088</v>
      </c>
    </row>
    <row r="67" spans="1:3" ht="39" customHeight="1">
      <c r="A67" s="2001"/>
      <c r="B67" s="2003"/>
      <c r="C67" s="1013" t="s">
        <v>2102</v>
      </c>
    </row>
    <row r="68" spans="1:3" ht="14.25" customHeight="1">
      <c r="A68" s="987" t="s">
        <v>2118</v>
      </c>
      <c r="B68" s="988" t="s">
        <v>1060</v>
      </c>
      <c r="C68" s="1018" t="s">
        <v>1060</v>
      </c>
    </row>
    <row r="69" spans="1:3" ht="14">
      <c r="A69" s="1010" t="s">
        <v>2123</v>
      </c>
      <c r="B69" s="1011">
        <v>0.5</v>
      </c>
      <c r="C69" s="1000">
        <v>70</v>
      </c>
    </row>
    <row r="70" spans="1:3" ht="14">
      <c r="A70" s="1010" t="s">
        <v>2124</v>
      </c>
      <c r="B70" s="1011">
        <v>0.5</v>
      </c>
      <c r="C70" s="1000">
        <v>140</v>
      </c>
    </row>
    <row r="71" spans="1:3" ht="14">
      <c r="A71" s="1010" t="s">
        <v>2125</v>
      </c>
      <c r="B71" s="1011">
        <v>0.5</v>
      </c>
      <c r="C71" s="1000">
        <v>210</v>
      </c>
    </row>
    <row r="72" spans="1:3" ht="14">
      <c r="A72" s="1010" t="s">
        <v>2126</v>
      </c>
      <c r="B72" s="1011">
        <v>0.5</v>
      </c>
      <c r="C72" s="1000">
        <v>280</v>
      </c>
    </row>
    <row r="73" spans="1:3" ht="14">
      <c r="A73" s="1010" t="s">
        <v>2127</v>
      </c>
      <c r="B73" s="1011">
        <v>0.5</v>
      </c>
      <c r="C73" s="1000">
        <v>350</v>
      </c>
    </row>
    <row r="74" spans="1:3" ht="14">
      <c r="A74" s="1010" t="s">
        <v>2128</v>
      </c>
      <c r="B74" s="1011">
        <v>0.5</v>
      </c>
      <c r="C74" s="1000">
        <v>420</v>
      </c>
    </row>
    <row r="75" spans="1:3">
      <c r="A75" s="1014" t="s">
        <v>2103</v>
      </c>
    </row>
    <row r="76" spans="1:3">
      <c r="A76" s="1014"/>
    </row>
    <row r="77" spans="1:3">
      <c r="A77" s="1008" t="s">
        <v>2104</v>
      </c>
    </row>
    <row r="78" spans="1:3">
      <c r="A78" s="1008"/>
    </row>
    <row r="79" spans="1:3">
      <c r="A79" s="1008" t="s">
        <v>2129</v>
      </c>
    </row>
    <row r="80" spans="1:3">
      <c r="A80" s="1008" t="s">
        <v>2107</v>
      </c>
    </row>
    <row r="81" spans="1:1">
      <c r="A81" s="1008"/>
    </row>
    <row r="82" spans="1:1">
      <c r="A82" s="1015" t="s">
        <v>2108</v>
      </c>
    </row>
    <row r="83" spans="1:1">
      <c r="A83" s="1008"/>
    </row>
    <row r="84" spans="1:1">
      <c r="A84" s="1008"/>
    </row>
    <row r="85" spans="1:1">
      <c r="A85" s="1008"/>
    </row>
  </sheetData>
  <mergeCells count="10">
    <mergeCell ref="A23:A24"/>
    <mergeCell ref="B23:B24"/>
    <mergeCell ref="A33:A34"/>
    <mergeCell ref="B33:B34"/>
    <mergeCell ref="A66:A67"/>
    <mergeCell ref="B66:B67"/>
    <mergeCell ref="A54:A55"/>
    <mergeCell ref="B54:B55"/>
    <mergeCell ref="A42:A43"/>
    <mergeCell ref="B42:B43"/>
  </mergeCells>
  <phoneticPr fontId="30" type="noConversion"/>
  <pageMargins left="0.47" right="0.6" top="0.48" bottom="0.54" header="0.35" footer="0.33"/>
  <pageSetup paperSize="9" scale="97" fitToHeight="2" orientation="portrait"/>
  <headerFooter alignWithMargins="0"/>
  <rowBreaks count="1" manualBreakCount="1">
    <brk id="2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DB27-EC67-8348-836B-8E45978697B9}">
  <sheetPr codeName="Tabelle4">
    <pageSetUpPr fitToPage="1"/>
  </sheetPr>
  <dimension ref="A1:O59"/>
  <sheetViews>
    <sheetView workbookViewId="0">
      <selection activeCell="G31" sqref="G31"/>
    </sheetView>
  </sheetViews>
  <sheetFormatPr baseColWidth="10" defaultRowHeight="13"/>
  <cols>
    <col min="1" max="1" width="24.796875" customWidth="1"/>
    <col min="2" max="2" width="14.19921875" customWidth="1"/>
    <col min="3" max="3" width="14.796875" customWidth="1"/>
    <col min="4" max="4" width="14.19921875" customWidth="1"/>
    <col min="5" max="5" width="14.796875" customWidth="1"/>
    <col min="6" max="6" width="10" customWidth="1"/>
    <col min="7" max="7" width="9.59765625" customWidth="1"/>
    <col min="8" max="8" width="10.796875" customWidth="1"/>
    <col min="9" max="9" width="11.19921875" customWidth="1"/>
  </cols>
  <sheetData>
    <row r="1" spans="1:10" ht="16">
      <c r="A1" s="16" t="s">
        <v>440</v>
      </c>
      <c r="B1" s="1"/>
      <c r="C1" s="1"/>
      <c r="D1" s="1"/>
      <c r="E1" s="1"/>
      <c r="F1" s="1"/>
      <c r="G1" s="1"/>
      <c r="H1" s="1"/>
      <c r="I1" s="1"/>
    </row>
    <row r="2" spans="1:10" ht="16">
      <c r="A2" s="1"/>
      <c r="B2" s="1"/>
      <c r="C2" s="1"/>
      <c r="D2" s="1"/>
      <c r="E2" s="1"/>
      <c r="F2" s="1"/>
      <c r="G2" s="1"/>
      <c r="H2" s="1"/>
      <c r="I2" s="1"/>
    </row>
    <row r="3" spans="1:10" ht="39.75" customHeight="1">
      <c r="A3" s="2016" t="s">
        <v>469</v>
      </c>
      <c r="B3" s="2016"/>
      <c r="C3" s="2016"/>
      <c r="D3" s="2016"/>
      <c r="E3" s="2016"/>
      <c r="F3" s="2016"/>
      <c r="G3" s="2016"/>
      <c r="H3" s="2016"/>
      <c r="I3" s="2016"/>
      <c r="J3" s="510"/>
    </row>
    <row r="4" spans="1:10" ht="20.25" customHeight="1">
      <c r="A4" s="1903"/>
      <c r="B4" s="1904"/>
      <c r="C4" s="1904"/>
      <c r="D4" s="1904"/>
      <c r="E4" s="1904"/>
      <c r="F4" s="1904"/>
      <c r="G4" s="1904"/>
      <c r="H4" s="1904"/>
      <c r="I4" s="1904"/>
      <c r="J4" s="510"/>
    </row>
    <row r="5" spans="1:10" ht="18.75" customHeight="1">
      <c r="A5" s="1905"/>
      <c r="B5" s="1906"/>
      <c r="C5" s="1906"/>
      <c r="D5" s="1906"/>
      <c r="E5" s="1906"/>
      <c r="G5" s="23"/>
    </row>
    <row r="6" spans="1:10" ht="23.25" customHeight="1">
      <c r="A6" s="2004" t="s">
        <v>441</v>
      </c>
      <c r="B6" s="2005"/>
      <c r="C6" s="2006"/>
      <c r="D6" s="3"/>
      <c r="E6" s="2"/>
      <c r="F6" s="2"/>
      <c r="G6" s="2"/>
      <c r="H6" s="2"/>
      <c r="I6" s="2"/>
    </row>
    <row r="7" spans="1:10" ht="28.5" customHeight="1">
      <c r="A7" s="2007" t="s">
        <v>470</v>
      </c>
      <c r="B7" s="2008"/>
      <c r="C7" s="2008"/>
      <c r="D7" s="2009" t="s">
        <v>442</v>
      </c>
      <c r="E7" s="2010"/>
      <c r="F7" s="2009" t="s">
        <v>443</v>
      </c>
      <c r="G7" s="2011"/>
      <c r="H7" s="2011"/>
      <c r="I7" s="2010"/>
    </row>
    <row r="8" spans="1:10" ht="41.25" customHeight="1">
      <c r="A8" s="1907" t="s">
        <v>251</v>
      </c>
      <c r="B8" s="1908" t="s">
        <v>444</v>
      </c>
      <c r="C8" s="1909" t="s">
        <v>445</v>
      </c>
      <c r="D8" s="1908" t="s">
        <v>444</v>
      </c>
      <c r="E8" s="1910" t="s">
        <v>445</v>
      </c>
      <c r="F8" s="2014" t="s">
        <v>444</v>
      </c>
      <c r="G8" s="2015"/>
      <c r="H8" s="2012" t="s">
        <v>445</v>
      </c>
      <c r="I8" s="2013"/>
    </row>
    <row r="9" spans="1:10" ht="13.5" customHeight="1">
      <c r="A9" s="1911" t="s">
        <v>446</v>
      </c>
      <c r="B9" s="1912">
        <v>8.717869309383719E-2</v>
      </c>
      <c r="C9" s="1913">
        <v>6.9295150570279906E-2</v>
      </c>
      <c r="D9" s="1914">
        <v>4212.6000000000004</v>
      </c>
      <c r="E9" s="1915">
        <v>5212.6000000000004</v>
      </c>
      <c r="F9" s="1914" t="s">
        <v>1060</v>
      </c>
      <c r="G9" s="1914" t="s">
        <v>1060</v>
      </c>
      <c r="H9" s="1915" t="s">
        <v>1060</v>
      </c>
      <c r="I9" s="1915" t="s">
        <v>1060</v>
      </c>
    </row>
    <row r="10" spans="1:10" ht="13.5" customHeight="1">
      <c r="A10" s="1916" t="s">
        <v>447</v>
      </c>
      <c r="B10" s="1917">
        <v>9.6317432970819405E-2</v>
      </c>
      <c r="C10" s="1913">
        <v>7.2800520875722308E-2</v>
      </c>
      <c r="D10" s="1914">
        <v>4072.6</v>
      </c>
      <c r="E10" s="1915">
        <v>5272.6</v>
      </c>
      <c r="F10" s="1914">
        <v>140</v>
      </c>
      <c r="G10" s="1917">
        <v>3.3233632436025361E-2</v>
      </c>
      <c r="H10" s="1915">
        <v>-60</v>
      </c>
      <c r="I10" s="1913">
        <v>-1.1510570540613128E-2</v>
      </c>
    </row>
    <row r="11" spans="1:10" ht="13.5" customHeight="1">
      <c r="A11" s="1916" t="s">
        <v>448</v>
      </c>
      <c r="B11" s="1917">
        <v>0.12302401351514414</v>
      </c>
      <c r="C11" s="1913">
        <v>8.1319294887134186E-2</v>
      </c>
      <c r="D11" s="1914">
        <v>3722.6</v>
      </c>
      <c r="E11" s="1915">
        <v>5422.6</v>
      </c>
      <c r="F11" s="1914">
        <v>490</v>
      </c>
      <c r="G11" s="1917">
        <v>0.1163177135260885</v>
      </c>
      <c r="H11" s="1915">
        <v>-210</v>
      </c>
      <c r="I11" s="1913">
        <v>-4.0286996892145953E-2</v>
      </c>
    </row>
    <row r="12" spans="1:10" ht="13.5" customHeight="1">
      <c r="A12" s="1916" t="s">
        <v>2097</v>
      </c>
      <c r="B12" s="1917">
        <v>0.15706051873198845</v>
      </c>
      <c r="C12" s="1913">
        <v>8.9504965981074491E-2</v>
      </c>
      <c r="D12" s="1914">
        <v>3372.6</v>
      </c>
      <c r="E12" s="1915">
        <v>5572.6</v>
      </c>
      <c r="F12" s="1914">
        <v>840</v>
      </c>
      <c r="G12" s="1917">
        <v>0.19940179461615162</v>
      </c>
      <c r="H12" s="1915">
        <v>-360</v>
      </c>
      <c r="I12" s="1913">
        <v>-6.906342324367877E-2</v>
      </c>
    </row>
    <row r="13" spans="1:10" ht="13.5" customHeight="1">
      <c r="A13" s="1916" t="s">
        <v>2098</v>
      </c>
      <c r="B13" s="1917">
        <v>0.20192460633052312</v>
      </c>
      <c r="C13" s="1913">
        <v>9.7376697092889541E-2</v>
      </c>
      <c r="D13" s="1914">
        <v>3022.6</v>
      </c>
      <c r="E13" s="1915">
        <v>5722.6</v>
      </c>
      <c r="F13" s="1914">
        <v>1190</v>
      </c>
      <c r="G13" s="1917">
        <v>0.28248587570621475</v>
      </c>
      <c r="H13" s="1915">
        <v>-510</v>
      </c>
      <c r="I13" s="1913">
        <v>-9.7839849595211595E-2</v>
      </c>
    </row>
    <row r="14" spans="1:10" ht="13.5" customHeight="1">
      <c r="A14" s="1916" t="s">
        <v>2099</v>
      </c>
      <c r="B14" s="1917">
        <v>0.26376016644599942</v>
      </c>
      <c r="C14" s="1913">
        <v>0.10495220892601798</v>
      </c>
      <c r="D14" s="1914">
        <v>2672.6</v>
      </c>
      <c r="E14" s="1915">
        <v>5872.6</v>
      </c>
      <c r="F14" s="1914">
        <v>1540</v>
      </c>
      <c r="G14" s="1917">
        <v>0.36556995679627791</v>
      </c>
      <c r="H14" s="1915">
        <v>-660</v>
      </c>
      <c r="I14" s="1913">
        <v>-0.12661627594674441</v>
      </c>
    </row>
    <row r="15" spans="1:10" ht="45.75" customHeight="1">
      <c r="A15" s="1905"/>
      <c r="B15" s="1906"/>
      <c r="C15" s="1906"/>
      <c r="D15" s="1906"/>
      <c r="E15" s="1906"/>
      <c r="G15" s="23"/>
    </row>
    <row r="16" spans="1:10" ht="24.75" customHeight="1">
      <c r="A16" s="2004" t="s">
        <v>449</v>
      </c>
      <c r="B16" s="2005"/>
      <c r="C16" s="2006"/>
      <c r="D16" s="3"/>
      <c r="E16" s="3"/>
      <c r="F16" s="3"/>
      <c r="G16" s="3"/>
      <c r="H16" s="3"/>
      <c r="I16" s="3"/>
    </row>
    <row r="17" spans="1:9" ht="30" customHeight="1">
      <c r="A17" s="2007" t="s">
        <v>471</v>
      </c>
      <c r="B17" s="2008"/>
      <c r="C17" s="2008"/>
      <c r="D17" s="2009" t="s">
        <v>442</v>
      </c>
      <c r="E17" s="2010"/>
      <c r="F17" s="2009" t="s">
        <v>443</v>
      </c>
      <c r="G17" s="2011"/>
      <c r="H17" s="2011"/>
      <c r="I17" s="2010"/>
    </row>
    <row r="18" spans="1:9" ht="36.75" customHeight="1">
      <c r="A18" s="1907" t="s">
        <v>251</v>
      </c>
      <c r="B18" s="1908" t="s">
        <v>444</v>
      </c>
      <c r="C18" s="1909" t="s">
        <v>445</v>
      </c>
      <c r="D18" s="1908" t="s">
        <v>444</v>
      </c>
      <c r="E18" s="1910" t="s">
        <v>445</v>
      </c>
      <c r="F18" s="2014" t="s">
        <v>444</v>
      </c>
      <c r="G18" s="2015"/>
      <c r="H18" s="2012" t="s">
        <v>445</v>
      </c>
      <c r="I18" s="2013"/>
    </row>
    <row r="19" spans="1:9" ht="15" customHeight="1">
      <c r="A19" s="1911" t="s">
        <v>446</v>
      </c>
      <c r="B19" s="1912">
        <v>0.13675048355899411</v>
      </c>
      <c r="C19" s="1913">
        <v>0.10341296928327637</v>
      </c>
      <c r="D19" s="1914">
        <v>3526.2</v>
      </c>
      <c r="E19" s="1915">
        <v>4526.2</v>
      </c>
      <c r="F19" s="1914" t="s">
        <v>1060</v>
      </c>
      <c r="G19" s="1914" t="s">
        <v>1060</v>
      </c>
      <c r="H19" s="1915" t="s">
        <v>1060</v>
      </c>
      <c r="I19" s="1915" t="s">
        <v>1060</v>
      </c>
    </row>
    <row r="20" spans="1:9" ht="15" customHeight="1">
      <c r="A20" s="1916" t="s">
        <v>447</v>
      </c>
      <c r="B20" s="1917">
        <v>0.15098572399728072</v>
      </c>
      <c r="C20" s="1913">
        <v>0.10724287783679376</v>
      </c>
      <c r="D20" s="1914">
        <v>3386.2</v>
      </c>
      <c r="E20" s="1915">
        <v>4586.2</v>
      </c>
      <c r="F20" s="1914">
        <v>140</v>
      </c>
      <c r="G20" s="1917">
        <v>3.9702796211218881E-2</v>
      </c>
      <c r="H20" s="1915">
        <v>-60</v>
      </c>
      <c r="I20" s="1913">
        <v>-1.3256153064380717E-2</v>
      </c>
    </row>
    <row r="21" spans="1:9" ht="15" customHeight="1">
      <c r="A21" s="1916" t="s">
        <v>448</v>
      </c>
      <c r="B21" s="1917">
        <v>0.19441384736428002</v>
      </c>
      <c r="C21" s="1913">
        <v>0.11650165016501646</v>
      </c>
      <c r="D21" s="1914">
        <v>3036.2</v>
      </c>
      <c r="E21" s="1915">
        <v>4736.2</v>
      </c>
      <c r="F21" s="1914">
        <v>490</v>
      </c>
      <c r="G21" s="1917">
        <v>0.13895978673926607</v>
      </c>
      <c r="H21" s="1915">
        <v>-210</v>
      </c>
      <c r="I21" s="1913">
        <v>-4.6396535725332512E-2</v>
      </c>
    </row>
    <row r="22" spans="1:9" ht="15" customHeight="1">
      <c r="A22" s="1916" t="s">
        <v>2097</v>
      </c>
      <c r="B22" s="1917">
        <v>0.25406162464985993</v>
      </c>
      <c r="C22" s="1913">
        <v>0.125333947489636</v>
      </c>
      <c r="D22" s="1914">
        <v>2686.2</v>
      </c>
      <c r="E22" s="1915">
        <v>4886.2</v>
      </c>
      <c r="F22" s="1914">
        <v>840</v>
      </c>
      <c r="G22" s="1917">
        <v>0.23821677726731327</v>
      </c>
      <c r="H22" s="1915">
        <v>-360</v>
      </c>
      <c r="I22" s="1913">
        <v>-7.9536918386284308E-2</v>
      </c>
    </row>
    <row r="23" spans="1:9" ht="15" customHeight="1">
      <c r="A23" s="1916" t="s">
        <v>2098</v>
      </c>
      <c r="B23" s="1917">
        <v>0.34110218140068871</v>
      </c>
      <c r="C23" s="1913">
        <v>0.13376857271499309</v>
      </c>
      <c r="D23" s="1914">
        <v>2336.1999999999998</v>
      </c>
      <c r="E23" s="1915">
        <v>5036.2</v>
      </c>
      <c r="F23" s="1914">
        <v>1190</v>
      </c>
      <c r="G23" s="1917">
        <v>0.33747376779536048</v>
      </c>
      <c r="H23" s="1915">
        <v>-510</v>
      </c>
      <c r="I23" s="1913">
        <v>-0.1126773010472361</v>
      </c>
    </row>
    <row r="24" spans="1:9" ht="15" customHeight="1">
      <c r="A24" s="1916" t="s">
        <v>2099</v>
      </c>
      <c r="B24" s="1917">
        <v>0.28059316569954862</v>
      </c>
      <c r="C24" s="1913">
        <v>9.1601768048831689E-2</v>
      </c>
      <c r="D24" s="1914">
        <v>1986.2</v>
      </c>
      <c r="E24" s="1915">
        <v>5186.2</v>
      </c>
      <c r="F24" s="1914">
        <v>1540</v>
      </c>
      <c r="G24" s="1917">
        <v>0.43673075832340758</v>
      </c>
      <c r="H24" s="1915">
        <v>-660</v>
      </c>
      <c r="I24" s="1913">
        <v>-0.1458176837081879</v>
      </c>
    </row>
    <row r="25" spans="1:9" ht="39.75" customHeight="1">
      <c r="A25" s="1905"/>
      <c r="B25" s="1906"/>
      <c r="C25" s="1906"/>
      <c r="D25" s="1906"/>
      <c r="E25" s="1906"/>
      <c r="G25" s="23"/>
    </row>
    <row r="26" spans="1:9" ht="24" customHeight="1">
      <c r="A26" s="2004" t="s">
        <v>450</v>
      </c>
      <c r="B26" s="2005"/>
      <c r="C26" s="2006"/>
      <c r="D26" s="3"/>
      <c r="E26" s="2"/>
      <c r="F26" s="2"/>
      <c r="G26" s="2"/>
      <c r="H26" s="2"/>
      <c r="I26" s="2"/>
    </row>
    <row r="27" spans="1:9" ht="31.5" customHeight="1">
      <c r="A27" s="2007" t="s">
        <v>472</v>
      </c>
      <c r="B27" s="2008"/>
      <c r="C27" s="2008"/>
      <c r="D27" s="2009" t="s">
        <v>451</v>
      </c>
      <c r="E27" s="2010"/>
      <c r="F27" s="2009" t="s">
        <v>452</v>
      </c>
      <c r="G27" s="2011"/>
      <c r="H27" s="2011"/>
      <c r="I27" s="2010"/>
    </row>
    <row r="28" spans="1:9" ht="39" customHeight="1">
      <c r="A28" s="1907" t="s">
        <v>251</v>
      </c>
      <c r="B28" s="1908" t="s">
        <v>444</v>
      </c>
      <c r="C28" s="1909" t="s">
        <v>453</v>
      </c>
      <c r="D28" s="1908" t="s">
        <v>444</v>
      </c>
      <c r="E28" s="1910" t="s">
        <v>453</v>
      </c>
      <c r="F28" s="2014" t="s">
        <v>444</v>
      </c>
      <c r="G28" s="2015"/>
      <c r="H28" s="2012" t="s">
        <v>453</v>
      </c>
      <c r="I28" s="2013"/>
    </row>
    <row r="29" spans="1:9" ht="15" customHeight="1">
      <c r="A29" s="1911" t="s">
        <v>446</v>
      </c>
      <c r="B29" s="1912">
        <v>0.10040597171293864</v>
      </c>
      <c r="C29" s="1913">
        <v>7.2654621264767405E-2</v>
      </c>
      <c r="D29" s="1914">
        <v>1008.3240000000001</v>
      </c>
      <c r="E29" s="1915">
        <v>1358.3240000000001</v>
      </c>
      <c r="F29" s="1914" t="s">
        <v>1060</v>
      </c>
      <c r="G29" s="1914" t="s">
        <v>1060</v>
      </c>
      <c r="H29" s="1915" t="s">
        <v>1060</v>
      </c>
      <c r="I29" s="1915" t="s">
        <v>1060</v>
      </c>
    </row>
    <row r="30" spans="1:9" ht="15" customHeight="1">
      <c r="A30" s="1916" t="s">
        <v>2123</v>
      </c>
      <c r="B30" s="1917">
        <v>0.12196766787832414</v>
      </c>
      <c r="C30" s="1913">
        <v>7.92990857640401E-2</v>
      </c>
      <c r="D30" s="1914">
        <v>938.32400000000007</v>
      </c>
      <c r="E30" s="1915">
        <v>1388.3240000000001</v>
      </c>
      <c r="F30" s="1914">
        <v>70</v>
      </c>
      <c r="G30" s="1917">
        <v>6.9422130188312475E-2</v>
      </c>
      <c r="H30" s="1915">
        <v>-30</v>
      </c>
      <c r="I30" s="1913">
        <v>-2.2086041327400531E-2</v>
      </c>
    </row>
    <row r="31" spans="1:9" ht="15" customHeight="1">
      <c r="A31" s="1916" t="s">
        <v>2124</v>
      </c>
      <c r="B31" s="1917">
        <v>0.148090755235879</v>
      </c>
      <c r="C31" s="1913">
        <v>8.5740094310735593E-2</v>
      </c>
      <c r="D31" s="1914">
        <v>868.32400000000007</v>
      </c>
      <c r="E31" s="1915">
        <v>1418.3240000000001</v>
      </c>
      <c r="F31" s="1914">
        <v>140</v>
      </c>
      <c r="G31" s="1917">
        <v>0.13884426037662495</v>
      </c>
      <c r="H31" s="1915">
        <v>-60</v>
      </c>
      <c r="I31" s="1913">
        <v>-4.4172082654801062E-2</v>
      </c>
    </row>
    <row r="32" spans="1:9" ht="15" customHeight="1">
      <c r="A32" s="1916" t="s">
        <v>2125</v>
      </c>
      <c r="B32" s="1917">
        <v>0.1803938963804117</v>
      </c>
      <c r="C32" s="1913">
        <v>9.1986850835394263E-2</v>
      </c>
      <c r="D32" s="1914">
        <v>798.32400000000007</v>
      </c>
      <c r="E32" s="1915">
        <v>1448.3240000000001</v>
      </c>
      <c r="F32" s="1914">
        <v>210</v>
      </c>
      <c r="G32" s="1917">
        <v>0.20826639056493745</v>
      </c>
      <c r="H32" s="1915">
        <v>-90</v>
      </c>
      <c r="I32" s="1913">
        <v>-6.6258123982201586E-2</v>
      </c>
    </row>
    <row r="33" spans="1:15" ht="15" customHeight="1">
      <c r="A33" s="1916" t="s">
        <v>454</v>
      </c>
      <c r="B33" s="1917">
        <v>0.221364368124497</v>
      </c>
      <c r="C33" s="1913">
        <v>9.8048012359617465E-2</v>
      </c>
      <c r="D33" s="1914">
        <v>728.32400000000007</v>
      </c>
      <c r="E33" s="1915">
        <v>1478.3240000000001</v>
      </c>
      <c r="F33" s="1914">
        <v>280</v>
      </c>
      <c r="G33" s="1917">
        <v>0.2776885207532499</v>
      </c>
      <c r="H33" s="1915">
        <v>-120</v>
      </c>
      <c r="I33" s="1913">
        <v>-8.8344165309602124E-2</v>
      </c>
    </row>
    <row r="34" spans="1:15" ht="15" customHeight="1">
      <c r="A34" s="1916" t="s">
        <v>2127</v>
      </c>
      <c r="B34" s="1917">
        <v>0.25566315463278588</v>
      </c>
      <c r="C34" s="1913">
        <v>9.6612799344224065E-2</v>
      </c>
      <c r="D34" s="1914">
        <v>648.32400000000007</v>
      </c>
      <c r="E34" s="1915">
        <v>1498.3240000000001</v>
      </c>
      <c r="F34" s="1914">
        <v>360</v>
      </c>
      <c r="G34" s="1917">
        <v>0.35702809811132136</v>
      </c>
      <c r="H34" s="1915">
        <v>-140</v>
      </c>
      <c r="I34" s="1913">
        <v>-0.10306819286120247</v>
      </c>
    </row>
    <row r="35" spans="1:15" ht="15" customHeight="1">
      <c r="A35" s="1916" t="s">
        <v>455</v>
      </c>
      <c r="B35" s="1917">
        <v>0.2841016238868519</v>
      </c>
      <c r="C35" s="1913">
        <v>9.2435518691057927E-2</v>
      </c>
      <c r="D35" s="1914">
        <v>588.32400000000007</v>
      </c>
      <c r="E35" s="1915">
        <v>1538.3240000000001</v>
      </c>
      <c r="F35" s="1914">
        <v>420</v>
      </c>
      <c r="G35" s="1917">
        <v>0.41653278112987491</v>
      </c>
      <c r="H35" s="1915">
        <v>-180</v>
      </c>
      <c r="I35" s="1913">
        <v>-0.13251624796440317</v>
      </c>
    </row>
    <row r="36" spans="1:15" ht="11.25" customHeight="1">
      <c r="A36" s="1918"/>
      <c r="B36" s="1919"/>
      <c r="C36" s="1919"/>
      <c r="D36" s="1920"/>
      <c r="E36" s="1920"/>
      <c r="F36" s="1920"/>
      <c r="G36" s="1919"/>
      <c r="H36" s="1920"/>
      <c r="I36" s="1919"/>
      <c r="L36" s="443"/>
      <c r="M36" s="443"/>
      <c r="N36" s="443"/>
      <c r="O36" s="443"/>
    </row>
    <row r="37" spans="1:15">
      <c r="A37" s="1921" t="s">
        <v>456</v>
      </c>
    </row>
    <row r="38" spans="1:15">
      <c r="A38" s="2"/>
    </row>
    <row r="39" spans="1:15">
      <c r="A39" s="1921" t="s">
        <v>457</v>
      </c>
      <c r="C39" s="1922"/>
    </row>
    <row r="40" spans="1:15">
      <c r="A40" s="2"/>
    </row>
    <row r="41" spans="1:15">
      <c r="A41" s="1923" t="s">
        <v>458</v>
      </c>
    </row>
    <row r="42" spans="1:15">
      <c r="A42" s="1923" t="s">
        <v>459</v>
      </c>
    </row>
    <row r="43" spans="1:15">
      <c r="A43" s="1923" t="s">
        <v>460</v>
      </c>
    </row>
    <row r="44" spans="1:15">
      <c r="A44" s="1923" t="s">
        <v>461</v>
      </c>
    </row>
    <row r="45" spans="1:15">
      <c r="A45" s="1923" t="s">
        <v>462</v>
      </c>
    </row>
    <row r="46" spans="1:15">
      <c r="A46" s="1924" t="s">
        <v>463</v>
      </c>
    </row>
    <row r="47" spans="1:15">
      <c r="A47" s="1924" t="s">
        <v>464</v>
      </c>
    </row>
    <row r="48" spans="1:15">
      <c r="A48" s="1924" t="s">
        <v>465</v>
      </c>
    </row>
    <row r="49" spans="1:6">
      <c r="A49" s="1923" t="s">
        <v>466</v>
      </c>
    </row>
    <row r="50" spans="1:6">
      <c r="A50" s="391" t="s">
        <v>467</v>
      </c>
    </row>
    <row r="51" spans="1:6">
      <c r="A51" s="1925" t="s">
        <v>468</v>
      </c>
    </row>
    <row r="54" spans="1:6">
      <c r="A54" s="376"/>
    </row>
    <row r="57" spans="1:6">
      <c r="A57" s="23"/>
      <c r="B57" s="23"/>
      <c r="C57" s="23"/>
      <c r="D57" s="23"/>
      <c r="E57" s="23"/>
    </row>
    <row r="59" spans="1:6">
      <c r="A59" s="164"/>
      <c r="B59" s="23"/>
      <c r="C59" s="23"/>
      <c r="D59" s="23"/>
      <c r="E59" s="23"/>
      <c r="F59" s="23"/>
    </row>
  </sheetData>
  <mergeCells count="19">
    <mergeCell ref="D27:E27"/>
    <mergeCell ref="F27:I27"/>
    <mergeCell ref="F8:G8"/>
    <mergeCell ref="A17:C17"/>
    <mergeCell ref="D17:E17"/>
    <mergeCell ref="F17:I17"/>
    <mergeCell ref="F28:G28"/>
    <mergeCell ref="H28:I28"/>
    <mergeCell ref="A3:I3"/>
    <mergeCell ref="F18:G18"/>
    <mergeCell ref="H18:I18"/>
    <mergeCell ref="A26:C26"/>
    <mergeCell ref="A27:C27"/>
    <mergeCell ref="A6:C6"/>
    <mergeCell ref="A7:C7"/>
    <mergeCell ref="D7:E7"/>
    <mergeCell ref="F7:I7"/>
    <mergeCell ref="H8:I8"/>
    <mergeCell ref="A16:C16"/>
  </mergeCells>
  <phoneticPr fontId="0" type="noConversion"/>
  <pageMargins left="0.4" right="0.31" top="0.48" bottom="0.42" header="0.28999999999999998" footer="0.31"/>
  <pageSetup paperSize="9" scale="77" fitToHeight="3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2195-B209-F84F-B896-CFF7A46FB66A}">
  <sheetPr>
    <pageSetUpPr fitToPage="1"/>
  </sheetPr>
  <dimension ref="A1:J84"/>
  <sheetViews>
    <sheetView workbookViewId="0">
      <selection activeCell="A4" sqref="A4"/>
    </sheetView>
  </sheetViews>
  <sheetFormatPr baseColWidth="10" defaultColWidth="11.3984375" defaultRowHeight="13"/>
  <cols>
    <col min="1" max="1" width="12.19921875" style="1865" customWidth="1"/>
    <col min="2" max="16384" width="11.3984375" style="1865"/>
  </cols>
  <sheetData>
    <row r="1" spans="1:1">
      <c r="A1" s="1864" t="s">
        <v>1736</v>
      </c>
    </row>
    <row r="3" spans="1:1">
      <c r="A3" s="1866" t="s">
        <v>477</v>
      </c>
    </row>
    <row r="4" spans="1:1" ht="7.5" customHeight="1"/>
    <row r="5" spans="1:1">
      <c r="A5" s="1865" t="s">
        <v>1737</v>
      </c>
    </row>
    <row r="6" spans="1:1">
      <c r="A6" s="1865" t="s">
        <v>1187</v>
      </c>
    </row>
    <row r="7" spans="1:1">
      <c r="A7" s="1865" t="s">
        <v>1188</v>
      </c>
    </row>
    <row r="8" spans="1:1">
      <c r="A8" s="1865" t="s">
        <v>1223</v>
      </c>
    </row>
    <row r="9" spans="1:1">
      <c r="A9" s="1865" t="s">
        <v>1224</v>
      </c>
    </row>
    <row r="10" spans="1:1">
      <c r="A10" s="1865" t="s">
        <v>1189</v>
      </c>
    </row>
    <row r="12" spans="1:1">
      <c r="A12" s="1867" t="s">
        <v>1190</v>
      </c>
    </row>
    <row r="13" spans="1:1">
      <c r="A13" s="1867" t="s">
        <v>1191</v>
      </c>
    </row>
    <row r="14" spans="1:1">
      <c r="A14" s="1867" t="s">
        <v>1192</v>
      </c>
    </row>
    <row r="15" spans="1:1">
      <c r="A15" s="1868" t="s">
        <v>1193</v>
      </c>
    </row>
    <row r="16" spans="1:1">
      <c r="A16" s="1868"/>
    </row>
    <row r="17" spans="1:1">
      <c r="A17" s="1867" t="s">
        <v>1194</v>
      </c>
    </row>
    <row r="18" spans="1:1">
      <c r="A18" s="1867" t="s">
        <v>1195</v>
      </c>
    </row>
    <row r="19" spans="1:1">
      <c r="A19" s="1868"/>
    </row>
    <row r="20" spans="1:1">
      <c r="A20" s="1866" t="s">
        <v>1196</v>
      </c>
    </row>
    <row r="21" spans="1:1" ht="9" customHeight="1">
      <c r="A21" s="1867"/>
    </row>
    <row r="22" spans="1:1">
      <c r="A22" s="1868" t="s">
        <v>1197</v>
      </c>
    </row>
    <row r="23" spans="1:1">
      <c r="A23" s="1867" t="s">
        <v>1198</v>
      </c>
    </row>
    <row r="24" spans="1:1">
      <c r="A24" s="1867" t="s">
        <v>1199</v>
      </c>
    </row>
    <row r="25" spans="1:1" ht="6.75" customHeight="1">
      <c r="A25" s="1864"/>
    </row>
    <row r="26" spans="1:1">
      <c r="A26" s="1868" t="s">
        <v>1200</v>
      </c>
    </row>
    <row r="27" spans="1:1">
      <c r="A27" s="1867" t="s">
        <v>1198</v>
      </c>
    </row>
    <row r="28" spans="1:1">
      <c r="A28" s="1867" t="s">
        <v>1201</v>
      </c>
    </row>
    <row r="29" spans="1:1" ht="7.5" customHeight="1">
      <c r="A29" s="1867"/>
    </row>
    <row r="30" spans="1:1">
      <c r="A30" s="1926" t="s">
        <v>478</v>
      </c>
    </row>
    <row r="31" spans="1:1">
      <c r="A31" s="1927" t="s">
        <v>479</v>
      </c>
    </row>
    <row r="32" spans="1:1">
      <c r="A32" s="1928" t="s">
        <v>480</v>
      </c>
    </row>
    <row r="34" spans="1:9">
      <c r="A34" s="1869" t="s">
        <v>1202</v>
      </c>
    </row>
    <row r="35" spans="1:9">
      <c r="A35" s="1870" t="s">
        <v>1203</v>
      </c>
      <c r="I35" s="1871"/>
    </row>
    <row r="36" spans="1:9">
      <c r="A36" s="1870"/>
    </row>
    <row r="37" spans="1:9">
      <c r="A37" s="1870" t="s">
        <v>1204</v>
      </c>
    </row>
    <row r="38" spans="1:9">
      <c r="A38" s="1870" t="s">
        <v>1205</v>
      </c>
    </row>
    <row r="39" spans="1:9">
      <c r="A39" s="1872"/>
    </row>
    <row r="40" spans="1:9">
      <c r="A40" s="1866" t="s">
        <v>1206</v>
      </c>
    </row>
    <row r="41" spans="1:9">
      <c r="A41" s="1867" t="s">
        <v>1207</v>
      </c>
    </row>
    <row r="42" spans="1:9">
      <c r="A42" s="1867" t="s">
        <v>1208</v>
      </c>
    </row>
    <row r="43" spans="1:9">
      <c r="A43" s="1867" t="s">
        <v>1209</v>
      </c>
    </row>
    <row r="44" spans="1:9">
      <c r="A44" s="1865" t="s">
        <v>1210</v>
      </c>
    </row>
    <row r="46" spans="1:9">
      <c r="A46" s="1865" t="s">
        <v>1211</v>
      </c>
    </row>
    <row r="47" spans="1:9">
      <c r="A47" s="1865" t="s">
        <v>1212</v>
      </c>
    </row>
    <row r="48" spans="1:9" ht="12" customHeight="1"/>
    <row r="49" spans="1:10">
      <c r="A49" s="1873" t="s">
        <v>1213</v>
      </c>
      <c r="B49" s="1874"/>
      <c r="C49" s="1874"/>
      <c r="D49" s="1874"/>
      <c r="F49" s="1873" t="s">
        <v>1214</v>
      </c>
      <c r="G49" s="1874"/>
      <c r="H49" s="1874"/>
      <c r="I49" s="1874"/>
    </row>
    <row r="50" spans="1:10" ht="36">
      <c r="B50" s="1875" t="s">
        <v>1215</v>
      </c>
      <c r="C50" s="1875" t="s">
        <v>1216</v>
      </c>
      <c r="D50" s="1876" t="s">
        <v>1217</v>
      </c>
      <c r="G50" s="1875" t="s">
        <v>1218</v>
      </c>
      <c r="H50" s="1875" t="s">
        <v>1216</v>
      </c>
      <c r="I50" s="1876" t="s">
        <v>1217</v>
      </c>
    </row>
    <row r="51" spans="1:10">
      <c r="A51" s="1877">
        <v>1997</v>
      </c>
      <c r="B51" s="1878">
        <v>1663.893341996396</v>
      </c>
      <c r="C51" s="1878">
        <v>1668</v>
      </c>
      <c r="D51" s="1879">
        <f t="shared" ref="D51:D60" si="0">(C51/B51)-1</f>
        <v>2.4681017105800951E-3</v>
      </c>
      <c r="E51" s="1880"/>
      <c r="F51" s="1881" t="s">
        <v>2378</v>
      </c>
      <c r="G51" s="1882">
        <v>406.58889619427657</v>
      </c>
      <c r="H51" s="1882">
        <v>392.5</v>
      </c>
      <c r="I51" s="1879">
        <f t="shared" ref="I51:I77" si="1">(H51/G51)-1</f>
        <v>-3.465145341191167E-2</v>
      </c>
      <c r="J51" s="1880"/>
    </row>
    <row r="52" spans="1:10">
      <c r="A52" s="1877">
        <v>1998</v>
      </c>
      <c r="B52" s="1878">
        <v>1753.6807220915252</v>
      </c>
      <c r="C52" s="1878">
        <v>1762.9</v>
      </c>
      <c r="D52" s="1879">
        <f t="shared" si="0"/>
        <v>5.2571017017735144E-3</v>
      </c>
      <c r="F52" s="1883" t="s">
        <v>2379</v>
      </c>
      <c r="G52" s="1884">
        <v>406.33390472235817</v>
      </c>
      <c r="H52" s="1884">
        <v>390.5</v>
      </c>
      <c r="I52" s="1879">
        <f t="shared" si="1"/>
        <v>-3.896771728457471E-2</v>
      </c>
    </row>
    <row r="53" spans="1:10">
      <c r="A53" s="1877">
        <v>1999</v>
      </c>
      <c r="B53" s="1878">
        <v>1792.6961372402147</v>
      </c>
      <c r="C53" s="1878">
        <v>1801.3</v>
      </c>
      <c r="D53" s="1879">
        <f t="shared" si="0"/>
        <v>4.7993982812004621E-3</v>
      </c>
      <c r="F53" s="1883" t="s">
        <v>2380</v>
      </c>
      <c r="G53" s="1884">
        <v>335.43264593519933</v>
      </c>
      <c r="H53" s="1884">
        <v>318.89999999999998</v>
      </c>
      <c r="I53" s="1879">
        <f t="shared" si="1"/>
        <v>-4.9287528019539284E-2</v>
      </c>
    </row>
    <row r="54" spans="1:10">
      <c r="A54" s="1877">
        <v>2000</v>
      </c>
      <c r="B54" s="1878">
        <v>1850.1631679231971</v>
      </c>
      <c r="C54" s="1878">
        <v>1853.4</v>
      </c>
      <c r="D54" s="1879">
        <f t="shared" si="0"/>
        <v>1.7494846578511858E-3</v>
      </c>
      <c r="F54" s="1883" t="s">
        <v>2381</v>
      </c>
      <c r="G54" s="1884">
        <v>340.58393642684831</v>
      </c>
      <c r="H54" s="1884">
        <v>319.8</v>
      </c>
      <c r="I54" s="1879">
        <f t="shared" si="1"/>
        <v>-6.1024417783462681E-2</v>
      </c>
    </row>
    <row r="55" spans="1:10">
      <c r="A55" s="1877">
        <v>2001</v>
      </c>
      <c r="B55" s="1878">
        <v>1917.1693080707569</v>
      </c>
      <c r="C55" s="1878">
        <v>1931.9</v>
      </c>
      <c r="D55" s="1879">
        <f t="shared" si="0"/>
        <v>7.683563401120086E-3</v>
      </c>
      <c r="F55" s="1883" t="s">
        <v>2382</v>
      </c>
      <c r="G55" s="1884">
        <v>361.4402984530862</v>
      </c>
      <c r="H55" s="1884">
        <v>339.3</v>
      </c>
      <c r="I55" s="1879">
        <f t="shared" si="1"/>
        <v>-6.1255755232174081E-2</v>
      </c>
    </row>
    <row r="56" spans="1:10">
      <c r="A56" s="1877">
        <v>2002</v>
      </c>
      <c r="B56" s="1878">
        <v>2090.6453445046668</v>
      </c>
      <c r="C56" s="1878">
        <v>2106.4</v>
      </c>
      <c r="D56" s="1879">
        <f t="shared" si="0"/>
        <v>7.5357857977895737E-3</v>
      </c>
      <c r="F56" s="1883" t="s">
        <v>2383</v>
      </c>
      <c r="G56" s="1884">
        <v>331.10682903815535</v>
      </c>
      <c r="H56" s="1884">
        <v>310.89999999999998</v>
      </c>
      <c r="I56" s="1879">
        <f t="shared" si="1"/>
        <v>-6.1028125263543953E-2</v>
      </c>
    </row>
    <row r="57" spans="1:10">
      <c r="A57" s="1877">
        <v>2003</v>
      </c>
      <c r="B57" s="1878">
        <v>2281.4625632725915</v>
      </c>
      <c r="C57" s="1878">
        <v>2296</v>
      </c>
      <c r="D57" s="1879">
        <f t="shared" si="0"/>
        <v>6.3719812726428238E-3</v>
      </c>
      <c r="F57" s="1883" t="s">
        <v>2384</v>
      </c>
      <c r="G57" s="1884">
        <v>325.14668056120377</v>
      </c>
      <c r="H57" s="1884">
        <v>309.5</v>
      </c>
      <c r="I57" s="1879">
        <f t="shared" si="1"/>
        <v>-4.8121913882674616E-2</v>
      </c>
    </row>
    <row r="58" spans="1:10">
      <c r="A58" s="1877">
        <v>2004</v>
      </c>
      <c r="B58" s="1878">
        <v>2441.8690220833437</v>
      </c>
      <c r="C58" s="1878">
        <v>2443.6999999999998</v>
      </c>
      <c r="D58" s="1879">
        <f t="shared" si="0"/>
        <v>7.4982642398002675E-4</v>
      </c>
      <c r="F58" s="1883" t="s">
        <v>2385</v>
      </c>
      <c r="G58" s="1884">
        <v>377.2887360498313</v>
      </c>
      <c r="H58" s="1884">
        <v>354.6</v>
      </c>
      <c r="I58" s="1879">
        <f t="shared" si="1"/>
        <v>-6.0136266688954665E-2</v>
      </c>
    </row>
    <row r="59" spans="1:10">
      <c r="A59" s="1877">
        <v>2005</v>
      </c>
      <c r="B59" s="1878">
        <v>2487.4606144678528</v>
      </c>
      <c r="C59" s="1878">
        <v>2493.6999999999998</v>
      </c>
      <c r="D59" s="1879">
        <f t="shared" si="0"/>
        <v>2.5083354067423347E-3</v>
      </c>
      <c r="F59" s="1883" t="s">
        <v>2386</v>
      </c>
      <c r="G59" s="1884">
        <v>351.29734345351045</v>
      </c>
      <c r="H59" s="1884">
        <v>332.7</v>
      </c>
      <c r="I59" s="1879">
        <f t="shared" si="1"/>
        <v>-5.2939038111375791E-2</v>
      </c>
    </row>
    <row r="60" spans="1:10">
      <c r="A60" s="1877">
        <v>2006</v>
      </c>
      <c r="B60" s="1878">
        <v>2582.7199999999998</v>
      </c>
      <c r="C60" s="1878">
        <v>2595.6</v>
      </c>
      <c r="D60" s="1879">
        <f t="shared" si="0"/>
        <v>4.9869904596704373E-3</v>
      </c>
      <c r="F60" s="1883" t="s">
        <v>2387</v>
      </c>
      <c r="G60" s="1884">
        <v>387.97941599228147</v>
      </c>
      <c r="H60" s="1884">
        <v>371.3</v>
      </c>
      <c r="I60" s="1879">
        <f t="shared" si="1"/>
        <v>-4.2990466258687521E-2</v>
      </c>
    </row>
    <row r="61" spans="1:10">
      <c r="F61" s="1883" t="s">
        <v>2388</v>
      </c>
      <c r="G61" s="1884">
        <v>388.79680615857859</v>
      </c>
      <c r="H61" s="1884">
        <v>367.4</v>
      </c>
      <c r="I61" s="1879">
        <f t="shared" si="1"/>
        <v>-5.5033389728647908E-2</v>
      </c>
    </row>
    <row r="62" spans="1:10">
      <c r="F62" s="1883" t="s">
        <v>2389</v>
      </c>
      <c r="G62" s="1884">
        <v>491.70996566212852</v>
      </c>
      <c r="H62" s="1884">
        <v>446.1</v>
      </c>
      <c r="I62" s="1879">
        <f t="shared" si="1"/>
        <v>-9.2757863064074519E-2</v>
      </c>
    </row>
    <row r="63" spans="1:10">
      <c r="A63" s="1873" t="s">
        <v>1219</v>
      </c>
      <c r="B63" s="1885"/>
      <c r="C63" s="1885"/>
      <c r="D63" s="1885"/>
      <c r="F63" s="1883" t="s">
        <v>2390</v>
      </c>
      <c r="G63" s="1884">
        <v>444.2195988095059</v>
      </c>
      <c r="H63" s="1884">
        <v>414.7</v>
      </c>
      <c r="I63" s="1879">
        <f t="shared" si="1"/>
        <v>-6.6452715928377537E-2</v>
      </c>
    </row>
    <row r="64" spans="1:10" ht="36">
      <c r="B64" s="1875" t="s">
        <v>1220</v>
      </c>
      <c r="C64" s="1875" t="s">
        <v>1216</v>
      </c>
      <c r="D64" s="1876" t="s">
        <v>1217</v>
      </c>
      <c r="F64" s="1883" t="s">
        <v>2391</v>
      </c>
      <c r="G64" s="1884">
        <v>394.8605239674485</v>
      </c>
      <c r="H64" s="1884">
        <v>374.7</v>
      </c>
      <c r="I64" s="1879">
        <f t="shared" si="1"/>
        <v>-5.1057329724635947E-2</v>
      </c>
    </row>
    <row r="65" spans="1:9">
      <c r="A65" s="1881" t="s">
        <v>940</v>
      </c>
      <c r="B65" s="1878">
        <v>747.24917624143404</v>
      </c>
      <c r="C65" s="1886">
        <v>754.2</v>
      </c>
      <c r="D65" s="1879">
        <f t="shared" ref="D65:D79" si="2">(C65/B65)-1</f>
        <v>9.3018821292352172E-3</v>
      </c>
      <c r="F65" s="1883" t="s">
        <v>2392</v>
      </c>
      <c r="G65" s="1884">
        <v>336.89880384118607</v>
      </c>
      <c r="H65" s="1884">
        <v>323.3</v>
      </c>
      <c r="I65" s="1879">
        <f t="shared" si="1"/>
        <v>-4.0364654567300096E-2</v>
      </c>
    </row>
    <row r="66" spans="1:9">
      <c r="A66" s="1883" t="s">
        <v>941</v>
      </c>
      <c r="B66" s="1878">
        <v>895.78841637349808</v>
      </c>
      <c r="C66" s="1886">
        <v>890.2</v>
      </c>
      <c r="D66" s="1879">
        <f t="shared" si="2"/>
        <v>-6.2385450306693402E-3</v>
      </c>
      <c r="F66" s="1883" t="s">
        <v>2393</v>
      </c>
      <c r="G66" s="1884">
        <v>294.76030110935022</v>
      </c>
      <c r="H66" s="1884">
        <v>276.39999999999998</v>
      </c>
      <c r="I66" s="1879">
        <f t="shared" si="1"/>
        <v>-6.2288920998689545E-2</v>
      </c>
    </row>
    <row r="67" spans="1:9">
      <c r="A67" s="1883" t="s">
        <v>942</v>
      </c>
      <c r="B67" s="1878">
        <v>1211.8424401697707</v>
      </c>
      <c r="C67" s="1886">
        <v>1195.8</v>
      </c>
      <c r="D67" s="1879">
        <f t="shared" si="2"/>
        <v>-1.3238057719387464E-2</v>
      </c>
      <c r="F67" s="1883" t="s">
        <v>2394</v>
      </c>
      <c r="G67" s="1884">
        <v>362.64556322504171</v>
      </c>
      <c r="H67" s="1884">
        <v>346</v>
      </c>
      <c r="I67" s="1879">
        <f t="shared" si="1"/>
        <v>-4.5900363641598441E-2</v>
      </c>
    </row>
    <row r="68" spans="1:9">
      <c r="A68" s="1883" t="s">
        <v>943</v>
      </c>
      <c r="B68" s="1878">
        <v>1396.8409074808064</v>
      </c>
      <c r="C68" s="1886">
        <v>1386.7</v>
      </c>
      <c r="D68" s="1879">
        <f t="shared" si="2"/>
        <v>-7.259887240197882E-3</v>
      </c>
      <c r="F68" s="1883" t="s">
        <v>2395</v>
      </c>
      <c r="G68" s="1884">
        <v>359.871466531566</v>
      </c>
      <c r="H68" s="1884">
        <v>351.1</v>
      </c>
      <c r="I68" s="1879">
        <f t="shared" si="1"/>
        <v>-2.4373887199519273E-2</v>
      </c>
    </row>
    <row r="69" spans="1:9">
      <c r="A69" s="1883" t="s">
        <v>944</v>
      </c>
      <c r="B69" s="1878">
        <v>1421.1268327738549</v>
      </c>
      <c r="C69" s="1886">
        <v>1411.4</v>
      </c>
      <c r="D69" s="1879">
        <f t="shared" si="2"/>
        <v>-6.8444508607787835E-3</v>
      </c>
      <c r="F69" s="1883" t="s">
        <v>2396</v>
      </c>
      <c r="G69" s="1884">
        <v>366.75570625523682</v>
      </c>
      <c r="H69" s="1884">
        <v>347.5</v>
      </c>
      <c r="I69" s="1879">
        <f t="shared" si="1"/>
        <v>-5.2502812981009672E-2</v>
      </c>
    </row>
    <row r="70" spans="1:9">
      <c r="A70" s="1883" t="s">
        <v>945</v>
      </c>
      <c r="B70" s="1878">
        <v>1517.1995751096272</v>
      </c>
      <c r="C70" s="1886">
        <v>1513.6</v>
      </c>
      <c r="D70" s="1879">
        <f t="shared" si="2"/>
        <v>-2.3725126006360897E-3</v>
      </c>
      <c r="F70" s="1883" t="s">
        <v>2397</v>
      </c>
      <c r="G70" s="1884">
        <v>352.56201049931195</v>
      </c>
      <c r="H70" s="1884">
        <v>338.2</v>
      </c>
      <c r="I70" s="1879">
        <f t="shared" si="1"/>
        <v>-4.0736126047647425E-2</v>
      </c>
    </row>
    <row r="71" spans="1:9">
      <c r="A71" s="1883" t="s">
        <v>946</v>
      </c>
      <c r="B71" s="1878">
        <v>1839.4004121479798</v>
      </c>
      <c r="C71" s="1886">
        <v>1838.7</v>
      </c>
      <c r="D71" s="1879">
        <f t="shared" si="2"/>
        <v>-3.8078285910669862E-4</v>
      </c>
      <c r="F71" s="1883" t="s">
        <v>2398</v>
      </c>
      <c r="G71" s="1884">
        <v>478.02373488439434</v>
      </c>
      <c r="H71" s="1884">
        <v>448.9</v>
      </c>
      <c r="I71" s="1879">
        <f t="shared" si="1"/>
        <v>-6.0925290438638258E-2</v>
      </c>
    </row>
    <row r="72" spans="1:9">
      <c r="A72" s="1883" t="s">
        <v>947</v>
      </c>
      <c r="B72" s="1878">
        <v>2277.8934473190975</v>
      </c>
      <c r="C72" s="1886">
        <v>2281.8000000000002</v>
      </c>
      <c r="D72" s="1879">
        <f t="shared" si="2"/>
        <v>1.71498481875898E-3</v>
      </c>
      <c r="F72" s="1883" t="s">
        <v>2399</v>
      </c>
      <c r="G72" s="1884">
        <v>453.38028795718498</v>
      </c>
      <c r="H72" s="1884">
        <v>439.7</v>
      </c>
      <c r="I72" s="1879">
        <f t="shared" si="1"/>
        <v>-3.0173980476356554E-2</v>
      </c>
    </row>
    <row r="73" spans="1:9">
      <c r="A73" s="1883" t="s">
        <v>948</v>
      </c>
      <c r="B73" s="1878">
        <v>2848.1261639197069</v>
      </c>
      <c r="C73" s="1886">
        <v>2848.9</v>
      </c>
      <c r="D73" s="1879">
        <f t="shared" si="2"/>
        <v>2.717000707679329E-4</v>
      </c>
      <c r="F73" s="1883" t="s">
        <v>2400</v>
      </c>
      <c r="G73" s="1884">
        <v>364.29399752245484</v>
      </c>
      <c r="H73" s="1884">
        <v>349.4</v>
      </c>
      <c r="I73" s="1879">
        <f t="shared" si="1"/>
        <v>-4.0884553749850894E-2</v>
      </c>
    </row>
    <row r="74" spans="1:9">
      <c r="A74" s="1883" t="s">
        <v>949</v>
      </c>
      <c r="B74" s="1878">
        <v>3545.5776914290282</v>
      </c>
      <c r="C74" s="1886">
        <v>3539.5</v>
      </c>
      <c r="D74" s="1879">
        <f t="shared" si="2"/>
        <v>-1.7141611206885621E-3</v>
      </c>
      <c r="F74" s="1883" t="s">
        <v>2401</v>
      </c>
      <c r="G74" s="1884">
        <v>417.41283045679268</v>
      </c>
      <c r="H74" s="1884">
        <v>407.1</v>
      </c>
      <c r="I74" s="1879">
        <f t="shared" si="1"/>
        <v>-2.4706548779314885E-2</v>
      </c>
    </row>
    <row r="75" spans="1:9">
      <c r="A75" s="1883" t="s">
        <v>950</v>
      </c>
      <c r="B75" s="1878">
        <v>4388.0419390576508</v>
      </c>
      <c r="C75" s="1886">
        <v>4372.7</v>
      </c>
      <c r="D75" s="1879">
        <f t="shared" si="2"/>
        <v>-3.4963063869315469E-3</v>
      </c>
      <c r="F75" s="1883" t="s">
        <v>2402</v>
      </c>
      <c r="G75" s="1884">
        <v>502.34245497094378</v>
      </c>
      <c r="H75" s="1884">
        <v>479.7</v>
      </c>
      <c r="I75" s="1879">
        <f t="shared" si="1"/>
        <v>-4.5073743512786479E-2</v>
      </c>
    </row>
    <row r="76" spans="1:9">
      <c r="A76" s="1883" t="s">
        <v>951</v>
      </c>
      <c r="B76" s="1878">
        <v>5497.4834390892302</v>
      </c>
      <c r="C76" s="1886">
        <v>5477.9</v>
      </c>
      <c r="D76" s="1879">
        <f t="shared" si="2"/>
        <v>-3.562255222086641E-3</v>
      </c>
      <c r="F76" s="1883" t="s">
        <v>2403</v>
      </c>
      <c r="G76" s="1884">
        <v>420.50529827033398</v>
      </c>
      <c r="H76" s="1884">
        <v>381.5</v>
      </c>
      <c r="I76" s="1879">
        <f t="shared" si="1"/>
        <v>-9.275816126639691E-2</v>
      </c>
    </row>
    <row r="77" spans="1:9">
      <c r="A77" s="1883" t="s">
        <v>952</v>
      </c>
      <c r="B77" s="1878">
        <v>6758.5976516701776</v>
      </c>
      <c r="C77" s="1886">
        <v>6736.9</v>
      </c>
      <c r="D77" s="1879">
        <f t="shared" si="2"/>
        <v>-3.2103777719060256E-3</v>
      </c>
      <c r="F77" s="1883" t="s">
        <v>2404</v>
      </c>
      <c r="G77" s="1884">
        <v>403.8672042095767</v>
      </c>
      <c r="H77" s="1884">
        <v>385.5</v>
      </c>
      <c r="I77" s="1879">
        <f t="shared" si="1"/>
        <v>-4.547832559349263E-2</v>
      </c>
    </row>
    <row r="78" spans="1:9">
      <c r="A78" s="1883" t="s">
        <v>953</v>
      </c>
      <c r="B78" s="1878">
        <v>8437.2706685921257</v>
      </c>
      <c r="C78" s="1886">
        <v>8399.1</v>
      </c>
      <c r="D78" s="1879">
        <f t="shared" si="2"/>
        <v>-4.524054056273985E-3</v>
      </c>
    </row>
    <row r="79" spans="1:9">
      <c r="A79" s="1883" t="s">
        <v>954</v>
      </c>
      <c r="B79" s="1878">
        <v>11040.017163250452</v>
      </c>
      <c r="C79" s="1886">
        <v>10988.2</v>
      </c>
      <c r="D79" s="1879">
        <f t="shared" si="2"/>
        <v>-4.6935763309261525E-3</v>
      </c>
    </row>
    <row r="80" spans="1:9">
      <c r="A80" s="1883" t="s">
        <v>1864</v>
      </c>
      <c r="B80" s="1878">
        <v>15284.406689381525</v>
      </c>
      <c r="C80" s="1887" t="s">
        <v>1060</v>
      </c>
      <c r="D80" s="1879" t="s">
        <v>1060</v>
      </c>
    </row>
    <row r="81" spans="1:4">
      <c r="A81" s="1883" t="s">
        <v>164</v>
      </c>
      <c r="B81" s="1878">
        <v>2329.1115479896989</v>
      </c>
      <c r="C81" s="1886">
        <v>2330.3000000000002</v>
      </c>
      <c r="D81" s="1879">
        <f>(C81/B81)-1</f>
        <v>5.1025980757635203E-4</v>
      </c>
    </row>
    <row r="82" spans="1:4" ht="15.75" customHeight="1"/>
    <row r="83" spans="1:4">
      <c r="A83" s="1888" t="s">
        <v>1221</v>
      </c>
    </row>
    <row r="84" spans="1:4">
      <c r="A84" s="1888" t="s">
        <v>1222</v>
      </c>
    </row>
  </sheetData>
  <phoneticPr fontId="77" type="noConversion"/>
  <pageMargins left="0.4" right="0.48" top="0.3" bottom="0.32" header="0.25" footer="0.24"/>
  <pageSetup paperSize="9" scale="74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FFCA-0ACF-DC4A-B615-91AC8182F764}">
  <sheetPr>
    <pageSetUpPr fitToPage="1"/>
  </sheetPr>
  <dimension ref="A1:M37"/>
  <sheetViews>
    <sheetView topLeftCell="A22" workbookViewId="0">
      <selection activeCell="A4" sqref="A4"/>
    </sheetView>
  </sheetViews>
  <sheetFormatPr baseColWidth="10" defaultColWidth="11.3984375" defaultRowHeight="13"/>
  <cols>
    <col min="1" max="1" width="14" style="1865" customWidth="1"/>
    <col min="2" max="2" width="0.19921875" style="1865" customWidth="1"/>
    <col min="3" max="16384" width="11.3984375" style="1865"/>
  </cols>
  <sheetData>
    <row r="1" spans="1:13">
      <c r="A1" s="1864" t="s">
        <v>1225</v>
      </c>
    </row>
    <row r="3" spans="1:13">
      <c r="A3" s="1864" t="s">
        <v>1226</v>
      </c>
    </row>
    <row r="4" spans="1:13">
      <c r="A4" s="1864"/>
    </row>
    <row r="6" spans="1:13">
      <c r="B6" s="1889">
        <v>1997</v>
      </c>
      <c r="C6" s="1889">
        <v>1998</v>
      </c>
      <c r="D6" s="1889">
        <v>1999</v>
      </c>
      <c r="E6" s="1889">
        <v>2000</v>
      </c>
      <c r="F6" s="1889">
        <v>2001</v>
      </c>
      <c r="G6" s="1889">
        <v>2002</v>
      </c>
      <c r="H6" s="1889">
        <v>2003</v>
      </c>
      <c r="I6" s="1889">
        <v>2004</v>
      </c>
      <c r="J6" s="1889">
        <v>2005</v>
      </c>
      <c r="K6" s="1889">
        <v>2006</v>
      </c>
      <c r="L6" s="1889">
        <v>2007</v>
      </c>
      <c r="M6" s="1889">
        <v>2008</v>
      </c>
    </row>
    <row r="7" spans="1:13" ht="17">
      <c r="A7" s="1890" t="s">
        <v>1227</v>
      </c>
      <c r="B7" s="1891">
        <v>0.91870534229204071</v>
      </c>
      <c r="C7" s="1891">
        <v>0.92450051512289377</v>
      </c>
      <c r="D7" s="1891">
        <v>0.92190960847248915</v>
      </c>
      <c r="E7" s="1891">
        <v>0.9146555342193794</v>
      </c>
      <c r="F7" s="1891">
        <v>0.910459455023508</v>
      </c>
      <c r="G7" s="1891">
        <v>0.94699717778464221</v>
      </c>
      <c r="H7" s="1891">
        <v>0.94090079508798108</v>
      </c>
      <c r="I7" s="1891">
        <v>0.97171055250346705</v>
      </c>
      <c r="J7" s="1891">
        <v>0.97005377567368656</v>
      </c>
      <c r="K7" s="1891">
        <v>0.96770426271154775</v>
      </c>
      <c r="L7" s="1891">
        <v>0.97454195571311342</v>
      </c>
      <c r="M7" s="1891">
        <v>0.97152634125848836</v>
      </c>
    </row>
    <row r="8" spans="1:13" ht="17">
      <c r="A8" s="1890" t="s">
        <v>1228</v>
      </c>
      <c r="B8" s="1891">
        <v>0.92590294625206992</v>
      </c>
      <c r="C8" s="1891">
        <v>0.93856318284817852</v>
      </c>
      <c r="D8" s="1891">
        <v>0.92626384017271968</v>
      </c>
      <c r="E8" s="1891">
        <v>0.91887846844435261</v>
      </c>
      <c r="F8" s="1891">
        <v>0.93054867721158996</v>
      </c>
      <c r="G8" s="1891">
        <v>0.9388180261724085</v>
      </c>
      <c r="H8" s="1891">
        <v>0.92304823961140481</v>
      </c>
      <c r="I8" s="1891">
        <v>0.95820342417583337</v>
      </c>
      <c r="J8" s="1891">
        <v>0.95678570198949797</v>
      </c>
      <c r="K8" s="1891">
        <v>0.95568456569499327</v>
      </c>
      <c r="L8" s="1891">
        <v>0.97277054338339997</v>
      </c>
      <c r="M8" s="1891">
        <v>0.97342005591876191</v>
      </c>
    </row>
    <row r="9" spans="1:13" ht="17">
      <c r="A9" s="1890" t="s">
        <v>1229</v>
      </c>
      <c r="B9" s="1891">
        <v>0.92716803778806267</v>
      </c>
      <c r="C9" s="1891">
        <v>0.94845303182186402</v>
      </c>
      <c r="D9" s="1891">
        <v>0.94838248522321944</v>
      </c>
      <c r="E9" s="1891">
        <v>0.94505897990914622</v>
      </c>
      <c r="F9" s="1891">
        <v>0.95101505070460468</v>
      </c>
      <c r="G9" s="1891">
        <v>0.95511584185232712</v>
      </c>
      <c r="H9" s="1891">
        <v>0.95758734718254446</v>
      </c>
      <c r="I9" s="1891">
        <v>0.98421148525918689</v>
      </c>
      <c r="J9" s="1891">
        <v>0.97376986734682502</v>
      </c>
      <c r="K9" s="1891">
        <v>0.98960778331844923</v>
      </c>
      <c r="L9" s="1891">
        <v>0.99349910533846886</v>
      </c>
      <c r="M9" s="1891">
        <v>0.969568900956152</v>
      </c>
    </row>
    <row r="10" spans="1:13" ht="17">
      <c r="A10" s="1890" t="s">
        <v>1230</v>
      </c>
      <c r="B10" s="1891">
        <v>0.93396448014443756</v>
      </c>
      <c r="C10" s="1891">
        <v>0.93838910216603921</v>
      </c>
      <c r="D10" s="1891">
        <v>0.93811271285367515</v>
      </c>
      <c r="E10" s="1891">
        <v>0.93354049042978826</v>
      </c>
      <c r="F10" s="1891">
        <v>0.94922383142315392</v>
      </c>
      <c r="G10" s="1891">
        <v>0.9542513874059908</v>
      </c>
      <c r="H10" s="1891">
        <v>0.94877032282696983</v>
      </c>
      <c r="I10" s="1891">
        <v>0.99032173249271993</v>
      </c>
      <c r="J10" s="1891">
        <v>0.98900468284376331</v>
      </c>
      <c r="K10" s="1891">
        <v>0.9889388601625092</v>
      </c>
      <c r="L10" s="1891">
        <v>0.99181586993170845</v>
      </c>
      <c r="M10" s="1891">
        <v>0.99082216340817897</v>
      </c>
    </row>
    <row r="11" spans="1:13" ht="17">
      <c r="A11" s="1890" t="s">
        <v>1231</v>
      </c>
      <c r="B11" s="1891">
        <v>0.91065287311510557</v>
      </c>
      <c r="C11" s="1891">
        <v>0.92861572175174278</v>
      </c>
      <c r="D11" s="1891">
        <v>0.92899679695986181</v>
      </c>
      <c r="E11" s="1891">
        <v>0.91165825276662527</v>
      </c>
      <c r="F11" s="1891">
        <v>0.93733575552781623</v>
      </c>
      <c r="G11" s="1891">
        <v>0.95365986918576395</v>
      </c>
      <c r="H11" s="1891">
        <v>0.94858300616729629</v>
      </c>
      <c r="I11" s="1891">
        <v>0.98442119166422082</v>
      </c>
      <c r="J11" s="1891">
        <v>0.98392666914406035</v>
      </c>
      <c r="K11" s="1891">
        <v>0.98234318075244387</v>
      </c>
      <c r="L11" s="1891">
        <v>0.98326259681614225</v>
      </c>
      <c r="M11" s="1891">
        <v>0.98134756452824357</v>
      </c>
    </row>
    <row r="12" spans="1:13" ht="17">
      <c r="A12" s="1890" t="s">
        <v>1232</v>
      </c>
      <c r="B12" s="1891">
        <v>0.91056160128839292</v>
      </c>
      <c r="C12" s="1891">
        <v>0.91691195704899786</v>
      </c>
      <c r="D12" s="1891">
        <v>0.91949502022639429</v>
      </c>
      <c r="E12" s="1891">
        <v>0.91723923954981501</v>
      </c>
      <c r="F12" s="1891">
        <v>0.94693878650603758</v>
      </c>
      <c r="G12" s="1891">
        <v>0.95275998799778805</v>
      </c>
      <c r="H12" s="1891">
        <v>0.94716323520408219</v>
      </c>
      <c r="I12" s="1891">
        <v>0.97866804245283012</v>
      </c>
      <c r="J12" s="1891">
        <v>0.98231792180220567</v>
      </c>
      <c r="K12" s="1891">
        <v>0.97957195593577873</v>
      </c>
      <c r="L12" s="1891">
        <v>0.9817309090909091</v>
      </c>
      <c r="M12" s="1891">
        <v>0.98366473921923991</v>
      </c>
    </row>
    <row r="13" spans="1:13" ht="17">
      <c r="A13" s="1890" t="s">
        <v>1233</v>
      </c>
      <c r="B13" s="1891">
        <v>0.92353609858280394</v>
      </c>
      <c r="C13" s="1891">
        <v>0.92860747653044029</v>
      </c>
      <c r="D13" s="1891">
        <v>0.92904440793506793</v>
      </c>
      <c r="E13" s="1891">
        <v>0.92522399862168303</v>
      </c>
      <c r="F13" s="1891">
        <v>0.94873875651932904</v>
      </c>
      <c r="G13" s="1891">
        <v>0.95732433956516194</v>
      </c>
      <c r="H13" s="1891">
        <v>0.95130329286476722</v>
      </c>
      <c r="I13" s="1891">
        <v>0.97789790327948589</v>
      </c>
      <c r="J13" s="1891">
        <v>0.97802511183407881</v>
      </c>
      <c r="K13" s="1891">
        <v>0.97438770100724503</v>
      </c>
      <c r="L13" s="1891">
        <v>0.97725930212080814</v>
      </c>
      <c r="M13" s="1891">
        <v>0.97940560401929666</v>
      </c>
    </row>
    <row r="14" spans="1:13" ht="17">
      <c r="A14" s="1890" t="s">
        <v>1234</v>
      </c>
      <c r="B14" s="1891">
        <v>0.89507447255610662</v>
      </c>
      <c r="C14" s="1891">
        <v>0.89646487507686845</v>
      </c>
      <c r="D14" s="1891">
        <v>0.84443023329731104</v>
      </c>
      <c r="E14" s="1891">
        <v>0.82163477277206931</v>
      </c>
      <c r="F14" s="1891">
        <v>0.93607881927123837</v>
      </c>
      <c r="G14" s="1891">
        <v>0.95029992224000215</v>
      </c>
      <c r="H14" s="1891">
        <v>0.94308018995405585</v>
      </c>
      <c r="I14" s="1891">
        <v>0.9678551158350962</v>
      </c>
      <c r="J14" s="1891">
        <v>0.96017389047495461</v>
      </c>
      <c r="K14" s="1891">
        <v>0.96449449919182439</v>
      </c>
      <c r="L14" s="1891">
        <v>0.97387106918238986</v>
      </c>
      <c r="M14" s="1891">
        <v>0.97513649650276646</v>
      </c>
    </row>
    <row r="15" spans="1:13" ht="17">
      <c r="A15" s="1890" t="s">
        <v>1235</v>
      </c>
      <c r="B15" s="1891">
        <v>0.90266632685344683</v>
      </c>
      <c r="C15" s="1891">
        <v>0.90841668186127145</v>
      </c>
      <c r="D15" s="1891">
        <v>0.91058200408997958</v>
      </c>
      <c r="E15" s="1891">
        <v>0.90776106740251172</v>
      </c>
      <c r="F15" s="1891">
        <v>0.92230432194037038</v>
      </c>
      <c r="G15" s="1891">
        <v>0.93186878359177117</v>
      </c>
      <c r="H15" s="1891">
        <v>0.93020980742378034</v>
      </c>
      <c r="I15" s="1891">
        <v>0.98182481259514764</v>
      </c>
      <c r="J15" s="1891">
        <v>0.98229127134724858</v>
      </c>
      <c r="K15" s="1891">
        <v>0.979214912814939</v>
      </c>
      <c r="L15" s="1891">
        <v>0.97600285655988572</v>
      </c>
      <c r="M15" s="1891">
        <v>0.9708455492597331</v>
      </c>
    </row>
    <row r="16" spans="1:13" ht="17">
      <c r="A16" s="1890" t="s">
        <v>1236</v>
      </c>
      <c r="B16" s="1891">
        <v>0.81375437816200591</v>
      </c>
      <c r="C16" s="1891">
        <v>0.97055994409684476</v>
      </c>
      <c r="D16" s="1891">
        <v>0.97024905885254831</v>
      </c>
      <c r="E16" s="1891">
        <v>0.96432121358608702</v>
      </c>
      <c r="F16" s="1891">
        <v>0.96112564066686812</v>
      </c>
      <c r="G16" s="1891">
        <v>0.94248692108370502</v>
      </c>
      <c r="H16" s="1891">
        <v>0.97368237488437448</v>
      </c>
      <c r="I16" s="1891">
        <v>0.99125751252920158</v>
      </c>
      <c r="J16" s="1891">
        <v>0.98729430759840109</v>
      </c>
      <c r="K16" s="1891">
        <v>0.9781095514601339</v>
      </c>
      <c r="L16" s="1891">
        <v>0.98092337198351298</v>
      </c>
      <c r="M16" s="1891">
        <v>0.97834254184952862</v>
      </c>
    </row>
    <row r="17" spans="1:13" ht="17">
      <c r="A17" s="1890" t="s">
        <v>1237</v>
      </c>
      <c r="B17" s="1891">
        <v>0.91883785578381583</v>
      </c>
      <c r="C17" s="1891">
        <v>0.92455150472706416</v>
      </c>
      <c r="D17" s="1891">
        <v>0.92505571717021984</v>
      </c>
      <c r="E17" s="1891">
        <v>0.92425152178524661</v>
      </c>
      <c r="F17" s="1891">
        <v>0.94945634954398683</v>
      </c>
      <c r="G17" s="1891">
        <v>0.95104914863258505</v>
      </c>
      <c r="H17" s="1891">
        <v>0.94871338012579387</v>
      </c>
      <c r="I17" s="1891">
        <v>0.97073178750857048</v>
      </c>
      <c r="J17" s="1891">
        <v>0.96832093019529941</v>
      </c>
      <c r="K17" s="1891">
        <v>0.96403843619854579</v>
      </c>
      <c r="L17" s="1891">
        <v>0.96693509126170196</v>
      </c>
      <c r="M17" s="1891">
        <v>0.95527948169281973</v>
      </c>
    </row>
    <row r="18" spans="1:13" ht="17">
      <c r="A18" s="1890" t="s">
        <v>1238</v>
      </c>
      <c r="B18" s="1892">
        <v>0.98789983280660798</v>
      </c>
      <c r="C18" s="1892">
        <v>1.0162132462869267</v>
      </c>
      <c r="D18" s="1892">
        <v>1.0099142991534638</v>
      </c>
      <c r="E18" s="1892">
        <v>1.0029846958692721</v>
      </c>
      <c r="F18" s="1892">
        <v>0.99962232466515422</v>
      </c>
      <c r="G18" s="1892">
        <v>1.0039444935141095</v>
      </c>
      <c r="H18" s="1891">
        <v>0.96262154654440291</v>
      </c>
      <c r="I18" s="1891">
        <v>0.96440626005749486</v>
      </c>
      <c r="J18" s="1891">
        <v>0.96586738779853665</v>
      </c>
      <c r="K18" s="1891">
        <v>0.97873376188563022</v>
      </c>
      <c r="L18" s="1891">
        <v>0.97891517311723097</v>
      </c>
      <c r="M18" s="1891">
        <v>0.97319558490017999</v>
      </c>
    </row>
    <row r="19" spans="1:13" ht="17">
      <c r="A19" s="1890" t="s">
        <v>1239</v>
      </c>
      <c r="B19" s="1892">
        <v>0.87053359386061069</v>
      </c>
      <c r="C19" s="1892">
        <v>0.88278578594027324</v>
      </c>
      <c r="D19" s="1892">
        <v>0.8876119172805933</v>
      </c>
      <c r="E19" s="1892">
        <v>0.88603941859342727</v>
      </c>
      <c r="F19" s="1892">
        <v>0.89620249373114691</v>
      </c>
      <c r="G19" s="1892">
        <v>0.89698012421339635</v>
      </c>
      <c r="H19" s="1891">
        <v>0.93517415092958645</v>
      </c>
      <c r="I19" s="1891">
        <v>0.9626335626615109</v>
      </c>
      <c r="J19" s="1891">
        <v>0.96491150209689303</v>
      </c>
      <c r="K19" s="1891">
        <v>0.9660118552802055</v>
      </c>
      <c r="L19" s="1891">
        <v>0.96886604796842468</v>
      </c>
      <c r="M19" s="1891">
        <v>0.96827412578085059</v>
      </c>
    </row>
    <row r="20" spans="1:13" ht="17">
      <c r="A20" s="1890" t="s">
        <v>1240</v>
      </c>
      <c r="B20" s="1891">
        <v>0.90111661255500985</v>
      </c>
      <c r="C20" s="1891">
        <v>0.90776551528351357</v>
      </c>
      <c r="D20" s="1891">
        <v>0.90314759683311541</v>
      </c>
      <c r="E20" s="1891">
        <v>0.89888374195006215</v>
      </c>
      <c r="F20" s="1891">
        <v>0.90279544900501252</v>
      </c>
      <c r="G20" s="1891">
        <v>0.91090371963646743</v>
      </c>
      <c r="H20" s="1891">
        <v>0.89377483647524081</v>
      </c>
      <c r="I20" s="1891">
        <v>0.95080732898158471</v>
      </c>
      <c r="J20" s="1891">
        <v>0.95708301700829768</v>
      </c>
      <c r="K20" s="1891">
        <v>0.95468677832930748</v>
      </c>
      <c r="L20" s="1891">
        <v>0.95399006622516558</v>
      </c>
      <c r="M20" s="1891">
        <v>0.95030811919728575</v>
      </c>
    </row>
    <row r="21" spans="1:13" ht="17">
      <c r="A21" s="1890" t="s">
        <v>1241</v>
      </c>
      <c r="B21" s="1891">
        <v>0.91861501014688829</v>
      </c>
      <c r="C21" s="1891">
        <v>0.91636074391121547</v>
      </c>
      <c r="D21" s="1891">
        <v>0.90138973268529721</v>
      </c>
      <c r="E21" s="1891">
        <v>0.88841495330535636</v>
      </c>
      <c r="F21" s="1891">
        <v>0.88809982986068847</v>
      </c>
      <c r="G21" s="1891">
        <v>0.90507640146765134</v>
      </c>
      <c r="H21" s="1891">
        <v>0.89082863785591071</v>
      </c>
      <c r="I21" s="1891">
        <v>0.96098550021460427</v>
      </c>
      <c r="J21" s="1891">
        <v>0.95772879579191705</v>
      </c>
      <c r="K21" s="1891">
        <v>0.95159079379990608</v>
      </c>
      <c r="L21" s="1891">
        <v>0.95162579626810984</v>
      </c>
      <c r="M21" s="1891">
        <v>0.95594999063495034</v>
      </c>
    </row>
    <row r="22" spans="1:13" ht="17">
      <c r="A22" s="1890" t="s">
        <v>1242</v>
      </c>
      <c r="B22" s="1891">
        <v>0.9331421191230983</v>
      </c>
      <c r="C22" s="1891">
        <v>0.9307014276846679</v>
      </c>
      <c r="D22" s="1891">
        <v>0.92859517602862429</v>
      </c>
      <c r="E22" s="1891">
        <v>0.92118723344947739</v>
      </c>
      <c r="F22" s="1891">
        <v>0.93265182558664639</v>
      </c>
      <c r="G22" s="1891">
        <v>0.93135347024350534</v>
      </c>
      <c r="H22" s="1891">
        <v>0.9097048640967087</v>
      </c>
      <c r="I22" s="1891">
        <v>0.97882768738330217</v>
      </c>
      <c r="J22" s="1891">
        <v>0.97654186476492344</v>
      </c>
      <c r="K22" s="1891">
        <v>0.97234390323635178</v>
      </c>
      <c r="L22" s="1891">
        <v>0.97724683956731395</v>
      </c>
      <c r="M22" s="1891">
        <v>0.98202434129604455</v>
      </c>
    </row>
    <row r="23" spans="1:13" ht="17">
      <c r="A23" s="1890" t="s">
        <v>1243</v>
      </c>
      <c r="B23" s="1891">
        <v>0.92950091396117773</v>
      </c>
      <c r="C23" s="1891">
        <v>0.93646974465996802</v>
      </c>
      <c r="D23" s="1891">
        <v>0.94228755321152979</v>
      </c>
      <c r="E23" s="1891">
        <v>0.93462540060615251</v>
      </c>
      <c r="F23" s="1891">
        <v>0.93849168761764823</v>
      </c>
      <c r="G23" s="1891">
        <v>0.95282096637779057</v>
      </c>
      <c r="H23" s="1891">
        <v>0.94487679791205514</v>
      </c>
      <c r="I23" s="1891">
        <v>0.97642906474010216</v>
      </c>
      <c r="J23" s="1891">
        <v>0.9753731407733347</v>
      </c>
      <c r="K23" s="1891">
        <v>0.96923743001131868</v>
      </c>
      <c r="L23" s="1891">
        <v>0.96823480790493466</v>
      </c>
      <c r="M23" s="1891">
        <v>0.95526025804308101</v>
      </c>
    </row>
    <row r="24" spans="1:13" ht="17">
      <c r="A24" s="1890" t="s">
        <v>1244</v>
      </c>
      <c r="B24" s="1891">
        <v>0.8663160910393124</v>
      </c>
      <c r="C24" s="1891">
        <v>0.87320540198529351</v>
      </c>
      <c r="D24" s="1891">
        <v>0.88239246967749863</v>
      </c>
      <c r="E24" s="1891">
        <v>0.89031096019910094</v>
      </c>
      <c r="F24" s="1891">
        <v>0.9077718510156777</v>
      </c>
      <c r="G24" s="1891">
        <v>0.99013715940729774</v>
      </c>
      <c r="H24" s="1891">
        <v>0.94145855396292788</v>
      </c>
      <c r="I24" s="1891">
        <v>0.96349520865533234</v>
      </c>
      <c r="J24" s="1891">
        <v>0.9649371368307863</v>
      </c>
      <c r="K24" s="1891">
        <v>0.96186875965268404</v>
      </c>
      <c r="L24" s="1891">
        <v>0.97607560183653208</v>
      </c>
      <c r="M24" s="1891">
        <v>0.97383693218376022</v>
      </c>
    </row>
    <row r="25" spans="1:13" ht="17">
      <c r="A25" s="1890" t="s">
        <v>1245</v>
      </c>
      <c r="B25" s="1891">
        <v>0.9358615462440163</v>
      </c>
      <c r="C25" s="1891">
        <v>0.94512843547116177</v>
      </c>
      <c r="D25" s="1891">
        <v>0.92757639588668483</v>
      </c>
      <c r="E25" s="1891">
        <v>0.92036512438192286</v>
      </c>
      <c r="F25" s="1891">
        <v>0.92262405194357111</v>
      </c>
      <c r="G25" s="1891">
        <v>0.95093055021110684</v>
      </c>
      <c r="H25" s="1891">
        <v>0.94452502149089168</v>
      </c>
      <c r="I25" s="1891">
        <v>0.97009166616949827</v>
      </c>
      <c r="J25" s="1891">
        <v>0.96747757650292732</v>
      </c>
      <c r="K25" s="1891">
        <v>0.96067529480032321</v>
      </c>
      <c r="L25" s="1891">
        <v>0.96608525729298311</v>
      </c>
      <c r="M25" s="1891">
        <v>0.96412450276961981</v>
      </c>
    </row>
    <row r="26" spans="1:13" ht="17">
      <c r="A26" s="1890" t="s">
        <v>1246</v>
      </c>
      <c r="B26" s="1891">
        <v>0.85750747200208122</v>
      </c>
      <c r="C26" s="1891">
        <v>0.86871370134365722</v>
      </c>
      <c r="D26" s="1891">
        <v>0.90757431635476171</v>
      </c>
      <c r="E26" s="1891">
        <v>0.92672688812216486</v>
      </c>
      <c r="F26" s="1891">
        <v>0.9285404783060156</v>
      </c>
      <c r="G26" s="1891">
        <v>0.93432223542330151</v>
      </c>
      <c r="H26" s="1891">
        <v>0.92076470714577208</v>
      </c>
      <c r="I26" s="1891">
        <v>0.96856093414994582</v>
      </c>
      <c r="J26" s="1891">
        <v>0.96916430233940987</v>
      </c>
      <c r="K26" s="1891">
        <v>0.9694296348752709</v>
      </c>
      <c r="L26" s="1891">
        <v>0.97108700562136119</v>
      </c>
      <c r="M26" s="1891">
        <v>0.96675944958909432</v>
      </c>
    </row>
    <row r="27" spans="1:13" ht="17">
      <c r="A27" s="1890" t="s">
        <v>1247</v>
      </c>
      <c r="B27" s="1891">
        <v>0.93516482310321813</v>
      </c>
      <c r="C27" s="1891">
        <v>0.95168501762910518</v>
      </c>
      <c r="D27" s="1891">
        <v>0.94963712568379166</v>
      </c>
      <c r="E27" s="1891">
        <v>0.94214650741059269</v>
      </c>
      <c r="F27" s="1891">
        <v>0.9546773160230636</v>
      </c>
      <c r="G27" s="1891">
        <v>0.95750001525455064</v>
      </c>
      <c r="H27" s="1891">
        <v>0.96271810213215259</v>
      </c>
      <c r="I27" s="1891">
        <v>0.9720464735380977</v>
      </c>
      <c r="J27" s="1891">
        <v>0.97687361118979732</v>
      </c>
      <c r="K27" s="1891">
        <v>0.97696482251559402</v>
      </c>
      <c r="L27" s="1891">
        <v>0.97870704152405674</v>
      </c>
      <c r="M27" s="1891">
        <v>0.97655338006855874</v>
      </c>
    </row>
    <row r="28" spans="1:13" ht="17">
      <c r="A28" s="1890" t="s">
        <v>1248</v>
      </c>
      <c r="B28" s="1891">
        <v>0.81788155411202346</v>
      </c>
      <c r="C28" s="1891">
        <v>0.84011880458078825</v>
      </c>
      <c r="D28" s="1891">
        <v>0.83663640127216199</v>
      </c>
      <c r="E28" s="1891">
        <v>0.83779215206437985</v>
      </c>
      <c r="F28" s="1891">
        <v>0.82418004450497773</v>
      </c>
      <c r="G28" s="1891">
        <v>0.85861566472516071</v>
      </c>
      <c r="H28" s="1891">
        <v>0.9298746492987543</v>
      </c>
      <c r="I28" s="1891">
        <v>0.96386430278611346</v>
      </c>
      <c r="J28" s="1891">
        <v>0.968826912053939</v>
      </c>
      <c r="K28" s="1891">
        <v>0.97321521550034307</v>
      </c>
      <c r="L28" s="1891">
        <v>0.98652698034217479</v>
      </c>
      <c r="M28" s="1891">
        <v>0.98402714010608072</v>
      </c>
    </row>
    <row r="29" spans="1:13" ht="17">
      <c r="A29" s="1890" t="s">
        <v>1249</v>
      </c>
      <c r="B29" s="1891">
        <v>0.81969753838067039</v>
      </c>
      <c r="C29" s="1891">
        <v>0.88924633865150204</v>
      </c>
      <c r="D29" s="1891">
        <v>0.88289777985394846</v>
      </c>
      <c r="E29" s="1891">
        <v>0.87124729575442261</v>
      </c>
      <c r="F29" s="1891">
        <v>0.90809738984900101</v>
      </c>
      <c r="G29" s="1891">
        <v>0.92419956688128979</v>
      </c>
      <c r="H29" s="1891">
        <v>0.93977676874699123</v>
      </c>
      <c r="I29" s="1891">
        <v>0.96235029659268057</v>
      </c>
      <c r="J29" s="1891">
        <v>0.96666284121095924</v>
      </c>
      <c r="K29" s="1891">
        <v>0.99357568294674292</v>
      </c>
      <c r="L29" s="1891">
        <v>0.9789353585657371</v>
      </c>
      <c r="M29" s="1891">
        <v>0.9783101202486999</v>
      </c>
    </row>
    <row r="30" spans="1:13" ht="17">
      <c r="A30" s="1890" t="s">
        <v>1250</v>
      </c>
      <c r="B30" s="1891">
        <v>0.94103833268179504</v>
      </c>
      <c r="C30" s="1891">
        <v>0.95195107664885725</v>
      </c>
      <c r="D30" s="1891">
        <v>0.92079797810269381</v>
      </c>
      <c r="E30" s="1891">
        <v>0.93702252667254449</v>
      </c>
      <c r="F30" s="1891">
        <v>0.92162201868416072</v>
      </c>
      <c r="G30" s="1891">
        <v>0.93079877530309851</v>
      </c>
      <c r="H30" s="1891">
        <v>0.97329407081754316</v>
      </c>
      <c r="I30" s="1891">
        <v>0.97780215812433768</v>
      </c>
      <c r="J30" s="1891">
        <v>0.98983836111193346</v>
      </c>
      <c r="K30" s="1891">
        <v>0.99096619952480058</v>
      </c>
      <c r="L30" s="1891">
        <v>1.0002573174273</v>
      </c>
      <c r="M30" s="1891">
        <v>0.99683220559569863</v>
      </c>
    </row>
    <row r="31" spans="1:13" ht="17">
      <c r="A31" s="1890" t="s">
        <v>1251</v>
      </c>
      <c r="B31" s="1891">
        <v>0.89296752657460232</v>
      </c>
      <c r="C31" s="1891">
        <v>0.93585622518832745</v>
      </c>
      <c r="D31" s="1891">
        <v>0.93741203912847171</v>
      </c>
      <c r="E31" s="1891">
        <v>0.92540107764166857</v>
      </c>
      <c r="F31" s="1891">
        <v>0.91390026278909775</v>
      </c>
      <c r="G31" s="1891">
        <v>0.86261644729365106</v>
      </c>
      <c r="H31" s="1891">
        <v>0.91885573438818224</v>
      </c>
      <c r="I31" s="1891">
        <v>0.9572086652326447</v>
      </c>
      <c r="J31" s="1891">
        <v>0.96792875059469996</v>
      </c>
      <c r="K31" s="1891">
        <v>0.99159668008469881</v>
      </c>
      <c r="L31" s="1891">
        <v>0.99322265984918656</v>
      </c>
      <c r="M31" s="1891">
        <v>1.0003865024092391</v>
      </c>
    </row>
    <row r="32" spans="1:13" s="1864" customFormat="1" ht="17">
      <c r="A32" s="1890" t="s">
        <v>1252</v>
      </c>
      <c r="B32" s="1891">
        <v>0.93884879242343955</v>
      </c>
      <c r="C32" s="1891">
        <v>0.9469581137624854</v>
      </c>
      <c r="D32" s="1891">
        <v>0.94042241908563018</v>
      </c>
      <c r="E32" s="1891">
        <v>0.9422726463825819</v>
      </c>
      <c r="F32" s="1891">
        <v>0.90531670730225011</v>
      </c>
      <c r="G32" s="1891">
        <v>0.88577289548202487</v>
      </c>
      <c r="H32" s="1891">
        <v>0.91854964466769629</v>
      </c>
      <c r="I32" s="1891">
        <v>0.96556360974349398</v>
      </c>
      <c r="J32" s="1891">
        <v>0.94594729047749138</v>
      </c>
      <c r="K32" s="1891">
        <v>0.92320853155496785</v>
      </c>
      <c r="L32" s="1891">
        <v>0.93504540417632076</v>
      </c>
      <c r="M32" s="1891">
        <v>0.94460009458433047</v>
      </c>
    </row>
    <row r="33" spans="1:13" s="1864" customFormat="1" ht="17">
      <c r="A33" s="1890" t="s">
        <v>1253</v>
      </c>
      <c r="B33" s="1893">
        <v>0.90249179120774492</v>
      </c>
      <c r="C33" s="1893">
        <v>0.92271469418859131</v>
      </c>
      <c r="D33" s="1893">
        <v>0.91938864016755539</v>
      </c>
      <c r="E33" s="1893">
        <v>0.91473209358692276</v>
      </c>
      <c r="F33" s="1893">
        <v>0.91889966776198506</v>
      </c>
      <c r="G33" s="1893">
        <v>0.93313052570889743</v>
      </c>
      <c r="H33" s="1893">
        <v>0.93949236707673822</v>
      </c>
      <c r="I33" s="1893">
        <v>0.96904086251364729</v>
      </c>
      <c r="J33" s="1893">
        <v>0.9692576422088135</v>
      </c>
      <c r="K33" s="1893">
        <v>0.97080258201323855</v>
      </c>
      <c r="L33" s="1893">
        <v>0.97655193574834442</v>
      </c>
      <c r="M33" s="1893">
        <v>0.97315970104965654</v>
      </c>
    </row>
    <row r="35" spans="1:13">
      <c r="A35" s="1865" t="s">
        <v>1254</v>
      </c>
    </row>
    <row r="37" spans="1:13">
      <c r="A37" s="1894" t="s">
        <v>1255</v>
      </c>
    </row>
  </sheetData>
  <phoneticPr fontId="77" type="noConversion"/>
  <pageMargins left="0.44" right="0.78740157480314965" top="0.52" bottom="0.59" header="0.35" footer="0.3"/>
  <pageSetup paperSize="9" scale="95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93A6-2CC9-FC4A-B478-F8DBBFF2B747}">
  <sheetPr>
    <pageSetUpPr fitToPage="1"/>
  </sheetPr>
  <dimension ref="A1:M24"/>
  <sheetViews>
    <sheetView topLeftCell="A21" workbookViewId="0">
      <selection activeCell="A22" sqref="A22"/>
    </sheetView>
  </sheetViews>
  <sheetFormatPr baseColWidth="10" defaultColWidth="11.3984375" defaultRowHeight="13"/>
  <cols>
    <col min="1" max="1" width="16.19921875" style="1865" customWidth="1"/>
    <col min="2" max="2" width="0.3984375" style="1865" customWidth="1"/>
    <col min="3" max="16384" width="11.3984375" style="1865"/>
  </cols>
  <sheetData>
    <row r="1" spans="1:13">
      <c r="A1" s="1864" t="s">
        <v>1256</v>
      </c>
    </row>
    <row r="3" spans="1:13">
      <c r="A3" s="1864" t="s">
        <v>1257</v>
      </c>
    </row>
    <row r="4" spans="1:13">
      <c r="A4" s="1864"/>
    </row>
    <row r="6" spans="1:13">
      <c r="B6" s="1889">
        <v>1997</v>
      </c>
      <c r="C6" s="1889">
        <v>1998</v>
      </c>
      <c r="D6" s="1889">
        <v>1999</v>
      </c>
      <c r="E6" s="1889">
        <v>2000</v>
      </c>
      <c r="F6" s="1889">
        <v>2001</v>
      </c>
      <c r="G6" s="1889">
        <v>2002</v>
      </c>
      <c r="H6" s="1889">
        <v>2003</v>
      </c>
      <c r="I6" s="1889">
        <v>2004</v>
      </c>
      <c r="J6" s="1889">
        <v>2005</v>
      </c>
      <c r="K6" s="1889">
        <v>2006</v>
      </c>
      <c r="L6" s="1889">
        <v>2007</v>
      </c>
      <c r="M6" s="1889">
        <v>2008</v>
      </c>
    </row>
    <row r="7" spans="1:13" ht="16">
      <c r="A7" s="1898" t="s">
        <v>1271</v>
      </c>
      <c r="B7" s="1896">
        <v>0.88754099004874798</v>
      </c>
      <c r="C7" s="1896">
        <v>0.9107789761027324</v>
      </c>
      <c r="D7" s="1896">
        <v>0.90843922407433253</v>
      </c>
      <c r="E7" s="1896">
        <v>0.90462414559451954</v>
      </c>
      <c r="F7" s="1896">
        <v>0.90888672575043006</v>
      </c>
      <c r="G7" s="1896">
        <v>0.92353823916669631</v>
      </c>
      <c r="H7" s="1896">
        <v>0.92516104070352623</v>
      </c>
      <c r="I7" s="1896">
        <v>0.96803521532595982</v>
      </c>
      <c r="J7" s="1896">
        <v>0.96788777235118473</v>
      </c>
      <c r="K7" s="1896">
        <v>0.97102403530784154</v>
      </c>
      <c r="L7" s="1896">
        <v>0.97879338163855523</v>
      </c>
      <c r="M7" s="1896">
        <v>0.97512906733327909</v>
      </c>
    </row>
    <row r="8" spans="1:13" ht="16">
      <c r="A8" s="1898" t="s">
        <v>1272</v>
      </c>
      <c r="B8" s="1896">
        <v>0.89619117530430958</v>
      </c>
      <c r="C8" s="1896">
        <v>0.91968192199851606</v>
      </c>
      <c r="D8" s="1896">
        <v>0.91735381671326577</v>
      </c>
      <c r="E8" s="1896">
        <v>0.91314186318849611</v>
      </c>
      <c r="F8" s="1896">
        <v>0.92096616591039326</v>
      </c>
      <c r="G8" s="1896">
        <v>0.92852957572471351</v>
      </c>
      <c r="H8" s="1896">
        <v>0.93694665099267149</v>
      </c>
      <c r="I8" s="1896">
        <v>0.96931039108818084</v>
      </c>
      <c r="J8" s="1896">
        <v>0.96951451951064294</v>
      </c>
      <c r="K8" s="1896">
        <v>0.97241720684129762</v>
      </c>
      <c r="L8" s="1896">
        <v>0.98265355668069976</v>
      </c>
      <c r="M8" s="1896">
        <v>0.97908480768376227</v>
      </c>
    </row>
    <row r="9" spans="1:13" ht="16">
      <c r="A9" s="1895" t="s">
        <v>1258</v>
      </c>
      <c r="B9" s="1896">
        <v>0.88625249963593222</v>
      </c>
      <c r="C9" s="1896">
        <v>0.91285772572280499</v>
      </c>
      <c r="D9" s="1896">
        <v>0.91428803740974729</v>
      </c>
      <c r="E9" s="1896">
        <v>0.90837715802753249</v>
      </c>
      <c r="F9" s="1896">
        <v>0.90773603898664657</v>
      </c>
      <c r="G9" s="1896">
        <v>0.92132667029448467</v>
      </c>
      <c r="H9" s="1896">
        <v>0.92655729153123212</v>
      </c>
      <c r="I9" s="1896">
        <v>0.97300004651398797</v>
      </c>
      <c r="J9" s="1896">
        <v>0.97161825312487404</v>
      </c>
      <c r="K9" s="1896">
        <v>0.96935683926942928</v>
      </c>
      <c r="L9" s="1896">
        <v>0.98079395253021362</v>
      </c>
      <c r="M9" s="1896">
        <v>0.97678075320032731</v>
      </c>
    </row>
    <row r="10" spans="1:13" ht="16">
      <c r="A10" s="1895" t="s">
        <v>1259</v>
      </c>
      <c r="B10" s="1896">
        <v>0.88449857621572292</v>
      </c>
      <c r="C10" s="1896">
        <v>0.90876369581829586</v>
      </c>
      <c r="D10" s="1896">
        <v>0.90866587570779667</v>
      </c>
      <c r="E10" s="1896">
        <v>0.90328055876474089</v>
      </c>
      <c r="F10" s="1896">
        <v>0.90651483922141896</v>
      </c>
      <c r="G10" s="1896">
        <v>0.9234057044671764</v>
      </c>
      <c r="H10" s="1896">
        <v>0.93001482031426541</v>
      </c>
      <c r="I10" s="1896">
        <v>0.97213892842102212</v>
      </c>
      <c r="J10" s="1896">
        <v>0.97172869910847781</v>
      </c>
      <c r="K10" s="1896">
        <v>0.97203230935838869</v>
      </c>
      <c r="L10" s="1896">
        <v>0.98157930265720172</v>
      </c>
      <c r="M10" s="1896">
        <v>0.97711961783885304</v>
      </c>
    </row>
    <row r="11" spans="1:13" ht="16">
      <c r="A11" s="1895" t="s">
        <v>1260</v>
      </c>
      <c r="B11" s="1896">
        <v>0.915309468010295</v>
      </c>
      <c r="C11" s="1896">
        <v>0.93664962486486647</v>
      </c>
      <c r="D11" s="1896">
        <v>0.93592604492004428</v>
      </c>
      <c r="E11" s="1896">
        <v>0.92957708460241795</v>
      </c>
      <c r="F11" s="1896">
        <v>0.93056845668884636</v>
      </c>
      <c r="G11" s="1896">
        <v>0.94705199646178473</v>
      </c>
      <c r="H11" s="1896">
        <v>0.92898258489605223</v>
      </c>
      <c r="I11" s="1896">
        <v>0.96563129629922129</v>
      </c>
      <c r="J11" s="1896">
        <v>0.96602950444367264</v>
      </c>
      <c r="K11" s="1896">
        <v>0.96833193218783553</v>
      </c>
      <c r="L11" s="1896">
        <v>0.97659708777734744</v>
      </c>
      <c r="M11" s="1896">
        <v>0.97350267961957915</v>
      </c>
    </row>
    <row r="12" spans="1:13" ht="16">
      <c r="A12" s="1895" t="s">
        <v>1261</v>
      </c>
      <c r="B12" s="1896">
        <v>0.8740693042176928</v>
      </c>
      <c r="C12" s="1896">
        <v>0.89015826516630647</v>
      </c>
      <c r="D12" s="1896">
        <v>0.88506572863833355</v>
      </c>
      <c r="E12" s="1896">
        <v>0.87876031030436397</v>
      </c>
      <c r="F12" s="1896">
        <v>0.88196869533359123</v>
      </c>
      <c r="G12" s="1896">
        <v>0.8983614047806503</v>
      </c>
      <c r="H12" s="1896">
        <v>0.93092142532009703</v>
      </c>
      <c r="I12" s="1896">
        <v>0.96242673932369693</v>
      </c>
      <c r="J12" s="1896">
        <v>0.96271474827808856</v>
      </c>
      <c r="K12" s="1896">
        <v>0.96386312123910911</v>
      </c>
      <c r="L12" s="1896">
        <v>0.97058089947426462</v>
      </c>
      <c r="M12" s="1896">
        <v>0.96689215859708499</v>
      </c>
    </row>
    <row r="13" spans="1:13" ht="16">
      <c r="A13" s="1895" t="s">
        <v>1262</v>
      </c>
      <c r="B13" s="1896">
        <v>0.9398637012521478</v>
      </c>
      <c r="C13" s="1896">
        <v>0.95377671257180463</v>
      </c>
      <c r="D13" s="1896">
        <v>0.95173314614658489</v>
      </c>
      <c r="E13" s="1896">
        <v>0.94408242943799614</v>
      </c>
      <c r="F13" s="1896">
        <v>0.94432776248139672</v>
      </c>
      <c r="G13" s="1896">
        <v>0.95549379610400642</v>
      </c>
      <c r="H13" s="1896">
        <v>0.93722994892648026</v>
      </c>
      <c r="I13" s="1896">
        <v>0.96294643090685561</v>
      </c>
      <c r="J13" s="1896">
        <v>0.96232712378286989</v>
      </c>
      <c r="K13" s="1896">
        <v>0.96343909999218857</v>
      </c>
      <c r="L13" s="1896">
        <v>0.96768169766799839</v>
      </c>
      <c r="M13" s="1896">
        <v>0.96380734593804529</v>
      </c>
    </row>
    <row r="14" spans="1:13" ht="16">
      <c r="A14" s="1895" t="s">
        <v>1263</v>
      </c>
      <c r="B14" s="1896">
        <v>0.89418540099958976</v>
      </c>
      <c r="C14" s="1896">
        <v>0.90842245202063476</v>
      </c>
      <c r="D14" s="1896">
        <v>0.90142953137629911</v>
      </c>
      <c r="E14" s="1896">
        <v>0.89757794285426606</v>
      </c>
      <c r="F14" s="1896">
        <v>0.90087174035658935</v>
      </c>
      <c r="G14" s="1896">
        <v>0.91519593381390762</v>
      </c>
      <c r="H14" s="1896">
        <v>0.94535887369328919</v>
      </c>
      <c r="I14" s="1896">
        <v>0.96607319257574042</v>
      </c>
      <c r="J14" s="1896">
        <v>0.96506406583782811</v>
      </c>
      <c r="K14" s="1896">
        <v>0.96593242950086466</v>
      </c>
      <c r="L14" s="1896">
        <v>0.96838610746323139</v>
      </c>
      <c r="M14" s="1896">
        <v>0.96467997792216598</v>
      </c>
    </row>
    <row r="15" spans="1:13" ht="16">
      <c r="A15" s="1895" t="s">
        <v>1264</v>
      </c>
      <c r="B15" s="1896">
        <v>0.95235102771621394</v>
      </c>
      <c r="C15" s="1896">
        <v>0.96540132385013055</v>
      </c>
      <c r="D15" s="1896">
        <v>0.95866896340513996</v>
      </c>
      <c r="E15" s="1896">
        <v>0.95454685104985348</v>
      </c>
      <c r="F15" s="1896">
        <v>0.95567876703776078</v>
      </c>
      <c r="G15" s="1896">
        <v>0.96707158813828931</v>
      </c>
      <c r="H15" s="1896">
        <v>0.95242875880068578</v>
      </c>
      <c r="I15" s="1896">
        <v>0.96935003109797147</v>
      </c>
      <c r="J15" s="1896">
        <v>0.96941302658300488</v>
      </c>
      <c r="K15" s="1896">
        <v>0.97102318537771026</v>
      </c>
      <c r="L15" s="1896">
        <v>0.97186074526692401</v>
      </c>
      <c r="M15" s="1896">
        <v>0.96846410493382284</v>
      </c>
    </row>
    <row r="16" spans="1:13" ht="16">
      <c r="A16" s="1895" t="s">
        <v>1265</v>
      </c>
      <c r="B16" s="1896">
        <v>0.89858825283280575</v>
      </c>
      <c r="C16" s="1896">
        <v>0.91335337084128998</v>
      </c>
      <c r="D16" s="1896">
        <v>0.90534668692938591</v>
      </c>
      <c r="E16" s="1896">
        <v>0.90151526401600546</v>
      </c>
      <c r="F16" s="1896">
        <v>0.90848582506407916</v>
      </c>
      <c r="G16" s="1896">
        <v>0.92146815401560989</v>
      </c>
      <c r="H16" s="1896">
        <v>0.95828780467330066</v>
      </c>
      <c r="I16" s="1896">
        <v>0.97185930562631928</v>
      </c>
      <c r="J16" s="1896">
        <v>0.97197960883683576</v>
      </c>
      <c r="K16" s="1896">
        <v>0.97362957522340565</v>
      </c>
      <c r="L16" s="1896">
        <v>0.97501616633543697</v>
      </c>
      <c r="M16" s="1896">
        <v>0.97248952446416015</v>
      </c>
    </row>
    <row r="17" spans="1:13" ht="16">
      <c r="A17" s="1895" t="s">
        <v>1266</v>
      </c>
      <c r="B17" s="1896">
        <v>0.95612472962829087</v>
      </c>
      <c r="C17" s="1896">
        <v>0.97075212942050504</v>
      </c>
      <c r="D17" s="1896">
        <v>0.96316122982157926</v>
      </c>
      <c r="E17" s="1896">
        <v>0.95907286280063742</v>
      </c>
      <c r="F17" s="1896">
        <v>0.96588910178692267</v>
      </c>
      <c r="G17" s="1896">
        <v>0.97886623749068613</v>
      </c>
      <c r="H17" s="1896">
        <v>0.96425981139760175</v>
      </c>
      <c r="I17" s="1896">
        <v>0.97525613952884638</v>
      </c>
      <c r="J17" s="1896">
        <v>0.97704016269705529</v>
      </c>
      <c r="K17" s="1896">
        <v>0.97783660611934864</v>
      </c>
      <c r="L17" s="1896">
        <v>0.97893641250851826</v>
      </c>
      <c r="M17" s="1896">
        <v>0.97604710704457576</v>
      </c>
    </row>
    <row r="18" spans="1:13" ht="16">
      <c r="A18" s="1895" t="s">
        <v>1267</v>
      </c>
      <c r="B18" s="1896">
        <v>0.89636565286988346</v>
      </c>
      <c r="C18" s="1896">
        <v>0.91377990203418502</v>
      </c>
      <c r="D18" s="1896">
        <v>0.90631141660852266</v>
      </c>
      <c r="E18" s="1896">
        <v>0.90259621109708921</v>
      </c>
      <c r="F18" s="1896">
        <v>0.91135793314629476</v>
      </c>
      <c r="G18" s="1896">
        <v>0.92690031809859963</v>
      </c>
      <c r="H18" s="1896">
        <v>0.96766944329224325</v>
      </c>
      <c r="I18" s="1896">
        <v>0.97575558697912723</v>
      </c>
      <c r="J18" s="1896">
        <v>0.97845942781492778</v>
      </c>
      <c r="K18" s="1896">
        <v>0.97952618963694049</v>
      </c>
      <c r="L18" s="1896">
        <v>0.98066395749107993</v>
      </c>
      <c r="M18" s="1896">
        <v>0.97910972667412965</v>
      </c>
    </row>
    <row r="19" spans="1:13" ht="16">
      <c r="A19" s="1895" t="s">
        <v>1268</v>
      </c>
      <c r="B19" s="1896">
        <v>0.94625065104871942</v>
      </c>
      <c r="C19" s="1896">
        <v>0.96317358217869387</v>
      </c>
      <c r="D19" s="1896">
        <v>0.9565334662095285</v>
      </c>
      <c r="E19" s="1896">
        <v>0.95366672030445265</v>
      </c>
      <c r="F19" s="1896">
        <v>0.96593593162953306</v>
      </c>
      <c r="G19" s="1896">
        <v>0.98233798611198497</v>
      </c>
      <c r="H19" s="1896">
        <v>0.97103674020292818</v>
      </c>
      <c r="I19" s="1896">
        <v>0.97630529685043843</v>
      </c>
      <c r="J19" s="1896">
        <v>0.97895566813617541</v>
      </c>
      <c r="K19" s="1896">
        <v>0.97942780465743362</v>
      </c>
      <c r="L19" s="1896">
        <v>0.98013515623351688</v>
      </c>
      <c r="M19" s="1896">
        <v>0.97862421976673819</v>
      </c>
    </row>
    <row r="20" spans="1:13" ht="16">
      <c r="A20" s="1895" t="s">
        <v>1269</v>
      </c>
      <c r="B20" s="1896">
        <v>0.88607553341492507</v>
      </c>
      <c r="C20" s="1896">
        <v>0.91082489435621661</v>
      </c>
      <c r="D20" s="1896">
        <v>0.90234170703792804</v>
      </c>
      <c r="E20" s="1896">
        <v>0.89762658715599675</v>
      </c>
      <c r="F20" s="1896">
        <v>0.90518167273412997</v>
      </c>
      <c r="G20" s="1896">
        <v>0.92434889797581399</v>
      </c>
      <c r="H20" s="1896">
        <v>0.97256778096407237</v>
      </c>
      <c r="I20" s="1896">
        <v>0.97550189576893342</v>
      </c>
      <c r="J20" s="1896">
        <v>0.9792134929600429</v>
      </c>
      <c r="K20" s="1896">
        <v>0.98113386215163667</v>
      </c>
      <c r="L20" s="1896">
        <v>0.98126808100289298</v>
      </c>
      <c r="M20" s="1896">
        <v>0.97941718307018244</v>
      </c>
    </row>
    <row r="21" spans="1:13" ht="16">
      <c r="A21" s="1895" t="s">
        <v>1270</v>
      </c>
      <c r="B21" s="1896">
        <v>0.92614090922477366</v>
      </c>
      <c r="C21" s="1896">
        <v>0.95703910480456234</v>
      </c>
      <c r="D21" s="1896">
        <v>0.95134041578234618</v>
      </c>
      <c r="E21" s="1896">
        <v>0.94695729606687484</v>
      </c>
      <c r="F21" s="1896">
        <v>0.9598217381284232</v>
      </c>
      <c r="G21" s="1896">
        <v>0.97890033194314408</v>
      </c>
      <c r="H21" s="1896">
        <v>0.97396619861632139</v>
      </c>
      <c r="I21" s="1896">
        <v>0.97630571975884639</v>
      </c>
      <c r="J21" s="1896">
        <v>0.97869949050268834</v>
      </c>
      <c r="K21" s="1896">
        <v>0.98022143069814627</v>
      </c>
      <c r="L21" s="1896">
        <v>0.97989620091211127</v>
      </c>
      <c r="M21" s="1896">
        <v>0.97774105279735424</v>
      </c>
    </row>
    <row r="22" spans="1:13" s="1864" customFormat="1" ht="17">
      <c r="A22" s="1929" t="s">
        <v>979</v>
      </c>
      <c r="B22" s="1897">
        <v>0.90249179120774492</v>
      </c>
      <c r="C22" s="1897">
        <v>0.92271469418859131</v>
      </c>
      <c r="D22" s="1897">
        <v>0.91938865200547892</v>
      </c>
      <c r="E22" s="1897">
        <v>0.91473209358692265</v>
      </c>
      <c r="F22" s="1897">
        <v>0.91889966650253818</v>
      </c>
      <c r="G22" s="1897">
        <v>0.93313052570889732</v>
      </c>
      <c r="H22" s="1897">
        <v>0.93949236707673822</v>
      </c>
      <c r="I22" s="1897">
        <v>0.96904047028124995</v>
      </c>
      <c r="J22" s="1897">
        <v>0.96925842337126122</v>
      </c>
      <c r="K22" s="1897">
        <v>0.97080297091882239</v>
      </c>
      <c r="L22" s="1897">
        <v>0.97655219557101081</v>
      </c>
      <c r="M22" s="1897">
        <v>0.97315970104965654</v>
      </c>
    </row>
    <row r="24" spans="1:13">
      <c r="A24" s="1865" t="s">
        <v>1254</v>
      </c>
    </row>
  </sheetData>
  <phoneticPr fontId="77" type="noConversion"/>
  <pageMargins left="0.44" right="0.78740157480314965" top="0.54" bottom="0.59" header="0.37" footer="0.3"/>
  <pageSetup paperSize="9" scale="96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CBAA-B9F7-8D42-926E-CB144C22BDA7}">
  <sheetPr>
    <pageSetUpPr fitToPage="1"/>
  </sheetPr>
  <dimension ref="A1:N85"/>
  <sheetViews>
    <sheetView topLeftCell="B67" workbookViewId="0">
      <selection activeCell="L10" sqref="L10"/>
    </sheetView>
  </sheetViews>
  <sheetFormatPr baseColWidth="10" defaultColWidth="11.3984375" defaultRowHeight="13"/>
  <cols>
    <col min="1" max="1" width="3.796875" style="1865" customWidth="1"/>
    <col min="2" max="2" width="22.796875" style="1933" customWidth="1"/>
    <col min="3" max="10" width="9.19921875" style="1865" customWidth="1"/>
    <col min="11" max="12" width="9.19921875" style="1867" customWidth="1"/>
    <col min="13" max="13" width="9.19921875" style="1864" customWidth="1"/>
    <col min="14" max="14" width="11.3984375" style="1897"/>
    <col min="15" max="16384" width="11.3984375" style="1865"/>
  </cols>
  <sheetData>
    <row r="1" spans="1:14">
      <c r="B1" s="1930" t="s">
        <v>481</v>
      </c>
      <c r="C1" s="1871"/>
      <c r="D1" s="1871"/>
      <c r="E1" s="1871"/>
    </row>
    <row r="3" spans="1:14">
      <c r="B3" s="1930" t="s">
        <v>482</v>
      </c>
      <c r="L3" s="1931"/>
      <c r="M3" s="1932"/>
    </row>
    <row r="4" spans="1:14">
      <c r="K4" s="1934"/>
      <c r="M4" s="1932"/>
      <c r="N4" s="1935"/>
    </row>
    <row r="5" spans="1:14" ht="26">
      <c r="C5" s="1936">
        <v>1998</v>
      </c>
      <c r="D5" s="1936">
        <v>1999</v>
      </c>
      <c r="E5" s="1936">
        <v>2000</v>
      </c>
      <c r="F5" s="1936">
        <v>2001</v>
      </c>
      <c r="G5" s="1936">
        <v>2002</v>
      </c>
      <c r="H5" s="1936">
        <v>2003</v>
      </c>
      <c r="I5" s="1936">
        <v>2004</v>
      </c>
      <c r="J5" s="1936">
        <v>2005</v>
      </c>
      <c r="K5" s="1937">
        <v>2006</v>
      </c>
      <c r="L5" s="1937">
        <v>2007</v>
      </c>
      <c r="M5" s="1938">
        <v>2008</v>
      </c>
      <c r="N5" s="1939" t="s">
        <v>483</v>
      </c>
    </row>
    <row r="6" spans="1:14">
      <c r="A6" s="1930">
        <v>1</v>
      </c>
      <c r="B6" s="1930" t="s">
        <v>164</v>
      </c>
      <c r="C6" s="1940">
        <v>1935.2609068839854</v>
      </c>
      <c r="D6" s="1941">
        <v>2010.9299604622606</v>
      </c>
      <c r="E6" s="1942">
        <v>2130.500577485856</v>
      </c>
      <c r="F6" s="1940">
        <v>2244.3978355168092</v>
      </c>
      <c r="G6" s="1941">
        <v>2327.6302215005462</v>
      </c>
      <c r="H6" s="1941">
        <v>2431.2115563163402</v>
      </c>
      <c r="I6" s="1941">
        <v>2592.2163089311489</v>
      </c>
      <c r="J6" s="1941">
        <v>2736.4253387803569</v>
      </c>
      <c r="K6" s="1943">
        <v>2754.94</v>
      </c>
      <c r="L6" s="1944">
        <v>2862.81</v>
      </c>
      <c r="M6" s="1945">
        <v>2983.62</v>
      </c>
      <c r="N6" s="1946">
        <v>4.2199796703239034E-2</v>
      </c>
    </row>
    <row r="7" spans="1:14">
      <c r="B7" s="1947" t="s">
        <v>484</v>
      </c>
      <c r="C7" s="1948">
        <v>1941.6</v>
      </c>
      <c r="D7" s="1948">
        <v>2023.3</v>
      </c>
      <c r="E7" s="1949">
        <v>2168.3000000000002</v>
      </c>
      <c r="F7" s="1948">
        <v>2284.1</v>
      </c>
      <c r="G7" s="1948">
        <v>2360</v>
      </c>
      <c r="H7" s="1948">
        <v>2463.4</v>
      </c>
      <c r="I7" s="1948">
        <v>2598</v>
      </c>
      <c r="J7" s="1948">
        <v>2733.1</v>
      </c>
      <c r="K7" s="1948">
        <v>2758.2</v>
      </c>
      <c r="L7" s="1950">
        <v>2860.56</v>
      </c>
      <c r="M7" s="1951">
        <v>2974.68</v>
      </c>
      <c r="N7" s="1952">
        <v>3.9894286433425519E-2</v>
      </c>
    </row>
    <row r="8" spans="1:14" s="1896" customFormat="1">
      <c r="B8" s="1953" t="s">
        <v>485</v>
      </c>
      <c r="C8" s="1954">
        <f t="shared" ref="C8:L8" si="0">(C7/C6)-1</f>
        <v>3.2755754500415346E-3</v>
      </c>
      <c r="D8" s="1954">
        <f t="shared" si="0"/>
        <v>6.1514024759448116E-3</v>
      </c>
      <c r="E8" s="1955">
        <f t="shared" si="0"/>
        <v>1.7742038145209138E-2</v>
      </c>
      <c r="F8" s="1954">
        <f t="shared" si="0"/>
        <v>1.768945053096993E-2</v>
      </c>
      <c r="G8" s="1954">
        <f t="shared" si="0"/>
        <v>1.3906752971520664E-2</v>
      </c>
      <c r="H8" s="1954">
        <f t="shared" si="0"/>
        <v>1.3239672047475004E-2</v>
      </c>
      <c r="I8" s="1954">
        <f t="shared" si="0"/>
        <v>2.2311760978142026E-3</v>
      </c>
      <c r="J8" s="1954">
        <f t="shared" si="0"/>
        <v>-1.2152126839459765E-3</v>
      </c>
      <c r="K8" s="1954">
        <f t="shared" si="0"/>
        <v>1.183328856526833E-3</v>
      </c>
      <c r="L8" s="1956">
        <f t="shared" si="0"/>
        <v>-7.8594108585616773E-4</v>
      </c>
      <c r="M8" s="1957">
        <v>-2.9963601262895656E-3</v>
      </c>
      <c r="N8" s="1952"/>
    </row>
    <row r="9" spans="1:14">
      <c r="B9" s="1947" t="s">
        <v>486</v>
      </c>
      <c r="C9" s="1949" t="s">
        <v>1060</v>
      </c>
      <c r="D9" s="1949" t="s">
        <v>1060</v>
      </c>
      <c r="E9" s="1949" t="s">
        <v>1060</v>
      </c>
      <c r="F9" s="1949" t="s">
        <v>1060</v>
      </c>
      <c r="G9" s="1949" t="s">
        <v>1060</v>
      </c>
      <c r="H9" s="1949" t="s">
        <v>1060</v>
      </c>
      <c r="I9" s="1949" t="s">
        <v>1060</v>
      </c>
      <c r="J9" s="1948">
        <v>2733.19</v>
      </c>
      <c r="K9" s="1948">
        <v>2758.07</v>
      </c>
      <c r="L9" s="1950">
        <v>2861.78</v>
      </c>
      <c r="M9" s="1951">
        <v>3043.71</v>
      </c>
      <c r="N9" s="1952">
        <v>4.3005815208638332E-2</v>
      </c>
    </row>
    <row r="10" spans="1:14" s="1896" customFormat="1">
      <c r="B10" s="1953" t="s">
        <v>487</v>
      </c>
      <c r="C10" s="1955" t="s">
        <v>1060</v>
      </c>
      <c r="D10" s="1955" t="s">
        <v>1060</v>
      </c>
      <c r="E10" s="1955" t="s">
        <v>1060</v>
      </c>
      <c r="F10" s="1955" t="s">
        <v>1060</v>
      </c>
      <c r="G10" s="1955" t="s">
        <v>1060</v>
      </c>
      <c r="H10" s="1955" t="s">
        <v>1060</v>
      </c>
      <c r="I10" s="1955" t="s">
        <v>1060</v>
      </c>
      <c r="J10" s="1954">
        <f>(J9/J6)-1</f>
        <v>-1.1823230601273327E-3</v>
      </c>
      <c r="K10" s="1954">
        <f>(K9/K6)-1</f>
        <v>1.1361408959904562E-3</v>
      </c>
      <c r="L10" s="1956">
        <f>(L9/L6)-1</f>
        <v>-3.5978636374744966E-4</v>
      </c>
      <c r="M10" s="1957">
        <v>2.0139964204556993E-2</v>
      </c>
      <c r="N10" s="1952"/>
    </row>
    <row r="11" spans="1:14">
      <c r="C11" s="1941"/>
      <c r="D11" s="1941"/>
      <c r="E11" s="1958"/>
      <c r="F11" s="1941"/>
      <c r="G11" s="1941"/>
      <c r="H11" s="1948"/>
      <c r="I11" s="1948"/>
      <c r="J11" s="1941"/>
      <c r="K11" s="1943"/>
      <c r="L11" s="1944"/>
      <c r="M11" s="1945"/>
      <c r="N11" s="1959"/>
    </row>
    <row r="12" spans="1:14">
      <c r="A12" s="1930">
        <v>2</v>
      </c>
      <c r="B12" s="1930" t="s">
        <v>807</v>
      </c>
      <c r="C12" s="1940">
        <v>517.22900730492677</v>
      </c>
      <c r="D12" s="1941">
        <v>517.77987880375031</v>
      </c>
      <c r="E12" s="1942">
        <v>529.43047713091312</v>
      </c>
      <c r="F12" s="1940">
        <v>549.44923949294969</v>
      </c>
      <c r="G12" s="1941">
        <v>559.43217658828928</v>
      </c>
      <c r="H12" s="1941">
        <v>565.89080672037517</v>
      </c>
      <c r="I12" s="1941">
        <v>592.89763778354495</v>
      </c>
      <c r="J12" s="1941">
        <v>608.74538167382002</v>
      </c>
      <c r="K12" s="1943">
        <v>619.30999999999995</v>
      </c>
      <c r="L12" s="1944">
        <v>641.54999999999995</v>
      </c>
      <c r="M12" s="1945">
        <v>670.19</v>
      </c>
      <c r="N12" s="1946">
        <v>4.4641882939755462E-2</v>
      </c>
    </row>
    <row r="13" spans="1:14">
      <c r="B13" s="1947" t="s">
        <v>484</v>
      </c>
      <c r="C13" s="1948">
        <v>507.6</v>
      </c>
      <c r="D13" s="1948">
        <v>512</v>
      </c>
      <c r="E13" s="1949">
        <v>538.4</v>
      </c>
      <c r="F13" s="1948">
        <v>566.9</v>
      </c>
      <c r="G13" s="1948">
        <v>570.79999999999995</v>
      </c>
      <c r="H13" s="1948">
        <v>574.20000000000005</v>
      </c>
      <c r="I13" s="1948">
        <v>610</v>
      </c>
      <c r="J13" s="1948">
        <v>626.79999999999995</v>
      </c>
      <c r="K13" s="1948">
        <v>635.6</v>
      </c>
      <c r="L13" s="1950">
        <v>655.5</v>
      </c>
      <c r="M13" s="1951">
        <v>685.18</v>
      </c>
      <c r="N13" s="1952">
        <v>4.5278413424866493E-2</v>
      </c>
    </row>
    <row r="14" spans="1:14" s="1896" customFormat="1">
      <c r="B14" s="1953" t="s">
        <v>485</v>
      </c>
      <c r="C14" s="1954">
        <f t="shared" ref="C14:L14" si="1">(C13/C12)-1</f>
        <v>-1.8616526082130713E-2</v>
      </c>
      <c r="D14" s="1954">
        <f t="shared" si="1"/>
        <v>-1.1162810762565423E-2</v>
      </c>
      <c r="E14" s="1955">
        <f t="shared" si="1"/>
        <v>1.6941833265237127E-2</v>
      </c>
      <c r="F14" s="1954">
        <f t="shared" si="1"/>
        <v>3.1760459843668931E-2</v>
      </c>
      <c r="G14" s="1954">
        <f t="shared" si="1"/>
        <v>2.0320288834720923E-2</v>
      </c>
      <c r="H14" s="1954">
        <f t="shared" si="1"/>
        <v>1.4683386230960105E-2</v>
      </c>
      <c r="I14" s="1954">
        <f t="shared" si="1"/>
        <v>2.8845387680054735E-2</v>
      </c>
      <c r="J14" s="1954">
        <f t="shared" si="1"/>
        <v>2.965873560557708E-2</v>
      </c>
      <c r="K14" s="1954">
        <f t="shared" si="1"/>
        <v>2.6303466761395944E-2</v>
      </c>
      <c r="L14" s="1956">
        <f t="shared" si="1"/>
        <v>2.1744213233575005E-2</v>
      </c>
      <c r="M14" s="1957">
        <v>2.2366791506885919E-2</v>
      </c>
      <c r="N14" s="1952"/>
    </row>
    <row r="15" spans="1:14">
      <c r="B15" s="1947" t="s">
        <v>486</v>
      </c>
      <c r="C15" s="1949" t="s">
        <v>1060</v>
      </c>
      <c r="D15" s="1949" t="s">
        <v>1060</v>
      </c>
      <c r="E15" s="1949" t="s">
        <v>1060</v>
      </c>
      <c r="F15" s="1949" t="s">
        <v>1060</v>
      </c>
      <c r="G15" s="1949" t="s">
        <v>1060</v>
      </c>
      <c r="H15" s="1949" t="s">
        <v>1060</v>
      </c>
      <c r="I15" s="1949" t="s">
        <v>1060</v>
      </c>
      <c r="J15" s="1948">
        <v>626.64</v>
      </c>
      <c r="K15" s="1948">
        <v>629.84</v>
      </c>
      <c r="L15" s="1950">
        <v>651.01</v>
      </c>
      <c r="M15" s="1951">
        <v>693.18</v>
      </c>
      <c r="N15" s="1952">
        <v>4.9271150265655539E-2</v>
      </c>
    </row>
    <row r="16" spans="1:14" s="1896" customFormat="1">
      <c r="B16" s="1953" t="s">
        <v>487</v>
      </c>
      <c r="C16" s="1955" t="s">
        <v>1060</v>
      </c>
      <c r="D16" s="1955" t="s">
        <v>1060</v>
      </c>
      <c r="E16" s="1955" t="s">
        <v>1060</v>
      </c>
      <c r="F16" s="1955" t="s">
        <v>1060</v>
      </c>
      <c r="G16" s="1955" t="s">
        <v>1060</v>
      </c>
      <c r="H16" s="1955" t="s">
        <v>1060</v>
      </c>
      <c r="I16" s="1955" t="s">
        <v>1060</v>
      </c>
      <c r="J16" s="1954">
        <f>(J15/J12)-1</f>
        <v>2.9395899935990455E-2</v>
      </c>
      <c r="K16" s="1954">
        <f>(K15/K12)-1</f>
        <v>1.7002793431399654E-2</v>
      </c>
      <c r="L16" s="1956">
        <f>(L15/L12)-1</f>
        <v>1.4745538149793624E-2</v>
      </c>
      <c r="M16" s="1957">
        <v>3.43037049195003E-2</v>
      </c>
      <c r="N16" s="1952"/>
    </row>
    <row r="17" spans="1:14">
      <c r="C17" s="1941"/>
      <c r="D17" s="1941"/>
      <c r="E17" s="1958"/>
      <c r="F17" s="1941"/>
      <c r="G17" s="1941"/>
      <c r="H17" s="1948"/>
      <c r="I17" s="1948"/>
      <c r="J17" s="1941"/>
      <c r="K17" s="1943"/>
      <c r="L17" s="1944"/>
      <c r="M17" s="1945"/>
      <c r="N17" s="1959"/>
    </row>
    <row r="18" spans="1:14">
      <c r="A18" s="1930">
        <v>3</v>
      </c>
      <c r="B18" s="1930" t="s">
        <v>812</v>
      </c>
      <c r="C18" s="1941">
        <v>492.71135658354189</v>
      </c>
      <c r="D18" s="1941">
        <v>496.69748609522117</v>
      </c>
      <c r="E18" s="1958">
        <v>508.80015768509037</v>
      </c>
      <c r="F18" s="1941">
        <v>520.22845878332566</v>
      </c>
      <c r="G18" s="1941">
        <v>515.19747034296608</v>
      </c>
      <c r="H18" s="1941">
        <v>557.73124969057335</v>
      </c>
      <c r="I18" s="1941">
        <v>618.810128536668</v>
      </c>
      <c r="J18" s="1941">
        <v>645.948160066112</v>
      </c>
      <c r="K18" s="1943">
        <v>654.29</v>
      </c>
      <c r="L18" s="1944">
        <v>681.54</v>
      </c>
      <c r="M18" s="1945">
        <v>690.44</v>
      </c>
      <c r="N18" s="1946">
        <v>1.30586612671304E-2</v>
      </c>
    </row>
    <row r="19" spans="1:14">
      <c r="B19" s="1947" t="s">
        <v>484</v>
      </c>
      <c r="C19" s="1948">
        <v>496.7</v>
      </c>
      <c r="D19" s="1948">
        <v>501.8</v>
      </c>
      <c r="E19" s="1949">
        <v>512.1</v>
      </c>
      <c r="F19" s="1948">
        <v>520.29999999999995</v>
      </c>
      <c r="G19" s="1948">
        <v>521.4</v>
      </c>
      <c r="H19" s="1948">
        <v>563.1</v>
      </c>
      <c r="I19" s="1948">
        <v>628.5</v>
      </c>
      <c r="J19" s="1948">
        <v>651</v>
      </c>
      <c r="K19" s="1948">
        <v>660.5</v>
      </c>
      <c r="L19" s="1950">
        <v>682.14</v>
      </c>
      <c r="M19" s="1951">
        <v>691.9</v>
      </c>
      <c r="N19" s="1952">
        <v>1.4307913331574218E-2</v>
      </c>
    </row>
    <row r="20" spans="1:14" s="1896" customFormat="1">
      <c r="B20" s="1953" t="s">
        <v>485</v>
      </c>
      <c r="C20" s="1954">
        <f t="shared" ref="C20:L20" si="2">(C19/C18)-1</f>
        <v>8.0952942593313093E-3</v>
      </c>
      <c r="D20" s="1954">
        <f t="shared" si="2"/>
        <v>1.0272880470751256E-2</v>
      </c>
      <c r="E20" s="1955">
        <f t="shared" si="2"/>
        <v>6.4855371309693322E-3</v>
      </c>
      <c r="F20" s="1954">
        <f t="shared" si="2"/>
        <v>1.3751884478141463E-4</v>
      </c>
      <c r="G20" s="1954">
        <f t="shared" si="2"/>
        <v>1.2039130651990249E-2</v>
      </c>
      <c r="H20" s="1954">
        <f t="shared" si="2"/>
        <v>9.6260525340927661E-3</v>
      </c>
      <c r="I20" s="1954">
        <f t="shared" si="2"/>
        <v>1.5658876635141983E-2</v>
      </c>
      <c r="J20" s="1954">
        <f t="shared" si="2"/>
        <v>7.8208132574770772E-3</v>
      </c>
      <c r="K20" s="1954">
        <f t="shared" si="2"/>
        <v>9.4912042060859569E-3</v>
      </c>
      <c r="L20" s="1956">
        <f t="shared" si="2"/>
        <v>8.8035918654805201E-4</v>
      </c>
      <c r="M20" s="1957">
        <v>2.1145935924915538E-3</v>
      </c>
      <c r="N20" s="1952"/>
    </row>
    <row r="21" spans="1:14">
      <c r="B21" s="1947" t="s">
        <v>486</v>
      </c>
      <c r="C21" s="1949" t="s">
        <v>1060</v>
      </c>
      <c r="D21" s="1949" t="s">
        <v>1060</v>
      </c>
      <c r="E21" s="1949" t="s">
        <v>1060</v>
      </c>
      <c r="F21" s="1949" t="s">
        <v>1060</v>
      </c>
      <c r="G21" s="1949" t="s">
        <v>1060</v>
      </c>
      <c r="H21" s="1949" t="s">
        <v>1060</v>
      </c>
      <c r="I21" s="1949" t="s">
        <v>1060</v>
      </c>
      <c r="J21" s="1948">
        <v>655.72</v>
      </c>
      <c r="K21" s="1948">
        <v>661.4</v>
      </c>
      <c r="L21" s="1950">
        <v>686.48</v>
      </c>
      <c r="M21" s="1951">
        <v>717.96</v>
      </c>
      <c r="N21" s="1952">
        <v>1.9438567594814549E-2</v>
      </c>
    </row>
    <row r="22" spans="1:14" s="1896" customFormat="1">
      <c r="B22" s="1953" t="s">
        <v>487</v>
      </c>
      <c r="C22" s="1955" t="s">
        <v>1060</v>
      </c>
      <c r="D22" s="1955" t="s">
        <v>1060</v>
      </c>
      <c r="E22" s="1955" t="s">
        <v>1060</v>
      </c>
      <c r="F22" s="1955" t="s">
        <v>1060</v>
      </c>
      <c r="G22" s="1955" t="s">
        <v>1060</v>
      </c>
      <c r="H22" s="1955" t="s">
        <v>1060</v>
      </c>
      <c r="I22" s="1955" t="s">
        <v>1060</v>
      </c>
      <c r="J22" s="1954">
        <f>(J21/J18)-1</f>
        <v>1.5127901181555936E-2</v>
      </c>
      <c r="K22" s="1954">
        <f>(K21/K18)-1</f>
        <v>1.0866741047547812E-2</v>
      </c>
      <c r="L22" s="1956">
        <f>(L21/L18)-1</f>
        <v>7.248290635912813E-3</v>
      </c>
      <c r="M22" s="1957">
        <v>3.9858640866693662E-2</v>
      </c>
      <c r="N22" s="1952"/>
    </row>
    <row r="23" spans="1:14">
      <c r="C23" s="1941"/>
      <c r="D23" s="1941"/>
      <c r="E23" s="1958"/>
      <c r="F23" s="1941"/>
      <c r="G23" s="1941"/>
      <c r="H23" s="1941"/>
      <c r="J23" s="1941"/>
      <c r="K23" s="1943"/>
      <c r="L23" s="1944"/>
      <c r="M23" s="1945"/>
      <c r="N23" s="1959"/>
    </row>
    <row r="24" spans="1:14">
      <c r="A24" s="1930">
        <v>4</v>
      </c>
      <c r="B24" s="1930" t="s">
        <v>808</v>
      </c>
      <c r="C24" s="1941">
        <v>179.78046580638465</v>
      </c>
      <c r="D24" s="1941">
        <v>204.19029060086746</v>
      </c>
      <c r="E24" s="1958">
        <v>229.29973959111166</v>
      </c>
      <c r="F24" s="1941">
        <v>263.7323584963807</v>
      </c>
      <c r="G24" s="1941">
        <v>268.50345190882268</v>
      </c>
      <c r="H24" s="1941">
        <v>290.45423380519912</v>
      </c>
      <c r="I24" s="1941">
        <v>296.91590007765888</v>
      </c>
      <c r="J24" s="1941">
        <v>359.22898499367591</v>
      </c>
      <c r="K24" s="1943">
        <v>353.68</v>
      </c>
      <c r="L24" s="1944">
        <v>374.75</v>
      </c>
      <c r="M24" s="1945">
        <v>427.46</v>
      </c>
      <c r="N24" s="1946">
        <v>0.14065376917945294</v>
      </c>
    </row>
    <row r="25" spans="1:14">
      <c r="B25" s="1947" t="s">
        <v>484</v>
      </c>
      <c r="C25" s="1948">
        <v>217.6</v>
      </c>
      <c r="D25" s="1948">
        <v>245.2</v>
      </c>
      <c r="E25" s="1949">
        <v>278.89999999999998</v>
      </c>
      <c r="F25" s="1948">
        <v>300.10000000000002</v>
      </c>
      <c r="G25" s="1948">
        <v>297.39999999999998</v>
      </c>
      <c r="H25" s="1948">
        <v>340.8</v>
      </c>
      <c r="I25" s="1948">
        <v>344.8</v>
      </c>
      <c r="J25" s="1948">
        <v>391.4</v>
      </c>
      <c r="K25" s="1948">
        <v>383.9</v>
      </c>
      <c r="L25" s="1950">
        <v>405.1</v>
      </c>
      <c r="M25" s="1951">
        <v>455.27</v>
      </c>
      <c r="N25" s="1952">
        <v>0.12384596395951597</v>
      </c>
    </row>
    <row r="26" spans="1:14" s="1896" customFormat="1">
      <c r="B26" s="1953" t="s">
        <v>485</v>
      </c>
      <c r="C26" s="1954">
        <f t="shared" ref="C26:L26" si="3">(C25/C24)-1</f>
        <v>0.21036509180227214</v>
      </c>
      <c r="D26" s="1954">
        <f t="shared" si="3"/>
        <v>0.2008406436880712</v>
      </c>
      <c r="E26" s="1955">
        <f t="shared" si="3"/>
        <v>0.21631189157622122</v>
      </c>
      <c r="F26" s="1954">
        <f t="shared" si="3"/>
        <v>0.13789601591159473</v>
      </c>
      <c r="G26" s="1954">
        <f t="shared" si="3"/>
        <v>0.10762076943796561</v>
      </c>
      <c r="H26" s="1954">
        <f t="shared" si="3"/>
        <v>0.17333459228749493</v>
      </c>
      <c r="I26" s="1954">
        <f t="shared" si="3"/>
        <v>0.16127159208993858</v>
      </c>
      <c r="J26" s="1954">
        <f t="shared" si="3"/>
        <v>8.9555732834003976E-2</v>
      </c>
      <c r="K26" s="1954">
        <f t="shared" si="3"/>
        <v>8.5444469577018678E-2</v>
      </c>
      <c r="L26" s="1956">
        <f t="shared" si="3"/>
        <v>8.0987324883255551E-2</v>
      </c>
      <c r="M26" s="1957">
        <v>6.505871894446269E-2</v>
      </c>
      <c r="N26" s="1952"/>
    </row>
    <row r="27" spans="1:14">
      <c r="B27" s="1947" t="s">
        <v>486</v>
      </c>
      <c r="C27" s="1949" t="s">
        <v>1060</v>
      </c>
      <c r="D27" s="1949" t="s">
        <v>1060</v>
      </c>
      <c r="E27" s="1949" t="s">
        <v>1060</v>
      </c>
      <c r="F27" s="1949" t="s">
        <v>1060</v>
      </c>
      <c r="G27" s="1949" t="s">
        <v>1060</v>
      </c>
      <c r="H27" s="1949" t="s">
        <v>1060</v>
      </c>
      <c r="I27" s="1949" t="s">
        <v>1060</v>
      </c>
      <c r="J27" s="1948">
        <v>399.1</v>
      </c>
      <c r="K27" s="1948">
        <v>393.43</v>
      </c>
      <c r="L27" s="1950">
        <v>421.43</v>
      </c>
      <c r="M27" s="1951">
        <v>467.22</v>
      </c>
      <c r="N27" s="1952">
        <v>0.10589850407119861</v>
      </c>
    </row>
    <row r="28" spans="1:14" s="1896" customFormat="1">
      <c r="B28" s="1953" t="s">
        <v>487</v>
      </c>
      <c r="C28" s="1955" t="s">
        <v>1060</v>
      </c>
      <c r="D28" s="1955" t="s">
        <v>1060</v>
      </c>
      <c r="E28" s="1955" t="s">
        <v>1060</v>
      </c>
      <c r="F28" s="1955" t="s">
        <v>1060</v>
      </c>
      <c r="G28" s="1955" t="s">
        <v>1060</v>
      </c>
      <c r="H28" s="1955" t="s">
        <v>1060</v>
      </c>
      <c r="I28" s="1955" t="s">
        <v>1060</v>
      </c>
      <c r="J28" s="1954">
        <f>(J27/J24)-1</f>
        <v>0.11099052880442262</v>
      </c>
      <c r="K28" s="1954">
        <f>(K27/K24)-1</f>
        <v>0.11238973083012893</v>
      </c>
      <c r="L28" s="1956">
        <f>(L27/L24)-1</f>
        <v>0.1245630420280186</v>
      </c>
      <c r="M28" s="1957">
        <v>9.3014551069105833E-2</v>
      </c>
      <c r="N28" s="1952"/>
    </row>
    <row r="29" spans="1:14">
      <c r="C29" s="1941"/>
      <c r="D29" s="1941"/>
      <c r="E29" s="1958"/>
      <c r="F29" s="1941"/>
      <c r="G29" s="1941"/>
      <c r="H29" s="1948"/>
      <c r="I29" s="1948"/>
      <c r="J29" s="1941"/>
      <c r="K29" s="1943"/>
      <c r="L29" s="1944"/>
      <c r="M29" s="1945"/>
      <c r="N29" s="1959"/>
    </row>
    <row r="30" spans="1:14">
      <c r="A30" s="1930">
        <v>5</v>
      </c>
      <c r="B30" s="1930" t="s">
        <v>809</v>
      </c>
      <c r="C30" s="1941">
        <v>128.85876662983108</v>
      </c>
      <c r="D30" s="1941">
        <v>141.91140608611047</v>
      </c>
      <c r="E30" s="1958">
        <v>157.35584856009811</v>
      </c>
      <c r="F30" s="1941">
        <v>174.14628347977344</v>
      </c>
      <c r="G30" s="1941">
        <v>171.66132067610738</v>
      </c>
      <c r="H30" s="1941">
        <v>182.83129248471178</v>
      </c>
      <c r="I30" s="1941">
        <v>189.43742407132373</v>
      </c>
      <c r="J30" s="1941">
        <v>198.02028876263893</v>
      </c>
      <c r="K30" s="1943">
        <v>196.88</v>
      </c>
      <c r="L30" s="1944">
        <v>201.51</v>
      </c>
      <c r="M30" s="1945">
        <v>212.65</v>
      </c>
      <c r="N30" s="1946">
        <v>5.5282616247332772E-2</v>
      </c>
    </row>
    <row r="31" spans="1:14">
      <c r="B31" s="1947" t="s">
        <v>484</v>
      </c>
      <c r="C31" s="1948">
        <v>139.80000000000001</v>
      </c>
      <c r="D31" s="1948">
        <v>151.19999999999999</v>
      </c>
      <c r="E31" s="1949">
        <v>174.5</v>
      </c>
      <c r="F31" s="1948">
        <v>173.6</v>
      </c>
      <c r="G31" s="1948">
        <v>172.2</v>
      </c>
      <c r="H31" s="1948">
        <v>176.2</v>
      </c>
      <c r="I31" s="1948">
        <v>185</v>
      </c>
      <c r="J31" s="1948">
        <v>191.1</v>
      </c>
      <c r="K31" s="1948">
        <v>189.7</v>
      </c>
      <c r="L31" s="1950">
        <v>193.77</v>
      </c>
      <c r="M31" s="1951">
        <v>203.23</v>
      </c>
      <c r="N31" s="1952">
        <v>4.882076688857917E-2</v>
      </c>
    </row>
    <row r="32" spans="1:14" s="1896" customFormat="1">
      <c r="B32" s="1953" t="s">
        <v>485</v>
      </c>
      <c r="C32" s="1954">
        <f t="shared" ref="C32:L32" si="4">(C31/C30)-1</f>
        <v>8.490872337463462E-2</v>
      </c>
      <c r="D32" s="1954">
        <f t="shared" si="4"/>
        <v>6.5453469668627529E-2</v>
      </c>
      <c r="E32" s="1955">
        <f t="shared" si="4"/>
        <v>0.10895147270839511</v>
      </c>
      <c r="F32" s="1954">
        <f t="shared" si="4"/>
        <v>-3.1369229871442972E-3</v>
      </c>
      <c r="G32" s="1954">
        <f t="shared" si="4"/>
        <v>3.138035532820993E-3</v>
      </c>
      <c r="H32" s="1954">
        <f t="shared" si="4"/>
        <v>-3.6270008238695195E-2</v>
      </c>
      <c r="I32" s="1954">
        <f t="shared" si="4"/>
        <v>-2.3424220916628546E-2</v>
      </c>
      <c r="J32" s="1954">
        <f t="shared" si="4"/>
        <v>-3.494737234190215E-2</v>
      </c>
      <c r="K32" s="1954">
        <f t="shared" si="4"/>
        <v>-3.6468915075172692E-2</v>
      </c>
      <c r="L32" s="1956">
        <f t="shared" si="4"/>
        <v>-3.8410004466279513E-2</v>
      </c>
      <c r="M32" s="1957">
        <v>-4.4298142487655845E-2</v>
      </c>
      <c r="N32" s="1952"/>
    </row>
    <row r="33" spans="1:14">
      <c r="B33" s="1947" t="s">
        <v>486</v>
      </c>
      <c r="C33" s="1949" t="s">
        <v>1060</v>
      </c>
      <c r="D33" s="1949" t="s">
        <v>1060</v>
      </c>
      <c r="E33" s="1949" t="s">
        <v>1060</v>
      </c>
      <c r="F33" s="1949" t="s">
        <v>1060</v>
      </c>
      <c r="G33" s="1949" t="s">
        <v>1060</v>
      </c>
      <c r="H33" s="1949" t="s">
        <v>1060</v>
      </c>
      <c r="I33" s="1949" t="s">
        <v>1060</v>
      </c>
      <c r="J33" s="1948">
        <v>189.64</v>
      </c>
      <c r="K33" s="1948">
        <v>187.4</v>
      </c>
      <c r="L33" s="1950">
        <v>192.01</v>
      </c>
      <c r="M33" s="1951">
        <v>209.86</v>
      </c>
      <c r="N33" s="1952">
        <v>5.4254998492916817E-2</v>
      </c>
    </row>
    <row r="34" spans="1:14" s="1896" customFormat="1">
      <c r="B34" s="1953" t="s">
        <v>487</v>
      </c>
      <c r="C34" s="1955" t="s">
        <v>1060</v>
      </c>
      <c r="D34" s="1955" t="s">
        <v>1060</v>
      </c>
      <c r="E34" s="1955" t="s">
        <v>1060</v>
      </c>
      <c r="F34" s="1955" t="s">
        <v>1060</v>
      </c>
      <c r="G34" s="1955" t="s">
        <v>1060</v>
      </c>
      <c r="H34" s="1955" t="s">
        <v>1060</v>
      </c>
      <c r="I34" s="1955" t="s">
        <v>1060</v>
      </c>
      <c r="J34" s="1954">
        <f>(J33/J30)-1</f>
        <v>-4.232035421725977E-2</v>
      </c>
      <c r="K34" s="1954">
        <f>(K33/K30)-1</f>
        <v>-4.8151158065826816E-2</v>
      </c>
      <c r="L34" s="1956">
        <f>(L33/L30)-1</f>
        <v>-4.7144062329412928E-2</v>
      </c>
      <c r="M34" s="1957">
        <v>-1.3120150482012649E-2</v>
      </c>
      <c r="N34" s="1952"/>
    </row>
    <row r="35" spans="1:14">
      <c r="C35" s="1941"/>
      <c r="D35" s="1941"/>
      <c r="E35" s="1958"/>
      <c r="F35" s="1941"/>
      <c r="G35" s="1941"/>
      <c r="H35" s="1941"/>
      <c r="I35" s="1941"/>
      <c r="J35" s="1941"/>
      <c r="K35" s="1943"/>
      <c r="L35" s="1944"/>
      <c r="M35" s="1945"/>
      <c r="N35" s="1959"/>
    </row>
    <row r="36" spans="1:14">
      <c r="A36" s="1930">
        <v>6</v>
      </c>
      <c r="B36" s="1930" t="s">
        <v>810</v>
      </c>
      <c r="C36" s="1941">
        <v>246.67237783815233</v>
      </c>
      <c r="D36" s="1941">
        <v>257.61974174619098</v>
      </c>
      <c r="E36" s="1958">
        <v>288.745232868367</v>
      </c>
      <c r="F36" s="1941">
        <v>307.1393643380062</v>
      </c>
      <c r="G36" s="1941">
        <v>343.7455082841455</v>
      </c>
      <c r="H36" s="1941">
        <v>352.94069193578031</v>
      </c>
      <c r="I36" s="1941">
        <v>372.47504406402646</v>
      </c>
      <c r="J36" s="1941">
        <v>379.34998080250244</v>
      </c>
      <c r="K36" s="1943">
        <v>378.01</v>
      </c>
      <c r="L36" s="1944">
        <v>383.1</v>
      </c>
      <c r="M36" s="1945">
        <v>396.5</v>
      </c>
      <c r="N36" s="1946">
        <v>3.4977812581571399E-2</v>
      </c>
    </row>
    <row r="37" spans="1:14">
      <c r="B37" s="1947" t="s">
        <v>484</v>
      </c>
      <c r="C37" s="1948">
        <v>244.2</v>
      </c>
      <c r="D37" s="1948">
        <v>257.89999999999998</v>
      </c>
      <c r="E37" s="1949">
        <v>284.60000000000002</v>
      </c>
      <c r="F37" s="1948">
        <v>309.8</v>
      </c>
      <c r="G37" s="1948">
        <v>341.4</v>
      </c>
      <c r="H37" s="1948">
        <v>354.4</v>
      </c>
      <c r="I37" s="1948">
        <v>369.9</v>
      </c>
      <c r="J37" s="1948">
        <v>374.7</v>
      </c>
      <c r="K37" s="1948">
        <v>372.8</v>
      </c>
      <c r="L37" s="1950">
        <v>374.47</v>
      </c>
      <c r="M37" s="1951">
        <v>385.97</v>
      </c>
      <c r="N37" s="1952">
        <v>3.071007023259531E-2</v>
      </c>
    </row>
    <row r="38" spans="1:14" s="1896" customFormat="1">
      <c r="B38" s="1953" t="s">
        <v>485</v>
      </c>
      <c r="C38" s="1954">
        <f t="shared" ref="C38:L38" si="5">(C37/C36)-1</f>
        <v>-1.0022921333229018E-2</v>
      </c>
      <c r="D38" s="1954">
        <f t="shared" si="5"/>
        <v>1.087875688056128E-3</v>
      </c>
      <c r="E38" s="1955">
        <f t="shared" si="5"/>
        <v>-1.4356021836927413E-2</v>
      </c>
      <c r="F38" s="1954">
        <f t="shared" si="5"/>
        <v>8.6626332242643045E-3</v>
      </c>
      <c r="G38" s="1954">
        <f t="shared" si="5"/>
        <v>-6.8233859864917923E-3</v>
      </c>
      <c r="H38" s="1954">
        <f t="shared" si="5"/>
        <v>4.1347118582892861E-3</v>
      </c>
      <c r="I38" s="1954">
        <f t="shared" si="5"/>
        <v>-6.9133331348337768E-3</v>
      </c>
      <c r="J38" s="1954">
        <f t="shared" si="5"/>
        <v>-1.2257759424860293E-2</v>
      </c>
      <c r="K38" s="1954">
        <f t="shared" si="5"/>
        <v>-1.378270416126548E-2</v>
      </c>
      <c r="L38" s="1956">
        <f t="shared" si="5"/>
        <v>-2.2526755416340416E-2</v>
      </c>
      <c r="M38" s="1957">
        <v>-2.6557377049180264E-2</v>
      </c>
      <c r="N38" s="1952"/>
    </row>
    <row r="39" spans="1:14">
      <c r="B39" s="1947" t="s">
        <v>486</v>
      </c>
      <c r="C39" s="1949" t="s">
        <v>1060</v>
      </c>
      <c r="D39" s="1949" t="s">
        <v>1060</v>
      </c>
      <c r="E39" s="1949" t="s">
        <v>1060</v>
      </c>
      <c r="F39" s="1949" t="s">
        <v>1060</v>
      </c>
      <c r="G39" s="1949" t="s">
        <v>1060</v>
      </c>
      <c r="H39" s="1949" t="s">
        <v>1060</v>
      </c>
      <c r="I39" s="1949" t="s">
        <v>1060</v>
      </c>
      <c r="J39" s="1948">
        <v>380.14</v>
      </c>
      <c r="K39" s="1948">
        <v>382.08</v>
      </c>
      <c r="L39" s="1950">
        <v>387.58</v>
      </c>
      <c r="M39" s="1951">
        <v>410.62</v>
      </c>
      <c r="N39" s="1952">
        <v>4.0070921985815522E-2</v>
      </c>
    </row>
    <row r="40" spans="1:14" s="1896" customFormat="1">
      <c r="B40" s="1953" t="s">
        <v>487</v>
      </c>
      <c r="C40" s="1955" t="s">
        <v>1060</v>
      </c>
      <c r="D40" s="1955" t="s">
        <v>1060</v>
      </c>
      <c r="E40" s="1955" t="s">
        <v>1060</v>
      </c>
      <c r="F40" s="1955" t="s">
        <v>1060</v>
      </c>
      <c r="G40" s="1955" t="s">
        <v>1060</v>
      </c>
      <c r="H40" s="1955" t="s">
        <v>1060</v>
      </c>
      <c r="I40" s="1955" t="s">
        <v>1060</v>
      </c>
      <c r="J40" s="1954">
        <f>(J39/J36)-1</f>
        <v>2.0825602675036414E-3</v>
      </c>
      <c r="K40" s="1954">
        <f>(K39/K36)-1</f>
        <v>1.0766910928282414E-2</v>
      </c>
      <c r="L40" s="1956">
        <f>(L39/L36)-1</f>
        <v>1.1694074654137188E-2</v>
      </c>
      <c r="M40" s="1957">
        <v>3.5611601513240831E-2</v>
      </c>
      <c r="N40" s="1952"/>
    </row>
    <row r="41" spans="1:14">
      <c r="C41" s="1941"/>
      <c r="D41" s="1941"/>
      <c r="E41" s="1958"/>
      <c r="F41" s="1941"/>
      <c r="G41" s="1941"/>
      <c r="H41" s="1941"/>
      <c r="I41" s="1941"/>
      <c r="J41" s="1941"/>
      <c r="K41" s="1943"/>
      <c r="L41" s="1944"/>
      <c r="M41" s="1945"/>
      <c r="N41" s="1959"/>
    </row>
    <row r="42" spans="1:14">
      <c r="A42" s="1930">
        <v>7</v>
      </c>
      <c r="B42" s="1930" t="s">
        <v>813</v>
      </c>
      <c r="C42" s="1941">
        <v>150.64686744819926</v>
      </c>
      <c r="D42" s="1941">
        <v>160.88253360625276</v>
      </c>
      <c r="E42" s="1958">
        <v>167.22954109591964</v>
      </c>
      <c r="F42" s="1941">
        <v>172.28381767006115</v>
      </c>
      <c r="G42" s="1941">
        <v>189.57472804627923</v>
      </c>
      <c r="H42" s="1941">
        <v>200.44409586700854</v>
      </c>
      <c r="I42" s="1941">
        <v>213.02590534069273</v>
      </c>
      <c r="J42" s="1941">
        <v>213.44705424318488</v>
      </c>
      <c r="K42" s="1943">
        <v>217.58</v>
      </c>
      <c r="L42" s="1944">
        <v>226.4</v>
      </c>
      <c r="M42" s="1945">
        <v>234.3</v>
      </c>
      <c r="N42" s="1946">
        <v>3.4893992932862217E-2</v>
      </c>
    </row>
    <row r="43" spans="1:14">
      <c r="B43" s="1947" t="s">
        <v>484</v>
      </c>
      <c r="C43" s="1948">
        <v>143.6</v>
      </c>
      <c r="D43" s="1948">
        <v>157.19999999999999</v>
      </c>
      <c r="E43" s="1949">
        <v>166.5</v>
      </c>
      <c r="F43" s="1948">
        <v>177.8</v>
      </c>
      <c r="G43" s="1948">
        <v>198.2</v>
      </c>
      <c r="H43" s="1948">
        <v>201.9</v>
      </c>
      <c r="I43" s="1948">
        <v>197.6</v>
      </c>
      <c r="J43" s="1948">
        <v>217</v>
      </c>
      <c r="K43" s="1948">
        <v>224.9</v>
      </c>
      <c r="L43" s="1950">
        <v>230.64</v>
      </c>
      <c r="M43" s="1951">
        <v>234.35</v>
      </c>
      <c r="N43" s="1952">
        <v>1.6085674644467529E-2</v>
      </c>
    </row>
    <row r="44" spans="1:14" s="1896" customFormat="1">
      <c r="B44" s="1953" t="s">
        <v>485</v>
      </c>
      <c r="C44" s="1954">
        <f t="shared" ref="C44:L44" si="6">(C43/C42)-1</f>
        <v>-4.6777391176901606E-2</v>
      </c>
      <c r="D44" s="1954">
        <f t="shared" si="6"/>
        <v>-2.2889579892280243E-2</v>
      </c>
      <c r="E44" s="1955">
        <f t="shared" si="6"/>
        <v>-4.3625132924403065E-3</v>
      </c>
      <c r="F44" s="1954">
        <f t="shared" si="6"/>
        <v>3.2017994519385695E-2</v>
      </c>
      <c r="G44" s="1954">
        <f t="shared" si="6"/>
        <v>4.5498005154015697E-2</v>
      </c>
      <c r="H44" s="1954">
        <f t="shared" si="6"/>
        <v>7.2633924521150472E-3</v>
      </c>
      <c r="I44" s="1954">
        <f t="shared" si="6"/>
        <v>-7.2413283802371664E-2</v>
      </c>
      <c r="J44" s="1954">
        <f t="shared" si="6"/>
        <v>1.6645560040229768E-2</v>
      </c>
      <c r="K44" s="1954">
        <f t="shared" si="6"/>
        <v>3.3642798051291445E-2</v>
      </c>
      <c r="L44" s="1956">
        <f t="shared" si="6"/>
        <v>1.8727915194346245E-2</v>
      </c>
      <c r="M44" s="1957">
        <v>2.1340162185223832E-4</v>
      </c>
      <c r="N44" s="1952"/>
    </row>
    <row r="45" spans="1:14">
      <c r="B45" s="1947" t="s">
        <v>486</v>
      </c>
      <c r="C45" s="1949" t="s">
        <v>1060</v>
      </c>
      <c r="D45" s="1949" t="s">
        <v>1060</v>
      </c>
      <c r="E45" s="1949" t="s">
        <v>1060</v>
      </c>
      <c r="F45" s="1949" t="s">
        <v>1060</v>
      </c>
      <c r="G45" s="1949" t="s">
        <v>1060</v>
      </c>
      <c r="H45" s="1949" t="s">
        <v>1060</v>
      </c>
      <c r="I45" s="1949" t="s">
        <v>1060</v>
      </c>
      <c r="J45" s="1948">
        <v>206.71</v>
      </c>
      <c r="K45" s="1948">
        <v>215.78</v>
      </c>
      <c r="L45" s="1950">
        <v>222.38</v>
      </c>
      <c r="M45" s="1951">
        <v>237.58</v>
      </c>
      <c r="N45" s="1952">
        <v>3.0671120558761089E-2</v>
      </c>
    </row>
    <row r="46" spans="1:14" s="1896" customFormat="1">
      <c r="B46" s="1953" t="s">
        <v>487</v>
      </c>
      <c r="C46" s="1955" t="s">
        <v>1060</v>
      </c>
      <c r="D46" s="1955" t="s">
        <v>1060</v>
      </c>
      <c r="E46" s="1955" t="s">
        <v>1060</v>
      </c>
      <c r="F46" s="1955" t="s">
        <v>1060</v>
      </c>
      <c r="G46" s="1955" t="s">
        <v>1060</v>
      </c>
      <c r="H46" s="1955" t="s">
        <v>1060</v>
      </c>
      <c r="I46" s="1955" t="s">
        <v>1060</v>
      </c>
      <c r="J46" s="1954">
        <f>(J45/J42)-1</f>
        <v>-3.1563116516516554E-2</v>
      </c>
      <c r="K46" s="1954">
        <f>(K45/K42)-1</f>
        <v>-8.2728191929405392E-3</v>
      </c>
      <c r="L46" s="1956">
        <f>(L45/L42)-1</f>
        <v>-1.7756183745583076E-2</v>
      </c>
      <c r="M46" s="1957">
        <v>1.3999146393512518E-2</v>
      </c>
      <c r="N46" s="1952"/>
    </row>
    <row r="47" spans="1:14" s="1896" customFormat="1">
      <c r="B47" s="1953"/>
      <c r="C47" s="1955"/>
      <c r="D47" s="1955"/>
      <c r="E47" s="1955"/>
      <c r="F47" s="1955"/>
      <c r="G47" s="1955"/>
      <c r="H47" s="1955"/>
      <c r="I47" s="1955"/>
      <c r="J47" s="1954"/>
      <c r="K47" s="1954"/>
      <c r="L47" s="1956"/>
      <c r="M47" s="1957"/>
      <c r="N47" s="1952"/>
    </row>
    <row r="48" spans="1:14">
      <c r="A48" s="1930">
        <v>8</v>
      </c>
      <c r="B48" s="1930" t="s">
        <v>184</v>
      </c>
      <c r="C48" s="1960">
        <v>30.906839827030989</v>
      </c>
      <c r="D48" s="1961">
        <v>32.359437190342035</v>
      </c>
      <c r="E48" s="1962">
        <v>34.840696214910899</v>
      </c>
      <c r="F48" s="1960">
        <v>37.025033111675718</v>
      </c>
      <c r="G48" s="1961">
        <v>39.493547804709614</v>
      </c>
      <c r="H48" s="1961">
        <v>43.42085098619804</v>
      </c>
      <c r="I48" s="1961">
        <v>49.454875646942796</v>
      </c>
      <c r="J48" s="1961">
        <v>52.228327605463519</v>
      </c>
      <c r="K48" s="1963">
        <v>55.74</v>
      </c>
      <c r="L48" s="1964">
        <v>60.5</v>
      </c>
      <c r="M48" s="1965">
        <v>65.150000000000006</v>
      </c>
      <c r="N48" s="1946">
        <v>7.6859504132231526E-2</v>
      </c>
    </row>
    <row r="49" spans="1:14">
      <c r="B49" s="1947" t="s">
        <v>484</v>
      </c>
      <c r="C49" s="1966">
        <v>28.5</v>
      </c>
      <c r="D49" s="1966">
        <v>30</v>
      </c>
      <c r="E49" s="1967">
        <v>32.6</v>
      </c>
      <c r="F49" s="1966">
        <v>36.5</v>
      </c>
      <c r="G49" s="1966">
        <v>38.700000000000003</v>
      </c>
      <c r="H49" s="1966">
        <v>44</v>
      </c>
      <c r="I49" s="1966">
        <v>48.5</v>
      </c>
      <c r="J49" s="1966">
        <v>51.1</v>
      </c>
      <c r="K49" s="1966">
        <v>55.1</v>
      </c>
      <c r="L49" s="1968">
        <v>62.35</v>
      </c>
      <c r="M49" s="1969">
        <v>62.16</v>
      </c>
      <c r="N49" s="1952">
        <v>-3.0473135525261874E-3</v>
      </c>
    </row>
    <row r="50" spans="1:14" s="1896" customFormat="1">
      <c r="B50" s="1953" t="s">
        <v>485</v>
      </c>
      <c r="C50" s="1954">
        <f t="shared" ref="C50:L50" si="7">(C49/C48)-1</f>
        <v>-7.7874018841809112E-2</v>
      </c>
      <c r="D50" s="1954">
        <f t="shared" si="7"/>
        <v>-7.2913418625408899E-2</v>
      </c>
      <c r="E50" s="1955">
        <f t="shared" si="7"/>
        <v>-6.4312613074360425E-2</v>
      </c>
      <c r="F50" s="1954">
        <f t="shared" si="7"/>
        <v>-1.4180489996919121E-2</v>
      </c>
      <c r="G50" s="1954">
        <f t="shared" si="7"/>
        <v>-2.0093099982650298E-2</v>
      </c>
      <c r="H50" s="1954">
        <f t="shared" si="7"/>
        <v>1.3338039228803833E-2</v>
      </c>
      <c r="I50" s="1954">
        <f t="shared" si="7"/>
        <v>-1.930801835919338E-2</v>
      </c>
      <c r="J50" s="1954">
        <f t="shared" si="7"/>
        <v>-2.1603747567545795E-2</v>
      </c>
      <c r="K50" s="1954">
        <f t="shared" si="7"/>
        <v>-1.1481880157875879E-2</v>
      </c>
      <c r="L50" s="1956">
        <f t="shared" si="7"/>
        <v>3.057851239669418E-2</v>
      </c>
      <c r="M50" s="1957">
        <v>-4.5894090560245737E-2</v>
      </c>
      <c r="N50" s="1952"/>
    </row>
    <row r="51" spans="1:14">
      <c r="B51" s="1947" t="s">
        <v>486</v>
      </c>
      <c r="C51" s="1949" t="s">
        <v>1060</v>
      </c>
      <c r="D51" s="1949" t="s">
        <v>1060</v>
      </c>
      <c r="E51" s="1949" t="s">
        <v>1060</v>
      </c>
      <c r="F51" s="1949" t="s">
        <v>1060</v>
      </c>
      <c r="G51" s="1949" t="s">
        <v>1060</v>
      </c>
      <c r="H51" s="1949" t="s">
        <v>1060</v>
      </c>
      <c r="I51" s="1949" t="s">
        <v>1060</v>
      </c>
      <c r="J51" s="1948">
        <v>50.73</v>
      </c>
      <c r="K51" s="1948">
        <v>54.92</v>
      </c>
      <c r="L51" s="1950">
        <v>58.88</v>
      </c>
      <c r="M51" s="1951">
        <v>64.569999999999993</v>
      </c>
      <c r="N51" s="1952">
        <v>5.7138179436803993E-2</v>
      </c>
    </row>
    <row r="52" spans="1:14" s="1896" customFormat="1">
      <c r="B52" s="1953" t="s">
        <v>487</v>
      </c>
      <c r="C52" s="1955" t="s">
        <v>1060</v>
      </c>
      <c r="D52" s="1955" t="s">
        <v>1060</v>
      </c>
      <c r="E52" s="1955" t="s">
        <v>1060</v>
      </c>
      <c r="F52" s="1955" t="s">
        <v>1060</v>
      </c>
      <c r="G52" s="1955" t="s">
        <v>1060</v>
      </c>
      <c r="H52" s="1955" t="s">
        <v>1060</v>
      </c>
      <c r="I52" s="1955" t="s">
        <v>1060</v>
      </c>
      <c r="J52" s="1954">
        <f>(J51/J48)-1</f>
        <v>-2.8688025716274046E-2</v>
      </c>
      <c r="K52" s="1954">
        <f>(K51/K48)-1</f>
        <v>-1.471115895227848E-2</v>
      </c>
      <c r="L52" s="1956">
        <f>(L51/L48)-1</f>
        <v>-2.6776859504132222E-2</v>
      </c>
      <c r="M52" s="1957">
        <v>-8.9025326170377728E-3</v>
      </c>
      <c r="N52" s="1952"/>
    </row>
    <row r="53" spans="1:14">
      <c r="C53" s="1941"/>
      <c r="D53" s="1941"/>
      <c r="E53" s="1958"/>
      <c r="F53" s="1941"/>
      <c r="G53" s="1941"/>
      <c r="H53" s="1948"/>
      <c r="I53" s="1948"/>
      <c r="J53" s="1941"/>
      <c r="K53" s="1943"/>
      <c r="L53" s="1944"/>
      <c r="M53" s="1945"/>
      <c r="N53" s="1959"/>
    </row>
    <row r="54" spans="1:14">
      <c r="A54" s="1930">
        <v>9</v>
      </c>
      <c r="B54" s="1930" t="s">
        <v>185</v>
      </c>
      <c r="C54" s="1961">
        <v>57.642077350310821</v>
      </c>
      <c r="D54" s="1961">
        <v>60.131858482788445</v>
      </c>
      <c r="E54" s="1970">
        <v>61.491416169301154</v>
      </c>
      <c r="F54" s="1961">
        <v>65.76167578635949</v>
      </c>
      <c r="G54" s="1961">
        <v>68.92734993393816</v>
      </c>
      <c r="H54" s="1961">
        <v>66.649239980169568</v>
      </c>
      <c r="I54" s="1961">
        <v>68.449757529348247</v>
      </c>
      <c r="J54" s="1961">
        <v>71.506769252803821</v>
      </c>
      <c r="K54" s="1963">
        <v>72.13</v>
      </c>
      <c r="L54" s="1964">
        <v>73.489999999999995</v>
      </c>
      <c r="M54" s="1965">
        <v>75.2</v>
      </c>
      <c r="N54" s="1946">
        <v>2.3268471900939058E-2</v>
      </c>
    </row>
    <row r="55" spans="1:14">
      <c r="B55" s="1947" t="s">
        <v>484</v>
      </c>
      <c r="C55" s="1966">
        <v>53.1</v>
      </c>
      <c r="D55" s="1966">
        <v>56.2</v>
      </c>
      <c r="E55" s="1967">
        <v>57.5</v>
      </c>
      <c r="F55" s="1966">
        <v>64.599999999999994</v>
      </c>
      <c r="G55" s="1966">
        <v>64.5</v>
      </c>
      <c r="H55" s="1966">
        <v>63.8</v>
      </c>
      <c r="I55" s="1966">
        <v>64.2</v>
      </c>
      <c r="J55" s="1966">
        <v>66.599999999999994</v>
      </c>
      <c r="K55" s="1966">
        <v>67.8</v>
      </c>
      <c r="L55" s="1968">
        <v>69.56</v>
      </c>
      <c r="M55" s="1969">
        <v>71.150000000000006</v>
      </c>
      <c r="N55" s="1952">
        <v>2.2857964347326121E-2</v>
      </c>
    </row>
    <row r="56" spans="1:14" s="1896" customFormat="1">
      <c r="B56" s="1953" t="s">
        <v>485</v>
      </c>
      <c r="C56" s="1954">
        <f t="shared" ref="C56:L56" si="8">(C55/C54)-1</f>
        <v>-7.8797946900959981E-2</v>
      </c>
      <c r="D56" s="1954">
        <f t="shared" si="8"/>
        <v>-6.5387276927651561E-2</v>
      </c>
      <c r="E56" s="1955">
        <f t="shared" si="8"/>
        <v>-6.4910135722224926E-2</v>
      </c>
      <c r="F56" s="1954">
        <f t="shared" si="8"/>
        <v>-1.7664935883529465E-2</v>
      </c>
      <c r="G56" s="1954">
        <f t="shared" si="8"/>
        <v>-6.423212176561921E-2</v>
      </c>
      <c r="H56" s="1954">
        <f t="shared" si="8"/>
        <v>-4.2749774506315674E-2</v>
      </c>
      <c r="I56" s="1954">
        <f t="shared" si="8"/>
        <v>-6.208579376670742E-2</v>
      </c>
      <c r="J56" s="1954">
        <f t="shared" si="8"/>
        <v>-6.8619646840098691E-2</v>
      </c>
      <c r="K56" s="1954">
        <f t="shared" si="8"/>
        <v>-6.003050048523495E-2</v>
      </c>
      <c r="L56" s="1956">
        <f t="shared" si="8"/>
        <v>-5.3476663491631382E-2</v>
      </c>
      <c r="M56" s="1957">
        <v>-5.3856382978723416E-2</v>
      </c>
      <c r="N56" s="1952"/>
    </row>
    <row r="57" spans="1:14">
      <c r="B57" s="1947" t="s">
        <v>486</v>
      </c>
      <c r="C57" s="1949" t="s">
        <v>1060</v>
      </c>
      <c r="D57" s="1949" t="s">
        <v>1060</v>
      </c>
      <c r="E57" s="1949" t="s">
        <v>1060</v>
      </c>
      <c r="F57" s="1949" t="s">
        <v>1060</v>
      </c>
      <c r="G57" s="1949" t="s">
        <v>1060</v>
      </c>
      <c r="H57" s="1949" t="s">
        <v>1060</v>
      </c>
      <c r="I57" s="1949" t="s">
        <v>1060</v>
      </c>
      <c r="J57" s="1966">
        <v>65.95</v>
      </c>
      <c r="K57" s="1966">
        <v>66.930000000000007</v>
      </c>
      <c r="L57" s="1968">
        <v>69.150000000000006</v>
      </c>
      <c r="M57" s="1969">
        <v>72.61</v>
      </c>
      <c r="N57" s="1952">
        <v>3.1831746482876122E-2</v>
      </c>
    </row>
    <row r="58" spans="1:14" s="1896" customFormat="1">
      <c r="B58" s="1953" t="s">
        <v>487</v>
      </c>
      <c r="C58" s="1955" t="s">
        <v>1060</v>
      </c>
      <c r="D58" s="1955" t="s">
        <v>1060</v>
      </c>
      <c r="E58" s="1955" t="s">
        <v>1060</v>
      </c>
      <c r="F58" s="1955" t="s">
        <v>1060</v>
      </c>
      <c r="G58" s="1955" t="s">
        <v>1060</v>
      </c>
      <c r="H58" s="1955" t="s">
        <v>1060</v>
      </c>
      <c r="I58" s="1955" t="s">
        <v>1060</v>
      </c>
      <c r="J58" s="1954">
        <f>(J57/J54)-1</f>
        <v>-7.770969533189942E-2</v>
      </c>
      <c r="K58" s="1954">
        <f>(K57/K54)-1</f>
        <v>-7.2092056009981809E-2</v>
      </c>
      <c r="L58" s="1956">
        <f>(L57/L54)-1</f>
        <v>-5.905565383045297E-2</v>
      </c>
      <c r="M58" s="1957">
        <v>-3.4441489361702216E-2</v>
      </c>
      <c r="N58" s="1952"/>
    </row>
    <row r="59" spans="1:14">
      <c r="C59" s="1941"/>
      <c r="D59" s="1941"/>
      <c r="E59" s="1958"/>
      <c r="F59" s="1941"/>
      <c r="G59" s="1941"/>
      <c r="H59" s="1941"/>
      <c r="I59" s="1941"/>
      <c r="J59" s="1941"/>
      <c r="K59" s="1943"/>
      <c r="L59" s="1944"/>
      <c r="M59" s="1945"/>
      <c r="N59" s="1959"/>
    </row>
    <row r="60" spans="1:14">
      <c r="A60" s="1930">
        <v>10</v>
      </c>
      <c r="B60" s="1930" t="s">
        <v>811</v>
      </c>
      <c r="C60" s="1961">
        <v>54.853189405924091</v>
      </c>
      <c r="D60" s="1961">
        <v>56.924385896913591</v>
      </c>
      <c r="E60" s="1970">
        <v>60.94101454443998</v>
      </c>
      <c r="F60" s="1961">
        <v>63.375782250498219</v>
      </c>
      <c r="G60" s="1961">
        <v>66.109744640711739</v>
      </c>
      <c r="H60" s="1961">
        <v>65.17295098477382</v>
      </c>
      <c r="I60" s="1961">
        <v>80.079219765387336</v>
      </c>
      <c r="J60" s="1961">
        <v>89.431105997755466</v>
      </c>
      <c r="K60" s="1963">
        <v>83.65</v>
      </c>
      <c r="L60" s="1964">
        <v>83.98</v>
      </c>
      <c r="M60" s="1965">
        <v>90.16</v>
      </c>
      <c r="N60" s="1946">
        <v>7.3588949749940458E-2</v>
      </c>
    </row>
    <row r="61" spans="1:14">
      <c r="B61" s="1947" t="s">
        <v>484</v>
      </c>
      <c r="C61" s="1967" t="s">
        <v>1060</v>
      </c>
      <c r="D61" s="1967" t="s">
        <v>1060</v>
      </c>
      <c r="E61" s="1967" t="s">
        <v>1060</v>
      </c>
      <c r="F61" s="1967" t="s">
        <v>1060</v>
      </c>
      <c r="G61" s="1967" t="s">
        <v>1060</v>
      </c>
      <c r="H61" s="1967" t="s">
        <v>1060</v>
      </c>
      <c r="I61" s="1967" t="s">
        <v>1060</v>
      </c>
      <c r="J61" s="1967" t="s">
        <v>1060</v>
      </c>
      <c r="K61" s="1967" t="s">
        <v>1060</v>
      </c>
      <c r="L61" s="1971" t="s">
        <v>1060</v>
      </c>
      <c r="M61" s="1972" t="s">
        <v>1060</v>
      </c>
      <c r="N61" s="1973" t="s">
        <v>1060</v>
      </c>
    </row>
    <row r="62" spans="1:14" s="1896" customFormat="1">
      <c r="B62" s="1953" t="s">
        <v>485</v>
      </c>
      <c r="C62" s="1955" t="s">
        <v>1060</v>
      </c>
      <c r="D62" s="1955" t="s">
        <v>1060</v>
      </c>
      <c r="E62" s="1955" t="s">
        <v>1060</v>
      </c>
      <c r="F62" s="1955" t="s">
        <v>1060</v>
      </c>
      <c r="G62" s="1955" t="s">
        <v>1060</v>
      </c>
      <c r="H62" s="1955" t="s">
        <v>1060</v>
      </c>
      <c r="I62" s="1955" t="s">
        <v>1060</v>
      </c>
      <c r="J62" s="1955" t="s">
        <v>1060</v>
      </c>
      <c r="K62" s="1955" t="s">
        <v>1060</v>
      </c>
      <c r="L62" s="1974" t="s">
        <v>1060</v>
      </c>
      <c r="M62" s="1975" t="s">
        <v>1060</v>
      </c>
      <c r="N62" s="1952"/>
    </row>
    <row r="63" spans="1:14">
      <c r="B63" s="1947" t="s">
        <v>486</v>
      </c>
      <c r="C63" s="1949" t="s">
        <v>1060</v>
      </c>
      <c r="D63" s="1949" t="s">
        <v>1060</v>
      </c>
      <c r="E63" s="1949" t="s">
        <v>1060</v>
      </c>
      <c r="F63" s="1949" t="s">
        <v>1060</v>
      </c>
      <c r="G63" s="1949" t="s">
        <v>1060</v>
      </c>
      <c r="H63" s="1949" t="s">
        <v>1060</v>
      </c>
      <c r="I63" s="1949" t="s">
        <v>1060</v>
      </c>
      <c r="J63" s="1966">
        <v>63.68</v>
      </c>
      <c r="K63" s="1966">
        <v>59.6</v>
      </c>
      <c r="L63" s="1968">
        <v>62.77</v>
      </c>
      <c r="M63" s="1969">
        <v>68.489999999999995</v>
      </c>
      <c r="N63" s="1946">
        <v>9.304181295882552E-2</v>
      </c>
    </row>
    <row r="64" spans="1:14" s="1896" customFormat="1">
      <c r="B64" s="1953" t="s">
        <v>487</v>
      </c>
      <c r="C64" s="1955" t="s">
        <v>1060</v>
      </c>
      <c r="D64" s="1955" t="s">
        <v>1060</v>
      </c>
      <c r="E64" s="1955" t="s">
        <v>1060</v>
      </c>
      <c r="F64" s="1955" t="s">
        <v>1060</v>
      </c>
      <c r="G64" s="1955" t="s">
        <v>1060</v>
      </c>
      <c r="H64" s="1955" t="s">
        <v>1060</v>
      </c>
      <c r="I64" s="1955" t="s">
        <v>1060</v>
      </c>
      <c r="J64" s="1954">
        <f>(J63/J60)-1</f>
        <v>-0.2879435036664062</v>
      </c>
      <c r="K64" s="1954">
        <f>(K63/K60)-1</f>
        <v>-0.28750747160789003</v>
      </c>
      <c r="L64" s="1956">
        <f>(L63/L60)-1</f>
        <v>-0.25256013336508687</v>
      </c>
      <c r="M64" s="1957">
        <v>-0.24035048802129533</v>
      </c>
      <c r="N64" s="1952"/>
    </row>
    <row r="67" spans="2:2">
      <c r="B67" s="1930" t="s">
        <v>2138</v>
      </c>
    </row>
    <row r="68" spans="2:2">
      <c r="B68" s="1976" t="s">
        <v>488</v>
      </c>
    </row>
    <row r="69" spans="2:2">
      <c r="B69" s="1976" t="s">
        <v>489</v>
      </c>
    </row>
    <row r="70" spans="2:2">
      <c r="B70" s="1977" t="s">
        <v>490</v>
      </c>
    </row>
    <row r="71" spans="2:2">
      <c r="B71" s="1976" t="s">
        <v>491</v>
      </c>
    </row>
    <row r="72" spans="2:2">
      <c r="B72" s="1976" t="s">
        <v>492</v>
      </c>
    </row>
    <row r="73" spans="2:2">
      <c r="B73" s="1977" t="s">
        <v>493</v>
      </c>
    </row>
    <row r="74" spans="2:2">
      <c r="B74" s="1977" t="s">
        <v>494</v>
      </c>
    </row>
    <row r="75" spans="2:2">
      <c r="B75" s="1977" t="s">
        <v>495</v>
      </c>
    </row>
    <row r="76" spans="2:2">
      <c r="B76" s="1977" t="s">
        <v>496</v>
      </c>
    </row>
    <row r="77" spans="2:2">
      <c r="B77" s="1978" t="s">
        <v>497</v>
      </c>
    </row>
    <row r="78" spans="2:2">
      <c r="B78" s="1978" t="s">
        <v>498</v>
      </c>
    </row>
    <row r="79" spans="2:2">
      <c r="B79" s="1976" t="s">
        <v>499</v>
      </c>
    </row>
    <row r="81" spans="2:2">
      <c r="B81" s="1979" t="s">
        <v>500</v>
      </c>
    </row>
    <row r="82" spans="2:2">
      <c r="B82" s="1980" t="s">
        <v>501</v>
      </c>
    </row>
    <row r="83" spans="2:2">
      <c r="B83" s="1933" t="s">
        <v>502</v>
      </c>
    </row>
    <row r="84" spans="2:2">
      <c r="B84" s="1981" t="s">
        <v>503</v>
      </c>
    </row>
    <row r="85" spans="2:2">
      <c r="B85" s="1981" t="s">
        <v>504</v>
      </c>
    </row>
  </sheetData>
  <phoneticPr fontId="77" type="noConversion"/>
  <pageMargins left="0.31" right="0.26" top="0.43" bottom="0.4" header="0.31" footer="0.16"/>
  <pageSetup paperSize="9" scale="70" orientation="portrait"/>
  <headerFooter alignWithMargins="0"/>
  <colBreaks count="1" manualBreakCount="1">
    <brk id="2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3F7D-01EB-404B-98A3-0E39C50F0320}">
  <sheetPr>
    <pageSetUpPr fitToPage="1"/>
  </sheetPr>
  <dimension ref="A1:N65"/>
  <sheetViews>
    <sheetView workbookViewId="0">
      <pane ySplit="5" topLeftCell="A31" activePane="bottomLeft" state="frozen"/>
      <selection pane="bottomLeft" activeCell="B40" sqref="B40"/>
    </sheetView>
  </sheetViews>
  <sheetFormatPr baseColWidth="10" defaultColWidth="11.3984375" defaultRowHeight="13"/>
  <cols>
    <col min="1" max="1" width="2.59765625" style="1019" customWidth="1"/>
    <col min="2" max="2" width="18.59765625" style="1024" customWidth="1"/>
    <col min="3" max="3" width="8.796875" style="1019" customWidth="1"/>
    <col min="4" max="8" width="9.19921875" style="1019" customWidth="1"/>
    <col min="9" max="9" width="8.59765625" style="1021" customWidth="1"/>
    <col min="10" max="10" width="9.19921875" style="1019" customWidth="1"/>
    <col min="11" max="11" width="8.59765625" style="1022" customWidth="1"/>
    <col min="12" max="12" width="9.3984375" style="1023" customWidth="1"/>
    <col min="13" max="14" width="8.19921875" style="1019" customWidth="1"/>
    <col min="15" max="16384" width="11.3984375" style="1019"/>
  </cols>
  <sheetData>
    <row r="1" spans="1:14">
      <c r="B1" s="1020" t="s">
        <v>2132</v>
      </c>
    </row>
    <row r="3" spans="1:14">
      <c r="B3" s="1020" t="s">
        <v>587</v>
      </c>
    </row>
    <row r="4" spans="1:14">
      <c r="I4" s="1025"/>
      <c r="K4" s="1026"/>
    </row>
    <row r="5" spans="1:14" ht="37.5" customHeight="1">
      <c r="C5" s="1027">
        <v>2000</v>
      </c>
      <c r="D5" s="1027">
        <v>2001</v>
      </c>
      <c r="E5" s="1027">
        <v>2002</v>
      </c>
      <c r="F5" s="1027">
        <v>2003</v>
      </c>
      <c r="G5" s="1027">
        <v>2004</v>
      </c>
      <c r="H5" s="1027">
        <v>2005</v>
      </c>
      <c r="I5" s="1028">
        <v>2006</v>
      </c>
      <c r="J5" s="1028">
        <v>2007</v>
      </c>
      <c r="K5" s="1029">
        <v>2008</v>
      </c>
      <c r="L5" s="1030" t="s">
        <v>2133</v>
      </c>
      <c r="M5" s="1850">
        <v>2009</v>
      </c>
      <c r="N5" s="1850">
        <v>2010</v>
      </c>
    </row>
    <row r="6" spans="1:14">
      <c r="A6" s="1031">
        <v>1</v>
      </c>
      <c r="B6" s="1020" t="s">
        <v>1785</v>
      </c>
      <c r="C6" s="1032">
        <v>7265.1130000000003</v>
      </c>
      <c r="D6" s="1033">
        <v>7301.05</v>
      </c>
      <c r="E6" s="1033">
        <v>7344.6319999999996</v>
      </c>
      <c r="F6" s="1033">
        <v>7372.5050000000001</v>
      </c>
      <c r="G6" s="1033">
        <v>7383.5739999999996</v>
      </c>
      <c r="H6" s="1033">
        <v>7435.8649999999998</v>
      </c>
      <c r="I6" s="1033">
        <v>7478.4290000000001</v>
      </c>
      <c r="J6" s="1033">
        <v>7537.5873800000008</v>
      </c>
      <c r="K6" s="1034">
        <v>7615.5633200000002</v>
      </c>
      <c r="L6" s="1035">
        <v>1.0344946740769911E-2</v>
      </c>
      <c r="M6" s="1036"/>
      <c r="N6" s="1036"/>
    </row>
    <row r="7" spans="1:14">
      <c r="B7" s="1037" t="s">
        <v>283</v>
      </c>
      <c r="C7" s="1036">
        <v>7263.2904821520033</v>
      </c>
      <c r="D7" s="1038">
        <v>7277.9087635100614</v>
      </c>
      <c r="E7" s="1038">
        <v>7294.8725866470413</v>
      </c>
      <c r="F7" s="1038">
        <v>7381</v>
      </c>
      <c r="G7" s="1038">
        <v>7369</v>
      </c>
      <c r="H7" s="1038">
        <v>7439</v>
      </c>
      <c r="I7" s="1038">
        <v>7479.1931914420002</v>
      </c>
      <c r="J7" s="1038">
        <v>7540.1476616999998</v>
      </c>
      <c r="K7" s="1039">
        <v>7616.5542101510009</v>
      </c>
      <c r="L7" s="1040">
        <v>1.0133296041283879E-2</v>
      </c>
      <c r="M7" s="1036">
        <v>7702.4292549230004</v>
      </c>
      <c r="N7" s="1036"/>
    </row>
    <row r="8" spans="1:14">
      <c r="B8" s="1037" t="s">
        <v>2497</v>
      </c>
      <c r="C8" s="1041">
        <v>-2.5085884390196878E-4</v>
      </c>
      <c r="D8" s="1042">
        <v>-3.1695764978926233E-3</v>
      </c>
      <c r="E8" s="1042">
        <v>-6.774936219126837E-3</v>
      </c>
      <c r="F8" s="1042">
        <v>1.1522542202413444E-3</v>
      </c>
      <c r="G8" s="1042">
        <v>-1.9738408526818185E-3</v>
      </c>
      <c r="H8" s="1042">
        <v>4.2160528734713765E-4</v>
      </c>
      <c r="I8" s="1042">
        <v>1.0218609309520232E-4</v>
      </c>
      <c r="J8" s="1042">
        <v>3.3966859300260666E-4</v>
      </c>
      <c r="K8" s="1042">
        <v>1.3011383522987252E-4</v>
      </c>
      <c r="L8" s="1035"/>
      <c r="M8" s="1036"/>
      <c r="N8" s="1036"/>
    </row>
    <row r="9" spans="1:14">
      <c r="B9" s="1037" t="s">
        <v>2498</v>
      </c>
      <c r="C9" s="1043" t="s">
        <v>1060</v>
      </c>
      <c r="D9" s="1038">
        <v>7254.1157733654136</v>
      </c>
      <c r="E9" s="1038">
        <v>7163.7307153205684</v>
      </c>
      <c r="F9" s="1038">
        <v>7316.3455001697612</v>
      </c>
      <c r="G9" s="1038">
        <v>7362</v>
      </c>
      <c r="H9" s="1038">
        <v>7463</v>
      </c>
      <c r="I9" s="1038">
        <v>7592</v>
      </c>
      <c r="J9" s="1038">
        <v>7673.1906940349973</v>
      </c>
      <c r="K9" s="1039">
        <v>7691.2806604670004</v>
      </c>
      <c r="L9" s="1035"/>
      <c r="M9" s="1036">
        <v>7722.3599757610018</v>
      </c>
      <c r="N9" s="1036">
        <v>7651.4778619709978</v>
      </c>
    </row>
    <row r="10" spans="1:14">
      <c r="C10" s="1032"/>
      <c r="D10" s="1033"/>
      <c r="E10" s="1033"/>
      <c r="F10" s="1033"/>
      <c r="G10" s="1033"/>
      <c r="H10" s="1033"/>
      <c r="I10" s="1033"/>
      <c r="J10" s="1033"/>
      <c r="K10" s="1034"/>
      <c r="L10" s="1035"/>
      <c r="M10" s="1036"/>
      <c r="N10" s="1036"/>
    </row>
    <row r="11" spans="1:14">
      <c r="A11" s="1031">
        <v>2</v>
      </c>
      <c r="B11" s="1020" t="s">
        <v>769</v>
      </c>
      <c r="C11" s="1032">
        <v>13441.654683999999</v>
      </c>
      <c r="D11" s="1033">
        <v>13997.312</v>
      </c>
      <c r="E11" s="1033">
        <v>15355.045232</v>
      </c>
      <c r="F11" s="1033">
        <v>16820.111152000001</v>
      </c>
      <c r="G11" s="1033">
        <v>18029.704831999999</v>
      </c>
      <c r="H11" s="1033">
        <v>18496.419615660001</v>
      </c>
      <c r="I11" s="1033">
        <v>19314.688173570001</v>
      </c>
      <c r="J11" s="1033">
        <v>19689.141486260003</v>
      </c>
      <c r="K11" s="1034">
        <v>19692.267223940002</v>
      </c>
      <c r="L11" s="1035">
        <v>1.5875439171275652E-4</v>
      </c>
      <c r="M11" s="1036"/>
      <c r="N11" s="1036"/>
    </row>
    <row r="12" spans="1:14">
      <c r="B12" s="1037" t="str">
        <f>B$7</f>
        <v>Schätzung</v>
      </c>
      <c r="C12" s="1036">
        <v>13389.707699910003</v>
      </c>
      <c r="D12" s="1038">
        <v>13989.048404499999</v>
      </c>
      <c r="E12" s="1038">
        <v>15274.144299349999</v>
      </c>
      <c r="F12" s="1038">
        <v>16841</v>
      </c>
      <c r="G12" s="1038">
        <v>18003</v>
      </c>
      <c r="H12" s="1038">
        <v>18529</v>
      </c>
      <c r="I12" s="1038">
        <v>19330</v>
      </c>
      <c r="J12" s="1038">
        <v>19702.417918889994</v>
      </c>
      <c r="K12" s="1039">
        <v>19699.635458489996</v>
      </c>
      <c r="L12" s="1040">
        <v>-1.4122431122176593E-4</v>
      </c>
      <c r="M12" s="1036">
        <v>20167.370254750007</v>
      </c>
      <c r="N12" s="1036"/>
    </row>
    <row r="13" spans="1:14">
      <c r="B13" s="1037" t="str">
        <f>B$8</f>
        <v>Abweichung S</v>
      </c>
      <c r="C13" s="1041">
        <v>-3.8646271840200308E-3</v>
      </c>
      <c r="D13" s="1042">
        <v>-5.9037017250174184E-4</v>
      </c>
      <c r="E13" s="1042">
        <v>-5.2686873550462643E-3</v>
      </c>
      <c r="F13" s="1042">
        <v>1.2418971439147608E-3</v>
      </c>
      <c r="G13" s="1042">
        <v>-1.481157470343164E-3</v>
      </c>
      <c r="H13" s="1042">
        <v>1.761442755786824E-3</v>
      </c>
      <c r="I13" s="1042">
        <v>7.9275555952040833E-4</v>
      </c>
      <c r="J13" s="1042">
        <v>6.7430226143971872E-4</v>
      </c>
      <c r="K13" s="1042">
        <v>3.7416892967190307E-4</v>
      </c>
      <c r="L13" s="1040"/>
      <c r="M13" s="1036"/>
      <c r="N13" s="1036"/>
    </row>
    <row r="14" spans="1:14">
      <c r="B14" s="1037" t="str">
        <f>B$9</f>
        <v>Prognose</v>
      </c>
      <c r="C14" s="1036" t="s">
        <v>1060</v>
      </c>
      <c r="D14" s="1038">
        <v>14172.21799859</v>
      </c>
      <c r="E14" s="1038">
        <v>15197.887399369996</v>
      </c>
      <c r="F14" s="1038">
        <v>16888.705110070001</v>
      </c>
      <c r="G14" s="1038">
        <v>18075</v>
      </c>
      <c r="H14" s="1038">
        <v>18735</v>
      </c>
      <c r="I14" s="1038">
        <v>19932</v>
      </c>
      <c r="J14" s="1038">
        <v>20116</v>
      </c>
      <c r="K14" s="1039">
        <v>20016.107919189995</v>
      </c>
      <c r="L14" s="1040"/>
      <c r="M14" s="1036">
        <v>20398.211203859999</v>
      </c>
      <c r="N14" s="1036">
        <v>22023.360697910004</v>
      </c>
    </row>
    <row r="15" spans="1:14">
      <c r="C15" s="1032"/>
      <c r="D15" s="1033"/>
      <c r="E15" s="1033"/>
      <c r="F15" s="1033"/>
      <c r="G15" s="1033"/>
      <c r="H15" s="1033"/>
      <c r="I15" s="1033"/>
      <c r="J15" s="1033"/>
      <c r="K15" s="1034"/>
      <c r="L15" s="1035"/>
      <c r="M15" s="1036"/>
      <c r="N15" s="1036"/>
    </row>
    <row r="16" spans="1:14">
      <c r="A16" s="1031">
        <v>3</v>
      </c>
      <c r="B16" s="1020" t="s">
        <v>2134</v>
      </c>
      <c r="C16" s="1032">
        <v>13190.309896999999</v>
      </c>
      <c r="D16" s="1033">
        <v>13986.27</v>
      </c>
      <c r="E16" s="1033">
        <v>14592.757041999999</v>
      </c>
      <c r="F16" s="1033">
        <v>15335.619703</v>
      </c>
      <c r="G16" s="1033">
        <v>16307.508545999999</v>
      </c>
      <c r="H16" s="1033">
        <v>17352.720035540002</v>
      </c>
      <c r="I16" s="1033">
        <v>17563.91560077</v>
      </c>
      <c r="J16" s="1033">
        <v>18423.621995400001</v>
      </c>
      <c r="K16" s="1034">
        <v>19431.457253839999</v>
      </c>
      <c r="L16" s="1035">
        <v>5.470342686642371E-2</v>
      </c>
      <c r="M16" s="1036"/>
      <c r="N16" s="1036"/>
    </row>
    <row r="17" spans="1:14">
      <c r="B17" s="1037" t="str">
        <f>B$7</f>
        <v>Schätzung</v>
      </c>
      <c r="C17" s="1036">
        <v>13263.352588819997</v>
      </c>
      <c r="D17" s="1038">
        <v>13868.973949539999</v>
      </c>
      <c r="E17" s="1038">
        <v>14545.501535449999</v>
      </c>
      <c r="F17" s="1038">
        <v>15382</v>
      </c>
      <c r="G17" s="1038">
        <v>16182</v>
      </c>
      <c r="H17" s="1038">
        <v>17293</v>
      </c>
      <c r="I17" s="1038">
        <v>17953</v>
      </c>
      <c r="J17" s="1038">
        <v>18303.805358469996</v>
      </c>
      <c r="K17" s="1039">
        <v>19054.4411406</v>
      </c>
      <c r="L17" s="1040">
        <v>4.1009821041538386E-2</v>
      </c>
      <c r="M17" s="1036">
        <v>20141.230242230002</v>
      </c>
      <c r="N17" s="1036"/>
    </row>
    <row r="18" spans="1:14">
      <c r="B18" s="1037" t="str">
        <f>B$8</f>
        <v>Abweichung S</v>
      </c>
      <c r="C18" s="1041">
        <v>5.5376024058850781E-3</v>
      </c>
      <c r="D18" s="1042">
        <v>-8.3865140927495974E-3</v>
      </c>
      <c r="E18" s="1042">
        <v>-3.2382850213974468E-3</v>
      </c>
      <c r="F18" s="1042">
        <v>3.024351014059512E-3</v>
      </c>
      <c r="G18" s="1042">
        <v>-7.6963654899193656E-3</v>
      </c>
      <c r="H18" s="1042">
        <v>-3.4415374314625824E-3</v>
      </c>
      <c r="I18" s="1042">
        <v>2.2152486272078331E-2</v>
      </c>
      <c r="J18" s="1042">
        <v>-6.5034246230150083E-3</v>
      </c>
      <c r="K18" s="1042">
        <v>-1.9402359190816454E-2</v>
      </c>
      <c r="L18" s="1040"/>
      <c r="M18" s="1036"/>
      <c r="N18" s="1036"/>
    </row>
    <row r="19" spans="1:14">
      <c r="B19" s="1037" t="str">
        <f>B$9</f>
        <v>Prognose</v>
      </c>
      <c r="C19" s="1036" t="s">
        <v>1060</v>
      </c>
      <c r="D19" s="1038">
        <v>13873.52074459</v>
      </c>
      <c r="E19" s="1038">
        <v>14375.897015919998</v>
      </c>
      <c r="F19" s="1038">
        <v>15461.261377419998</v>
      </c>
      <c r="G19" s="1038">
        <v>16330</v>
      </c>
      <c r="H19" s="1038">
        <v>17180</v>
      </c>
      <c r="I19" s="1038">
        <v>18848</v>
      </c>
      <c r="J19" s="1038">
        <v>19027</v>
      </c>
      <c r="K19" s="1039">
        <v>19109.311929110001</v>
      </c>
      <c r="L19" s="1040"/>
      <c r="M19" s="1036">
        <v>19772.739618319996</v>
      </c>
      <c r="N19" s="1036">
        <v>20559.572438620005</v>
      </c>
    </row>
    <row r="20" spans="1:14">
      <c r="C20" s="1032"/>
      <c r="D20" s="1033"/>
      <c r="E20" s="1033"/>
      <c r="F20" s="1033"/>
      <c r="G20" s="1033"/>
      <c r="H20" s="1033"/>
      <c r="I20" s="1033"/>
      <c r="J20" s="1033"/>
      <c r="K20" s="1034"/>
      <c r="L20" s="1035"/>
      <c r="M20" s="1036"/>
      <c r="N20" s="1036"/>
    </row>
    <row r="21" spans="1:14">
      <c r="A21" s="1031">
        <v>4</v>
      </c>
      <c r="B21" s="1020" t="s">
        <v>2135</v>
      </c>
      <c r="C21" s="1032">
        <v>2288.0175450000002</v>
      </c>
      <c r="D21" s="1033">
        <v>2400.1799999999998</v>
      </c>
      <c r="E21" s="1033">
        <v>2502.8303667999999</v>
      </c>
      <c r="F21" s="1033">
        <v>2588.499652</v>
      </c>
      <c r="G21" s="1033">
        <v>2832.3123952999999</v>
      </c>
      <c r="H21" s="1033">
        <v>2994.9866096700002</v>
      </c>
      <c r="I21" s="1033">
        <v>3038.7113187200002</v>
      </c>
      <c r="J21" s="1033">
        <v>3155.0668707</v>
      </c>
      <c r="K21" s="1034">
        <v>3290.4542289599999</v>
      </c>
      <c r="L21" s="1035">
        <v>4.2911089941482627E-2</v>
      </c>
      <c r="M21" s="1036"/>
      <c r="N21" s="1036"/>
    </row>
    <row r="22" spans="1:14">
      <c r="B22" s="1037" t="str">
        <f>B$7</f>
        <v>Schätzung</v>
      </c>
      <c r="C22" s="1036">
        <v>2303.9403716100005</v>
      </c>
      <c r="D22" s="1038">
        <v>2425.1343131099998</v>
      </c>
      <c r="E22" s="1038">
        <v>2546.0819887000002</v>
      </c>
      <c r="F22" s="1038">
        <v>2666</v>
      </c>
      <c r="G22" s="1038">
        <v>2901</v>
      </c>
      <c r="H22" s="1038">
        <v>3099</v>
      </c>
      <c r="I22" s="1038">
        <v>3117</v>
      </c>
      <c r="J22" s="1038">
        <v>3178.8702050500001</v>
      </c>
      <c r="K22" s="1039">
        <v>3291.5070437099998</v>
      </c>
      <c r="L22" s="1040">
        <v>3.5432978194914311E-2</v>
      </c>
      <c r="M22" s="1036">
        <v>3460.5105451399995</v>
      </c>
      <c r="N22" s="1036"/>
    </row>
    <row r="23" spans="1:14">
      <c r="B23" s="1037" t="str">
        <f>B$8</f>
        <v>Abweichung S</v>
      </c>
      <c r="C23" s="1041">
        <v>6.9592239993074845E-3</v>
      </c>
      <c r="D23" s="1042">
        <v>1.0396850698697557E-2</v>
      </c>
      <c r="E23" s="1042">
        <v>1.7281084037389149E-2</v>
      </c>
      <c r="F23" s="1042">
        <v>2.9940258226466954E-2</v>
      </c>
      <c r="G23" s="1042">
        <v>2.4251422552816537E-2</v>
      </c>
      <c r="H23" s="1042">
        <v>3.472916706678042E-2</v>
      </c>
      <c r="I23" s="1042">
        <v>2.5763777163596346E-2</v>
      </c>
      <c r="J23" s="1042">
        <v>7.544478556398726E-3</v>
      </c>
      <c r="K23" s="1042">
        <v>3.1996030843828294E-4</v>
      </c>
      <c r="L23" s="1040"/>
      <c r="M23" s="1036"/>
      <c r="N23" s="1036"/>
    </row>
    <row r="24" spans="1:14">
      <c r="B24" s="1037" t="str">
        <f>B$9</f>
        <v>Prognose</v>
      </c>
      <c r="C24" s="1043"/>
      <c r="D24" s="1038">
        <v>2328.0747466299999</v>
      </c>
      <c r="E24" s="1038">
        <v>2529.1750094200006</v>
      </c>
      <c r="F24" s="1038">
        <v>2692.6295753899999</v>
      </c>
      <c r="G24" s="1038">
        <v>3044</v>
      </c>
      <c r="H24" s="1038">
        <v>3181</v>
      </c>
      <c r="I24" s="1038">
        <v>3305</v>
      </c>
      <c r="J24" s="1038">
        <v>3346</v>
      </c>
      <c r="K24" s="1039">
        <v>3340.5068328800003</v>
      </c>
      <c r="L24" s="1040"/>
      <c r="M24" s="1036">
        <v>3435.5770779900013</v>
      </c>
      <c r="N24" s="1036">
        <v>3562.1541336899995</v>
      </c>
    </row>
    <row r="25" spans="1:14">
      <c r="C25" s="1032"/>
      <c r="D25" s="1033"/>
      <c r="E25" s="1033"/>
      <c r="F25" s="1033"/>
      <c r="G25" s="1033"/>
      <c r="H25" s="1033"/>
      <c r="I25" s="1033"/>
      <c r="J25" s="1033"/>
      <c r="K25" s="1034"/>
      <c r="L25" s="1035"/>
      <c r="M25" s="1036"/>
      <c r="N25" s="1036"/>
    </row>
    <row r="26" spans="1:14">
      <c r="A26" s="1031">
        <v>5</v>
      </c>
      <c r="B26" s="1020" t="s">
        <v>2136</v>
      </c>
      <c r="C26" s="1044">
        <v>837.3</v>
      </c>
      <c r="D26" s="1044">
        <v>867</v>
      </c>
      <c r="E26" s="1045">
        <v>882.5</v>
      </c>
      <c r="F26" s="1033">
        <v>863.38168700000006</v>
      </c>
      <c r="G26" s="1033">
        <v>903.60567500000002</v>
      </c>
      <c r="H26" s="1033">
        <v>910.32016699999997</v>
      </c>
      <c r="I26" s="1033">
        <v>993.79577500000005</v>
      </c>
      <c r="J26" s="1033">
        <v>1009.51491821</v>
      </c>
      <c r="K26" s="1034">
        <v>1107.29201515</v>
      </c>
      <c r="L26" s="1035">
        <v>9.6855524545760519E-2</v>
      </c>
      <c r="M26" s="1036"/>
      <c r="N26" s="1036"/>
    </row>
    <row r="27" spans="1:14">
      <c r="B27" s="1037" t="str">
        <f>B$7</f>
        <v>Schätzung</v>
      </c>
      <c r="C27" s="1036">
        <v>857.32106895000004</v>
      </c>
      <c r="D27" s="1038">
        <v>904.9640978000001</v>
      </c>
      <c r="E27" s="1038">
        <v>933.20770917000004</v>
      </c>
      <c r="F27" s="1038">
        <v>938</v>
      </c>
      <c r="G27" s="1038">
        <v>965</v>
      </c>
      <c r="H27" s="1038">
        <v>979</v>
      </c>
      <c r="I27" s="1038">
        <v>1005</v>
      </c>
      <c r="J27" s="1038">
        <v>1054.2850677999998</v>
      </c>
      <c r="K27" s="1039">
        <v>1084.5769063499997</v>
      </c>
      <c r="L27" s="1040">
        <v>2.8732113804106785E-2</v>
      </c>
      <c r="M27" s="1036">
        <v>1135.1004123800001</v>
      </c>
      <c r="N27" s="1036"/>
    </row>
    <row r="28" spans="1:14">
      <c r="B28" s="1037" t="str">
        <f>B$8</f>
        <v>Abweichung S</v>
      </c>
      <c r="C28" s="1042">
        <v>2.3911464170548236E-2</v>
      </c>
      <c r="D28" s="1042">
        <v>4.3787886735870973E-2</v>
      </c>
      <c r="E28" s="1042">
        <v>5.7459160532578046E-2</v>
      </c>
      <c r="F28" s="1042">
        <v>8.6425637841910818E-2</v>
      </c>
      <c r="G28" s="1042">
        <v>6.7943713390246296E-2</v>
      </c>
      <c r="H28" s="1042">
        <v>7.5445799719386031E-2</v>
      </c>
      <c r="I28" s="1042">
        <v>1.127417250289664E-2</v>
      </c>
      <c r="J28" s="1042">
        <v>4.4348180281855498E-2</v>
      </c>
      <c r="K28" s="1042">
        <v>-2.0514108734833725E-2</v>
      </c>
      <c r="L28" s="1040"/>
      <c r="M28" s="1036"/>
      <c r="N28" s="1036"/>
    </row>
    <row r="29" spans="1:14">
      <c r="B29" s="1037" t="str">
        <f>B$9</f>
        <v>Prognose</v>
      </c>
      <c r="C29" s="1036" t="s">
        <v>1060</v>
      </c>
      <c r="D29" s="1038">
        <v>884.35111183000004</v>
      </c>
      <c r="E29" s="1038">
        <v>908.60023298000021</v>
      </c>
      <c r="F29" s="1038">
        <v>979.25216290999992</v>
      </c>
      <c r="G29" s="1038">
        <v>973</v>
      </c>
      <c r="H29" s="1038">
        <v>999</v>
      </c>
      <c r="I29" s="1038">
        <v>1026</v>
      </c>
      <c r="J29" s="1038">
        <v>1041</v>
      </c>
      <c r="K29" s="1039">
        <v>1078.9641520900002</v>
      </c>
      <c r="L29" s="1040"/>
      <c r="M29" s="1036">
        <v>1100.7764457800001</v>
      </c>
      <c r="N29" s="1036">
        <v>1165.20861023</v>
      </c>
    </row>
    <row r="30" spans="1:14">
      <c r="C30" s="1032"/>
      <c r="D30" s="1033"/>
      <c r="E30" s="1033"/>
      <c r="F30" s="1033"/>
      <c r="G30" s="1046"/>
      <c r="H30" s="1033"/>
      <c r="I30" s="1033"/>
      <c r="J30" s="1033"/>
      <c r="K30" s="1034"/>
      <c r="L30" s="1035"/>
      <c r="M30" s="1036"/>
      <c r="N30" s="1036"/>
    </row>
    <row r="31" spans="1:14">
      <c r="A31" s="1031">
        <v>6</v>
      </c>
      <c r="B31" s="1020" t="s">
        <v>2010</v>
      </c>
      <c r="C31" s="1032">
        <v>2832.1064590000001</v>
      </c>
      <c r="D31" s="1033">
        <v>2102.63</v>
      </c>
      <c r="E31" s="1033">
        <v>1965.5320859999999</v>
      </c>
      <c r="F31" s="1033">
        <v>2393.7060728000001</v>
      </c>
      <c r="G31" s="1033">
        <v>2968.4810149999998</v>
      </c>
      <c r="H31" s="1033">
        <v>3184.4883299199996</v>
      </c>
      <c r="I31" s="1033">
        <v>3749.0085763900001</v>
      </c>
      <c r="J31" s="1033">
        <v>3970.4438487200005</v>
      </c>
      <c r="K31" s="1034">
        <v>3251.9246672899994</v>
      </c>
      <c r="L31" s="1035">
        <v>-0.18096696712173344</v>
      </c>
      <c r="M31" s="1036"/>
      <c r="N31" s="1036"/>
    </row>
    <row r="32" spans="1:14">
      <c r="B32" s="1037" t="str">
        <f>B$7</f>
        <v>Schätzung</v>
      </c>
      <c r="C32" s="1036">
        <v>2855.834492</v>
      </c>
      <c r="D32" s="1038">
        <v>2349.2245110000003</v>
      </c>
      <c r="E32" s="1038">
        <v>1976.764197</v>
      </c>
      <c r="F32" s="1038">
        <v>2260</v>
      </c>
      <c r="G32" s="1038">
        <v>2984</v>
      </c>
      <c r="H32" s="1038">
        <v>3152</v>
      </c>
      <c r="I32" s="1038">
        <v>3543</v>
      </c>
      <c r="J32" s="1038">
        <v>4165.3955720000013</v>
      </c>
      <c r="K32" s="1039">
        <v>3701.8404859999996</v>
      </c>
      <c r="L32" s="1040">
        <v>-0.11128717020684475</v>
      </c>
      <c r="M32" s="1036">
        <v>2439.4633089999993</v>
      </c>
      <c r="N32" s="1036"/>
    </row>
    <row r="33" spans="1:14">
      <c r="B33" s="1037" t="str">
        <f>B$8</f>
        <v>Abweichung S</v>
      </c>
      <c r="C33" s="1041">
        <v>8.3782277762178836E-3</v>
      </c>
      <c r="D33" s="1042">
        <v>0.11727907953372685</v>
      </c>
      <c r="E33" s="1042">
        <v>5.7145396302626938E-3</v>
      </c>
      <c r="F33" s="1042">
        <v>-5.5857347867108609E-2</v>
      </c>
      <c r="G33" s="1042">
        <v>5.2279212572292622E-3</v>
      </c>
      <c r="H33" s="1042">
        <v>-1.0202056517134683E-2</v>
      </c>
      <c r="I33" s="1042">
        <v>-5.4950148070445404E-2</v>
      </c>
      <c r="J33" s="1042">
        <v>4.910073803029591E-2</v>
      </c>
      <c r="K33" s="1042">
        <v>0.13835370272735714</v>
      </c>
      <c r="L33" s="1040"/>
      <c r="M33" s="1036"/>
      <c r="N33" s="1036"/>
    </row>
    <row r="34" spans="1:14">
      <c r="B34" s="1037" t="str">
        <f>B$9</f>
        <v>Prognose</v>
      </c>
      <c r="C34" s="1036" t="s">
        <v>1060</v>
      </c>
      <c r="D34" s="1038">
        <v>2814.2621860000008</v>
      </c>
      <c r="E34" s="1038">
        <v>2347.8065059999999</v>
      </c>
      <c r="F34" s="1038">
        <v>2216.3722629999997</v>
      </c>
      <c r="G34" s="1038">
        <v>2745</v>
      </c>
      <c r="H34" s="1038">
        <v>3240</v>
      </c>
      <c r="I34" s="1038">
        <v>3356</v>
      </c>
      <c r="J34" s="1038">
        <v>3461</v>
      </c>
      <c r="K34" s="1039">
        <v>3956.0224839999996</v>
      </c>
      <c r="L34" s="1040"/>
      <c r="M34" s="1036">
        <v>3318.8551230000007</v>
      </c>
      <c r="N34" s="1036">
        <v>2642.7481510000007</v>
      </c>
    </row>
    <row r="35" spans="1:14">
      <c r="C35" s="1032"/>
      <c r="D35" s="1033"/>
      <c r="E35" s="1033"/>
      <c r="F35" s="1033"/>
      <c r="G35" s="1033"/>
      <c r="H35" s="1047"/>
      <c r="I35" s="1033"/>
      <c r="J35" s="1033"/>
      <c r="K35" s="1034"/>
      <c r="L35" s="1035"/>
      <c r="M35" s="1036"/>
      <c r="N35" s="1036"/>
    </row>
    <row r="36" spans="1:14">
      <c r="A36" s="1031">
        <v>7</v>
      </c>
      <c r="B36" s="1987" t="s">
        <v>116</v>
      </c>
      <c r="C36" s="1032">
        <v>3956.2184860000002</v>
      </c>
      <c r="D36" s="1033">
        <v>3996.3</v>
      </c>
      <c r="E36" s="1033">
        <v>4018.0238040999998</v>
      </c>
      <c r="F36" s="1033">
        <v>4264.2535405999997</v>
      </c>
      <c r="G36" s="1033">
        <v>4487.9860974000003</v>
      </c>
      <c r="H36" s="1033">
        <v>4710.4063184600009</v>
      </c>
      <c r="I36" s="1033">
        <v>4989.9724867100003</v>
      </c>
      <c r="J36" s="1033">
        <v>5234.0909351299988</v>
      </c>
      <c r="K36" s="1034">
        <v>5191.0501722600002</v>
      </c>
      <c r="L36" s="1035">
        <v>-8.223159170032579E-3</v>
      </c>
      <c r="M36" s="1036"/>
      <c r="N36" s="1036"/>
    </row>
    <row r="37" spans="1:14">
      <c r="B37" s="1037" t="str">
        <f>B$7</f>
        <v>Schätzung</v>
      </c>
      <c r="C37" s="1036">
        <v>3962.9471309999999</v>
      </c>
      <c r="D37" s="1038">
        <v>3974.075738</v>
      </c>
      <c r="E37" s="1038">
        <v>4070.0846579999998</v>
      </c>
      <c r="F37" s="1044">
        <v>4272.4598530000003</v>
      </c>
      <c r="G37" s="1048">
        <v>4546.5489809999999</v>
      </c>
      <c r="H37" s="1038">
        <v>4697</v>
      </c>
      <c r="I37" s="1038">
        <v>4866</v>
      </c>
      <c r="J37" s="1038">
        <v>5169.9915730000012</v>
      </c>
      <c r="K37" s="1039">
        <v>5298.7608519999994</v>
      </c>
      <c r="L37" s="1040">
        <v>2.49070578127224E-2</v>
      </c>
      <c r="M37" s="1036">
        <v>5335.87583</v>
      </c>
      <c r="N37" s="1036"/>
    </row>
    <row r="38" spans="1:14">
      <c r="B38" s="1037" t="str">
        <f>B$8</f>
        <v>Abweichung S</v>
      </c>
      <c r="C38" s="1041">
        <v>1.7007768968804182E-3</v>
      </c>
      <c r="D38" s="1042">
        <v>-5.5612096188975002E-3</v>
      </c>
      <c r="E38" s="1042">
        <v>1.2956830630738603E-2</v>
      </c>
      <c r="F38" s="1049">
        <v>1.9244428882729814E-3</v>
      </c>
      <c r="G38" s="1049">
        <v>1.3048811277273531E-2</v>
      </c>
      <c r="H38" s="1042">
        <v>-2.8461065890349468E-3</v>
      </c>
      <c r="I38" s="1042">
        <v>-2.484432269720549E-2</v>
      </c>
      <c r="J38" s="1042">
        <v>-1.2246512894871109E-2</v>
      </c>
      <c r="K38" s="1042">
        <v>2.0749304315258676E-2</v>
      </c>
      <c r="L38" s="1035"/>
      <c r="M38" s="1036"/>
      <c r="N38" s="1036"/>
    </row>
    <row r="39" spans="1:14">
      <c r="B39" s="1037" t="str">
        <f>B$9</f>
        <v>Prognose</v>
      </c>
      <c r="C39" s="1036" t="s">
        <v>1060</v>
      </c>
      <c r="D39" s="1038">
        <v>4036.8502759999997</v>
      </c>
      <c r="E39" s="1038">
        <v>4069.2909930000001</v>
      </c>
      <c r="F39" s="1044">
        <v>4343.5413720000015</v>
      </c>
      <c r="G39" s="1044">
        <v>4528.577933999999</v>
      </c>
      <c r="H39" s="1038">
        <v>4824.4617770000004</v>
      </c>
      <c r="I39" s="1038">
        <v>4891</v>
      </c>
      <c r="J39" s="1038">
        <v>5045</v>
      </c>
      <c r="K39" s="1039">
        <v>5283.6306359999999</v>
      </c>
      <c r="L39" s="1035"/>
      <c r="M39" s="1036">
        <v>5364.6168920000009</v>
      </c>
      <c r="N39" s="1036">
        <v>5507.9461690000007</v>
      </c>
    </row>
    <row r="40" spans="1:14">
      <c r="C40" s="1032"/>
      <c r="D40" s="1033"/>
      <c r="E40" s="1033"/>
      <c r="F40" s="1033"/>
      <c r="I40" s="1033"/>
      <c r="J40" s="1033"/>
      <c r="K40" s="1034"/>
      <c r="L40" s="1035"/>
      <c r="M40" s="1036"/>
      <c r="N40" s="1036"/>
    </row>
    <row r="41" spans="1:14">
      <c r="A41" s="1031">
        <v>8</v>
      </c>
      <c r="B41" s="1020" t="s">
        <v>2137</v>
      </c>
      <c r="C41" s="1032">
        <v>15478.327442</v>
      </c>
      <c r="D41" s="1033">
        <v>16386.46</v>
      </c>
      <c r="E41" s="1033">
        <v>17095.587409</v>
      </c>
      <c r="F41" s="1033">
        <v>17924.119354999999</v>
      </c>
      <c r="G41" s="1033">
        <v>19139.820941000002</v>
      </c>
      <c r="H41" s="1033">
        <v>20347.706645210001</v>
      </c>
      <c r="I41" s="1033">
        <v>20602.626919490001</v>
      </c>
      <c r="J41" s="1033">
        <v>21578.688866100001</v>
      </c>
      <c r="K41" s="1034">
        <v>22721.911482799998</v>
      </c>
      <c r="L41" s="1035">
        <v>5.2979243724858183E-2</v>
      </c>
      <c r="M41" s="1036"/>
      <c r="N41" s="1036"/>
    </row>
    <row r="42" spans="1:14">
      <c r="B42" s="1037" t="str">
        <f>B$7</f>
        <v>Schätzung</v>
      </c>
      <c r="C42" s="1036">
        <v>15567.292960429999</v>
      </c>
      <c r="D42" s="1038">
        <v>16294.108262649997</v>
      </c>
      <c r="E42" s="1038">
        <v>17091.583524150003</v>
      </c>
      <c r="F42" s="1038">
        <v>18048</v>
      </c>
      <c r="G42" s="1038">
        <v>19083</v>
      </c>
      <c r="H42" s="1038">
        <v>20392</v>
      </c>
      <c r="I42" s="1038">
        <v>21069</v>
      </c>
      <c r="J42" s="1038">
        <v>21482.675563520002</v>
      </c>
      <c r="K42" s="1039">
        <v>22345.948184309997</v>
      </c>
      <c r="L42" s="1040">
        <v>4.0184595174724391E-2</v>
      </c>
      <c r="M42" s="1036">
        <v>23601.740787370007</v>
      </c>
      <c r="N42" s="1036"/>
    </row>
    <row r="43" spans="1:14">
      <c r="B43" s="1037" t="str">
        <f>B$8</f>
        <v>Abweichung S</v>
      </c>
      <c r="C43" s="1041">
        <v>5.747747536894332E-3</v>
      </c>
      <c r="D43" s="1042">
        <v>-5.6358565150741446E-3</v>
      </c>
      <c r="E43" s="1042">
        <v>-2.3420574878219025E-4</v>
      </c>
      <c r="F43" s="1042">
        <v>6.9113936671842957E-3</v>
      </c>
      <c r="G43" s="1042">
        <v>-2.9687289747984957E-3</v>
      </c>
      <c r="H43" s="1042">
        <v>2.1768229492549196E-3</v>
      </c>
      <c r="I43" s="1042">
        <v>2.2636583302336533E-2</v>
      </c>
      <c r="J43" s="1042">
        <v>-4.4494502504660582E-3</v>
      </c>
      <c r="K43" s="1042">
        <v>-1.6546288316218405E-2</v>
      </c>
      <c r="L43" s="1040"/>
      <c r="M43" s="1036"/>
      <c r="N43" s="1036"/>
    </row>
    <row r="44" spans="1:14">
      <c r="B44" s="1037" t="str">
        <f>B$9</f>
        <v>Prognose</v>
      </c>
      <c r="C44" s="1036" t="s">
        <v>1060</v>
      </c>
      <c r="D44" s="1038">
        <v>16201.595491220001</v>
      </c>
      <c r="E44" s="1038">
        <v>16905.07202534</v>
      </c>
      <c r="F44" s="1038">
        <v>18153.890952810001</v>
      </c>
      <c r="G44" s="1038">
        <v>19373</v>
      </c>
      <c r="H44" s="1038">
        <v>20361</v>
      </c>
      <c r="I44" s="1038">
        <v>21753</v>
      </c>
      <c r="J44" s="1038">
        <v>22373</v>
      </c>
      <c r="K44" s="1039">
        <v>22449.818761990002</v>
      </c>
      <c r="L44" s="1040"/>
      <c r="M44" s="1036">
        <v>23208.316696309994</v>
      </c>
      <c r="N44" s="1036">
        <v>24121.726572310003</v>
      </c>
    </row>
    <row r="48" spans="1:14">
      <c r="B48" s="1020" t="s">
        <v>2138</v>
      </c>
      <c r="G48" s="1031"/>
      <c r="H48" s="1022"/>
    </row>
    <row r="49" spans="2:11">
      <c r="B49" s="1050" t="s">
        <v>2139</v>
      </c>
      <c r="G49" s="1031"/>
      <c r="H49" s="1022"/>
    </row>
    <row r="50" spans="2:11">
      <c r="B50" s="1050" t="s">
        <v>2499</v>
      </c>
      <c r="G50" s="1031"/>
      <c r="H50" s="1022"/>
    </row>
    <row r="51" spans="2:11">
      <c r="B51" s="1051" t="s">
        <v>2140</v>
      </c>
      <c r="G51" s="1031"/>
      <c r="H51" s="1022"/>
    </row>
    <row r="52" spans="2:11">
      <c r="B52" s="1050" t="s">
        <v>2500</v>
      </c>
      <c r="G52" s="1031"/>
      <c r="H52" s="1022"/>
    </row>
    <row r="53" spans="2:11">
      <c r="B53" s="1051" t="s">
        <v>2501</v>
      </c>
      <c r="G53" s="1031"/>
      <c r="H53" s="1022"/>
    </row>
    <row r="54" spans="2:11">
      <c r="B54" s="1051" t="s">
        <v>2505</v>
      </c>
      <c r="G54" s="1031"/>
      <c r="H54" s="1022"/>
    </row>
    <row r="55" spans="2:11">
      <c r="B55" s="1051" t="s">
        <v>2503</v>
      </c>
      <c r="G55" s="1031"/>
      <c r="H55" s="1022"/>
    </row>
    <row r="56" spans="2:11">
      <c r="B56" s="1052" t="s">
        <v>2148</v>
      </c>
      <c r="C56" s="1053"/>
      <c r="D56" s="1053"/>
      <c r="E56" s="1053"/>
      <c r="F56" s="1053"/>
      <c r="G56" s="1054"/>
      <c r="H56" s="1055"/>
      <c r="K56" s="1055"/>
    </row>
    <row r="57" spans="2:11">
      <c r="B57" s="1056" t="s">
        <v>2141</v>
      </c>
      <c r="C57" s="1053"/>
      <c r="D57" s="1053"/>
      <c r="E57" s="1053"/>
      <c r="F57" s="1053"/>
      <c r="G57" s="1054"/>
      <c r="H57" s="1055"/>
      <c r="K57" s="1055"/>
    </row>
    <row r="58" spans="2:11">
      <c r="B58" s="1056" t="s">
        <v>2142</v>
      </c>
      <c r="C58" s="1053"/>
      <c r="D58" s="1053"/>
      <c r="E58" s="1053"/>
      <c r="F58" s="1053"/>
      <c r="G58" s="1054"/>
      <c r="H58" s="1055"/>
      <c r="K58" s="1055"/>
    </row>
    <row r="59" spans="2:11">
      <c r="B59" s="1056" t="s">
        <v>2143</v>
      </c>
      <c r="C59" s="1053"/>
      <c r="D59" s="1053"/>
      <c r="E59" s="1053"/>
      <c r="F59" s="1053"/>
      <c r="G59" s="1054"/>
      <c r="H59" s="1055"/>
      <c r="K59" s="1055"/>
    </row>
    <row r="60" spans="2:11">
      <c r="B60" s="1057" t="s">
        <v>2144</v>
      </c>
      <c r="C60" s="1058"/>
      <c r="D60" s="1059"/>
      <c r="E60" s="1058"/>
      <c r="F60" s="1060" t="s">
        <v>1060</v>
      </c>
      <c r="G60" s="1061" t="s">
        <v>1060</v>
      </c>
      <c r="H60" s="1061" t="s">
        <v>2145</v>
      </c>
      <c r="I60" s="1062" t="s">
        <v>2145</v>
      </c>
      <c r="K60" s="1063"/>
    </row>
    <row r="61" spans="2:11">
      <c r="B61" s="1064" t="s">
        <v>2146</v>
      </c>
      <c r="C61" s="1065"/>
      <c r="D61" s="1066"/>
      <c r="E61" s="1067"/>
      <c r="F61" s="1060" t="s">
        <v>2145</v>
      </c>
      <c r="G61" s="1061" t="s">
        <v>1060</v>
      </c>
      <c r="H61" s="1061" t="s">
        <v>1060</v>
      </c>
      <c r="I61" s="1062" t="s">
        <v>2145</v>
      </c>
      <c r="K61" s="1063"/>
    </row>
    <row r="62" spans="2:11">
      <c r="B62" s="1068" t="s">
        <v>2147</v>
      </c>
      <c r="C62" s="1069"/>
      <c r="D62" s="1069"/>
      <c r="E62" s="1070"/>
      <c r="F62" s="1071" t="s">
        <v>2145</v>
      </c>
      <c r="G62" s="1071" t="s">
        <v>1060</v>
      </c>
      <c r="H62" s="1071" t="s">
        <v>2145</v>
      </c>
      <c r="I62" s="1062" t="s">
        <v>1060</v>
      </c>
      <c r="K62" s="1063"/>
    </row>
    <row r="63" spans="2:11">
      <c r="B63" s="1024" t="s">
        <v>2506</v>
      </c>
      <c r="G63" s="1031"/>
      <c r="H63" s="1022"/>
    </row>
    <row r="65" spans="2:2">
      <c r="B65" s="1024" t="s">
        <v>2504</v>
      </c>
    </row>
  </sheetData>
  <phoneticPr fontId="77" type="noConversion"/>
  <pageMargins left="0.24" right="0.28999999999999998" top="0.48" bottom="0.35" header="0.33" footer="0.16"/>
  <pageSetup paperSize="9" scale="77" orientation="portrait"/>
  <headerFooter alignWithMargins="0"/>
  <colBreaks count="2" manualBreakCount="2">
    <brk id="12" max="1048575" man="1"/>
    <brk id="2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56EB-6527-8540-BF9F-329CD633A5AD}">
  <sheetPr>
    <pageSetUpPr fitToPage="1"/>
  </sheetPr>
  <dimension ref="A1:N72"/>
  <sheetViews>
    <sheetView workbookViewId="0">
      <pane ySplit="5" topLeftCell="A6" activePane="bottomLeft" state="frozen"/>
      <selection pane="bottomLeft" activeCell="B5" sqref="B5"/>
    </sheetView>
  </sheetViews>
  <sheetFormatPr baseColWidth="10" defaultColWidth="11.3984375" defaultRowHeight="13"/>
  <cols>
    <col min="1" max="1" width="3.796875" style="1019" customWidth="1"/>
    <col min="2" max="2" width="22.796875" style="1024" customWidth="1"/>
    <col min="3" max="8" width="8.796875" style="1019" customWidth="1"/>
    <col min="9" max="9" width="8.796875" style="1021" customWidth="1"/>
    <col min="10" max="10" width="8.19921875" style="1021" customWidth="1"/>
    <col min="11" max="11" width="8.796875" style="1847" customWidth="1"/>
    <col min="12" max="12" width="11.796875" style="1031" customWidth="1"/>
    <col min="13" max="13" width="8.19921875" style="1019" customWidth="1"/>
    <col min="14" max="14" width="9.3984375" style="1019" customWidth="1"/>
    <col min="15" max="16384" width="11.3984375" style="1019"/>
  </cols>
  <sheetData>
    <row r="1" spans="1:14">
      <c r="B1" s="1020" t="s">
        <v>805</v>
      </c>
      <c r="K1" s="1846"/>
    </row>
    <row r="2" spans="1:14">
      <c r="K2" s="1846"/>
    </row>
    <row r="3" spans="1:14">
      <c r="B3" s="1020" t="s">
        <v>806</v>
      </c>
      <c r="K3" s="1846"/>
    </row>
    <row r="4" spans="1:14">
      <c r="I4" s="1025"/>
      <c r="L4" s="1848"/>
    </row>
    <row r="5" spans="1:14" ht="26.25" customHeight="1">
      <c r="C5" s="1027">
        <v>2000</v>
      </c>
      <c r="D5" s="1027">
        <v>2001</v>
      </c>
      <c r="E5" s="1027">
        <v>2002</v>
      </c>
      <c r="F5" s="1027">
        <v>2003</v>
      </c>
      <c r="G5" s="1027">
        <v>2004</v>
      </c>
      <c r="H5" s="1027">
        <v>2005</v>
      </c>
      <c r="I5" s="1028">
        <v>2006</v>
      </c>
      <c r="J5" s="1028">
        <v>2007</v>
      </c>
      <c r="K5" s="1029">
        <v>2008</v>
      </c>
      <c r="L5" s="1849" t="s">
        <v>2133</v>
      </c>
      <c r="M5" s="1850">
        <v>2009</v>
      </c>
      <c r="N5" s="1850">
        <v>2010</v>
      </c>
    </row>
    <row r="6" spans="1:14">
      <c r="A6" s="1020">
        <v>1</v>
      </c>
      <c r="B6" s="1020" t="s">
        <v>807</v>
      </c>
      <c r="C6" s="1851">
        <v>3846.3722419999999</v>
      </c>
      <c r="D6" s="1852">
        <v>4011.5563699999998</v>
      </c>
      <c r="E6" s="1853">
        <v>4108.8234659999998</v>
      </c>
      <c r="F6" s="1853">
        <v>4172.0328019999997</v>
      </c>
      <c r="G6" s="1853">
        <v>4377.7035830000004</v>
      </c>
      <c r="H6" s="1853">
        <v>4526.5123919999996</v>
      </c>
      <c r="I6" s="1854">
        <v>4631.4300709999998</v>
      </c>
      <c r="J6" s="1854">
        <v>4835.7349899999999</v>
      </c>
      <c r="K6" s="1855">
        <v>5103.8810920400001</v>
      </c>
      <c r="L6" s="1035">
        <f>(K6/J6)-1</f>
        <v>5.5450950598928461E-2</v>
      </c>
      <c r="M6" s="1856"/>
      <c r="N6" s="1856"/>
    </row>
    <row r="7" spans="1:14">
      <c r="B7" s="1037" t="s">
        <v>283</v>
      </c>
      <c r="C7" s="1856">
        <v>3938.61160608</v>
      </c>
      <c r="D7" s="1857">
        <v>4050.4871877899996</v>
      </c>
      <c r="E7" s="1857">
        <v>4183.652363969999</v>
      </c>
      <c r="F7" s="1857">
        <v>4318.0950047700007</v>
      </c>
      <c r="G7" s="1857">
        <v>4417</v>
      </c>
      <c r="H7" s="1857">
        <v>4463</v>
      </c>
      <c r="I7" s="1857">
        <v>4924</v>
      </c>
      <c r="J7" s="1857">
        <v>4885.54055195</v>
      </c>
      <c r="K7" s="1858">
        <v>5038.3533023300006</v>
      </c>
      <c r="L7" s="1040">
        <f>(K7/J7)-1</f>
        <v>3.1278575779911888E-2</v>
      </c>
      <c r="M7" s="1856">
        <v>5292.7390831800012</v>
      </c>
      <c r="N7" s="1857"/>
    </row>
    <row r="8" spans="1:14">
      <c r="B8" s="1037" t="s">
        <v>2497</v>
      </c>
      <c r="C8" s="1041">
        <f t="shared" ref="C8:K8" si="0">(C7/C6)-1</f>
        <v>2.3980872956809396E-2</v>
      </c>
      <c r="D8" s="1042">
        <f t="shared" si="0"/>
        <v>9.7046667675269038E-3</v>
      </c>
      <c r="E8" s="1042">
        <f t="shared" si="0"/>
        <v>1.8211757839975196E-2</v>
      </c>
      <c r="F8" s="1042">
        <f t="shared" si="0"/>
        <v>3.5009840454749419E-2</v>
      </c>
      <c r="G8" s="1042">
        <f t="shared" si="0"/>
        <v>8.9764910426095579E-3</v>
      </c>
      <c r="H8" s="1042">
        <f t="shared" si="0"/>
        <v>-1.4031198083595098E-2</v>
      </c>
      <c r="I8" s="1042">
        <f t="shared" si="0"/>
        <v>6.317053793642402E-2</v>
      </c>
      <c r="J8" s="1042">
        <f t="shared" si="0"/>
        <v>1.0299481268720267E-2</v>
      </c>
      <c r="K8" s="1042">
        <f t="shared" si="0"/>
        <v>-1.283881589878666E-2</v>
      </c>
      <c r="L8" s="1035"/>
      <c r="M8" s="1856"/>
      <c r="N8" s="1856"/>
    </row>
    <row r="9" spans="1:14">
      <c r="B9" s="1037" t="s">
        <v>2498</v>
      </c>
      <c r="C9" s="1859" t="s">
        <v>1060</v>
      </c>
      <c r="D9" s="1857">
        <v>4075.6874092499997</v>
      </c>
      <c r="E9" s="1857">
        <v>4192.9750219100006</v>
      </c>
      <c r="F9" s="1857">
        <v>4404.0048305500004</v>
      </c>
      <c r="G9" s="1857">
        <v>4599.2188474199993</v>
      </c>
      <c r="H9" s="1857">
        <v>4700</v>
      </c>
      <c r="I9" s="1857">
        <v>4980</v>
      </c>
      <c r="J9" s="1857">
        <v>5213</v>
      </c>
      <c r="K9" s="1858">
        <v>5112.7117952300005</v>
      </c>
      <c r="L9" s="1035"/>
      <c r="M9" s="1856">
        <v>5237.8246549300011</v>
      </c>
      <c r="N9" s="1856">
        <v>5460.0427097999982</v>
      </c>
    </row>
    <row r="10" spans="1:14">
      <c r="C10" s="1860"/>
      <c r="D10" s="1853"/>
      <c r="E10" s="1853"/>
      <c r="F10" s="1857"/>
      <c r="G10" s="1857"/>
      <c r="H10" s="1853"/>
      <c r="I10" s="1854"/>
      <c r="J10" s="1854"/>
      <c r="K10" s="1855"/>
      <c r="L10" s="1035"/>
      <c r="M10" s="1856"/>
      <c r="N10" s="1856"/>
    </row>
    <row r="11" spans="1:14">
      <c r="A11" s="1020">
        <v>2</v>
      </c>
      <c r="B11" s="1020" t="s">
        <v>808</v>
      </c>
      <c r="C11" s="1860">
        <v>1665.8885190000001</v>
      </c>
      <c r="D11" s="1853">
        <v>1925.523136</v>
      </c>
      <c r="E11" s="1853">
        <v>1972.059045</v>
      </c>
      <c r="F11" s="1853">
        <v>2141.3752909999998</v>
      </c>
      <c r="G11" s="1853">
        <v>2192.3005199999998</v>
      </c>
      <c r="H11" s="1853">
        <v>2671.1515180000001</v>
      </c>
      <c r="I11" s="1854">
        <v>2644.9903220000001</v>
      </c>
      <c r="J11" s="1854">
        <v>2824.687347</v>
      </c>
      <c r="K11" s="1855">
        <v>3255.3153891399998</v>
      </c>
      <c r="L11" s="1035">
        <f>(K11/J11)-1</f>
        <v>0.15245157755153138</v>
      </c>
      <c r="M11" s="1856"/>
      <c r="N11" s="1856"/>
    </row>
    <row r="12" spans="1:14">
      <c r="B12" s="1037" t="str">
        <f>B$7</f>
        <v>Schätzung</v>
      </c>
      <c r="C12" s="1856">
        <v>1851.4102627399996</v>
      </c>
      <c r="D12" s="1857">
        <v>1937.1254129799997</v>
      </c>
      <c r="E12" s="1857">
        <v>2072.2399291899997</v>
      </c>
      <c r="F12" s="1857">
        <v>2181.9412260200006</v>
      </c>
      <c r="G12" s="1857">
        <v>2180</v>
      </c>
      <c r="H12" s="1857">
        <v>2362</v>
      </c>
      <c r="I12" s="1857">
        <v>2544</v>
      </c>
      <c r="J12" s="1857">
        <v>2547.3652646599999</v>
      </c>
      <c r="K12" s="1858">
        <v>2780.70856288</v>
      </c>
      <c r="L12" s="1040">
        <f>(K12/J12)-1</f>
        <v>9.1601821480888024E-2</v>
      </c>
      <c r="M12" s="1856">
        <v>3116.5208968999996</v>
      </c>
      <c r="N12" s="1857"/>
    </row>
    <row r="13" spans="1:14">
      <c r="B13" s="1037" t="str">
        <f>B$8</f>
        <v>Abweichung S</v>
      </c>
      <c r="C13" s="1041">
        <f t="shared" ref="C13:K13" si="1">(C12/C11)-1</f>
        <v>0.11136504131222691</v>
      </c>
      <c r="D13" s="1042">
        <f t="shared" si="1"/>
        <v>6.0255193838396615E-3</v>
      </c>
      <c r="E13" s="1042">
        <f t="shared" si="1"/>
        <v>5.0800144368902345E-2</v>
      </c>
      <c r="F13" s="1042">
        <f t="shared" si="1"/>
        <v>1.8943869946802749E-2</v>
      </c>
      <c r="G13" s="1042">
        <f t="shared" si="1"/>
        <v>-5.6107818648876151E-3</v>
      </c>
      <c r="H13" s="1042">
        <f t="shared" si="1"/>
        <v>-0.11573717024913455</v>
      </c>
      <c r="I13" s="1042">
        <f t="shared" si="1"/>
        <v>-3.8181735925459481E-2</v>
      </c>
      <c r="J13" s="1042">
        <f t="shared" si="1"/>
        <v>-9.8177974505579968E-2</v>
      </c>
      <c r="K13" s="1042">
        <f t="shared" si="1"/>
        <v>-0.14579442220662464</v>
      </c>
      <c r="L13" s="1040"/>
      <c r="M13" s="1856"/>
      <c r="N13" s="1856"/>
    </row>
    <row r="14" spans="1:14">
      <c r="B14" s="1037" t="str">
        <f>B$9</f>
        <v>Prognose</v>
      </c>
      <c r="C14" s="1859" t="s">
        <v>1060</v>
      </c>
      <c r="D14" s="1857">
        <v>1945.1376375799998</v>
      </c>
      <c r="E14" s="1857">
        <v>2032.9617392999996</v>
      </c>
      <c r="F14" s="1857">
        <v>2231.8081653500003</v>
      </c>
      <c r="G14" s="1857">
        <v>2355.8384654000001</v>
      </c>
      <c r="H14" s="1857">
        <v>2334</v>
      </c>
      <c r="I14" s="1857">
        <v>2524</v>
      </c>
      <c r="J14" s="1857">
        <v>2703.77043847</v>
      </c>
      <c r="K14" s="1858">
        <v>2674.2475556499999</v>
      </c>
      <c r="L14" s="1040"/>
      <c r="M14" s="1856">
        <v>2928.8980638299995</v>
      </c>
      <c r="N14" s="1856">
        <v>3256.3556132300005</v>
      </c>
    </row>
    <row r="15" spans="1:14">
      <c r="C15" s="1860"/>
      <c r="D15" s="1853"/>
      <c r="E15" s="1853"/>
      <c r="F15" s="1857"/>
      <c r="G15" s="1857"/>
      <c r="H15" s="1853"/>
      <c r="I15" s="1854"/>
      <c r="J15" s="1854"/>
      <c r="K15" s="1855"/>
      <c r="L15" s="1035"/>
      <c r="M15" s="1856"/>
      <c r="N15" s="1856"/>
    </row>
    <row r="16" spans="1:14">
      <c r="A16" s="1020">
        <v>3</v>
      </c>
      <c r="B16" s="1020" t="s">
        <v>809</v>
      </c>
      <c r="C16" s="1860">
        <v>1143.2080209999999</v>
      </c>
      <c r="D16" s="1853">
        <v>1271.4507229999999</v>
      </c>
      <c r="E16" s="1853">
        <v>1260.789229</v>
      </c>
      <c r="F16" s="1853">
        <v>1347.924618</v>
      </c>
      <c r="G16" s="1853">
        <v>1398.7252390000001</v>
      </c>
      <c r="H16" s="1853">
        <v>1472.471274</v>
      </c>
      <c r="I16" s="1854">
        <v>1472.366248</v>
      </c>
      <c r="J16" s="1854">
        <v>1518.895055</v>
      </c>
      <c r="K16" s="1855">
        <v>1619.4145700199999</v>
      </c>
      <c r="L16" s="1035">
        <f>(K16/J16)-1</f>
        <v>6.6179368146010553E-2</v>
      </c>
      <c r="M16" s="1856"/>
      <c r="N16" s="1856"/>
    </row>
    <row r="17" spans="1:14">
      <c r="B17" s="1037" t="str">
        <f>B$7</f>
        <v>Schätzung</v>
      </c>
      <c r="C17" s="1856">
        <v>1123.3049479299998</v>
      </c>
      <c r="D17" s="1857">
        <v>1295.82751145</v>
      </c>
      <c r="E17" s="1857">
        <v>1311.2804594900003</v>
      </c>
      <c r="F17" s="1857">
        <v>1392.4626909999995</v>
      </c>
      <c r="G17" s="1857">
        <v>1387</v>
      </c>
      <c r="H17" s="1857">
        <v>1421</v>
      </c>
      <c r="I17" s="1857">
        <v>1471</v>
      </c>
      <c r="J17" s="1857">
        <v>1495.8090895600005</v>
      </c>
      <c r="K17" s="1858">
        <v>1509.9292932400001</v>
      </c>
      <c r="L17" s="1040">
        <f>(K17/J17)-1</f>
        <v>9.4398434790585739E-3</v>
      </c>
      <c r="M17" s="1856">
        <v>1638.0775326399998</v>
      </c>
      <c r="N17" s="1857"/>
    </row>
    <row r="18" spans="1:14">
      <c r="B18" s="1037" t="str">
        <f>B$8</f>
        <v>Abweichung S</v>
      </c>
      <c r="C18" s="1041">
        <f t="shared" ref="C18:K18" si="2">(C17/C16)-1</f>
        <v>-1.7409843794299329E-2</v>
      </c>
      <c r="D18" s="1042">
        <f t="shared" si="2"/>
        <v>1.9172420927555001E-2</v>
      </c>
      <c r="E18" s="1042">
        <f t="shared" si="2"/>
        <v>4.0047320621582116E-2</v>
      </c>
      <c r="F18" s="1042">
        <f t="shared" si="2"/>
        <v>3.3041961253058361E-2</v>
      </c>
      <c r="G18" s="1042">
        <f t="shared" si="2"/>
        <v>-8.3828036222345359E-3</v>
      </c>
      <c r="H18" s="1042">
        <f t="shared" si="2"/>
        <v>-3.4955706714859813E-2</v>
      </c>
      <c r="I18" s="1042">
        <f t="shared" si="2"/>
        <v>-9.2792673144737048E-4</v>
      </c>
      <c r="J18" s="1042">
        <f t="shared" si="2"/>
        <v>-1.5199184014724088E-2</v>
      </c>
      <c r="K18" s="1042">
        <f t="shared" si="2"/>
        <v>-6.7607936106594213E-2</v>
      </c>
      <c r="L18" s="1040"/>
      <c r="M18" s="1856"/>
      <c r="N18" s="1856"/>
    </row>
    <row r="19" spans="1:14">
      <c r="B19" s="1037" t="str">
        <f>B$9</f>
        <v>Prognose</v>
      </c>
      <c r="C19" s="1859" t="s">
        <v>1060</v>
      </c>
      <c r="D19" s="1857">
        <v>1184.4347921299998</v>
      </c>
      <c r="E19" s="1857">
        <v>1362.4443053500004</v>
      </c>
      <c r="F19" s="1857">
        <v>1392.4626909999995</v>
      </c>
      <c r="G19" s="1857">
        <v>1413.6237303800003</v>
      </c>
      <c r="H19" s="1857">
        <v>1484</v>
      </c>
      <c r="I19" s="1857">
        <v>1505</v>
      </c>
      <c r="J19" s="1857">
        <v>1552</v>
      </c>
      <c r="K19" s="1858">
        <v>1558.5300954800002</v>
      </c>
      <c r="L19" s="1040"/>
      <c r="M19" s="1856">
        <v>1555.7789644399995</v>
      </c>
      <c r="N19" s="1856">
        <v>1641.7728676200002</v>
      </c>
    </row>
    <row r="20" spans="1:14">
      <c r="C20" s="1860"/>
      <c r="D20" s="1853"/>
      <c r="E20" s="1853"/>
      <c r="F20" s="1853">
        <v>1324.5646002999999</v>
      </c>
      <c r="G20" s="1853">
        <v>1413.6237303800003</v>
      </c>
      <c r="H20" s="1853"/>
      <c r="I20" s="1854"/>
      <c r="J20" s="1854"/>
      <c r="K20" s="1855"/>
      <c r="L20" s="1861"/>
      <c r="M20" s="1856"/>
      <c r="N20" s="1856"/>
    </row>
    <row r="21" spans="1:14">
      <c r="A21" s="1020">
        <v>4</v>
      </c>
      <c r="B21" s="1020" t="s">
        <v>810</v>
      </c>
      <c r="C21" s="1860">
        <v>2097.7667449999999</v>
      </c>
      <c r="D21" s="1853">
        <v>2242.439856</v>
      </c>
      <c r="E21" s="1853">
        <v>2524.68426</v>
      </c>
      <c r="F21" s="1853">
        <v>2602.0570160000002</v>
      </c>
      <c r="G21" s="1853">
        <v>2750.1970510000001</v>
      </c>
      <c r="H21" s="1853">
        <v>2820.8304370000001</v>
      </c>
      <c r="I21" s="1854">
        <v>2826.9170079999999</v>
      </c>
      <c r="J21" s="1854">
        <v>2887.694485</v>
      </c>
      <c r="K21" s="1855">
        <v>3019.5684620500001</v>
      </c>
      <c r="L21" s="1035">
        <f>(K21/J21)-1</f>
        <v>4.566756550425044E-2</v>
      </c>
      <c r="M21" s="1856"/>
      <c r="N21" s="1856"/>
    </row>
    <row r="22" spans="1:14">
      <c r="B22" s="1037" t="str">
        <f>B$7</f>
        <v>Schätzung</v>
      </c>
      <c r="C22" s="1856">
        <v>2002.6167560900001</v>
      </c>
      <c r="D22" s="1857">
        <v>2168.9402845899995</v>
      </c>
      <c r="E22" s="1857">
        <v>2391.4064239500003</v>
      </c>
      <c r="F22" s="1857">
        <v>2669.000856090001</v>
      </c>
      <c r="G22" s="1857">
        <v>2828</v>
      </c>
      <c r="H22" s="1857">
        <v>2920</v>
      </c>
      <c r="I22" s="1857">
        <v>2960</v>
      </c>
      <c r="J22" s="1857">
        <v>2935.4447303599995</v>
      </c>
      <c r="K22" s="1858">
        <v>3022.25457947</v>
      </c>
      <c r="L22" s="1040">
        <f>(K22/J22)-1</f>
        <v>2.9572980275242466E-2</v>
      </c>
      <c r="M22" s="1856">
        <v>3124.5867404900009</v>
      </c>
      <c r="N22" s="1857"/>
    </row>
    <row r="23" spans="1:14">
      <c r="B23" s="1037" t="str">
        <f>B$8</f>
        <v>Abweichung S</v>
      </c>
      <c r="C23" s="1041">
        <f t="shared" ref="C23:K23" si="3">(C22/C21)-1</f>
        <v>-4.5357754448528964E-2</v>
      </c>
      <c r="D23" s="1042">
        <f t="shared" si="3"/>
        <v>-3.2776607681735959E-2</v>
      </c>
      <c r="E23" s="1042">
        <f t="shared" si="3"/>
        <v>-5.2789902548051604E-2</v>
      </c>
      <c r="F23" s="1042">
        <f t="shared" si="3"/>
        <v>2.5727276411840361E-2</v>
      </c>
      <c r="G23" s="1042">
        <f t="shared" si="3"/>
        <v>2.8289954340438905E-2</v>
      </c>
      <c r="H23" s="1042">
        <f t="shared" si="3"/>
        <v>3.5156158874075638E-2</v>
      </c>
      <c r="I23" s="1042">
        <f t="shared" si="3"/>
        <v>4.7077077828384661E-2</v>
      </c>
      <c r="J23" s="1042">
        <f t="shared" si="3"/>
        <v>1.6535767757993813E-2</v>
      </c>
      <c r="K23" s="1042">
        <f t="shared" si="3"/>
        <v>8.8956996794697929E-4</v>
      </c>
      <c r="L23" s="1035"/>
      <c r="M23" s="1856"/>
      <c r="N23" s="1856"/>
    </row>
    <row r="24" spans="1:14">
      <c r="B24" s="1037" t="str">
        <f>B$9</f>
        <v>Prognose</v>
      </c>
      <c r="C24" s="1859" t="s">
        <v>1060</v>
      </c>
      <c r="D24" s="1857">
        <v>2102.2947870599996</v>
      </c>
      <c r="E24" s="1857">
        <v>2258.614063179999</v>
      </c>
      <c r="F24" s="1857">
        <v>2529.6978040200001</v>
      </c>
      <c r="G24" s="1857">
        <v>2866.02408496</v>
      </c>
      <c r="H24" s="1857">
        <v>3030</v>
      </c>
      <c r="I24" s="1857">
        <v>3131</v>
      </c>
      <c r="J24" s="1857">
        <v>3141</v>
      </c>
      <c r="K24" s="1858">
        <v>3067.7310022799998</v>
      </c>
      <c r="L24" s="1035"/>
      <c r="M24" s="1856">
        <v>3118.2808333500002</v>
      </c>
      <c r="N24" s="1856">
        <v>3112.9750306399997</v>
      </c>
    </row>
    <row r="25" spans="1:14">
      <c r="C25" s="1860"/>
      <c r="D25" s="1853"/>
      <c r="E25" s="1853"/>
      <c r="F25" s="1857"/>
      <c r="G25" s="1857"/>
      <c r="H25" s="1853"/>
      <c r="I25" s="1854"/>
      <c r="J25" s="1854"/>
      <c r="K25" s="1855"/>
      <c r="L25" s="1035"/>
      <c r="M25" s="1856"/>
      <c r="N25" s="1856"/>
    </row>
    <row r="26" spans="1:14">
      <c r="A26" s="1020">
        <v>5</v>
      </c>
      <c r="B26" s="1020" t="s">
        <v>184</v>
      </c>
      <c r="C26" s="1851">
        <v>253.12159500000001</v>
      </c>
      <c r="D26" s="1852">
        <v>270.321618</v>
      </c>
      <c r="E26" s="1853">
        <v>290.06557500000002</v>
      </c>
      <c r="F26" s="1853">
        <v>320.12044100000003</v>
      </c>
      <c r="G26" s="1853">
        <v>365.15373399999999</v>
      </c>
      <c r="H26" s="1853">
        <v>388.382814</v>
      </c>
      <c r="I26" s="1854">
        <v>416.81203599999998</v>
      </c>
      <c r="J26" s="1854">
        <v>456.109013</v>
      </c>
      <c r="K26" s="1855">
        <v>496.14749419999998</v>
      </c>
      <c r="L26" s="1035">
        <f>(K26/J26)-1</f>
        <v>8.7782701193848123E-2</v>
      </c>
      <c r="M26" s="1856"/>
      <c r="N26" s="1856"/>
    </row>
    <row r="27" spans="1:14">
      <c r="B27" s="1037" t="str">
        <f>B$7</f>
        <v>Schätzung</v>
      </c>
      <c r="C27" s="1856">
        <v>234.55310613999995</v>
      </c>
      <c r="D27" s="1857">
        <v>247.77436455999998</v>
      </c>
      <c r="E27" s="1857">
        <v>284.74132640999994</v>
      </c>
      <c r="F27" s="1857">
        <v>310.97777827000004</v>
      </c>
      <c r="G27" s="1857">
        <v>343</v>
      </c>
      <c r="H27" s="1857">
        <v>385</v>
      </c>
      <c r="I27" s="1857">
        <v>405</v>
      </c>
      <c r="J27" s="1857">
        <v>434.65140127000001</v>
      </c>
      <c r="K27" s="1858">
        <v>470.04406832000001</v>
      </c>
      <c r="L27" s="1040">
        <f>(K27/J27)-1</f>
        <v>8.1427707230637747E-2</v>
      </c>
      <c r="M27" s="1856">
        <v>508.08541283999995</v>
      </c>
      <c r="N27" s="1857"/>
    </row>
    <row r="28" spans="1:14">
      <c r="B28" s="1037" t="str">
        <f>B$8</f>
        <v>Abweichung S</v>
      </c>
      <c r="C28" s="1041">
        <f t="shared" ref="C28:K28" si="4">(C27/C26)-1</f>
        <v>-7.3357979827837538E-2</v>
      </c>
      <c r="D28" s="1042">
        <f t="shared" si="4"/>
        <v>-8.3408991137364441E-2</v>
      </c>
      <c r="E28" s="1042">
        <f t="shared" si="4"/>
        <v>-1.8355327377266639E-2</v>
      </c>
      <c r="F28" s="1042">
        <f t="shared" si="4"/>
        <v>-2.8560071645034268E-2</v>
      </c>
      <c r="G28" s="1042">
        <f t="shared" si="4"/>
        <v>-6.06696082697048E-2</v>
      </c>
      <c r="H28" s="1042">
        <f t="shared" si="4"/>
        <v>-8.7099992019729067E-3</v>
      </c>
      <c r="I28" s="1042">
        <f t="shared" si="4"/>
        <v>-2.8338999308551549E-2</v>
      </c>
      <c r="J28" s="1042">
        <f t="shared" si="4"/>
        <v>-4.7044919346945657E-2</v>
      </c>
      <c r="K28" s="1042">
        <f t="shared" si="4"/>
        <v>-5.2612229599364957E-2</v>
      </c>
      <c r="L28" s="1040"/>
      <c r="M28" s="1856"/>
      <c r="N28" s="1856"/>
    </row>
    <row r="29" spans="1:14">
      <c r="B29" s="1037" t="str">
        <f>B$9</f>
        <v>Prognose</v>
      </c>
      <c r="C29" s="1859" t="s">
        <v>1060</v>
      </c>
      <c r="D29" s="1857">
        <v>242.20726870999997</v>
      </c>
      <c r="E29" s="1857">
        <v>254.48464793999997</v>
      </c>
      <c r="F29" s="1857">
        <v>307.68836021000004</v>
      </c>
      <c r="G29" s="1857">
        <v>332.59616580000005</v>
      </c>
      <c r="H29" s="1857">
        <v>365</v>
      </c>
      <c r="I29" s="1857">
        <v>409</v>
      </c>
      <c r="J29" s="1857">
        <v>430</v>
      </c>
      <c r="K29" s="1858">
        <v>452.55042738000014</v>
      </c>
      <c r="L29" s="1040"/>
      <c r="M29" s="1856">
        <v>485.70403723999999</v>
      </c>
      <c r="N29" s="1856">
        <v>516.41612177000013</v>
      </c>
    </row>
    <row r="30" spans="1:14">
      <c r="C30" s="1860"/>
      <c r="D30" s="1853"/>
      <c r="E30" s="1853"/>
      <c r="F30" s="1857"/>
      <c r="G30" s="1857"/>
      <c r="H30" s="1853"/>
      <c r="I30" s="1854"/>
      <c r="J30" s="1854"/>
      <c r="K30" s="1855"/>
      <c r="L30" s="1035"/>
      <c r="M30" s="1856"/>
      <c r="N30" s="1856"/>
    </row>
    <row r="31" spans="1:14">
      <c r="A31" s="1020">
        <v>6</v>
      </c>
      <c r="B31" s="1020" t="s">
        <v>185</v>
      </c>
      <c r="C31" s="1860">
        <v>446.74208700000003</v>
      </c>
      <c r="D31" s="1853">
        <v>480.12928299999999</v>
      </c>
      <c r="E31" s="1853">
        <v>506.24601999999999</v>
      </c>
      <c r="F31" s="1853">
        <v>491.37185499999998</v>
      </c>
      <c r="G31" s="1853">
        <v>505.40384999999998</v>
      </c>
      <c r="H31" s="1853">
        <v>531.73997799999995</v>
      </c>
      <c r="I31" s="1854">
        <v>539.40939700000001</v>
      </c>
      <c r="J31" s="1854">
        <v>553.92740000000003</v>
      </c>
      <c r="K31" s="1855">
        <v>572.72103085000003</v>
      </c>
      <c r="L31" s="1035">
        <f>(K31/J31)-1</f>
        <v>3.3927967545927418E-2</v>
      </c>
      <c r="M31" s="1856"/>
      <c r="N31" s="1856"/>
    </row>
    <row r="32" spans="1:14">
      <c r="B32" s="1037" t="str">
        <f>B$7</f>
        <v>Schätzung</v>
      </c>
      <c r="C32" s="1856">
        <v>454.84478341999994</v>
      </c>
      <c r="D32" s="1857">
        <v>472.84906222000001</v>
      </c>
      <c r="E32" s="1857">
        <v>501.0772898699999</v>
      </c>
      <c r="F32" s="1857">
        <v>531.54985979000014</v>
      </c>
      <c r="G32" s="1857">
        <v>527</v>
      </c>
      <c r="H32" s="1857">
        <v>539</v>
      </c>
      <c r="I32" s="1857">
        <v>552</v>
      </c>
      <c r="J32" s="1857">
        <v>561.6919554399999</v>
      </c>
      <c r="K32" s="1858">
        <v>571.24052766</v>
      </c>
      <c r="L32" s="1040">
        <f>(K32/J32)-1</f>
        <v>1.6999659915941434E-2</v>
      </c>
      <c r="M32" s="1856">
        <v>596.32746036000015</v>
      </c>
      <c r="N32" s="1857"/>
    </row>
    <row r="33" spans="1:14">
      <c r="B33" s="1037" t="str">
        <f>B$8</f>
        <v>Abweichung S</v>
      </c>
      <c r="C33" s="1041">
        <f t="shared" ref="C33:K33" si="5">(C32/C31)-1</f>
        <v>1.8137302608786765E-2</v>
      </c>
      <c r="D33" s="1042">
        <f t="shared" si="5"/>
        <v>-1.5163042617419298E-2</v>
      </c>
      <c r="E33" s="1042">
        <f t="shared" si="5"/>
        <v>-1.0209917561426085E-2</v>
      </c>
      <c r="F33" s="1042">
        <f t="shared" si="5"/>
        <v>8.1767004725983305E-2</v>
      </c>
      <c r="G33" s="1042">
        <f t="shared" si="5"/>
        <v>4.2730481772151219E-2</v>
      </c>
      <c r="H33" s="1042">
        <f t="shared" si="5"/>
        <v>1.3653331139980684E-2</v>
      </c>
      <c r="I33" s="1042">
        <f t="shared" si="5"/>
        <v>2.3341460252684465E-2</v>
      </c>
      <c r="J33" s="1042">
        <f t="shared" si="5"/>
        <v>1.4017279954015471E-2</v>
      </c>
      <c r="K33" s="1042">
        <f t="shared" si="5"/>
        <v>-2.5850337428726666E-3</v>
      </c>
      <c r="L33" s="1040"/>
      <c r="M33" s="1856"/>
      <c r="N33" s="1856"/>
    </row>
    <row r="34" spans="1:14">
      <c r="B34" s="1037" t="str">
        <f>B$9</f>
        <v>Prognose</v>
      </c>
      <c r="C34" s="1859" t="s">
        <v>1060</v>
      </c>
      <c r="D34" s="1857">
        <v>468.31135499999999</v>
      </c>
      <c r="E34" s="1857">
        <v>490.57164705000002</v>
      </c>
      <c r="F34" s="1857">
        <v>531.46036050000009</v>
      </c>
      <c r="G34" s="1857">
        <v>561.78395574000001</v>
      </c>
      <c r="H34" s="1857">
        <v>564</v>
      </c>
      <c r="I34" s="1857">
        <v>575</v>
      </c>
      <c r="J34" s="1857">
        <v>590</v>
      </c>
      <c r="K34" s="1858">
        <v>583.74677100999997</v>
      </c>
      <c r="L34" s="1040"/>
      <c r="M34" s="1856">
        <v>593.38225087000001</v>
      </c>
      <c r="N34" s="1856">
        <v>610.70319729999983</v>
      </c>
    </row>
    <row r="35" spans="1:14">
      <c r="C35" s="1860"/>
      <c r="D35" s="1853"/>
      <c r="E35" s="1853"/>
      <c r="F35" s="1853"/>
      <c r="G35" s="1853"/>
      <c r="H35" s="1853"/>
      <c r="I35" s="1854"/>
      <c r="J35" s="1854"/>
      <c r="K35" s="1855"/>
      <c r="L35" s="1861"/>
      <c r="M35" s="1856"/>
      <c r="N35" s="1856"/>
    </row>
    <row r="36" spans="1:14">
      <c r="A36" s="1020">
        <v>7</v>
      </c>
      <c r="B36" s="1020" t="s">
        <v>811</v>
      </c>
      <c r="C36" s="1860">
        <v>442.743357</v>
      </c>
      <c r="D36" s="1853">
        <v>462.70975499999997</v>
      </c>
      <c r="E36" s="1853">
        <v>485.55174599999998</v>
      </c>
      <c r="F36" s="1853">
        <v>480.48790700000001</v>
      </c>
      <c r="G36" s="1853">
        <v>591.27084500000001</v>
      </c>
      <c r="H36" s="1853">
        <v>664.98868300000004</v>
      </c>
      <c r="I36" s="1854">
        <v>625.59989599999994</v>
      </c>
      <c r="J36" s="1854">
        <v>633.04220399999997</v>
      </c>
      <c r="K36" s="1855">
        <v>686.59783748999996</v>
      </c>
      <c r="L36" s="1035">
        <f>(K36/J36)-1</f>
        <v>8.460041550405073E-2</v>
      </c>
      <c r="M36" s="1856"/>
      <c r="N36" s="1856"/>
    </row>
    <row r="37" spans="1:14">
      <c r="B37" s="1037" t="str">
        <f>B$7</f>
        <v>Schätzung</v>
      </c>
      <c r="C37" s="1856">
        <v>440.45303472000001</v>
      </c>
      <c r="D37" s="1857">
        <v>456.41362247999996</v>
      </c>
      <c r="E37" s="1857">
        <v>473.91804361999999</v>
      </c>
      <c r="F37" s="1857">
        <v>510.33468491000008</v>
      </c>
      <c r="G37" s="1857">
        <v>556</v>
      </c>
      <c r="H37" s="1857">
        <v>646</v>
      </c>
      <c r="I37" s="1857">
        <v>675</v>
      </c>
      <c r="J37" s="1857">
        <v>642.26203663000013</v>
      </c>
      <c r="K37" s="1858">
        <v>660.00236314000006</v>
      </c>
      <c r="L37" s="1040">
        <f>(K37/J37)-1</f>
        <v>2.7621633380488841E-2</v>
      </c>
      <c r="M37" s="1856">
        <v>724.7617733300001</v>
      </c>
      <c r="N37" s="1857"/>
    </row>
    <row r="38" spans="1:14">
      <c r="B38" s="1037" t="str">
        <f>B$8</f>
        <v>Abweichung S</v>
      </c>
      <c r="C38" s="1041">
        <f t="shared" ref="C38:K38" si="6">(C37/C36)-1</f>
        <v>-5.173024606216714E-3</v>
      </c>
      <c r="D38" s="1042">
        <f t="shared" si="6"/>
        <v>-1.3607088357149522E-2</v>
      </c>
      <c r="E38" s="1042">
        <f t="shared" si="6"/>
        <v>-2.3959758101662731E-2</v>
      </c>
      <c r="F38" s="1042">
        <f t="shared" si="6"/>
        <v>6.2117646407280125E-2</v>
      </c>
      <c r="G38" s="1042">
        <f t="shared" si="6"/>
        <v>-5.965260303000397E-2</v>
      </c>
      <c r="H38" s="1042">
        <f t="shared" si="6"/>
        <v>-2.8554896474832225E-2</v>
      </c>
      <c r="I38" s="1042">
        <f t="shared" si="6"/>
        <v>7.8964373740880722E-2</v>
      </c>
      <c r="J38" s="1042">
        <f t="shared" si="6"/>
        <v>1.4564325366844155E-2</v>
      </c>
      <c r="K38" s="1042">
        <f t="shared" si="6"/>
        <v>-3.8735156008100957E-2</v>
      </c>
      <c r="L38" s="1035"/>
      <c r="M38" s="1856"/>
      <c r="N38" s="1856"/>
    </row>
    <row r="39" spans="1:14">
      <c r="B39" s="1037" t="str">
        <f>B$9</f>
        <v>Prognose</v>
      </c>
      <c r="C39" s="1859" t="s">
        <v>1060</v>
      </c>
      <c r="D39" s="1857">
        <v>454.26680877000001</v>
      </c>
      <c r="E39" s="1857">
        <v>474.47826611999994</v>
      </c>
      <c r="F39" s="1857">
        <v>500.14957426000007</v>
      </c>
      <c r="G39" s="1857">
        <v>542.34782923</v>
      </c>
      <c r="H39" s="1857">
        <v>596</v>
      </c>
      <c r="I39" s="1857">
        <v>700</v>
      </c>
      <c r="J39" s="1857">
        <v>732</v>
      </c>
      <c r="K39" s="1858">
        <v>676.51669571000014</v>
      </c>
      <c r="L39" s="1035"/>
      <c r="M39" s="1856">
        <v>685.75076850000005</v>
      </c>
      <c r="N39" s="1856">
        <v>740.25806279999995</v>
      </c>
    </row>
    <row r="40" spans="1:14">
      <c r="C40" s="1860"/>
      <c r="D40" s="1853"/>
      <c r="E40" s="1853"/>
      <c r="F40" s="1853"/>
      <c r="G40" s="1853"/>
      <c r="H40" s="1853"/>
      <c r="I40" s="1854"/>
      <c r="J40" s="1854"/>
      <c r="K40" s="1855"/>
      <c r="L40" s="1035"/>
      <c r="M40" s="1856"/>
      <c r="N40" s="1856"/>
    </row>
    <row r="41" spans="1:14">
      <c r="A41" s="1020">
        <v>8</v>
      </c>
      <c r="B41" s="1020" t="s">
        <v>187</v>
      </c>
      <c r="C41" s="1860">
        <v>62.290866000000001</v>
      </c>
      <c r="D41" s="1853">
        <v>65.236801</v>
      </c>
      <c r="E41" s="1853">
        <v>65.211265999999995</v>
      </c>
      <c r="F41" s="1853">
        <v>65.007204000000002</v>
      </c>
      <c r="G41" s="1853">
        <v>68.244215999999994</v>
      </c>
      <c r="H41" s="1853">
        <v>69.204526000000001</v>
      </c>
      <c r="I41" s="1854">
        <v>68.417607000000004</v>
      </c>
      <c r="J41" s="1854">
        <v>71.228594000000001</v>
      </c>
      <c r="K41" s="1855">
        <v>71.69690340999999</v>
      </c>
      <c r="L41" s="1035">
        <f>(K41/J41)-1</f>
        <v>6.5747389313901561E-3</v>
      </c>
      <c r="M41" s="1856"/>
      <c r="N41" s="1856"/>
    </row>
    <row r="42" spans="1:14">
      <c r="B42" s="1037" t="str">
        <f>B$7</f>
        <v>Schätzung</v>
      </c>
      <c r="C42" s="1856">
        <v>62.941033570000009</v>
      </c>
      <c r="D42" s="1857">
        <v>65.86987044</v>
      </c>
      <c r="E42" s="1857">
        <v>68.133457929999992</v>
      </c>
      <c r="F42" s="1857">
        <v>68.449917359999986</v>
      </c>
      <c r="G42" s="1857">
        <v>70</v>
      </c>
      <c r="H42" s="1857">
        <v>73</v>
      </c>
      <c r="I42" s="1857">
        <v>72</v>
      </c>
      <c r="J42" s="1857">
        <v>72.540101259999986</v>
      </c>
      <c r="K42" s="1858">
        <v>73.442020809999988</v>
      </c>
      <c r="L42" s="1040">
        <f>(K42/J42)-1</f>
        <v>1.2433392486830508E-2</v>
      </c>
      <c r="M42" s="1856">
        <v>73.712769729999991</v>
      </c>
      <c r="N42" s="1857"/>
    </row>
    <row r="43" spans="1:14">
      <c r="B43" s="1037" t="str">
        <f>B$8</f>
        <v>Abweichung S</v>
      </c>
      <c r="C43" s="1041">
        <f t="shared" ref="C43:K43" si="7">(C42/C41)-1</f>
        <v>1.0437606855554282E-2</v>
      </c>
      <c r="D43" s="1042">
        <f t="shared" si="7"/>
        <v>9.7041766349026393E-3</v>
      </c>
      <c r="E43" s="1042">
        <f t="shared" si="7"/>
        <v>4.4811151649777781E-2</v>
      </c>
      <c r="F43" s="1042">
        <f t="shared" si="7"/>
        <v>5.2958951441750779E-2</v>
      </c>
      <c r="G43" s="1042">
        <f t="shared" si="7"/>
        <v>2.5727953267131287E-2</v>
      </c>
      <c r="H43" s="1042">
        <f t="shared" si="7"/>
        <v>5.4844303102372205E-2</v>
      </c>
      <c r="I43" s="1042">
        <f t="shared" si="7"/>
        <v>5.2360688382451004E-2</v>
      </c>
      <c r="J43" s="1042">
        <f t="shared" si="7"/>
        <v>1.8412651245088174E-2</v>
      </c>
      <c r="K43" s="1042">
        <f t="shared" si="7"/>
        <v>2.4340206020063482E-2</v>
      </c>
      <c r="L43" s="1040"/>
      <c r="M43" s="1856"/>
      <c r="N43" s="1856"/>
    </row>
    <row r="44" spans="1:14">
      <c r="B44" s="1037" t="str">
        <f>B$9</f>
        <v>Prognose</v>
      </c>
      <c r="C44" s="1862" t="s">
        <v>1060</v>
      </c>
      <c r="D44" s="1857">
        <v>64.988257719999993</v>
      </c>
      <c r="E44" s="1857">
        <v>68.359294500000004</v>
      </c>
      <c r="F44" s="1857">
        <v>72.008952440000002</v>
      </c>
      <c r="G44" s="1857">
        <v>72.895692549999978</v>
      </c>
      <c r="H44" s="1857">
        <v>75</v>
      </c>
      <c r="I44" s="1857">
        <v>78</v>
      </c>
      <c r="J44" s="1857">
        <v>77</v>
      </c>
      <c r="K44" s="1858">
        <v>74.963388120000019</v>
      </c>
      <c r="L44" s="1040"/>
      <c r="M44" s="1856">
        <v>76.685380290000026</v>
      </c>
      <c r="N44" s="1856">
        <v>75.65252771000003</v>
      </c>
    </row>
    <row r="45" spans="1:14" ht="13.5" customHeight="1">
      <c r="C45" s="1860"/>
      <c r="D45" s="1853"/>
      <c r="E45" s="1853"/>
      <c r="F45" s="1853"/>
      <c r="G45" s="1853"/>
      <c r="H45" s="1853"/>
      <c r="I45" s="1854"/>
      <c r="J45" s="1854"/>
      <c r="K45" s="1855"/>
      <c r="L45" s="1035"/>
      <c r="M45" s="1856"/>
      <c r="N45" s="1857"/>
    </row>
    <row r="46" spans="1:14">
      <c r="A46" s="1020">
        <v>9</v>
      </c>
      <c r="B46" s="1020" t="s">
        <v>188</v>
      </c>
      <c r="C46" s="1860">
        <v>179.87060299999999</v>
      </c>
      <c r="D46" s="1853">
        <v>173.02369200000001</v>
      </c>
      <c r="E46" s="1853">
        <v>202.87558799999999</v>
      </c>
      <c r="F46" s="1853">
        <v>214.51952800000001</v>
      </c>
      <c r="G46" s="1853">
        <v>259.95297099999999</v>
      </c>
      <c r="H46" s="1853">
        <v>297.96774900000003</v>
      </c>
      <c r="I46" s="1854">
        <v>336.37458700000002</v>
      </c>
      <c r="J46" s="1854">
        <v>373.80373800000001</v>
      </c>
      <c r="K46" s="1855">
        <v>374.54323960000005</v>
      </c>
      <c r="L46" s="1035">
        <f>(K46/J46)-1</f>
        <v>1.978315155318322E-3</v>
      </c>
      <c r="M46" s="1856"/>
      <c r="N46" s="1857"/>
    </row>
    <row r="47" spans="1:14">
      <c r="B47" s="1037" t="str">
        <f>B$7</f>
        <v>Schätzung</v>
      </c>
      <c r="C47" s="1856">
        <v>88.272828489999995</v>
      </c>
      <c r="D47" s="1857">
        <v>133.88951411999994</v>
      </c>
      <c r="E47" s="1857">
        <v>160.70304878999997</v>
      </c>
      <c r="F47" s="1863">
        <v>178.20850439000003</v>
      </c>
      <c r="G47" s="1863">
        <v>219.0370781199999</v>
      </c>
      <c r="H47" s="1857">
        <v>258</v>
      </c>
      <c r="I47" s="1857">
        <v>292</v>
      </c>
      <c r="J47" s="1857">
        <v>322.89409531000001</v>
      </c>
      <c r="K47" s="1858">
        <v>339.08158886999996</v>
      </c>
      <c r="L47" s="1040">
        <f>(K47/J47)-1</f>
        <v>5.0132516497271018E-2</v>
      </c>
      <c r="M47" s="1856">
        <v>346.23120569999998</v>
      </c>
      <c r="N47" s="1857"/>
    </row>
    <row r="48" spans="1:14">
      <c r="B48" s="1037" t="str">
        <f>B$8</f>
        <v>Abweichung S</v>
      </c>
      <c r="C48" s="1041">
        <f t="shared" ref="C48:K48" si="8">(C47/C46)-1</f>
        <v>-0.50924260541896338</v>
      </c>
      <c r="D48" s="1042">
        <f t="shared" si="8"/>
        <v>-0.22617814605412567</v>
      </c>
      <c r="E48" s="1042">
        <f t="shared" si="8"/>
        <v>-0.20787389762241881</v>
      </c>
      <c r="F48" s="1042">
        <f t="shared" si="8"/>
        <v>-0.1692667513700663</v>
      </c>
      <c r="G48" s="1042">
        <f t="shared" si="8"/>
        <v>-0.15739728891192428</v>
      </c>
      <c r="H48" s="1042">
        <f t="shared" si="8"/>
        <v>-0.13413447976881554</v>
      </c>
      <c r="I48" s="1042">
        <f t="shared" si="8"/>
        <v>-0.13192015305246596</v>
      </c>
      <c r="J48" s="1042">
        <f t="shared" si="8"/>
        <v>-0.13619350882467629</v>
      </c>
      <c r="K48" s="1042">
        <f t="shared" si="8"/>
        <v>-9.4679724476864013E-2</v>
      </c>
      <c r="L48" s="1035"/>
      <c r="M48" s="1856"/>
      <c r="N48" s="1857"/>
    </row>
    <row r="49" spans="1:14">
      <c r="B49" s="1037" t="str">
        <f>B$9</f>
        <v>Prognose</v>
      </c>
      <c r="C49" s="1862" t="s">
        <v>1060</v>
      </c>
      <c r="D49" s="1857">
        <v>91.703126609999998</v>
      </c>
      <c r="E49" s="1857">
        <v>138.86285222000001</v>
      </c>
      <c r="F49" s="1857">
        <v>168.79498560000002</v>
      </c>
      <c r="G49" s="1863">
        <v>191.65427169</v>
      </c>
      <c r="H49" s="1863">
        <v>239.25797566999998</v>
      </c>
      <c r="I49" s="1857">
        <v>276</v>
      </c>
      <c r="J49" s="1857">
        <v>313</v>
      </c>
      <c r="K49" s="1858">
        <v>337.39778656000004</v>
      </c>
      <c r="L49" s="1035"/>
      <c r="M49" s="1856">
        <v>353.54752739000008</v>
      </c>
      <c r="N49" s="1857">
        <v>352.27713696999996</v>
      </c>
    </row>
    <row r="50" spans="1:14">
      <c r="C50" s="1860"/>
      <c r="D50" s="1853"/>
      <c r="E50" s="1853"/>
      <c r="F50" s="1853"/>
      <c r="G50" s="1853"/>
      <c r="H50" s="1853"/>
      <c r="I50" s="1854"/>
      <c r="J50" s="1854"/>
      <c r="K50" s="1855"/>
      <c r="L50" s="1035"/>
      <c r="M50" s="1856"/>
      <c r="N50" s="1857"/>
    </row>
    <row r="51" spans="1:14">
      <c r="A51" s="1020">
        <v>10</v>
      </c>
      <c r="B51" s="1020" t="s">
        <v>812</v>
      </c>
      <c r="C51" s="1860">
        <v>3696.49064</v>
      </c>
      <c r="D51" s="1853">
        <v>3798.2139889999999</v>
      </c>
      <c r="E51" s="1853">
        <v>3783.9358269999998</v>
      </c>
      <c r="F51" s="1853">
        <v>4111.8764270000001</v>
      </c>
      <c r="G51" s="1853">
        <v>4569.0303759999997</v>
      </c>
      <c r="H51" s="1853">
        <v>4803.16752</v>
      </c>
      <c r="I51" s="1854">
        <v>4893.0853630000001</v>
      </c>
      <c r="J51" s="1854">
        <v>5137.1482340000002</v>
      </c>
      <c r="K51" s="1855">
        <v>5258.11061599</v>
      </c>
      <c r="L51" s="1035">
        <f>(K51/J51)-1</f>
        <v>2.3546601437236303E-2</v>
      </c>
      <c r="M51" s="1856"/>
      <c r="N51" s="1857"/>
    </row>
    <row r="52" spans="1:14">
      <c r="B52" s="1037" t="str">
        <f>B$7</f>
        <v>Schätzung</v>
      </c>
      <c r="C52" s="1856">
        <v>3740.9726523599998</v>
      </c>
      <c r="D52" s="1857">
        <v>3792.0878105800011</v>
      </c>
      <c r="E52" s="1857">
        <v>3846.7902257300002</v>
      </c>
      <c r="F52" s="1857">
        <v>4015.5913748200005</v>
      </c>
      <c r="G52" s="1857">
        <v>4462</v>
      </c>
      <c r="H52" s="1857">
        <v>4859</v>
      </c>
      <c r="I52" s="1857">
        <v>4924</v>
      </c>
      <c r="J52" s="1857">
        <v>5067.8229497399989</v>
      </c>
      <c r="K52" s="1858">
        <v>5271.712038730001</v>
      </c>
      <c r="L52" s="1040">
        <f>(K52/J52)-1</f>
        <v>4.0232086048006543E-2</v>
      </c>
      <c r="M52" s="1856">
        <v>5426.9090925199989</v>
      </c>
      <c r="N52" s="1857"/>
    </row>
    <row r="53" spans="1:14">
      <c r="B53" s="1037" t="str">
        <f>B$8</f>
        <v>Abweichung S</v>
      </c>
      <c r="C53" s="1041">
        <f t="shared" ref="C53:K53" si="9">(C52/C51)-1</f>
        <v>1.2033579059732125E-2</v>
      </c>
      <c r="D53" s="1042">
        <f t="shared" si="9"/>
        <v>-1.6129102882935786E-3</v>
      </c>
      <c r="E53" s="1042">
        <f t="shared" si="9"/>
        <v>1.6610852192975312E-2</v>
      </c>
      <c r="F53" s="1042">
        <f t="shared" si="9"/>
        <v>-2.3416329232989308E-2</v>
      </c>
      <c r="G53" s="1042">
        <f t="shared" si="9"/>
        <v>-2.3425183724363974E-2</v>
      </c>
      <c r="H53" s="1042">
        <f t="shared" si="9"/>
        <v>1.1624095925765188E-2</v>
      </c>
      <c r="I53" s="1042">
        <f t="shared" si="9"/>
        <v>6.318025275783512E-3</v>
      </c>
      <c r="J53" s="1042">
        <f t="shared" si="9"/>
        <v>-1.34948966045354E-2</v>
      </c>
      <c r="K53" s="1042">
        <f t="shared" si="9"/>
        <v>2.5867509707078185E-3</v>
      </c>
      <c r="L53" s="1040"/>
      <c r="M53" s="1856"/>
      <c r="N53" s="1857"/>
    </row>
    <row r="54" spans="1:14">
      <c r="B54" s="1037" t="str">
        <f>B$9</f>
        <v>Prognose</v>
      </c>
      <c r="C54" s="1859" t="s">
        <v>1060</v>
      </c>
      <c r="D54" s="1857">
        <v>3873.2425618800007</v>
      </c>
      <c r="E54" s="1857">
        <v>3982.8808826599993</v>
      </c>
      <c r="F54" s="1857">
        <v>4067.97892456</v>
      </c>
      <c r="G54" s="1857">
        <v>4334.1649224699995</v>
      </c>
      <c r="H54" s="1857">
        <v>4744</v>
      </c>
      <c r="I54" s="1857">
        <v>5174</v>
      </c>
      <c r="J54" s="1857">
        <v>5213</v>
      </c>
      <c r="K54" s="1858">
        <v>5293.9899117899995</v>
      </c>
      <c r="L54" s="1040"/>
      <c r="M54" s="1856">
        <v>5473.0962470699997</v>
      </c>
      <c r="N54" s="1857">
        <v>5560.5464218400002</v>
      </c>
    </row>
    <row r="55" spans="1:14">
      <c r="C55" s="1860"/>
      <c r="D55" s="1853"/>
      <c r="E55" s="1853"/>
      <c r="F55" s="1853"/>
      <c r="H55" s="1853"/>
      <c r="I55" s="1854"/>
      <c r="J55" s="1854"/>
      <c r="K55" s="1855"/>
      <c r="L55" s="1035"/>
      <c r="M55" s="1856"/>
      <c r="N55" s="1857"/>
    </row>
    <row r="56" spans="1:14">
      <c r="A56" s="1020">
        <v>11</v>
      </c>
      <c r="B56" s="1020" t="s">
        <v>813</v>
      </c>
      <c r="C56" s="1860">
        <v>1214.941513</v>
      </c>
      <c r="D56" s="1853">
        <v>1257.8527670000001</v>
      </c>
      <c r="E56" s="1853">
        <v>1392.356614</v>
      </c>
      <c r="F56" s="1853">
        <v>1477.775099</v>
      </c>
      <c r="G56" s="1853">
        <v>1572.8925360000001</v>
      </c>
      <c r="H56" s="1853">
        <v>1587.1501499999999</v>
      </c>
      <c r="I56" s="1854">
        <v>1627.1193760000001</v>
      </c>
      <c r="J56" s="1854">
        <v>1706.5482260000001</v>
      </c>
      <c r="K56" s="1855">
        <v>1784.3509754700001</v>
      </c>
      <c r="L56" s="1035">
        <f>(K56/J56)-1</f>
        <v>4.5590712459596228E-2</v>
      </c>
      <c r="M56" s="1856"/>
      <c r="N56" s="1857"/>
    </row>
    <row r="57" spans="1:14">
      <c r="B57" s="1037" t="str">
        <f>B$7</f>
        <v>Schätzung</v>
      </c>
      <c r="C57" s="1856">
        <v>1226.3031161400002</v>
      </c>
      <c r="D57" s="1857">
        <v>1253.9277950300002</v>
      </c>
      <c r="E57" s="1857">
        <v>1363.9685086999998</v>
      </c>
      <c r="F57" s="1857">
        <v>1471.8621297899999</v>
      </c>
      <c r="G57" s="1857">
        <v>1557</v>
      </c>
      <c r="H57" s="1857">
        <v>1507</v>
      </c>
      <c r="I57" s="1857">
        <v>1629</v>
      </c>
      <c r="J57" s="1857">
        <v>1668.0087725400001</v>
      </c>
      <c r="K57" s="1858">
        <v>1747.6031324000003</v>
      </c>
      <c r="L57" s="1040">
        <f>(K57/J57)-1</f>
        <v>4.7718190198002386E-2</v>
      </c>
      <c r="M57" s="1856">
        <v>1820.20818424</v>
      </c>
      <c r="N57" s="1857"/>
    </row>
    <row r="58" spans="1:14">
      <c r="B58" s="1037" t="str">
        <f>B$8</f>
        <v>Abweichung S</v>
      </c>
      <c r="C58" s="1041">
        <f t="shared" ref="C58:K58" si="10">(C57/C56)-1</f>
        <v>9.3515638558974157E-3</v>
      </c>
      <c r="D58" s="1042">
        <f t="shared" si="10"/>
        <v>-3.1203747155249539E-3</v>
      </c>
      <c r="E58" s="1042">
        <f t="shared" si="10"/>
        <v>-2.0388530506165403E-2</v>
      </c>
      <c r="F58" s="1042">
        <f t="shared" si="10"/>
        <v>-4.0012646132698837E-3</v>
      </c>
      <c r="G58" s="1042">
        <f t="shared" si="10"/>
        <v>-1.0104018956321181E-2</v>
      </c>
      <c r="H58" s="1042">
        <f t="shared" si="10"/>
        <v>-5.0499412421691758E-2</v>
      </c>
      <c r="I58" s="1042">
        <f t="shared" si="10"/>
        <v>1.1557996467495002E-3</v>
      </c>
      <c r="J58" s="1042">
        <f t="shared" si="10"/>
        <v>-2.2583278264765583E-2</v>
      </c>
      <c r="K58" s="1042">
        <f t="shared" si="10"/>
        <v>-2.0594515078694364E-2</v>
      </c>
      <c r="L58" s="1040"/>
      <c r="M58" s="1856"/>
      <c r="N58" s="1857"/>
    </row>
    <row r="59" spans="1:14">
      <c r="B59" s="1037" t="str">
        <f>B$9</f>
        <v>Prognose</v>
      </c>
      <c r="C59" s="1859" t="s">
        <v>1060</v>
      </c>
      <c r="D59" s="1857">
        <v>1284.3260120099997</v>
      </c>
      <c r="E59" s="1857">
        <v>1207.5906850399999</v>
      </c>
      <c r="F59" s="1857">
        <v>1462.3228685799997</v>
      </c>
      <c r="G59" s="1857">
        <v>1601.02125125</v>
      </c>
      <c r="H59" s="1857">
        <v>1651</v>
      </c>
      <c r="I59" s="1857">
        <v>1587</v>
      </c>
      <c r="J59" s="1857">
        <v>1722</v>
      </c>
      <c r="K59" s="1858">
        <v>1729.6701934299999</v>
      </c>
      <c r="L59" s="1040"/>
      <c r="M59" s="1856">
        <v>1803.2070682899996</v>
      </c>
      <c r="N59" s="1857">
        <v>1842.0615353200001</v>
      </c>
    </row>
    <row r="62" spans="1:14">
      <c r="B62" s="1020" t="s">
        <v>2138</v>
      </c>
    </row>
    <row r="63" spans="1:14">
      <c r="B63" s="1050" t="s">
        <v>814</v>
      </c>
      <c r="K63" s="1846"/>
    </row>
    <row r="64" spans="1:14">
      <c r="B64" s="1050" t="s">
        <v>2499</v>
      </c>
      <c r="K64" s="1846"/>
    </row>
    <row r="65" spans="2:11">
      <c r="B65" s="1051" t="s">
        <v>2140</v>
      </c>
      <c r="K65" s="1846"/>
    </row>
    <row r="66" spans="2:11">
      <c r="B66" s="1050" t="s">
        <v>2500</v>
      </c>
      <c r="K66" s="1846"/>
    </row>
    <row r="67" spans="2:11">
      <c r="B67" s="1051" t="s">
        <v>2501</v>
      </c>
      <c r="K67" s="1846"/>
    </row>
    <row r="68" spans="2:11">
      <c r="B68" s="1051" t="s">
        <v>2502</v>
      </c>
      <c r="K68" s="1846"/>
    </row>
    <row r="69" spans="2:11">
      <c r="B69" s="1051" t="s">
        <v>2503</v>
      </c>
      <c r="K69" s="1846"/>
    </row>
    <row r="70" spans="2:11">
      <c r="B70" s="1052" t="s">
        <v>815</v>
      </c>
      <c r="K70" s="1846"/>
    </row>
    <row r="72" spans="2:11">
      <c r="B72" s="1024" t="s">
        <v>2504</v>
      </c>
    </row>
  </sheetData>
  <phoneticPr fontId="77" type="noConversion"/>
  <pageMargins left="0.28000000000000003" right="0.26" top="0.48" bottom="0.4" header="0.31" footer="0.16"/>
  <pageSetup paperSize="9" scale="74" orientation="portrait"/>
  <headerFooter alignWithMargins="0"/>
  <colBreaks count="2" manualBreakCount="2">
    <brk id="12" max="1048575" man="1"/>
    <brk id="2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62E6-627A-854C-B6DA-3DDE7A284C24}">
  <sheetPr>
    <pageSetUpPr fitToPage="1"/>
  </sheetPr>
  <dimension ref="A1:B20"/>
  <sheetViews>
    <sheetView workbookViewId="0">
      <selection activeCell="B3" sqref="B3:B17"/>
    </sheetView>
  </sheetViews>
  <sheetFormatPr baseColWidth="10" defaultColWidth="11.3984375" defaultRowHeight="13"/>
  <cols>
    <col min="1" max="1" width="5.59765625" style="121" customWidth="1"/>
    <col min="2" max="16384" width="11.3984375" style="121"/>
  </cols>
  <sheetData>
    <row r="1" spans="1:2" ht="16">
      <c r="A1" s="120" t="s">
        <v>1461</v>
      </c>
    </row>
    <row r="3" spans="1:2">
      <c r="A3" s="122">
        <v>1.01</v>
      </c>
      <c r="B3" s="123" t="s">
        <v>662</v>
      </c>
    </row>
    <row r="4" spans="1:2">
      <c r="A4" s="122">
        <v>1.02</v>
      </c>
      <c r="B4" s="123" t="s">
        <v>1462</v>
      </c>
    </row>
    <row r="5" spans="1:2">
      <c r="A5" s="122">
        <v>1.03</v>
      </c>
      <c r="B5" s="123" t="s">
        <v>1803</v>
      </c>
    </row>
    <row r="6" spans="1:2">
      <c r="A6" s="122">
        <v>1.04</v>
      </c>
      <c r="B6" s="123" t="s">
        <v>1804</v>
      </c>
    </row>
    <row r="7" spans="1:2">
      <c r="A7" s="122">
        <v>1.05</v>
      </c>
      <c r="B7" s="123" t="s">
        <v>2150</v>
      </c>
    </row>
    <row r="8" spans="1:2">
      <c r="A8" s="122">
        <v>1.06</v>
      </c>
      <c r="B8" s="123" t="s">
        <v>2045</v>
      </c>
    </row>
    <row r="9" spans="1:2">
      <c r="A9" s="122">
        <v>1.07</v>
      </c>
      <c r="B9" s="124" t="s">
        <v>2046</v>
      </c>
    </row>
    <row r="10" spans="1:2">
      <c r="A10" s="122">
        <v>1.08</v>
      </c>
      <c r="B10" s="123" t="s">
        <v>663</v>
      </c>
    </row>
    <row r="11" spans="1:2">
      <c r="A11" s="122">
        <v>1.0900000000000001</v>
      </c>
      <c r="B11" s="123" t="s">
        <v>664</v>
      </c>
    </row>
    <row r="12" spans="1:2">
      <c r="A12" s="122">
        <v>1.1000000000000001</v>
      </c>
      <c r="B12" s="123" t="s">
        <v>665</v>
      </c>
    </row>
    <row r="13" spans="1:2">
      <c r="A13" s="122">
        <v>1.1100000000000001</v>
      </c>
      <c r="B13" s="123" t="s">
        <v>666</v>
      </c>
    </row>
    <row r="14" spans="1:2">
      <c r="A14" s="122">
        <v>1.1200000000000001</v>
      </c>
      <c r="B14" s="123" t="s">
        <v>667</v>
      </c>
    </row>
    <row r="15" spans="1:2">
      <c r="A15" s="122">
        <v>1.1299999999999999</v>
      </c>
      <c r="B15" s="123" t="s">
        <v>668</v>
      </c>
    </row>
    <row r="16" spans="1:2">
      <c r="A16" s="122">
        <v>1.1399999999999999</v>
      </c>
      <c r="B16" s="172" t="s">
        <v>669</v>
      </c>
    </row>
    <row r="17" spans="1:2">
      <c r="A17" s="122">
        <v>1.1499999999999999</v>
      </c>
      <c r="B17" s="172" t="s">
        <v>1039</v>
      </c>
    </row>
    <row r="18" spans="1:2">
      <c r="A18" s="125"/>
      <c r="B18" s="126"/>
    </row>
    <row r="20" spans="1:2">
      <c r="A20" s="127" t="s">
        <v>711</v>
      </c>
    </row>
  </sheetData>
  <phoneticPr fontId="30" type="noConversion"/>
  <pageMargins left="0.46" right="0.46" top="0.63" bottom="0.984251969" header="0.38" footer="0.4921259845"/>
  <pageSetup paperSize="9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640C-FC66-A849-B097-E176438F7520}">
  <sheetPr>
    <pageSetUpPr fitToPage="1"/>
  </sheetPr>
  <dimension ref="A1:T56"/>
  <sheetViews>
    <sheetView zoomScale="75" workbookViewId="0">
      <selection activeCell="B39" sqref="B39"/>
    </sheetView>
  </sheetViews>
  <sheetFormatPr baseColWidth="10" defaultColWidth="11.3984375" defaultRowHeight="13"/>
  <cols>
    <col min="1" max="1" width="2.59765625" style="2" customWidth="1"/>
    <col min="2" max="2" width="3.19921875" style="2" customWidth="1"/>
    <col min="3" max="3" width="55" style="2" customWidth="1"/>
    <col min="4" max="5" width="0.19921875" style="376" customWidth="1"/>
    <col min="6" max="6" width="10.19921875" style="2" customWidth="1"/>
    <col min="7" max="8" width="9.3984375" style="2" customWidth="1"/>
    <col min="9" max="9" width="9.3984375" style="217" customWidth="1"/>
    <col min="10" max="10" width="9.3984375" style="2" customWidth="1"/>
    <col min="11" max="12" width="9.3984375" style="217" customWidth="1"/>
    <col min="13" max="13" width="9.3984375" style="2" customWidth="1"/>
    <col min="14" max="15" width="10.796875" style="2" customWidth="1"/>
    <col min="16" max="16" width="11.19921875" style="2" customWidth="1"/>
    <col min="17" max="17" width="3.3984375" style="2" customWidth="1"/>
    <col min="18" max="19" width="11.796875" style="2" customWidth="1"/>
    <col min="20" max="16384" width="11.3984375" style="2"/>
  </cols>
  <sheetData>
    <row r="1" spans="2:20" ht="12" customHeight="1">
      <c r="C1" s="288"/>
      <c r="D1" s="289"/>
      <c r="E1" s="289"/>
      <c r="F1" s="290"/>
      <c r="G1" s="290"/>
      <c r="H1" s="290"/>
      <c r="I1" s="291"/>
      <c r="K1" s="291"/>
      <c r="L1" s="291"/>
    </row>
    <row r="2" spans="2:20" ht="26.25" customHeight="1">
      <c r="B2" s="292" t="s">
        <v>670</v>
      </c>
      <c r="C2" s="292"/>
      <c r="D2" s="293"/>
      <c r="E2" s="293"/>
      <c r="F2" s="294"/>
      <c r="G2" s="294"/>
      <c r="H2" s="294"/>
      <c r="I2" s="295"/>
      <c r="J2" s="296"/>
      <c r="K2" s="296"/>
      <c r="L2" s="295"/>
      <c r="M2" s="297"/>
      <c r="N2" s="297"/>
      <c r="O2" s="297"/>
      <c r="P2" s="297"/>
      <c r="Q2" s="297"/>
      <c r="R2" s="298"/>
      <c r="S2" s="298"/>
    </row>
    <row r="3" spans="2:20" ht="72.75" customHeight="1">
      <c r="B3" s="299"/>
      <c r="C3" s="300" t="s">
        <v>671</v>
      </c>
      <c r="D3" s="301">
        <v>1996</v>
      </c>
      <c r="E3" s="300">
        <v>1997</v>
      </c>
      <c r="F3" s="301">
        <v>1998</v>
      </c>
      <c r="G3" s="300">
        <v>1999</v>
      </c>
      <c r="H3" s="301">
        <v>2000</v>
      </c>
      <c r="I3" s="302">
        <v>2001</v>
      </c>
      <c r="J3" s="303">
        <v>2002</v>
      </c>
      <c r="K3" s="302">
        <v>2003</v>
      </c>
      <c r="L3" s="303">
        <v>2004</v>
      </c>
      <c r="M3" s="302">
        <v>2005</v>
      </c>
      <c r="N3" s="303">
        <v>2006</v>
      </c>
      <c r="O3" s="302">
        <v>2007</v>
      </c>
      <c r="P3" s="303">
        <v>2008</v>
      </c>
      <c r="Q3" s="304"/>
      <c r="R3" s="305" t="s">
        <v>672</v>
      </c>
      <c r="S3" s="306" t="s">
        <v>673</v>
      </c>
      <c r="T3" s="307"/>
    </row>
    <row r="4" spans="2:20" ht="14" customHeight="1">
      <c r="B4" s="299"/>
      <c r="C4" s="300"/>
      <c r="D4" s="301"/>
      <c r="E4" s="300"/>
      <c r="F4" s="301"/>
      <c r="G4" s="300"/>
      <c r="H4" s="301"/>
      <c r="I4" s="302"/>
      <c r="J4" s="308"/>
      <c r="K4" s="302"/>
      <c r="L4" s="303"/>
      <c r="M4" s="302"/>
      <c r="N4" s="303"/>
      <c r="O4" s="302"/>
      <c r="P4" s="303"/>
      <c r="Q4" s="304"/>
      <c r="R4" s="300"/>
      <c r="S4" s="301"/>
      <c r="T4" s="309"/>
    </row>
    <row r="5" spans="2:20" ht="9.75" customHeight="1">
      <c r="B5" s="310"/>
      <c r="C5" s="311"/>
      <c r="D5" s="312"/>
      <c r="E5" s="311"/>
      <c r="F5" s="312"/>
      <c r="G5" s="311"/>
      <c r="H5" s="312"/>
      <c r="I5" s="313"/>
      <c r="J5" s="314"/>
      <c r="K5" s="313"/>
      <c r="L5" s="315"/>
      <c r="M5" s="313"/>
      <c r="N5" s="315"/>
      <c r="O5" s="313"/>
      <c r="P5" s="315"/>
      <c r="Q5" s="316"/>
      <c r="R5" s="317"/>
      <c r="S5" s="314"/>
      <c r="T5" s="309"/>
    </row>
    <row r="6" spans="2:20" ht="20" customHeight="1" thickBot="1">
      <c r="B6" s="318">
        <v>1</v>
      </c>
      <c r="C6" s="319" t="s">
        <v>674</v>
      </c>
      <c r="D6" s="320">
        <v>145</v>
      </c>
      <c r="E6" s="321">
        <v>129</v>
      </c>
      <c r="F6" s="320">
        <v>118</v>
      </c>
      <c r="G6" s="321">
        <v>109</v>
      </c>
      <c r="H6" s="320">
        <v>101</v>
      </c>
      <c r="I6" s="321">
        <v>99</v>
      </c>
      <c r="J6" s="320">
        <v>93</v>
      </c>
      <c r="K6" s="321">
        <v>93</v>
      </c>
      <c r="L6" s="320">
        <v>92</v>
      </c>
      <c r="M6" s="321">
        <v>85</v>
      </c>
      <c r="N6" s="322">
        <v>87</v>
      </c>
      <c r="O6" s="323">
        <v>87</v>
      </c>
      <c r="P6" s="322">
        <v>86</v>
      </c>
      <c r="Q6" s="324"/>
      <c r="R6" s="325">
        <v>-1.1494252873563204E-2</v>
      </c>
      <c r="S6" s="326">
        <v>-3.1138620776042014E-2</v>
      </c>
      <c r="T6" s="327"/>
    </row>
    <row r="7" spans="2:20" ht="16" customHeight="1" thickBot="1">
      <c r="B7" s="328">
        <v>2</v>
      </c>
      <c r="C7" s="329" t="s">
        <v>675</v>
      </c>
      <c r="D7" s="330">
        <v>7232.6670000000004</v>
      </c>
      <c r="E7" s="331">
        <v>7236.4709999999995</v>
      </c>
      <c r="F7" s="330">
        <v>7246.616</v>
      </c>
      <c r="G7" s="331">
        <v>7270.5219999999999</v>
      </c>
      <c r="H7" s="330">
        <v>7265.1130000000003</v>
      </c>
      <c r="I7" s="331">
        <v>7301.05</v>
      </c>
      <c r="J7" s="330">
        <v>7344.6319999999996</v>
      </c>
      <c r="K7" s="331">
        <v>7372.5050000000001</v>
      </c>
      <c r="L7" s="330">
        <v>7383.5739999999996</v>
      </c>
      <c r="M7" s="331">
        <v>7435.8649999999998</v>
      </c>
      <c r="N7" s="1188">
        <v>7478.4268200000015</v>
      </c>
      <c r="O7" s="333">
        <v>7537.5873800000008</v>
      </c>
      <c r="P7" s="332">
        <v>7615.5633200000002</v>
      </c>
      <c r="Q7" s="324"/>
      <c r="R7" s="325">
        <v>1.0344946740769911E-2</v>
      </c>
      <c r="S7" s="326">
        <v>4.9782864326828324E-3</v>
      </c>
      <c r="T7" s="327"/>
    </row>
    <row r="8" spans="2:20" ht="16" customHeight="1" thickBot="1">
      <c r="B8" s="328" t="s">
        <v>676</v>
      </c>
      <c r="C8" s="329" t="s">
        <v>677</v>
      </c>
      <c r="D8" s="330">
        <v>5599.991</v>
      </c>
      <c r="E8" s="331">
        <v>5669.3249999999998</v>
      </c>
      <c r="F8" s="330">
        <v>5768.6210000000001</v>
      </c>
      <c r="G8" s="331">
        <v>5833.1670000000004</v>
      </c>
      <c r="H8" s="330">
        <v>5947.0349999999999</v>
      </c>
      <c r="I8" s="331">
        <v>6043.9049999999997</v>
      </c>
      <c r="J8" s="263">
        <v>6170.7879999999996</v>
      </c>
      <c r="K8" s="331">
        <v>6105.0770000000002</v>
      </c>
      <c r="L8" s="330">
        <v>6076.2309999999998</v>
      </c>
      <c r="M8" s="331">
        <v>6104.0569999999998</v>
      </c>
      <c r="N8" s="332">
        <v>6139.7749999999996</v>
      </c>
      <c r="O8" s="333">
        <v>6170.95</v>
      </c>
      <c r="P8" s="1188">
        <v>6246.7870000000003</v>
      </c>
      <c r="Q8" s="1991"/>
      <c r="R8" s="1992">
        <v>1.2289355771801791E-2</v>
      </c>
      <c r="S8" s="1993">
        <v>7.9952118013664197E-3</v>
      </c>
      <c r="T8" s="327"/>
    </row>
    <row r="9" spans="2:20" ht="16" customHeight="1" thickBot="1">
      <c r="B9" s="328" t="s">
        <v>678</v>
      </c>
      <c r="C9" s="329" t="s">
        <v>679</v>
      </c>
      <c r="D9" s="334">
        <v>77.42636291702631</v>
      </c>
      <c r="E9" s="335">
        <v>78.343781105458731</v>
      </c>
      <c r="F9" s="334">
        <v>79.604342219872009</v>
      </c>
      <c r="G9" s="335">
        <v>80.230374105188048</v>
      </c>
      <c r="H9" s="334">
        <v>81.857432912605759</v>
      </c>
      <c r="I9" s="335">
        <v>82.781312277001248</v>
      </c>
      <c r="J9" s="336">
        <v>84.017660789539889</v>
      </c>
      <c r="K9" s="335">
        <v>82.808719695680097</v>
      </c>
      <c r="L9" s="334">
        <v>82.293899946015301</v>
      </c>
      <c r="M9" s="335">
        <v>82.08940049341939</v>
      </c>
      <c r="N9" s="337">
        <v>82.099820560923789</v>
      </c>
      <c r="O9" s="338">
        <v>81.869034332839803</v>
      </c>
      <c r="P9" s="1994">
        <v>82.026601589353191</v>
      </c>
      <c r="Q9" s="1995"/>
      <c r="R9" s="1992">
        <v>1.9246258099587799E-3</v>
      </c>
      <c r="S9" s="1993">
        <v>3.0019932257348003E-3</v>
      </c>
      <c r="T9" s="327"/>
    </row>
    <row r="10" spans="2:20" ht="16" customHeight="1" thickBot="1">
      <c r="B10" s="328">
        <v>4</v>
      </c>
      <c r="C10" s="329" t="s">
        <v>680</v>
      </c>
      <c r="D10" s="330">
        <v>1117.0840000000001</v>
      </c>
      <c r="E10" s="331">
        <v>1150.1220000000001</v>
      </c>
      <c r="F10" s="330">
        <v>1154.759</v>
      </c>
      <c r="G10" s="331">
        <v>1096.0329999999999</v>
      </c>
      <c r="H10" s="330">
        <v>1097.932</v>
      </c>
      <c r="I10" s="331">
        <v>1193.3150000000001</v>
      </c>
      <c r="J10" s="263">
        <v>1207.239</v>
      </c>
      <c r="K10" s="331">
        <v>1148.028</v>
      </c>
      <c r="L10" s="330">
        <v>1196.146</v>
      </c>
      <c r="M10" s="331">
        <v>1219.4549999999999</v>
      </c>
      <c r="N10" s="332">
        <v>1147.933</v>
      </c>
      <c r="O10" s="333">
        <v>1232.442</v>
      </c>
      <c r="P10" s="332">
        <v>1283.4290000000001</v>
      </c>
      <c r="Q10" s="324"/>
      <c r="R10" s="325">
        <v>4.1370709534404027E-2</v>
      </c>
      <c r="S10" s="326">
        <v>1.0620373836492059E-2</v>
      </c>
      <c r="T10" s="327"/>
    </row>
    <row r="11" spans="2:20" ht="15.75" customHeight="1" thickBot="1">
      <c r="B11" s="328">
        <v>5</v>
      </c>
      <c r="C11" s="329" t="s">
        <v>681</v>
      </c>
      <c r="D11" s="330">
        <v>18812.841</v>
      </c>
      <c r="E11" s="331">
        <v>18987.651000000002</v>
      </c>
      <c r="F11" s="330">
        <v>17067.058000000001</v>
      </c>
      <c r="G11" s="331">
        <v>12747.16</v>
      </c>
      <c r="H11" s="330">
        <v>12447.351000000001</v>
      </c>
      <c r="I11" s="331">
        <v>12514.1</v>
      </c>
      <c r="J11" s="263">
        <v>12391.460999999999</v>
      </c>
      <c r="K11" s="331">
        <v>11395.671</v>
      </c>
      <c r="L11" s="330">
        <v>11754.955</v>
      </c>
      <c r="M11" s="331">
        <v>11492.861999999999</v>
      </c>
      <c r="N11" s="332">
        <v>11050.112999999999</v>
      </c>
      <c r="O11" s="333">
        <v>11706.005999999999</v>
      </c>
      <c r="P11" s="332">
        <v>11789.734</v>
      </c>
      <c r="Q11" s="324"/>
      <c r="R11" s="325">
        <v>7.152567664838072E-3</v>
      </c>
      <c r="S11" s="326">
        <v>-3.6316253506772811E-2</v>
      </c>
      <c r="T11" s="327"/>
    </row>
    <row r="12" spans="2:20" ht="15.75" customHeight="1" thickBot="1">
      <c r="B12" s="328" t="s">
        <v>682</v>
      </c>
      <c r="C12" s="329" t="s">
        <v>683</v>
      </c>
      <c r="D12" s="330">
        <v>1538.9393456106855</v>
      </c>
      <c r="E12" s="331">
        <v>1663.8889491853145</v>
      </c>
      <c r="F12" s="330">
        <v>1753.683394842503</v>
      </c>
      <c r="G12" s="331">
        <v>1792.6969718267821</v>
      </c>
      <c r="H12" s="330">
        <v>1850.1645719756871</v>
      </c>
      <c r="I12" s="331">
        <v>1917.1642434992227</v>
      </c>
      <c r="J12" s="330">
        <v>2090.6486849170938</v>
      </c>
      <c r="K12" s="331">
        <v>2281.464868725081</v>
      </c>
      <c r="L12" s="330">
        <v>2441.8668834361247</v>
      </c>
      <c r="M12" s="331">
        <v>2487.4603849935415</v>
      </c>
      <c r="N12" s="332">
        <v>2582.7207564451369</v>
      </c>
      <c r="O12" s="333">
        <v>2612.1277928402606</v>
      </c>
      <c r="P12" s="332">
        <v>2585.7925929424223</v>
      </c>
      <c r="Q12" s="324"/>
      <c r="R12" s="325">
        <v>-1.0081895675250641E-2</v>
      </c>
      <c r="S12" s="326">
        <v>3.9595161968912551E-2</v>
      </c>
      <c r="T12" s="327"/>
    </row>
    <row r="13" spans="2:20" ht="18" customHeight="1" thickBot="1">
      <c r="B13" s="328" t="s">
        <v>684</v>
      </c>
      <c r="C13" s="329" t="s">
        <v>1685</v>
      </c>
      <c r="D13" s="330">
        <v>1722.6034666050571</v>
      </c>
      <c r="E13" s="331">
        <v>1815.591817475673</v>
      </c>
      <c r="F13" s="330">
        <v>1935.2609068839854</v>
      </c>
      <c r="G13" s="331">
        <v>2010.9299604622613</v>
      </c>
      <c r="H13" s="330">
        <v>2130.500577485856</v>
      </c>
      <c r="I13" s="331">
        <v>2244.3977236150963</v>
      </c>
      <c r="J13" s="330">
        <v>2327.6302215005462</v>
      </c>
      <c r="K13" s="331">
        <v>2431.2115563163397</v>
      </c>
      <c r="L13" s="330">
        <v>2592.2163089311498</v>
      </c>
      <c r="M13" s="331">
        <v>2736.4276577385417</v>
      </c>
      <c r="N13" s="332">
        <v>2754.9413018779796</v>
      </c>
      <c r="O13" s="333">
        <v>2862.8111062906178</v>
      </c>
      <c r="P13" s="332">
        <v>2983.6153319253076</v>
      </c>
      <c r="Q13" s="324"/>
      <c r="R13" s="325">
        <v>4.2197763369451691E-2</v>
      </c>
      <c r="S13" s="326">
        <v>4.424001355883056E-2</v>
      </c>
      <c r="T13" s="327"/>
    </row>
    <row r="14" spans="2:20" ht="16" customHeight="1" thickBot="1">
      <c r="B14" s="328" t="s">
        <v>685</v>
      </c>
      <c r="C14" s="329" t="s">
        <v>686</v>
      </c>
      <c r="D14" s="330">
        <v>1135.7666791471866</v>
      </c>
      <c r="E14" s="331">
        <v>1207.1705655887454</v>
      </c>
      <c r="F14" s="330">
        <v>1287.8682695481589</v>
      </c>
      <c r="G14" s="331">
        <v>1351.582122301535</v>
      </c>
      <c r="H14" s="330">
        <v>1451.1566242672343</v>
      </c>
      <c r="I14" s="331">
        <v>1548.8249816122338</v>
      </c>
      <c r="J14" s="330">
        <v>1615.4324000167742</v>
      </c>
      <c r="K14" s="331">
        <v>1666.6209287074066</v>
      </c>
      <c r="L14" s="330">
        <v>1751.3120155631952</v>
      </c>
      <c r="M14" s="331">
        <v>1868.8498613140498</v>
      </c>
      <c r="N14" s="332">
        <v>1876.1663221824504</v>
      </c>
      <c r="O14" s="333">
        <v>1947.0011165814174</v>
      </c>
      <c r="P14" s="332">
        <v>2050.4938838838252</v>
      </c>
      <c r="Q14" s="324"/>
      <c r="R14" s="325">
        <v>5.315496042658796E-2</v>
      </c>
      <c r="S14" s="326">
        <v>4.7607752198635778E-2</v>
      </c>
      <c r="T14" s="327"/>
    </row>
    <row r="15" spans="2:20" ht="16" customHeight="1" thickBot="1">
      <c r="B15" s="328" t="s">
        <v>687</v>
      </c>
      <c r="C15" s="329" t="s">
        <v>688</v>
      </c>
      <c r="D15" s="330">
        <v>586.83678759613247</v>
      </c>
      <c r="E15" s="331">
        <v>608.42125188692751</v>
      </c>
      <c r="F15" s="330">
        <v>647.39263733582686</v>
      </c>
      <c r="G15" s="331">
        <v>659.34783816072627</v>
      </c>
      <c r="H15" s="330">
        <v>679.34395321862166</v>
      </c>
      <c r="I15" s="331">
        <v>695.57285390457537</v>
      </c>
      <c r="J15" s="330">
        <v>712.19782148377203</v>
      </c>
      <c r="K15" s="331">
        <v>764.59062760893346</v>
      </c>
      <c r="L15" s="330">
        <v>840.90429336795432</v>
      </c>
      <c r="M15" s="331">
        <v>867.57779639624982</v>
      </c>
      <c r="N15" s="332">
        <v>878.77497969552894</v>
      </c>
      <c r="O15" s="333">
        <v>915.80998970920029</v>
      </c>
      <c r="P15" s="332">
        <v>933.12144804148261</v>
      </c>
      <c r="Q15" s="324"/>
      <c r="R15" s="325">
        <v>1.8902893096611972E-2</v>
      </c>
      <c r="S15" s="326">
        <v>3.7234710082754807E-2</v>
      </c>
      <c r="T15" s="327"/>
    </row>
    <row r="16" spans="2:20" ht="16" customHeight="1" thickBot="1">
      <c r="B16" s="328" t="s">
        <v>689</v>
      </c>
      <c r="C16" s="329" t="s">
        <v>690</v>
      </c>
      <c r="D16" s="330">
        <v>232.07645782669101</v>
      </c>
      <c r="E16" s="331">
        <v>245.69743221523311</v>
      </c>
      <c r="F16" s="330">
        <v>289.40857360180263</v>
      </c>
      <c r="G16" s="331">
        <v>301.20274500235331</v>
      </c>
      <c r="H16" s="330">
        <v>314.93213457244229</v>
      </c>
      <c r="I16" s="331">
        <v>328.74449565473458</v>
      </c>
      <c r="J16" s="330">
        <v>340.77001636024784</v>
      </c>
      <c r="K16" s="331">
        <v>351.10178317952989</v>
      </c>
      <c r="L16" s="330">
        <v>383.59639861400456</v>
      </c>
      <c r="M16" s="331">
        <v>402.77581823634512</v>
      </c>
      <c r="N16" s="332">
        <v>406.33028735313604</v>
      </c>
      <c r="O16" s="333">
        <v>418.57781696455766</v>
      </c>
      <c r="P16" s="332">
        <v>432.06970918600405</v>
      </c>
      <c r="Q16" s="324"/>
      <c r="R16" s="325">
        <v>3.2232697660107501E-2</v>
      </c>
      <c r="S16" s="326">
        <v>4.0888577693777517E-2</v>
      </c>
      <c r="T16" s="327"/>
    </row>
    <row r="17" spans="2:20" ht="18.75" customHeight="1" thickBot="1">
      <c r="B17" s="328" t="s">
        <v>691</v>
      </c>
      <c r="C17" s="329" t="s">
        <v>760</v>
      </c>
      <c r="D17" s="330">
        <v>1490.5270087783663</v>
      </c>
      <c r="E17" s="331">
        <v>1569.89438526044</v>
      </c>
      <c r="F17" s="330">
        <v>1645.8523332821831</v>
      </c>
      <c r="G17" s="331">
        <v>1709.7272154599079</v>
      </c>
      <c r="H17" s="330">
        <v>1815.5684429134135</v>
      </c>
      <c r="I17" s="331">
        <v>1915.651858294355</v>
      </c>
      <c r="J17" s="330">
        <v>1986.8602051130677</v>
      </c>
      <c r="K17" s="331">
        <v>2080.1097731368104</v>
      </c>
      <c r="L17" s="330">
        <v>2208.6199103577751</v>
      </c>
      <c r="M17" s="331">
        <v>2333.6518395021967</v>
      </c>
      <c r="N17" s="332">
        <v>2348.6110145248435</v>
      </c>
      <c r="O17" s="333">
        <v>2444.23328932606</v>
      </c>
      <c r="P17" s="332">
        <v>2551.5456227393033</v>
      </c>
      <c r="Q17" s="324"/>
      <c r="R17" s="325">
        <v>4.3904292557455538E-2</v>
      </c>
      <c r="S17" s="326">
        <v>4.4819446097690729E-2</v>
      </c>
      <c r="T17" s="327"/>
    </row>
    <row r="18" spans="2:20" ht="15.75" customHeight="1" thickBot="1">
      <c r="B18" s="328" t="s">
        <v>692</v>
      </c>
      <c r="C18" s="339" t="s">
        <v>693</v>
      </c>
      <c r="D18" s="330">
        <v>132.70728197496166</v>
      </c>
      <c r="E18" s="331">
        <v>123.43149540708448</v>
      </c>
      <c r="F18" s="330">
        <v>117.97848775207628</v>
      </c>
      <c r="G18" s="331">
        <v>117.4940565477967</v>
      </c>
      <c r="H18" s="330">
        <v>118.82517959459129</v>
      </c>
      <c r="I18" s="331">
        <v>124.48209504112421</v>
      </c>
      <c r="J18" s="330">
        <v>125.74808222386092</v>
      </c>
      <c r="K18" s="331">
        <v>128.73966972012903</v>
      </c>
      <c r="L18" s="330">
        <v>133.72666834516724</v>
      </c>
      <c r="M18" s="331">
        <v>134.36734701880681</v>
      </c>
      <c r="N18" s="332">
        <v>144.14164993460486</v>
      </c>
      <c r="O18" s="333">
        <v>142.1810814948058</v>
      </c>
      <c r="P18" s="332">
        <v>153.45122296744293</v>
      </c>
      <c r="Q18" s="324"/>
      <c r="R18" s="325">
        <v>7.9266111596210109E-2</v>
      </c>
      <c r="S18" s="326">
        <v>2.6636623452713115E-2</v>
      </c>
      <c r="T18" s="327"/>
    </row>
    <row r="19" spans="2:20" ht="18" customHeight="1" thickBot="1">
      <c r="B19" s="328" t="s">
        <v>694</v>
      </c>
      <c r="C19" s="329" t="s">
        <v>695</v>
      </c>
      <c r="D19" s="330">
        <v>477.62973077565988</v>
      </c>
      <c r="E19" s="331">
        <v>484.75254775428522</v>
      </c>
      <c r="F19" s="330">
        <v>509.74935597525797</v>
      </c>
      <c r="G19" s="331">
        <v>524.03642778331459</v>
      </c>
      <c r="H19" s="330">
        <v>544.55016542757153</v>
      </c>
      <c r="I19" s="331">
        <v>547.35962635511339</v>
      </c>
      <c r="J19" s="330">
        <v>547.06945209780417</v>
      </c>
      <c r="K19" s="331">
        <v>578.39954541909435</v>
      </c>
      <c r="L19" s="330">
        <v>607.83383459013214</v>
      </c>
      <c r="M19" s="331">
        <v>633.47119917588623</v>
      </c>
      <c r="N19" s="332">
        <v>667.24895580511941</v>
      </c>
      <c r="O19" s="333">
        <v>694.39870760476651</v>
      </c>
      <c r="P19" s="332">
        <v>681.63705744882441</v>
      </c>
      <c r="Q19" s="324"/>
      <c r="R19" s="325">
        <v>-1.8377986618036357E-2</v>
      </c>
      <c r="S19" s="326">
        <v>2.9484117147043021E-2</v>
      </c>
      <c r="T19" s="327"/>
    </row>
    <row r="20" spans="2:20" ht="19.5" customHeight="1" thickBot="1">
      <c r="B20" s="328" t="s">
        <v>696</v>
      </c>
      <c r="C20" s="329" t="s">
        <v>697</v>
      </c>
      <c r="D20" s="330">
        <v>394.88575237875602</v>
      </c>
      <c r="E20" s="331">
        <v>413.44461478530076</v>
      </c>
      <c r="F20" s="330">
        <v>411.98967338686089</v>
      </c>
      <c r="G20" s="331">
        <v>423.27251702147385</v>
      </c>
      <c r="H20" s="330">
        <v>389.82276793217119</v>
      </c>
      <c r="I20" s="331">
        <v>287.99008361810974</v>
      </c>
      <c r="J20" s="330">
        <v>267.61478124431557</v>
      </c>
      <c r="K20" s="331">
        <v>324.68015590359045</v>
      </c>
      <c r="L20" s="330">
        <v>402.03849991887398</v>
      </c>
      <c r="M20" s="331">
        <v>428.26064350549666</v>
      </c>
      <c r="N20" s="332">
        <v>501.3097896958493</v>
      </c>
      <c r="O20" s="333">
        <v>526.75261307816504</v>
      </c>
      <c r="P20" s="332">
        <v>427.01039051829446</v>
      </c>
      <c r="Q20" s="324"/>
      <c r="R20" s="325">
        <v>-0.18935306647462191</v>
      </c>
      <c r="S20" s="326">
        <v>3.5874256890855438E-3</v>
      </c>
      <c r="T20" s="327"/>
    </row>
    <row r="21" spans="2:20" ht="16" customHeight="1" thickBot="1">
      <c r="B21" s="328" t="s">
        <v>698</v>
      </c>
      <c r="C21" s="329" t="s">
        <v>699</v>
      </c>
      <c r="D21" s="330">
        <v>11130.63582</v>
      </c>
      <c r="E21" s="331">
        <v>12040.684128000001</v>
      </c>
      <c r="F21" s="330">
        <v>12708.270148</v>
      </c>
      <c r="G21" s="331">
        <v>13033.842773</v>
      </c>
      <c r="H21" s="330">
        <v>13441.654683999999</v>
      </c>
      <c r="I21" s="331">
        <v>13997.312</v>
      </c>
      <c r="J21" s="330">
        <v>15355.045232</v>
      </c>
      <c r="K21" s="331">
        <v>16820.111152000001</v>
      </c>
      <c r="L21" s="330">
        <v>18029.704831999999</v>
      </c>
      <c r="M21" s="331">
        <v>18496.419615660001</v>
      </c>
      <c r="N21" s="332">
        <v>19314.688173570001</v>
      </c>
      <c r="O21" s="333">
        <v>19689.141486260003</v>
      </c>
      <c r="P21" s="332">
        <v>19692.267223940002</v>
      </c>
      <c r="Q21" s="324"/>
      <c r="R21" s="325">
        <v>1.5875439171275652E-4</v>
      </c>
      <c r="S21" s="326">
        <v>4.4770564459225337E-2</v>
      </c>
      <c r="T21" s="327"/>
    </row>
    <row r="22" spans="2:20" ht="18" customHeight="1" thickBot="1">
      <c r="B22" s="328" t="s">
        <v>700</v>
      </c>
      <c r="C22" s="329" t="s">
        <v>1684</v>
      </c>
      <c r="D22" s="330">
        <v>12459.017247</v>
      </c>
      <c r="E22" s="331">
        <v>13138.477535</v>
      </c>
      <c r="F22" s="330">
        <v>14024.092651999999</v>
      </c>
      <c r="G22" s="331">
        <v>14620.510517999999</v>
      </c>
      <c r="H22" s="330">
        <v>15478.327442</v>
      </c>
      <c r="I22" s="331">
        <v>16386.46</v>
      </c>
      <c r="J22" s="330">
        <v>17095.587409</v>
      </c>
      <c r="K22" s="331">
        <v>17924.119354999999</v>
      </c>
      <c r="L22" s="330">
        <v>19139.820941000002</v>
      </c>
      <c r="M22" s="331">
        <v>20347.706645210001</v>
      </c>
      <c r="N22" s="332">
        <v>20602.626919490001</v>
      </c>
      <c r="O22" s="333">
        <v>21578.688866100001</v>
      </c>
      <c r="P22" s="332">
        <v>22721.911482799998</v>
      </c>
      <c r="Q22" s="324"/>
      <c r="R22" s="325">
        <v>5.2979243724858183E-2</v>
      </c>
      <c r="S22" s="326">
        <v>4.9438539450795016E-2</v>
      </c>
      <c r="T22" s="327"/>
    </row>
    <row r="23" spans="2:20" ht="16" customHeight="1" thickBot="1">
      <c r="B23" s="328" t="s">
        <v>701</v>
      </c>
      <c r="C23" s="329" t="s">
        <v>702</v>
      </c>
      <c r="D23" s="330">
        <v>1678.5317379999999</v>
      </c>
      <c r="E23" s="331">
        <v>1777.9823429999999</v>
      </c>
      <c r="F23" s="330">
        <v>2097.2328000000002</v>
      </c>
      <c r="G23" s="331">
        <v>2189.9011839999998</v>
      </c>
      <c r="H23" s="330">
        <v>2288.0175450000002</v>
      </c>
      <c r="I23" s="331">
        <v>2400.1799999999998</v>
      </c>
      <c r="J23" s="330">
        <v>2502.8303667999999</v>
      </c>
      <c r="K23" s="331">
        <v>2588.499652</v>
      </c>
      <c r="L23" s="330">
        <v>2832.3123952999999</v>
      </c>
      <c r="M23" s="331">
        <v>2994.9866096700002</v>
      </c>
      <c r="N23" s="332">
        <v>3038.7113187200002</v>
      </c>
      <c r="O23" s="333">
        <v>3155.0668707</v>
      </c>
      <c r="P23" s="332">
        <v>3290.4542289599999</v>
      </c>
      <c r="Q23" s="324"/>
      <c r="R23" s="325">
        <v>4.2911089941482627E-2</v>
      </c>
      <c r="S23" s="326">
        <v>4.6070419178044997E-2</v>
      </c>
      <c r="T23" s="327"/>
    </row>
    <row r="24" spans="2:20" ht="18.75" customHeight="1" thickBot="1">
      <c r="B24" s="328" t="s">
        <v>703</v>
      </c>
      <c r="C24" s="329" t="s">
        <v>761</v>
      </c>
      <c r="D24" s="330">
        <v>10780.485509</v>
      </c>
      <c r="E24" s="331">
        <v>11360.495192</v>
      </c>
      <c r="F24" s="330">
        <v>11926.859852</v>
      </c>
      <c r="G24" s="331">
        <v>12430.609334000001</v>
      </c>
      <c r="H24" s="330">
        <v>13190.309896999999</v>
      </c>
      <c r="I24" s="331">
        <v>13986.27</v>
      </c>
      <c r="J24" s="330">
        <v>14592.757041999999</v>
      </c>
      <c r="K24" s="331">
        <v>15335.619703</v>
      </c>
      <c r="L24" s="330">
        <v>16307.508545999999</v>
      </c>
      <c r="M24" s="331">
        <v>17352.720035540002</v>
      </c>
      <c r="N24" s="332">
        <v>17563.91560077</v>
      </c>
      <c r="O24" s="333">
        <v>18423.621995400001</v>
      </c>
      <c r="P24" s="332">
        <v>19431.457253839999</v>
      </c>
      <c r="Q24" s="324"/>
      <c r="R24" s="325">
        <v>5.470342686642371E-2</v>
      </c>
      <c r="S24" s="326">
        <v>5.0020856570802019E-2</v>
      </c>
      <c r="T24" s="327"/>
    </row>
    <row r="25" spans="2:20" ht="15.75" customHeight="1" thickBot="1">
      <c r="B25" s="328" t="s">
        <v>704</v>
      </c>
      <c r="C25" s="329" t="s">
        <v>723</v>
      </c>
      <c r="D25" s="330">
        <v>959.82757900000001</v>
      </c>
      <c r="E25" s="331">
        <v>893.208437</v>
      </c>
      <c r="F25" s="330">
        <v>854.94479699999999</v>
      </c>
      <c r="G25" s="331">
        <v>854.24312299999997</v>
      </c>
      <c r="H25" s="330">
        <v>863.27835700000003</v>
      </c>
      <c r="I25" s="331">
        <v>908.85</v>
      </c>
      <c r="J25" s="330">
        <v>923.57338863999996</v>
      </c>
      <c r="K25" s="331">
        <v>949.13385871000003</v>
      </c>
      <c r="L25" s="330">
        <v>987.38075149999997</v>
      </c>
      <c r="M25" s="331">
        <v>999.13745283999992</v>
      </c>
      <c r="N25" s="332">
        <v>1077.9527807500003</v>
      </c>
      <c r="O25" s="333">
        <v>1071.7023255499998</v>
      </c>
      <c r="P25" s="332">
        <v>1168.61750504</v>
      </c>
      <c r="Q25" s="324"/>
      <c r="R25" s="325">
        <v>9.0431062039790788E-2</v>
      </c>
      <c r="S25" s="326">
        <v>3.1747514626543127E-2</v>
      </c>
      <c r="T25" s="327"/>
    </row>
    <row r="26" spans="2:20" ht="15.75" customHeight="1" thickBot="1">
      <c r="B26" s="328">
        <v>11</v>
      </c>
      <c r="C26" s="329" t="s">
        <v>724</v>
      </c>
      <c r="D26" s="330">
        <v>-319.932346</v>
      </c>
      <c r="E26" s="331">
        <v>70.171887999999996</v>
      </c>
      <c r="F26" s="330">
        <v>-3.3297E-2</v>
      </c>
      <c r="G26" s="331">
        <v>-49.386769999999999</v>
      </c>
      <c r="H26" s="330">
        <v>-305.95411300000001</v>
      </c>
      <c r="I26" s="331">
        <v>-789.7</v>
      </c>
      <c r="J26" s="330">
        <v>-223.6723628</v>
      </c>
      <c r="K26" s="331">
        <v>399.72993602999998</v>
      </c>
      <c r="L26" s="330">
        <v>514.14165576000005</v>
      </c>
      <c r="M26" s="331">
        <v>171.42467388000034</v>
      </c>
      <c r="N26" s="332">
        <v>490.9499524699998</v>
      </c>
      <c r="O26" s="333">
        <v>178.66007693999958</v>
      </c>
      <c r="P26" s="332">
        <v>-755.31870567999954</v>
      </c>
      <c r="Q26" s="324"/>
      <c r="R26" s="325" t="s">
        <v>1060</v>
      </c>
      <c r="S26" s="326" t="s">
        <v>1060</v>
      </c>
      <c r="T26" s="327"/>
    </row>
    <row r="27" spans="2:20" ht="18" customHeight="1" thickBot="1">
      <c r="B27" s="328" t="s">
        <v>725</v>
      </c>
      <c r="C27" s="329" t="s">
        <v>726</v>
      </c>
      <c r="D27" s="330">
        <v>3454.5367919999999</v>
      </c>
      <c r="E27" s="331">
        <v>3507.8977540000001</v>
      </c>
      <c r="F27" s="330">
        <v>3693.9578390000001</v>
      </c>
      <c r="G27" s="331">
        <v>3810.0183769999999</v>
      </c>
      <c r="H27" s="330">
        <v>3956.2184860000002</v>
      </c>
      <c r="I27" s="331">
        <v>3996.3</v>
      </c>
      <c r="J27" s="330">
        <v>4018.0238040999998</v>
      </c>
      <c r="K27" s="331">
        <v>4264.2535405999997</v>
      </c>
      <c r="L27" s="330">
        <v>4487.9860974000003</v>
      </c>
      <c r="M27" s="331">
        <v>4710.4063184600009</v>
      </c>
      <c r="N27" s="332">
        <v>4989.9724867100003</v>
      </c>
      <c r="O27" s="333">
        <v>5234.0909351299988</v>
      </c>
      <c r="P27" s="332">
        <v>5191.0501722600002</v>
      </c>
      <c r="Q27" s="324"/>
      <c r="R27" s="325">
        <v>-8.223159170032579E-3</v>
      </c>
      <c r="S27" s="326">
        <v>3.46091839600986E-2</v>
      </c>
      <c r="T27" s="327"/>
    </row>
    <row r="28" spans="2:20" ht="19.5" customHeight="1" thickBot="1">
      <c r="B28" s="328" t="s">
        <v>727</v>
      </c>
      <c r="C28" s="329" t="s">
        <v>762</v>
      </c>
      <c r="D28" s="340">
        <v>0.3204435263250443</v>
      </c>
      <c r="E28" s="341">
        <v>0.30878035637656381</v>
      </c>
      <c r="F28" s="340">
        <v>0.30971755221728081</v>
      </c>
      <c r="G28" s="341">
        <v>0.30650294564232661</v>
      </c>
      <c r="H28" s="340">
        <v>0.29993370261147551</v>
      </c>
      <c r="I28" s="341">
        <v>0.28573021970832824</v>
      </c>
      <c r="J28" s="340">
        <v>0.27534370595875501</v>
      </c>
      <c r="K28" s="341">
        <v>0.27806202965282278</v>
      </c>
      <c r="L28" s="340">
        <v>0.27520979582750793</v>
      </c>
      <c r="M28" s="341">
        <v>0.27145060306468599</v>
      </c>
      <c r="N28" s="342">
        <v>0.28410364750848838</v>
      </c>
      <c r="O28" s="343">
        <v>0.28409673930765861</v>
      </c>
      <c r="P28" s="342">
        <v>0.26714672525315397</v>
      </c>
      <c r="Q28" s="324"/>
      <c r="R28" s="325" t="s">
        <v>1060</v>
      </c>
      <c r="S28" s="326" t="s">
        <v>1060</v>
      </c>
      <c r="T28" s="327"/>
    </row>
    <row r="29" spans="2:20" ht="19.5" customHeight="1" thickBot="1">
      <c r="B29" s="328" t="s">
        <v>728</v>
      </c>
      <c r="C29" s="329" t="s">
        <v>729</v>
      </c>
      <c r="D29" s="330">
        <v>2856.0771500000001</v>
      </c>
      <c r="E29" s="331">
        <v>2991.8799650000001</v>
      </c>
      <c r="F29" s="330">
        <v>2985.5309590000002</v>
      </c>
      <c r="G29" s="331">
        <v>3077.412147</v>
      </c>
      <c r="H29" s="330">
        <v>2832.1064590000001</v>
      </c>
      <c r="I29" s="331">
        <v>2102.63</v>
      </c>
      <c r="J29" s="330">
        <v>1965.5320859999999</v>
      </c>
      <c r="K29" s="331">
        <v>2393.7060728000001</v>
      </c>
      <c r="L29" s="330">
        <v>2968.4810149999998</v>
      </c>
      <c r="M29" s="331">
        <v>3184.4883299199996</v>
      </c>
      <c r="N29" s="332">
        <v>3749.0085763900001</v>
      </c>
      <c r="O29" s="333">
        <v>3970.4438487200005</v>
      </c>
      <c r="P29" s="332">
        <v>3251.9246672899994</v>
      </c>
      <c r="Q29" s="324"/>
      <c r="R29" s="325">
        <v>-0.18096696712173344</v>
      </c>
      <c r="S29" s="326">
        <v>8.5835713544049064E-3</v>
      </c>
      <c r="T29" s="327"/>
    </row>
    <row r="30" spans="2:20" s="354" customFormat="1" ht="19.5" customHeight="1" thickBot="1">
      <c r="B30" s="344" t="s">
        <v>730</v>
      </c>
      <c r="C30" s="345" t="s">
        <v>763</v>
      </c>
      <c r="D30" s="346">
        <v>0.25659604681954279</v>
      </c>
      <c r="E30" s="347">
        <v>0.24848089470618492</v>
      </c>
      <c r="F30" s="346">
        <v>0.23492819433570639</v>
      </c>
      <c r="G30" s="347">
        <v>0.23610935014307161</v>
      </c>
      <c r="H30" s="346">
        <v>0.21069626661151625</v>
      </c>
      <c r="I30" s="347">
        <v>0.15</v>
      </c>
      <c r="J30" s="346">
        <v>0.12800562009999999</v>
      </c>
      <c r="K30" s="347">
        <v>0.1423121436</v>
      </c>
      <c r="L30" s="346">
        <v>0.1646439053</v>
      </c>
      <c r="M30" s="347">
        <v>0.17216782469748099</v>
      </c>
      <c r="N30" s="348">
        <v>0.19410142906268091</v>
      </c>
      <c r="O30" s="349">
        <v>0.20165652481550608</v>
      </c>
      <c r="P30" s="348">
        <v>0.16513713887330433</v>
      </c>
      <c r="Q30" s="350"/>
      <c r="R30" s="351" t="s">
        <v>1060</v>
      </c>
      <c r="S30" s="352" t="s">
        <v>1060</v>
      </c>
      <c r="T30" s="353"/>
    </row>
    <row r="31" spans="2:20" ht="17.25" customHeight="1">
      <c r="B31" s="355" t="s">
        <v>764</v>
      </c>
      <c r="C31" s="355"/>
      <c r="D31" s="356"/>
      <c r="E31" s="356"/>
      <c r="F31" s="356"/>
      <c r="G31" s="356"/>
      <c r="H31" s="356"/>
      <c r="I31" s="357"/>
      <c r="K31" s="357"/>
      <c r="L31" s="358"/>
    </row>
    <row r="32" spans="2:20" ht="13.5" customHeight="1">
      <c r="B32" s="359"/>
      <c r="C32" s="359"/>
      <c r="D32" s="360"/>
      <c r="E32" s="360"/>
      <c r="F32" s="360"/>
      <c r="G32" s="360"/>
      <c r="H32" s="360"/>
      <c r="I32" s="361"/>
      <c r="K32" s="361"/>
      <c r="L32" s="361"/>
    </row>
    <row r="33" spans="1:12" ht="12" customHeight="1">
      <c r="B33" s="290" t="s">
        <v>731</v>
      </c>
      <c r="C33" s="290"/>
      <c r="D33" s="360"/>
      <c r="E33" s="360"/>
      <c r="F33" s="360"/>
      <c r="G33" s="360"/>
      <c r="H33" s="360"/>
      <c r="I33" s="361"/>
      <c r="K33" s="361"/>
      <c r="L33" s="361"/>
    </row>
    <row r="34" spans="1:12" ht="12.75" customHeight="1">
      <c r="B34" s="1183" t="s">
        <v>1683</v>
      </c>
      <c r="C34" s="290"/>
      <c r="D34" s="360"/>
      <c r="E34" s="360"/>
      <c r="F34" s="360"/>
      <c r="G34" s="360"/>
      <c r="H34" s="360"/>
      <c r="I34" s="361"/>
      <c r="K34" s="361"/>
      <c r="L34" s="361"/>
    </row>
    <row r="35" spans="1:12" ht="12" customHeight="1">
      <c r="B35" s="3" t="s">
        <v>732</v>
      </c>
      <c r="C35" s="3"/>
      <c r="D35" s="51"/>
      <c r="E35" s="51"/>
      <c r="F35" s="1"/>
      <c r="G35" s="1"/>
      <c r="H35" s="1"/>
      <c r="I35" s="16"/>
      <c r="K35" s="16"/>
      <c r="L35" s="16"/>
    </row>
    <row r="36" spans="1:12" ht="12" customHeight="1">
      <c r="B36" s="3" t="s">
        <v>733</v>
      </c>
      <c r="C36" s="3"/>
      <c r="D36" s="51"/>
      <c r="E36" s="51"/>
      <c r="F36" s="1"/>
      <c r="G36" s="1"/>
      <c r="H36" s="1"/>
      <c r="I36" s="16"/>
      <c r="K36" s="16"/>
      <c r="L36" s="16"/>
    </row>
    <row r="37" spans="1:12" ht="11.25" customHeight="1">
      <c r="B37" s="362"/>
      <c r="C37" s="362"/>
      <c r="D37" s="363"/>
      <c r="E37" s="363"/>
      <c r="F37" s="364"/>
      <c r="G37" s="364"/>
      <c r="H37" s="364"/>
      <c r="I37" s="365"/>
      <c r="K37" s="365"/>
      <c r="L37" s="365"/>
    </row>
    <row r="38" spans="1:12">
      <c r="B38" s="3" t="s">
        <v>374</v>
      </c>
      <c r="C38" s="3"/>
      <c r="D38" s="36"/>
      <c r="E38" s="36"/>
    </row>
    <row r="39" spans="1:12">
      <c r="B39" s="3" t="s">
        <v>734</v>
      </c>
      <c r="C39" s="3"/>
      <c r="D39" s="36"/>
      <c r="E39" s="36"/>
    </row>
    <row r="40" spans="1:12">
      <c r="B40" s="3" t="s">
        <v>735</v>
      </c>
      <c r="C40" s="3"/>
      <c r="D40" s="36"/>
      <c r="E40" s="36"/>
    </row>
    <row r="41" spans="1:12">
      <c r="A41" s="225"/>
      <c r="B41" s="366">
        <v>1</v>
      </c>
      <c r="C41" s="367" t="s">
        <v>736</v>
      </c>
      <c r="D41" s="368"/>
      <c r="E41" s="369" t="s">
        <v>689</v>
      </c>
      <c r="F41" s="370" t="s">
        <v>737</v>
      </c>
      <c r="G41" s="371"/>
      <c r="H41" s="371"/>
      <c r="I41" s="372"/>
      <c r="J41" s="371"/>
      <c r="K41" s="372"/>
      <c r="L41" s="359"/>
    </row>
    <row r="42" spans="1:12">
      <c r="A42" s="225"/>
      <c r="B42" s="366">
        <v>2</v>
      </c>
      <c r="C42" s="373" t="s">
        <v>738</v>
      </c>
      <c r="D42" s="368"/>
      <c r="E42" s="374" t="s">
        <v>703</v>
      </c>
      <c r="F42" s="371" t="s">
        <v>739</v>
      </c>
      <c r="G42" s="371"/>
      <c r="H42" s="371"/>
      <c r="I42" s="372"/>
      <c r="J42" s="371"/>
      <c r="K42" s="372"/>
      <c r="L42" s="359"/>
    </row>
    <row r="43" spans="1:12">
      <c r="A43" s="225"/>
      <c r="B43" s="366" t="s">
        <v>676</v>
      </c>
      <c r="C43" s="371" t="s">
        <v>740</v>
      </c>
      <c r="D43" s="368"/>
      <c r="E43" s="374" t="s">
        <v>703</v>
      </c>
      <c r="F43" s="371" t="s">
        <v>739</v>
      </c>
      <c r="G43" s="371"/>
      <c r="H43" s="371"/>
      <c r="I43" s="372"/>
      <c r="J43" s="371"/>
      <c r="K43" s="372"/>
      <c r="L43" s="359"/>
    </row>
    <row r="44" spans="1:12">
      <c r="A44" s="225"/>
      <c r="B44" s="366" t="s">
        <v>678</v>
      </c>
      <c r="C44" s="370" t="s">
        <v>741</v>
      </c>
      <c r="D44" s="368"/>
      <c r="E44" s="374" t="s">
        <v>691</v>
      </c>
      <c r="F44" s="371" t="s">
        <v>742</v>
      </c>
      <c r="G44" s="371"/>
      <c r="H44" s="371"/>
      <c r="I44" s="372"/>
      <c r="J44" s="371"/>
      <c r="K44" s="372"/>
      <c r="L44" s="359"/>
    </row>
    <row r="45" spans="1:12">
      <c r="A45" s="225"/>
      <c r="B45" s="366">
        <v>4</v>
      </c>
      <c r="C45" s="371" t="s">
        <v>743</v>
      </c>
      <c r="D45" s="375"/>
      <c r="E45" s="374" t="s">
        <v>704</v>
      </c>
      <c r="F45" s="371" t="s">
        <v>744</v>
      </c>
      <c r="G45" s="371"/>
      <c r="H45" s="371"/>
      <c r="I45" s="372"/>
      <c r="J45" s="371"/>
      <c r="K45" s="372"/>
      <c r="L45" s="359"/>
    </row>
    <row r="46" spans="1:12">
      <c r="A46" s="225"/>
      <c r="B46" s="366">
        <v>5</v>
      </c>
      <c r="C46" s="371" t="s">
        <v>743</v>
      </c>
      <c r="D46" s="375"/>
      <c r="E46" s="374" t="s">
        <v>692</v>
      </c>
      <c r="F46" s="371" t="s">
        <v>745</v>
      </c>
      <c r="G46" s="371"/>
      <c r="H46" s="371"/>
      <c r="I46" s="372"/>
      <c r="J46" s="371"/>
      <c r="K46" s="372"/>
      <c r="L46" s="359"/>
    </row>
    <row r="47" spans="1:12">
      <c r="A47" s="225"/>
      <c r="B47" s="366" t="s">
        <v>698</v>
      </c>
      <c r="C47" s="371" t="s">
        <v>746</v>
      </c>
      <c r="D47" s="375"/>
      <c r="E47" s="374">
        <v>11</v>
      </c>
      <c r="F47" s="371" t="s">
        <v>747</v>
      </c>
      <c r="G47" s="371"/>
      <c r="H47" s="371"/>
      <c r="I47" s="372"/>
      <c r="J47" s="371"/>
      <c r="K47" s="372"/>
      <c r="L47" s="359"/>
    </row>
    <row r="48" spans="1:12">
      <c r="A48" s="225"/>
      <c r="B48" s="366" t="s">
        <v>682</v>
      </c>
      <c r="C48" s="370" t="s">
        <v>748</v>
      </c>
      <c r="D48" s="375"/>
      <c r="E48" s="374" t="s">
        <v>725</v>
      </c>
      <c r="F48" s="371" t="s">
        <v>749</v>
      </c>
      <c r="G48" s="371"/>
      <c r="H48" s="371"/>
      <c r="I48" s="372"/>
      <c r="J48" s="371"/>
      <c r="K48" s="372"/>
      <c r="L48" s="359"/>
    </row>
    <row r="49" spans="1:12">
      <c r="A49" s="225"/>
      <c r="B49" s="366" t="s">
        <v>700</v>
      </c>
      <c r="C49" s="371" t="s">
        <v>750</v>
      </c>
      <c r="D49" s="375"/>
      <c r="E49" s="374" t="s">
        <v>694</v>
      </c>
      <c r="F49" s="371" t="s">
        <v>751</v>
      </c>
      <c r="G49" s="371"/>
      <c r="H49" s="371"/>
      <c r="I49" s="372"/>
      <c r="J49" s="371"/>
      <c r="K49" s="372"/>
      <c r="L49" s="359"/>
    </row>
    <row r="50" spans="1:12">
      <c r="A50" s="225"/>
      <c r="B50" s="366" t="s">
        <v>684</v>
      </c>
      <c r="C50" s="370" t="s">
        <v>752</v>
      </c>
      <c r="D50" s="375"/>
      <c r="E50" s="374" t="s">
        <v>727</v>
      </c>
      <c r="F50" s="370" t="s">
        <v>753</v>
      </c>
      <c r="G50" s="371"/>
      <c r="H50" s="371"/>
      <c r="I50" s="372"/>
      <c r="J50" s="371"/>
      <c r="K50" s="372"/>
      <c r="L50" s="359"/>
    </row>
    <row r="51" spans="1:12">
      <c r="A51" s="225"/>
      <c r="B51" s="366" t="s">
        <v>685</v>
      </c>
      <c r="C51" s="371" t="s">
        <v>754</v>
      </c>
      <c r="D51" s="375"/>
      <c r="E51" s="374" t="s">
        <v>728</v>
      </c>
      <c r="F51" s="371" t="s">
        <v>755</v>
      </c>
      <c r="G51" s="371"/>
      <c r="H51" s="371"/>
      <c r="I51" s="372"/>
      <c r="J51" s="371"/>
      <c r="K51" s="372"/>
      <c r="L51" s="359"/>
    </row>
    <row r="52" spans="1:12">
      <c r="A52" s="225"/>
      <c r="B52" s="366" t="s">
        <v>687</v>
      </c>
      <c r="C52" s="371" t="s">
        <v>756</v>
      </c>
      <c r="D52" s="375"/>
      <c r="E52" s="374" t="s">
        <v>696</v>
      </c>
      <c r="F52" s="371" t="s">
        <v>757</v>
      </c>
      <c r="G52" s="371"/>
      <c r="H52" s="371"/>
      <c r="I52" s="372"/>
      <c r="J52" s="371"/>
      <c r="K52" s="372"/>
      <c r="L52" s="359"/>
    </row>
    <row r="53" spans="1:12">
      <c r="A53" s="225"/>
      <c r="B53" s="366" t="s">
        <v>701</v>
      </c>
      <c r="C53" s="371" t="s">
        <v>758</v>
      </c>
      <c r="D53" s="375"/>
      <c r="E53" s="374" t="s">
        <v>730</v>
      </c>
      <c r="F53" s="371" t="s">
        <v>759</v>
      </c>
      <c r="G53" s="371"/>
      <c r="H53" s="371"/>
      <c r="I53" s="372"/>
      <c r="J53" s="371"/>
      <c r="K53" s="372"/>
      <c r="L53" s="359"/>
    </row>
    <row r="56" spans="1:12">
      <c r="A56" s="2" t="s">
        <v>711</v>
      </c>
    </row>
  </sheetData>
  <phoneticPr fontId="0" type="noConversion"/>
  <pageMargins left="0.27559055118110237" right="0.23622047244094491" top="0.31496062992125984" bottom="0.31496062992125984" header="0.19685039370078741" footer="0.23622047244094491"/>
  <pageSetup paperSize="9" scale="6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5D04-9D45-D747-8D15-80A749D852CD}">
  <sheetPr>
    <pageSetUpPr fitToPage="1"/>
  </sheetPr>
  <dimension ref="A1:E39"/>
  <sheetViews>
    <sheetView zoomScale="75" workbookViewId="0">
      <selection activeCell="A35" sqref="A35"/>
    </sheetView>
  </sheetViews>
  <sheetFormatPr baseColWidth="10" defaultColWidth="11.3984375" defaultRowHeight="13"/>
  <cols>
    <col min="1" max="1" width="8.796875" style="2" customWidth="1"/>
    <col min="2" max="2" width="48.796875" style="92" customWidth="1"/>
    <col min="3" max="3" width="17.796875" style="2" customWidth="1"/>
    <col min="4" max="4" width="16.796875" style="7" customWidth="1"/>
    <col min="5" max="5" width="18" style="7" customWidth="1"/>
    <col min="6" max="16384" width="11.3984375" style="2"/>
  </cols>
  <sheetData>
    <row r="1" spans="1:5" s="1" customFormat="1" ht="14" customHeight="1">
      <c r="B1" s="227"/>
      <c r="D1" s="240"/>
      <c r="E1" s="240"/>
    </row>
    <row r="2" spans="1:5" s="1" customFormat="1" ht="39" customHeight="1">
      <c r="A2" s="2017" t="s">
        <v>1670</v>
      </c>
      <c r="B2" s="2018"/>
      <c r="C2" s="2018"/>
      <c r="D2" s="2018"/>
      <c r="E2" s="53">
        <v>2008</v>
      </c>
    </row>
    <row r="3" spans="1:5" ht="39" customHeight="1">
      <c r="A3" s="178" t="s">
        <v>765</v>
      </c>
      <c r="B3" s="178"/>
      <c r="C3" s="179" t="s">
        <v>766</v>
      </c>
      <c r="D3" s="242" t="s">
        <v>767</v>
      </c>
      <c r="E3" s="377" t="s">
        <v>164</v>
      </c>
    </row>
    <row r="4" spans="1:5" ht="38" customHeight="1">
      <c r="A4" s="378"/>
      <c r="B4" s="379"/>
      <c r="C4" s="188" t="s">
        <v>768</v>
      </c>
      <c r="D4" s="248" t="s">
        <v>768</v>
      </c>
      <c r="E4" s="380" t="s">
        <v>768</v>
      </c>
    </row>
    <row r="5" spans="1:5" ht="30" customHeight="1" thickBot="1">
      <c r="A5" s="190">
        <v>61</v>
      </c>
      <c r="B5" s="190" t="s">
        <v>769</v>
      </c>
      <c r="C5" s="381">
        <v>18983545524.220001</v>
      </c>
      <c r="D5" s="382">
        <v>708721701.75</v>
      </c>
      <c r="E5" s="383">
        <v>19692267225.970001</v>
      </c>
    </row>
    <row r="6" spans="1:5" ht="20" customHeight="1" thickBot="1">
      <c r="A6" s="195">
        <v>64</v>
      </c>
      <c r="B6" s="195" t="s">
        <v>770</v>
      </c>
      <c r="C6" s="213">
        <v>-78967561.170000002</v>
      </c>
      <c r="D6" s="263">
        <v>-2880539.76</v>
      </c>
      <c r="E6" s="280">
        <v>-81848100.930000007</v>
      </c>
    </row>
    <row r="7" spans="1:5" ht="20" customHeight="1" thickBot="1">
      <c r="A7" s="195">
        <v>65</v>
      </c>
      <c r="B7" s="195" t="s">
        <v>771</v>
      </c>
      <c r="C7" s="213">
        <v>10680021.1</v>
      </c>
      <c r="D7" s="263">
        <v>340814.64</v>
      </c>
      <c r="E7" s="280">
        <v>11020835.74</v>
      </c>
    </row>
    <row r="8" spans="1:5" ht="27" customHeight="1" thickBot="1">
      <c r="A8" s="196" t="s">
        <v>772</v>
      </c>
      <c r="B8" s="196" t="s">
        <v>773</v>
      </c>
      <c r="C8" s="384">
        <v>18915257984.130001</v>
      </c>
      <c r="D8" s="385">
        <v>706181976.54999995</v>
      </c>
      <c r="E8" s="215">
        <v>19621439960.68</v>
      </c>
    </row>
    <row r="9" spans="1:5" ht="20" customHeight="1" thickBot="1">
      <c r="A9" s="195">
        <v>66</v>
      </c>
      <c r="B9" s="195" t="s">
        <v>774</v>
      </c>
      <c r="C9" s="213">
        <v>-46578623.729999997</v>
      </c>
      <c r="D9" s="263">
        <v>-1830912.13</v>
      </c>
      <c r="E9" s="280">
        <v>-48409535.859999999</v>
      </c>
    </row>
    <row r="10" spans="1:5" ht="27" customHeight="1" thickBot="1">
      <c r="A10" s="196" t="s">
        <v>775</v>
      </c>
      <c r="B10" s="196" t="s">
        <v>776</v>
      </c>
      <c r="C10" s="384">
        <v>18868679360.470001</v>
      </c>
      <c r="D10" s="385">
        <v>704351064.41999996</v>
      </c>
      <c r="E10" s="215">
        <v>19573030424.889999</v>
      </c>
    </row>
    <row r="11" spans="1:5" ht="20" customHeight="1" thickBot="1">
      <c r="A11" s="195">
        <v>67</v>
      </c>
      <c r="B11" s="195" t="s">
        <v>777</v>
      </c>
      <c r="C11" s="213">
        <v>1647779160.3099999</v>
      </c>
      <c r="D11" s="263">
        <v>57960401.549999997</v>
      </c>
      <c r="E11" s="280">
        <v>1705739561.8599999</v>
      </c>
    </row>
    <row r="12" spans="1:5" ht="20" customHeight="1" thickBot="1">
      <c r="A12" s="195">
        <v>68</v>
      </c>
      <c r="B12" s="195" t="s">
        <v>174</v>
      </c>
      <c r="C12" s="213">
        <v>-1640794450.0799999</v>
      </c>
      <c r="D12" s="263">
        <v>-57506317.039999999</v>
      </c>
      <c r="E12" s="280">
        <v>-1698300767.1199999</v>
      </c>
    </row>
    <row r="13" spans="1:5" ht="20" customHeight="1" thickBot="1">
      <c r="A13" s="195">
        <v>69</v>
      </c>
      <c r="B13" s="195" t="s">
        <v>175</v>
      </c>
      <c r="C13" s="213">
        <v>121539172.25</v>
      </c>
      <c r="D13" s="263">
        <v>3884406.47</v>
      </c>
      <c r="E13" s="280">
        <v>125423578.72</v>
      </c>
    </row>
    <row r="14" spans="1:5" ht="27" customHeight="1" thickBot="1">
      <c r="A14" s="196">
        <v>6</v>
      </c>
      <c r="B14" s="196" t="s">
        <v>176</v>
      </c>
      <c r="C14" s="384">
        <v>18997203242.919998</v>
      </c>
      <c r="D14" s="385">
        <v>708689555.37</v>
      </c>
      <c r="E14" s="215">
        <v>19705892798.290001</v>
      </c>
    </row>
    <row r="15" spans="1:5" ht="20" customHeight="1" thickBot="1">
      <c r="A15" s="195">
        <v>31</v>
      </c>
      <c r="B15" s="195" t="s">
        <v>177</v>
      </c>
      <c r="C15" s="213">
        <v>21967218424.52</v>
      </c>
      <c r="D15" s="263">
        <v>754693059.16999996</v>
      </c>
      <c r="E15" s="280">
        <v>22721911483.689999</v>
      </c>
    </row>
    <row r="16" spans="1:5" ht="20" customHeight="1" thickBot="1">
      <c r="A16" s="195">
        <v>32</v>
      </c>
      <c r="B16" s="195" t="s">
        <v>178</v>
      </c>
      <c r="C16" s="213">
        <v>-3163308302.8699999</v>
      </c>
      <c r="D16" s="263">
        <v>-127145926.09</v>
      </c>
      <c r="E16" s="280">
        <v>-3290454228.96</v>
      </c>
    </row>
    <row r="17" spans="1:5" ht="27" customHeight="1" thickBot="1">
      <c r="A17" s="196" t="s">
        <v>179</v>
      </c>
      <c r="B17" s="196" t="s">
        <v>180</v>
      </c>
      <c r="C17" s="384">
        <v>18803910121.68</v>
      </c>
      <c r="D17" s="385">
        <v>627547133.10000002</v>
      </c>
      <c r="E17" s="215">
        <v>19431457254.779999</v>
      </c>
    </row>
    <row r="18" spans="1:5" ht="20" customHeight="1" thickBot="1">
      <c r="A18" s="195">
        <v>34</v>
      </c>
      <c r="B18" s="195" t="s">
        <v>1651</v>
      </c>
      <c r="C18" s="213">
        <v>49848242.740000002</v>
      </c>
      <c r="D18" s="263">
        <v>222688.65</v>
      </c>
      <c r="E18" s="280">
        <v>50070931.390000001</v>
      </c>
    </row>
    <row r="19" spans="1:5" ht="20" customHeight="1" thickBot="1">
      <c r="A19" s="195">
        <v>35</v>
      </c>
      <c r="B19" s="195" t="s">
        <v>1652</v>
      </c>
      <c r="C19" s="213">
        <v>-56950899.479999997</v>
      </c>
      <c r="D19" s="263">
        <v>8040867.2400000002</v>
      </c>
      <c r="E19" s="280">
        <v>-48910032.240000002</v>
      </c>
    </row>
    <row r="20" spans="1:5" ht="27" customHeight="1" thickBot="1">
      <c r="A20" s="196" t="s">
        <v>1653</v>
      </c>
      <c r="B20" s="196" t="s">
        <v>1654</v>
      </c>
      <c r="C20" s="384">
        <v>18796807464.919998</v>
      </c>
      <c r="D20" s="385">
        <v>635810689.01999998</v>
      </c>
      <c r="E20" s="215">
        <v>19432618153.939999</v>
      </c>
    </row>
    <row r="21" spans="1:5" ht="20" customHeight="1" thickBot="1">
      <c r="A21" s="195">
        <v>36</v>
      </c>
      <c r="B21" s="195" t="s">
        <v>1655</v>
      </c>
      <c r="C21" s="213">
        <v>-73390228.459999993</v>
      </c>
      <c r="D21" s="263">
        <v>-1268695.56</v>
      </c>
      <c r="E21" s="280">
        <v>-74658924.019999996</v>
      </c>
    </row>
    <row r="22" spans="1:5" ht="20" customHeight="1" thickBot="1">
      <c r="A22" s="195">
        <v>37</v>
      </c>
      <c r="B22" s="195" t="s">
        <v>1656</v>
      </c>
      <c r="C22" s="213">
        <v>-104842875.66</v>
      </c>
      <c r="D22" s="263">
        <v>91267453.530000001</v>
      </c>
      <c r="E22" s="280">
        <v>-13575422.130000001</v>
      </c>
    </row>
    <row r="23" spans="1:5" ht="27" customHeight="1" thickBot="1">
      <c r="A23" s="196">
        <v>3</v>
      </c>
      <c r="B23" s="196" t="s">
        <v>1657</v>
      </c>
      <c r="C23" s="384">
        <v>18618574360.77</v>
      </c>
      <c r="D23" s="385">
        <v>725809446.94000006</v>
      </c>
      <c r="E23" s="215">
        <v>19344383807.709999</v>
      </c>
    </row>
    <row r="24" spans="1:5" ht="21" customHeight="1" thickBot="1">
      <c r="A24" s="195" t="s">
        <v>1658</v>
      </c>
      <c r="B24" s="195" t="s">
        <v>1659</v>
      </c>
      <c r="C24" s="213">
        <v>1064253456.29</v>
      </c>
      <c r="D24" s="263">
        <v>43038558.859999999</v>
      </c>
      <c r="E24" s="280">
        <v>1107292015.1500001</v>
      </c>
    </row>
    <row r="25" spans="1:5" ht="21" customHeight="1" thickBot="1">
      <c r="A25" s="195">
        <v>48</v>
      </c>
      <c r="B25" s="195" t="s">
        <v>1660</v>
      </c>
      <c r="C25" s="213">
        <v>58818582.850000001</v>
      </c>
      <c r="D25" s="263">
        <v>2506907.04</v>
      </c>
      <c r="E25" s="280">
        <v>61325489.890000001</v>
      </c>
    </row>
    <row r="26" spans="1:5" ht="21" customHeight="1" thickBot="1">
      <c r="A26" s="195">
        <v>49</v>
      </c>
      <c r="B26" s="195" t="s">
        <v>1661</v>
      </c>
      <c r="C26" s="213">
        <v>8447507.9399999995</v>
      </c>
      <c r="D26" s="263">
        <v>399422.86</v>
      </c>
      <c r="E26" s="280">
        <v>8846930.8000000007</v>
      </c>
    </row>
    <row r="27" spans="1:5" ht="27" customHeight="1" thickBot="1">
      <c r="A27" s="196">
        <v>4</v>
      </c>
      <c r="B27" s="196" t="s">
        <v>1662</v>
      </c>
      <c r="C27" s="384">
        <v>1131519547.0699999</v>
      </c>
      <c r="D27" s="385">
        <v>45944888.740000002</v>
      </c>
      <c r="E27" s="215">
        <v>1177464435.8099999</v>
      </c>
    </row>
    <row r="28" spans="1:5" ht="27" customHeight="1" thickBot="1">
      <c r="A28" s="196" t="s">
        <v>1663</v>
      </c>
      <c r="B28" s="196" t="s">
        <v>1664</v>
      </c>
      <c r="C28" s="384">
        <v>19750093907.82</v>
      </c>
      <c r="D28" s="385">
        <v>771754335.67999995</v>
      </c>
      <c r="E28" s="215">
        <v>20521848243.5</v>
      </c>
    </row>
    <row r="29" spans="1:5" ht="27" customHeight="1" thickBot="1">
      <c r="A29" s="196"/>
      <c r="B29" s="196" t="s">
        <v>1665</v>
      </c>
      <c r="C29" s="384">
        <v>-752890664.89999998</v>
      </c>
      <c r="D29" s="385">
        <v>-63064780.329999998</v>
      </c>
      <c r="E29" s="215">
        <v>-815955445.23000002</v>
      </c>
    </row>
    <row r="30" spans="1:5" ht="27" customHeight="1" thickBot="1">
      <c r="A30" s="196">
        <v>7</v>
      </c>
      <c r="B30" s="196" t="s">
        <v>1666</v>
      </c>
      <c r="C30" s="384">
        <v>59145422.530000001</v>
      </c>
      <c r="D30" s="385">
        <v>1491317.01</v>
      </c>
      <c r="E30" s="215">
        <v>60636739.539999999</v>
      </c>
    </row>
    <row r="31" spans="1:5" ht="34.5" customHeight="1" thickBot="1">
      <c r="A31" s="386"/>
      <c r="B31" s="386" t="s">
        <v>1667</v>
      </c>
      <c r="C31" s="387">
        <v>-693745242.38</v>
      </c>
      <c r="D31" s="388">
        <v>-61573463.299999997</v>
      </c>
      <c r="E31" s="389">
        <v>-755318705.67999995</v>
      </c>
    </row>
    <row r="32" spans="1:5" ht="19.5" customHeight="1">
      <c r="A32" s="2" t="s">
        <v>764</v>
      </c>
    </row>
    <row r="34" spans="1:1">
      <c r="A34" s="390" t="s">
        <v>1668</v>
      </c>
    </row>
    <row r="35" spans="1:1">
      <c r="A35" s="391"/>
    </row>
    <row r="36" spans="1:1">
      <c r="A36" s="2" t="s">
        <v>1669</v>
      </c>
    </row>
    <row r="39" spans="1:1">
      <c r="A39" s="2" t="s">
        <v>711</v>
      </c>
    </row>
  </sheetData>
  <mergeCells count="1">
    <mergeCell ref="A2:D2"/>
  </mergeCells>
  <phoneticPr fontId="0" type="noConversion"/>
  <pageMargins left="0.62" right="0.69" top="0.71" bottom="0.49" header="0.42" footer="0.4921259845"/>
  <pageSetup paperSize="9" scale="81" orientation="portrait" horizontalDpi="1200" verticalDpi="12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9B52-5F7F-F045-86A7-431A175E005A}">
  <sheetPr>
    <pageSetUpPr fitToPage="1"/>
  </sheetPr>
  <dimension ref="A1:E39"/>
  <sheetViews>
    <sheetView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48.796875" style="92" customWidth="1"/>
    <col min="3" max="3" width="16.796875" style="2" customWidth="1"/>
    <col min="4" max="4" width="16.796875" style="7" customWidth="1"/>
    <col min="5" max="5" width="18.19921875" style="7" customWidth="1"/>
    <col min="6" max="16384" width="11.3984375" style="2"/>
  </cols>
  <sheetData>
    <row r="1" spans="1:5" s="1" customFormat="1" ht="14" customHeight="1">
      <c r="B1" s="227"/>
      <c r="D1" s="240"/>
      <c r="E1" s="240"/>
    </row>
    <row r="2" spans="1:5" s="1" customFormat="1" ht="28" customHeight="1">
      <c r="A2" s="53" t="s">
        <v>1673</v>
      </c>
      <c r="B2" s="227"/>
      <c r="D2" s="240"/>
      <c r="E2" s="53">
        <v>2008</v>
      </c>
    </row>
    <row r="3" spans="1:5" ht="39" customHeight="1">
      <c r="A3" s="178" t="s">
        <v>765</v>
      </c>
      <c r="B3" s="178"/>
      <c r="C3" s="179" t="s">
        <v>766</v>
      </c>
      <c r="D3" s="242" t="s">
        <v>767</v>
      </c>
      <c r="E3" s="377" t="s">
        <v>164</v>
      </c>
    </row>
    <row r="4" spans="1:5" ht="39" customHeight="1">
      <c r="A4" s="378"/>
      <c r="B4" s="379"/>
      <c r="C4" s="188" t="s">
        <v>768</v>
      </c>
      <c r="D4" s="248" t="s">
        <v>768</v>
      </c>
      <c r="E4" s="380" t="s">
        <v>768</v>
      </c>
    </row>
    <row r="5" spans="1:5" ht="30" customHeight="1" thickBot="1">
      <c r="A5" s="190">
        <v>61</v>
      </c>
      <c r="B5" s="190" t="s">
        <v>769</v>
      </c>
      <c r="C5" s="381">
        <v>7794919757.6499996</v>
      </c>
      <c r="D5" s="382">
        <v>359155693.51999998</v>
      </c>
      <c r="E5" s="383">
        <v>8154075451.1700001</v>
      </c>
    </row>
    <row r="6" spans="1:5" ht="19.5" customHeight="1" thickBot="1">
      <c r="A6" s="195">
        <v>64</v>
      </c>
      <c r="B6" s="195" t="s">
        <v>770</v>
      </c>
      <c r="C6" s="213">
        <v>-31462560.370000001</v>
      </c>
      <c r="D6" s="263">
        <v>-1388634.84</v>
      </c>
      <c r="E6" s="280">
        <v>-32851195.210000001</v>
      </c>
    </row>
    <row r="7" spans="1:5" ht="19.5" customHeight="1" thickBot="1">
      <c r="A7" s="195">
        <v>65</v>
      </c>
      <c r="B7" s="195" t="s">
        <v>771</v>
      </c>
      <c r="C7" s="213">
        <v>5387499.5199999996</v>
      </c>
      <c r="D7" s="263">
        <v>201259.98</v>
      </c>
      <c r="E7" s="280">
        <v>5588759.5</v>
      </c>
    </row>
    <row r="8" spans="1:5" ht="27" customHeight="1" thickBot="1">
      <c r="A8" s="196" t="s">
        <v>772</v>
      </c>
      <c r="B8" s="196" t="s">
        <v>773</v>
      </c>
      <c r="C8" s="384">
        <v>7768844696.8199997</v>
      </c>
      <c r="D8" s="385">
        <v>357968318.62</v>
      </c>
      <c r="E8" s="215">
        <v>8126813015.4399996</v>
      </c>
    </row>
    <row r="9" spans="1:5" ht="19.5" customHeight="1" thickBot="1">
      <c r="A9" s="195">
        <v>66</v>
      </c>
      <c r="B9" s="195" t="s">
        <v>774</v>
      </c>
      <c r="C9" s="213">
        <v>-23192360.359999999</v>
      </c>
      <c r="D9" s="263">
        <v>-1063730.1000000001</v>
      </c>
      <c r="E9" s="280">
        <v>-24256090.460000001</v>
      </c>
    </row>
    <row r="10" spans="1:5" ht="27" customHeight="1" thickBot="1">
      <c r="A10" s="196" t="s">
        <v>775</v>
      </c>
      <c r="B10" s="196" t="s">
        <v>776</v>
      </c>
      <c r="C10" s="384">
        <v>7745652336.4700003</v>
      </c>
      <c r="D10" s="385">
        <v>356904588.52999997</v>
      </c>
      <c r="E10" s="215">
        <v>8102556925</v>
      </c>
    </row>
    <row r="11" spans="1:5" ht="19.5" customHeight="1" thickBot="1">
      <c r="A11" s="195">
        <v>67</v>
      </c>
      <c r="B11" s="195" t="s">
        <v>777</v>
      </c>
      <c r="C11" s="213">
        <v>900404216.87</v>
      </c>
      <c r="D11" s="263">
        <v>36613672.579999998</v>
      </c>
      <c r="E11" s="280">
        <v>937017889.45000005</v>
      </c>
    </row>
    <row r="12" spans="1:5" ht="19.5" customHeight="1" thickBot="1">
      <c r="A12" s="195">
        <v>68</v>
      </c>
      <c r="B12" s="195" t="s">
        <v>174</v>
      </c>
      <c r="C12" s="213">
        <v>-885390077.34000003</v>
      </c>
      <c r="D12" s="263">
        <v>-36264150.700000003</v>
      </c>
      <c r="E12" s="280">
        <v>-921654228.03999996</v>
      </c>
    </row>
    <row r="13" spans="1:5" ht="19.5" customHeight="1" thickBot="1">
      <c r="A13" s="195">
        <v>69</v>
      </c>
      <c r="B13" s="195" t="s">
        <v>175</v>
      </c>
      <c r="C13" s="213">
        <v>41746280.590000004</v>
      </c>
      <c r="D13" s="263">
        <v>1713792.59</v>
      </c>
      <c r="E13" s="280">
        <v>43460073.18</v>
      </c>
    </row>
    <row r="14" spans="1:5" ht="27" customHeight="1" thickBot="1">
      <c r="A14" s="196">
        <v>6</v>
      </c>
      <c r="B14" s="196" t="s">
        <v>176</v>
      </c>
      <c r="C14" s="384">
        <v>7802412756.5500002</v>
      </c>
      <c r="D14" s="385">
        <v>358967902.98000002</v>
      </c>
      <c r="E14" s="215">
        <v>8161380659.5299997</v>
      </c>
    </row>
    <row r="15" spans="1:5" ht="20" customHeight="1" thickBot="1">
      <c r="A15" s="195">
        <v>31</v>
      </c>
      <c r="B15" s="195" t="s">
        <v>177</v>
      </c>
      <c r="C15" s="213">
        <v>11937618029.860001</v>
      </c>
      <c r="D15" s="263">
        <v>420558347.00999999</v>
      </c>
      <c r="E15" s="280">
        <v>12358176376.870001</v>
      </c>
    </row>
    <row r="16" spans="1:5" ht="20" customHeight="1" thickBot="1">
      <c r="A16" s="195">
        <v>32</v>
      </c>
      <c r="B16" s="195" t="s">
        <v>178</v>
      </c>
      <c r="C16" s="213">
        <v>-1162556001.73</v>
      </c>
      <c r="D16" s="263">
        <v>-57149268.210000001</v>
      </c>
      <c r="E16" s="280">
        <v>-1219705269.9400001</v>
      </c>
    </row>
    <row r="17" spans="1:5" ht="27" customHeight="1" thickBot="1">
      <c r="A17" s="196" t="s">
        <v>179</v>
      </c>
      <c r="B17" s="196" t="s">
        <v>180</v>
      </c>
      <c r="C17" s="384">
        <v>10775062028.120001</v>
      </c>
      <c r="D17" s="385">
        <v>363409078.82999998</v>
      </c>
      <c r="E17" s="215">
        <v>11138471106.950001</v>
      </c>
    </row>
    <row r="18" spans="1:5" ht="20" customHeight="1" thickBot="1">
      <c r="A18" s="195">
        <v>34</v>
      </c>
      <c r="B18" s="195" t="s">
        <v>1651</v>
      </c>
      <c r="C18" s="213">
        <v>19533011.93</v>
      </c>
      <c r="D18" s="263">
        <v>-147268.79999999999</v>
      </c>
      <c r="E18" s="280">
        <v>19385743.129999999</v>
      </c>
    </row>
    <row r="19" spans="1:5" ht="20" customHeight="1" thickBot="1">
      <c r="A19" s="195">
        <v>35</v>
      </c>
      <c r="B19" s="195" t="s">
        <v>1652</v>
      </c>
      <c r="C19" s="213">
        <v>-80813209.420000002</v>
      </c>
      <c r="D19" s="263">
        <v>293397.99</v>
      </c>
      <c r="E19" s="280">
        <v>-80519811.430000007</v>
      </c>
    </row>
    <row r="20" spans="1:5" ht="27" customHeight="1" thickBot="1">
      <c r="A20" s="196" t="s">
        <v>1653</v>
      </c>
      <c r="B20" s="196" t="s">
        <v>1654</v>
      </c>
      <c r="C20" s="384">
        <v>10713781830.639999</v>
      </c>
      <c r="D20" s="385">
        <v>363555208</v>
      </c>
      <c r="E20" s="215">
        <v>11077337038.639999</v>
      </c>
    </row>
    <row r="21" spans="1:5" ht="19.5" customHeight="1" thickBot="1">
      <c r="A21" s="195">
        <v>36</v>
      </c>
      <c r="B21" s="195" t="s">
        <v>1655</v>
      </c>
      <c r="C21" s="213">
        <v>-55852858.100000001</v>
      </c>
      <c r="D21" s="263">
        <v>-766225.07</v>
      </c>
      <c r="E21" s="280">
        <v>-56619083.170000002</v>
      </c>
    </row>
    <row r="22" spans="1:5" ht="19.5" customHeight="1" thickBot="1">
      <c r="A22" s="195">
        <v>37</v>
      </c>
      <c r="B22" s="195" t="s">
        <v>1656</v>
      </c>
      <c r="C22" s="213">
        <v>-1250298452.78</v>
      </c>
      <c r="D22" s="263">
        <v>-17468697.739999998</v>
      </c>
      <c r="E22" s="280">
        <v>-1267767150.52</v>
      </c>
    </row>
    <row r="23" spans="1:5" ht="27" customHeight="1" thickBot="1">
      <c r="A23" s="196">
        <v>3</v>
      </c>
      <c r="B23" s="196" t="s">
        <v>1657</v>
      </c>
      <c r="C23" s="384">
        <v>9407630519.7600002</v>
      </c>
      <c r="D23" s="385">
        <v>345320285.19</v>
      </c>
      <c r="E23" s="215">
        <v>9752950804.9500008</v>
      </c>
    </row>
    <row r="24" spans="1:5" ht="20" customHeight="1" thickBot="1">
      <c r="A24" s="195" t="s">
        <v>1658</v>
      </c>
      <c r="B24" s="195" t="s">
        <v>1659</v>
      </c>
      <c r="C24" s="213">
        <v>444092279.97000003</v>
      </c>
      <c r="D24" s="263">
        <v>22240181.600000001</v>
      </c>
      <c r="E24" s="280">
        <v>466332461.56999999</v>
      </c>
    </row>
    <row r="25" spans="1:5" ht="20" customHeight="1" thickBot="1">
      <c r="A25" s="195">
        <v>48</v>
      </c>
      <c r="B25" s="195" t="s">
        <v>1660</v>
      </c>
      <c r="C25" s="213">
        <v>27217386.690000001</v>
      </c>
      <c r="D25" s="263">
        <v>1387106.95</v>
      </c>
      <c r="E25" s="280">
        <v>28604493.640000001</v>
      </c>
    </row>
    <row r="26" spans="1:5" ht="20" customHeight="1" thickBot="1">
      <c r="A26" s="195">
        <v>49</v>
      </c>
      <c r="B26" s="195" t="s">
        <v>1661</v>
      </c>
      <c r="C26" s="213">
        <v>4182855.23</v>
      </c>
      <c r="D26" s="263">
        <v>225292.07</v>
      </c>
      <c r="E26" s="280">
        <v>4408147.3</v>
      </c>
    </row>
    <row r="27" spans="1:5" ht="27" customHeight="1" thickBot="1">
      <c r="A27" s="196">
        <v>4</v>
      </c>
      <c r="B27" s="196" t="s">
        <v>1662</v>
      </c>
      <c r="C27" s="384">
        <v>475492521.88999999</v>
      </c>
      <c r="D27" s="385">
        <v>23852580.600000001</v>
      </c>
      <c r="E27" s="215">
        <v>499345102.49000001</v>
      </c>
    </row>
    <row r="28" spans="1:5" ht="27" customHeight="1" thickBot="1">
      <c r="A28" s="196" t="s">
        <v>1663</v>
      </c>
      <c r="B28" s="196" t="s">
        <v>1664</v>
      </c>
      <c r="C28" s="384">
        <v>9883123041.6499996</v>
      </c>
      <c r="D28" s="385">
        <v>369172865.77999997</v>
      </c>
      <c r="E28" s="215">
        <v>10252295907.43</v>
      </c>
    </row>
    <row r="29" spans="1:5" ht="27" customHeight="1" thickBot="1">
      <c r="A29" s="196"/>
      <c r="B29" s="196" t="s">
        <v>1665</v>
      </c>
      <c r="C29" s="384">
        <v>-2080710285.1099999</v>
      </c>
      <c r="D29" s="385">
        <v>-10204962.800000001</v>
      </c>
      <c r="E29" s="215">
        <v>-2090915247.9100001</v>
      </c>
    </row>
    <row r="30" spans="1:5" ht="27" customHeight="1" thickBot="1">
      <c r="A30" s="196">
        <v>7</v>
      </c>
      <c r="B30" s="196" t="s">
        <v>1666</v>
      </c>
      <c r="C30" s="384">
        <v>24524871.370000001</v>
      </c>
      <c r="D30" s="385">
        <v>1161660.44</v>
      </c>
      <c r="E30" s="215">
        <v>25686531.809999999</v>
      </c>
    </row>
    <row r="31" spans="1:5" ht="34.5" customHeight="1" thickBot="1">
      <c r="A31" s="386"/>
      <c r="B31" s="386" t="s">
        <v>1667</v>
      </c>
      <c r="C31" s="387">
        <v>-2056185413.75</v>
      </c>
      <c r="D31" s="388">
        <v>-9043302.3399999999</v>
      </c>
      <c r="E31" s="389">
        <v>-2065228716.0899999</v>
      </c>
    </row>
    <row r="32" spans="1:5" ht="19.5" customHeight="1">
      <c r="A32" s="2" t="s">
        <v>764</v>
      </c>
    </row>
    <row r="33" spans="1:1" ht="14.25" customHeight="1"/>
    <row r="34" spans="1:1" ht="19.5" customHeight="1">
      <c r="A34" s="2" t="s">
        <v>1671</v>
      </c>
    </row>
    <row r="36" spans="1:1">
      <c r="A36" s="2" t="s">
        <v>1672</v>
      </c>
    </row>
    <row r="39" spans="1:1">
      <c r="A39" s="2" t="s">
        <v>711</v>
      </c>
    </row>
  </sheetData>
  <phoneticPr fontId="0" type="noConversion"/>
  <pageMargins left="0.64" right="0.7" top="0.94" bottom="0.49" header="0.57999999999999996" footer="0.4921259845"/>
  <pageSetup paperSize="9" scale="81" orientation="portrait" horizontalDpi="1200" verticalDpi="12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ED47-952E-8641-AE94-23350A79DAAF}">
  <sheetPr>
    <pageSetUpPr fitToPage="1"/>
  </sheetPr>
  <dimension ref="A1:E39"/>
  <sheetViews>
    <sheetView topLeftCell="A20"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50.19921875" style="92" customWidth="1"/>
    <col min="3" max="3" width="16.796875" style="2" customWidth="1"/>
    <col min="4" max="4" width="16.796875" style="7" customWidth="1"/>
    <col min="5" max="5" width="17.3984375" style="7" customWidth="1"/>
    <col min="6" max="16384" width="11.3984375" style="2"/>
  </cols>
  <sheetData>
    <row r="1" spans="1:5" s="1" customFormat="1" ht="14" customHeight="1">
      <c r="B1" s="227"/>
      <c r="D1" s="240"/>
      <c r="E1" s="240"/>
    </row>
    <row r="2" spans="1:5" s="1" customFormat="1" ht="28" customHeight="1">
      <c r="A2" s="53" t="s">
        <v>1675</v>
      </c>
      <c r="B2" s="227"/>
      <c r="D2" s="240"/>
      <c r="E2" s="53">
        <v>2008</v>
      </c>
    </row>
    <row r="3" spans="1:5" ht="39" customHeight="1">
      <c r="A3" s="178" t="s">
        <v>765</v>
      </c>
      <c r="B3" s="178"/>
      <c r="C3" s="179" t="s">
        <v>766</v>
      </c>
      <c r="D3" s="242" t="s">
        <v>767</v>
      </c>
      <c r="E3" s="208" t="s">
        <v>164</v>
      </c>
    </row>
    <row r="4" spans="1:5" ht="39" customHeight="1">
      <c r="A4" s="378"/>
      <c r="B4" s="379"/>
      <c r="C4" s="188" t="s">
        <v>768</v>
      </c>
      <c r="D4" s="248" t="s">
        <v>768</v>
      </c>
      <c r="E4" s="210" t="s">
        <v>768</v>
      </c>
    </row>
    <row r="5" spans="1:5" ht="30" customHeight="1" thickBot="1">
      <c r="A5" s="190">
        <v>61</v>
      </c>
      <c r="B5" s="190" t="s">
        <v>769</v>
      </c>
      <c r="C5" s="381">
        <v>6487313023</v>
      </c>
      <c r="D5" s="382">
        <v>204941423.38</v>
      </c>
      <c r="E5" s="383">
        <v>6692254446.3800001</v>
      </c>
    </row>
    <row r="6" spans="1:5" ht="20" customHeight="1" thickBot="1">
      <c r="A6" s="195">
        <v>64</v>
      </c>
      <c r="B6" s="195" t="s">
        <v>770</v>
      </c>
      <c r="C6" s="213">
        <v>-32165823.030000001</v>
      </c>
      <c r="D6" s="263">
        <v>-991302.82</v>
      </c>
      <c r="E6" s="280">
        <v>-33157125.850000001</v>
      </c>
    </row>
    <row r="7" spans="1:5" ht="20" customHeight="1" thickBot="1">
      <c r="A7" s="195">
        <v>65</v>
      </c>
      <c r="B7" s="195" t="s">
        <v>771</v>
      </c>
      <c r="C7" s="213">
        <v>3601758.41</v>
      </c>
      <c r="D7" s="263">
        <v>102294.36</v>
      </c>
      <c r="E7" s="280">
        <v>3704052.77</v>
      </c>
    </row>
    <row r="8" spans="1:5" ht="27" customHeight="1" thickBot="1">
      <c r="A8" s="196" t="s">
        <v>772</v>
      </c>
      <c r="B8" s="196" t="s">
        <v>773</v>
      </c>
      <c r="C8" s="384">
        <v>6458748958.3800001</v>
      </c>
      <c r="D8" s="385">
        <v>204052414.88999999</v>
      </c>
      <c r="E8" s="215">
        <v>6662801373.2700005</v>
      </c>
    </row>
    <row r="9" spans="1:5" ht="20" customHeight="1" thickBot="1">
      <c r="A9" s="195">
        <v>66</v>
      </c>
      <c r="B9" s="195" t="s">
        <v>774</v>
      </c>
      <c r="C9" s="213">
        <v>-15556521.890000001</v>
      </c>
      <c r="D9" s="263">
        <v>-543475.76</v>
      </c>
      <c r="E9" s="280">
        <v>-16099997.65</v>
      </c>
    </row>
    <row r="10" spans="1:5" ht="27" customHeight="1" thickBot="1">
      <c r="A10" s="196" t="s">
        <v>775</v>
      </c>
      <c r="B10" s="196" t="s">
        <v>776</v>
      </c>
      <c r="C10" s="384">
        <v>6443192436.4899998</v>
      </c>
      <c r="D10" s="385">
        <v>203508939.12</v>
      </c>
      <c r="E10" s="215">
        <v>6646701375.6099997</v>
      </c>
    </row>
    <row r="11" spans="1:5" ht="20" customHeight="1" thickBot="1">
      <c r="A11" s="195">
        <v>67</v>
      </c>
      <c r="B11" s="195" t="s">
        <v>777</v>
      </c>
      <c r="C11" s="213">
        <v>432262903.45999998</v>
      </c>
      <c r="D11" s="263">
        <v>12303245.130000001</v>
      </c>
      <c r="E11" s="280">
        <v>444566148.58999997</v>
      </c>
    </row>
    <row r="12" spans="1:5" ht="20" customHeight="1" thickBot="1">
      <c r="A12" s="195">
        <v>68</v>
      </c>
      <c r="B12" s="195" t="s">
        <v>174</v>
      </c>
      <c r="C12" s="213">
        <v>-444207454.56</v>
      </c>
      <c r="D12" s="263">
        <v>-12289221.109999999</v>
      </c>
      <c r="E12" s="280">
        <v>-456496675.67000002</v>
      </c>
    </row>
    <row r="13" spans="1:5" ht="20" customHeight="1" thickBot="1">
      <c r="A13" s="195">
        <v>69</v>
      </c>
      <c r="B13" s="195" t="s">
        <v>175</v>
      </c>
      <c r="C13" s="213">
        <v>51513462.890000001</v>
      </c>
      <c r="D13" s="263">
        <v>1383350.16</v>
      </c>
      <c r="E13" s="280">
        <v>52896813.049999997</v>
      </c>
    </row>
    <row r="14" spans="1:5" ht="27" customHeight="1" thickBot="1">
      <c r="A14" s="196">
        <v>6</v>
      </c>
      <c r="B14" s="196" t="s">
        <v>176</v>
      </c>
      <c r="C14" s="384">
        <v>6482761348.2700005</v>
      </c>
      <c r="D14" s="385">
        <v>204906313.31</v>
      </c>
      <c r="E14" s="215">
        <v>6687667661.5799999</v>
      </c>
    </row>
    <row r="15" spans="1:5" ht="20" customHeight="1" thickBot="1">
      <c r="A15" s="195">
        <v>31</v>
      </c>
      <c r="B15" s="195" t="s">
        <v>177</v>
      </c>
      <c r="C15" s="213">
        <v>5823424852.0299997</v>
      </c>
      <c r="D15" s="263">
        <v>180406631.68000001</v>
      </c>
      <c r="E15" s="280">
        <v>6003831483.71</v>
      </c>
    </row>
    <row r="16" spans="1:5" ht="20" customHeight="1" thickBot="1">
      <c r="A16" s="195">
        <v>32</v>
      </c>
      <c r="B16" s="195" t="s">
        <v>178</v>
      </c>
      <c r="C16" s="213">
        <v>-1220920627.1800001</v>
      </c>
      <c r="D16" s="263">
        <v>-39490903.5</v>
      </c>
      <c r="E16" s="280">
        <v>-1260411530.6800001</v>
      </c>
    </row>
    <row r="17" spans="1:5" ht="27" customHeight="1" thickBot="1">
      <c r="A17" s="196" t="s">
        <v>179</v>
      </c>
      <c r="B17" s="196" t="s">
        <v>180</v>
      </c>
      <c r="C17" s="384">
        <v>4602504224.8400002</v>
      </c>
      <c r="D17" s="385">
        <v>140915728.16999999</v>
      </c>
      <c r="E17" s="215">
        <v>4743419953.0100002</v>
      </c>
    </row>
    <row r="18" spans="1:5" ht="20" customHeight="1" thickBot="1">
      <c r="A18" s="195">
        <v>34</v>
      </c>
      <c r="B18" s="195" t="s">
        <v>1651</v>
      </c>
      <c r="C18" s="213">
        <v>9533885.3499999996</v>
      </c>
      <c r="D18" s="263">
        <v>94563.56</v>
      </c>
      <c r="E18" s="280">
        <v>9628448.9100000001</v>
      </c>
    </row>
    <row r="19" spans="1:5" ht="20" customHeight="1" thickBot="1">
      <c r="A19" s="195">
        <v>35</v>
      </c>
      <c r="B19" s="195" t="s">
        <v>1652</v>
      </c>
      <c r="C19" s="213">
        <v>-71347266.439999998</v>
      </c>
      <c r="D19" s="263">
        <v>3694534.57</v>
      </c>
      <c r="E19" s="280">
        <v>-67652731.870000005</v>
      </c>
    </row>
    <row r="20" spans="1:5" ht="27" customHeight="1" thickBot="1">
      <c r="A20" s="196" t="s">
        <v>1653</v>
      </c>
      <c r="B20" s="196" t="s">
        <v>1654</v>
      </c>
      <c r="C20" s="384">
        <v>4540690843.7600002</v>
      </c>
      <c r="D20" s="385">
        <v>144704826.33000001</v>
      </c>
      <c r="E20" s="215">
        <v>4685395670.0900002</v>
      </c>
    </row>
    <row r="21" spans="1:5" ht="20" customHeight="1" thickBot="1">
      <c r="A21" s="195">
        <v>36</v>
      </c>
      <c r="B21" s="195" t="s">
        <v>1655</v>
      </c>
      <c r="C21" s="213">
        <v>-11000094.24</v>
      </c>
      <c r="D21" s="263">
        <v>-278768.77</v>
      </c>
      <c r="E21" s="280">
        <v>-11278863.01</v>
      </c>
    </row>
    <row r="22" spans="1:5" ht="20" customHeight="1" thickBot="1">
      <c r="A22" s="195">
        <v>37</v>
      </c>
      <c r="B22" s="195" t="s">
        <v>1656</v>
      </c>
      <c r="C22" s="213">
        <v>377686006.14999998</v>
      </c>
      <c r="D22" s="263">
        <v>58735338.590000004</v>
      </c>
      <c r="E22" s="280">
        <v>436421344.74000001</v>
      </c>
    </row>
    <row r="23" spans="1:5" ht="27" customHeight="1" thickBot="1">
      <c r="A23" s="196">
        <v>3</v>
      </c>
      <c r="B23" s="196" t="s">
        <v>1657</v>
      </c>
      <c r="C23" s="384">
        <v>4907376755.6400003</v>
      </c>
      <c r="D23" s="385">
        <v>203161396.12</v>
      </c>
      <c r="E23" s="215">
        <v>5110538151.7600002</v>
      </c>
    </row>
    <row r="24" spans="1:5" ht="20" customHeight="1" thickBot="1">
      <c r="A24" s="195" t="s">
        <v>1658</v>
      </c>
      <c r="B24" s="195" t="s">
        <v>1659</v>
      </c>
      <c r="C24" s="213">
        <v>350839988.56999999</v>
      </c>
      <c r="D24" s="263">
        <v>12341473.23</v>
      </c>
      <c r="E24" s="280">
        <v>363181461.80000001</v>
      </c>
    </row>
    <row r="25" spans="1:5" ht="20" customHeight="1" thickBot="1">
      <c r="A25" s="195">
        <v>48</v>
      </c>
      <c r="B25" s="195" t="s">
        <v>1660</v>
      </c>
      <c r="C25" s="213">
        <v>16474855.08</v>
      </c>
      <c r="D25" s="263">
        <v>594889.55000000005</v>
      </c>
      <c r="E25" s="280">
        <v>17069744.629999999</v>
      </c>
    </row>
    <row r="26" spans="1:5" ht="20" customHeight="1" thickBot="1">
      <c r="A26" s="195">
        <v>49</v>
      </c>
      <c r="B26" s="195" t="s">
        <v>1661</v>
      </c>
      <c r="C26" s="213">
        <v>2133468.7000000002</v>
      </c>
      <c r="D26" s="263">
        <v>93641.53</v>
      </c>
      <c r="E26" s="280">
        <v>2227110.23</v>
      </c>
    </row>
    <row r="27" spans="1:5" ht="27" customHeight="1" thickBot="1">
      <c r="A27" s="196">
        <v>4</v>
      </c>
      <c r="B27" s="196" t="s">
        <v>1662</v>
      </c>
      <c r="C27" s="384">
        <v>369448312.35000002</v>
      </c>
      <c r="D27" s="385">
        <v>13030004.32</v>
      </c>
      <c r="E27" s="215">
        <v>382478316.67000002</v>
      </c>
    </row>
    <row r="28" spans="1:5" ht="27" customHeight="1" thickBot="1">
      <c r="A28" s="196" t="s">
        <v>1663</v>
      </c>
      <c r="B28" s="196" t="s">
        <v>1664</v>
      </c>
      <c r="C28" s="384">
        <v>5276825067.9799995</v>
      </c>
      <c r="D28" s="385">
        <v>216191400.44999999</v>
      </c>
      <c r="E28" s="215">
        <v>5493016468.4300003</v>
      </c>
    </row>
    <row r="29" spans="1:5" ht="27" customHeight="1" thickBot="1">
      <c r="A29" s="196"/>
      <c r="B29" s="196" t="s">
        <v>1665</v>
      </c>
      <c r="C29" s="384">
        <v>1205936280.3099999</v>
      </c>
      <c r="D29" s="385">
        <v>-11285087.15</v>
      </c>
      <c r="E29" s="215">
        <v>1194651193.1600001</v>
      </c>
    </row>
    <row r="30" spans="1:5" ht="27" customHeight="1" thickBot="1">
      <c r="A30" s="196">
        <v>7</v>
      </c>
      <c r="B30" s="196" t="s">
        <v>1666</v>
      </c>
      <c r="C30" s="384">
        <v>15748458.68</v>
      </c>
      <c r="D30" s="385">
        <v>-260133.99</v>
      </c>
      <c r="E30" s="215">
        <v>15488324.689999999</v>
      </c>
    </row>
    <row r="31" spans="1:5" ht="34.5" customHeight="1" thickBot="1">
      <c r="A31" s="386"/>
      <c r="B31" s="386" t="s">
        <v>1667</v>
      </c>
      <c r="C31" s="387">
        <v>1221684738.99</v>
      </c>
      <c r="D31" s="388">
        <v>-11545221.140000001</v>
      </c>
      <c r="E31" s="389">
        <v>1210139517.8499999</v>
      </c>
    </row>
    <row r="32" spans="1:5" ht="19.5" customHeight="1">
      <c r="A32" s="2" t="s">
        <v>764</v>
      </c>
    </row>
    <row r="34" spans="1:1">
      <c r="A34" s="2" t="s">
        <v>1671</v>
      </c>
    </row>
    <row r="36" spans="1:1">
      <c r="A36" s="2" t="s">
        <v>1674</v>
      </c>
    </row>
    <row r="39" spans="1:1">
      <c r="A39" s="2" t="s">
        <v>711</v>
      </c>
    </row>
  </sheetData>
  <phoneticPr fontId="0" type="noConversion"/>
  <pageMargins left="0.59055118110236227" right="0.6692913385826772" top="0.84" bottom="0.86614173228346458" header="0.59055118110236227" footer="0.51181102362204722"/>
  <pageSetup paperSize="9" scale="82" orientation="portrait" horizontalDpi="1200" verticalDpi="12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ED5F-317A-E24D-95ED-7EB601155BF0}">
  <sheetPr>
    <pageSetUpPr fitToPage="1"/>
  </sheetPr>
  <dimension ref="A1:E39"/>
  <sheetViews>
    <sheetView topLeftCell="A31"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52.19921875" style="92" customWidth="1"/>
    <col min="3" max="3" width="16.796875" style="2" customWidth="1"/>
    <col min="4" max="5" width="16.796875" style="7" customWidth="1"/>
    <col min="6" max="16384" width="11.3984375" style="2"/>
  </cols>
  <sheetData>
    <row r="1" spans="1:5" s="1" customFormat="1" ht="14" customHeight="1">
      <c r="B1" s="227"/>
      <c r="D1" s="240"/>
      <c r="E1" s="240"/>
    </row>
    <row r="2" spans="1:5" s="1" customFormat="1" ht="28" customHeight="1">
      <c r="A2" s="53" t="s">
        <v>1677</v>
      </c>
      <c r="B2" s="227"/>
      <c r="D2" s="240"/>
      <c r="E2" s="53">
        <v>2008</v>
      </c>
    </row>
    <row r="3" spans="1:5" ht="39" customHeight="1">
      <c r="A3" s="178" t="s">
        <v>765</v>
      </c>
      <c r="B3" s="178"/>
      <c r="C3" s="179" t="s">
        <v>766</v>
      </c>
      <c r="D3" s="242" t="s">
        <v>767</v>
      </c>
      <c r="E3" s="377" t="s">
        <v>164</v>
      </c>
    </row>
    <row r="4" spans="1:5" ht="39" customHeight="1">
      <c r="A4" s="378"/>
      <c r="B4" s="379"/>
      <c r="C4" s="188" t="s">
        <v>768</v>
      </c>
      <c r="D4" s="248" t="s">
        <v>768</v>
      </c>
      <c r="E4" s="380" t="s">
        <v>768</v>
      </c>
    </row>
    <row r="5" spans="1:5" ht="30" customHeight="1" thickBot="1">
      <c r="A5" s="190">
        <v>61</v>
      </c>
      <c r="B5" s="190" t="s">
        <v>769</v>
      </c>
      <c r="C5" s="381">
        <v>15902728.24</v>
      </c>
      <c r="D5" s="382">
        <v>444169.12</v>
      </c>
      <c r="E5" s="383">
        <v>16346897.359999999</v>
      </c>
    </row>
    <row r="6" spans="1:5" ht="20" customHeight="1" thickBot="1">
      <c r="A6" s="195">
        <v>64</v>
      </c>
      <c r="B6" s="195" t="s">
        <v>770</v>
      </c>
      <c r="C6" s="213">
        <v>-57852.18</v>
      </c>
      <c r="D6" s="263">
        <v>-1570.03</v>
      </c>
      <c r="E6" s="280">
        <v>-59422.21</v>
      </c>
    </row>
    <row r="7" spans="1:5" ht="20" customHeight="1" thickBot="1">
      <c r="A7" s="195">
        <v>65</v>
      </c>
      <c r="B7" s="195" t="s">
        <v>771</v>
      </c>
      <c r="C7" s="213">
        <v>1047.49</v>
      </c>
      <c r="D7" s="263">
        <v>26.36</v>
      </c>
      <c r="E7" s="280">
        <v>1073.8499999999999</v>
      </c>
    </row>
    <row r="8" spans="1:5" ht="26.25" customHeight="1" thickBot="1">
      <c r="A8" s="196" t="s">
        <v>772</v>
      </c>
      <c r="B8" s="196" t="s">
        <v>773</v>
      </c>
      <c r="C8" s="384">
        <v>15845923.550000001</v>
      </c>
      <c r="D8" s="385">
        <v>442625.46</v>
      </c>
      <c r="E8" s="215">
        <v>16288549.01</v>
      </c>
    </row>
    <row r="9" spans="1:5" ht="20" customHeight="1" thickBot="1">
      <c r="A9" s="195">
        <v>66</v>
      </c>
      <c r="B9" s="195" t="s">
        <v>774</v>
      </c>
      <c r="C9" s="213">
        <v>-58.63</v>
      </c>
      <c r="D9" s="263">
        <v>-1.31</v>
      </c>
      <c r="E9" s="280">
        <v>-59.94</v>
      </c>
    </row>
    <row r="10" spans="1:5" ht="27" customHeight="1" thickBot="1">
      <c r="A10" s="196" t="s">
        <v>775</v>
      </c>
      <c r="B10" s="196" t="s">
        <v>776</v>
      </c>
      <c r="C10" s="384">
        <v>15845864.92</v>
      </c>
      <c r="D10" s="385">
        <v>442624.15</v>
      </c>
      <c r="E10" s="215">
        <v>16288489.07</v>
      </c>
    </row>
    <row r="11" spans="1:5" ht="20" customHeight="1" thickBot="1">
      <c r="A11" s="195">
        <v>67</v>
      </c>
      <c r="B11" s="195" t="s">
        <v>777</v>
      </c>
      <c r="C11" s="213">
        <v>516957.78</v>
      </c>
      <c r="D11" s="263">
        <v>14907.44</v>
      </c>
      <c r="E11" s="280">
        <v>531865.22</v>
      </c>
    </row>
    <row r="12" spans="1:5" ht="20" customHeight="1" thickBot="1">
      <c r="A12" s="195">
        <v>68</v>
      </c>
      <c r="B12" s="195" t="s">
        <v>174</v>
      </c>
      <c r="C12" s="213">
        <v>-522356.47999999998</v>
      </c>
      <c r="D12" s="263">
        <v>-15081.93</v>
      </c>
      <c r="E12" s="280">
        <v>-537438.41</v>
      </c>
    </row>
    <row r="13" spans="1:5" ht="20" customHeight="1" thickBot="1">
      <c r="A13" s="195">
        <v>69</v>
      </c>
      <c r="B13" s="195" t="s">
        <v>175</v>
      </c>
      <c r="C13" s="213">
        <v>143396.37</v>
      </c>
      <c r="D13" s="263">
        <v>3569.78</v>
      </c>
      <c r="E13" s="280">
        <v>146966.15</v>
      </c>
    </row>
    <row r="14" spans="1:5" ht="27" customHeight="1" thickBot="1">
      <c r="A14" s="196">
        <v>6</v>
      </c>
      <c r="B14" s="196" t="s">
        <v>176</v>
      </c>
      <c r="C14" s="384">
        <v>15983862.58</v>
      </c>
      <c r="D14" s="385">
        <v>446019.44</v>
      </c>
      <c r="E14" s="215">
        <v>16429882.02</v>
      </c>
    </row>
    <row r="15" spans="1:5" ht="20" customHeight="1" thickBot="1">
      <c r="A15" s="195">
        <v>31</v>
      </c>
      <c r="B15" s="195" t="s">
        <v>177</v>
      </c>
      <c r="C15" s="213">
        <v>9821646.2799999993</v>
      </c>
      <c r="D15" s="263">
        <v>354922.61</v>
      </c>
      <c r="E15" s="280">
        <v>10176568.890000001</v>
      </c>
    </row>
    <row r="16" spans="1:5" ht="20" customHeight="1" thickBot="1">
      <c r="A16" s="195">
        <v>32</v>
      </c>
      <c r="B16" s="195" t="s">
        <v>178</v>
      </c>
      <c r="C16" s="213">
        <v>-1362465.99</v>
      </c>
      <c r="D16" s="263">
        <v>-45659.519999999997</v>
      </c>
      <c r="E16" s="280">
        <v>-1408125.51</v>
      </c>
    </row>
    <row r="17" spans="1:5" ht="27" customHeight="1" thickBot="1">
      <c r="A17" s="196" t="s">
        <v>179</v>
      </c>
      <c r="B17" s="196" t="s">
        <v>180</v>
      </c>
      <c r="C17" s="384">
        <v>8459180.3000000007</v>
      </c>
      <c r="D17" s="385">
        <v>309263.09999999998</v>
      </c>
      <c r="E17" s="215">
        <v>8768443.4000000004</v>
      </c>
    </row>
    <row r="18" spans="1:5" ht="20" customHeight="1" thickBot="1">
      <c r="A18" s="195">
        <v>34</v>
      </c>
      <c r="B18" s="195" t="s">
        <v>1651</v>
      </c>
      <c r="C18" s="213">
        <v>5637.6</v>
      </c>
      <c r="D18" s="263">
        <v>203.48</v>
      </c>
      <c r="E18" s="280">
        <v>5841.08</v>
      </c>
    </row>
    <row r="19" spans="1:5" ht="20" customHeight="1" thickBot="1">
      <c r="A19" s="195">
        <v>35</v>
      </c>
      <c r="B19" s="195" t="s">
        <v>1652</v>
      </c>
      <c r="C19" s="213">
        <v>-79562.59</v>
      </c>
      <c r="D19" s="263">
        <v>-2794.38</v>
      </c>
      <c r="E19" s="280">
        <v>-82356.97</v>
      </c>
    </row>
    <row r="20" spans="1:5" ht="27" customHeight="1" thickBot="1">
      <c r="A20" s="196" t="s">
        <v>1653</v>
      </c>
      <c r="B20" s="196" t="s">
        <v>1654</v>
      </c>
      <c r="C20" s="384">
        <v>8385255.2999999998</v>
      </c>
      <c r="D20" s="385">
        <v>306672.2</v>
      </c>
      <c r="E20" s="215">
        <v>8691927.5</v>
      </c>
    </row>
    <row r="21" spans="1:5" ht="20" customHeight="1" thickBot="1">
      <c r="A21" s="195">
        <v>36</v>
      </c>
      <c r="B21" s="195" t="s">
        <v>1655</v>
      </c>
      <c r="C21" s="213">
        <v>0</v>
      </c>
      <c r="D21" s="263">
        <v>0</v>
      </c>
      <c r="E21" s="280">
        <v>0</v>
      </c>
    </row>
    <row r="22" spans="1:5" ht="20" customHeight="1" thickBot="1">
      <c r="A22" s="195">
        <v>37</v>
      </c>
      <c r="B22" s="195" t="s">
        <v>1656</v>
      </c>
      <c r="C22" s="213">
        <v>2835471.36</v>
      </c>
      <c r="D22" s="263">
        <v>119514.95</v>
      </c>
      <c r="E22" s="280">
        <v>2954986.31</v>
      </c>
    </row>
    <row r="23" spans="1:5" ht="26.25" customHeight="1" thickBot="1">
      <c r="A23" s="196">
        <v>3</v>
      </c>
      <c r="B23" s="196" t="s">
        <v>1657</v>
      </c>
      <c r="C23" s="384">
        <v>11220726.66</v>
      </c>
      <c r="D23" s="385">
        <v>426187.14</v>
      </c>
      <c r="E23" s="215">
        <v>11646913.800000001</v>
      </c>
    </row>
    <row r="24" spans="1:5" ht="20" customHeight="1" thickBot="1">
      <c r="A24" s="195" t="s">
        <v>1658</v>
      </c>
      <c r="B24" s="195" t="s">
        <v>1659</v>
      </c>
      <c r="C24" s="213">
        <v>957194.33</v>
      </c>
      <c r="D24" s="263">
        <v>28682.57</v>
      </c>
      <c r="E24" s="280">
        <v>985876.9</v>
      </c>
    </row>
    <row r="25" spans="1:5" ht="20" customHeight="1" thickBot="1">
      <c r="A25" s="195">
        <v>48</v>
      </c>
      <c r="B25" s="195" t="s">
        <v>1660</v>
      </c>
      <c r="C25" s="213">
        <v>30887.26</v>
      </c>
      <c r="D25" s="263">
        <v>911.06</v>
      </c>
      <c r="E25" s="280">
        <v>31798.32</v>
      </c>
    </row>
    <row r="26" spans="1:5" ht="20" customHeight="1" thickBot="1">
      <c r="A26" s="195">
        <v>49</v>
      </c>
      <c r="B26" s="195" t="s">
        <v>1661</v>
      </c>
      <c r="C26" s="213">
        <v>19776.560000000001</v>
      </c>
      <c r="D26" s="263">
        <v>614.21</v>
      </c>
      <c r="E26" s="280">
        <v>20390.77</v>
      </c>
    </row>
    <row r="27" spans="1:5" ht="27" customHeight="1" thickBot="1">
      <c r="A27" s="196">
        <v>4</v>
      </c>
      <c r="B27" s="196" t="s">
        <v>1662</v>
      </c>
      <c r="C27" s="384">
        <v>1007858.15</v>
      </c>
      <c r="D27" s="385">
        <v>30207.83</v>
      </c>
      <c r="E27" s="215">
        <v>1038065.98</v>
      </c>
    </row>
    <row r="28" spans="1:5" ht="27" customHeight="1" thickBot="1">
      <c r="A28" s="196" t="s">
        <v>1663</v>
      </c>
      <c r="B28" s="196" t="s">
        <v>1664</v>
      </c>
      <c r="C28" s="384">
        <v>12228584.810000001</v>
      </c>
      <c r="D28" s="385">
        <v>456394.97</v>
      </c>
      <c r="E28" s="215">
        <v>12684979.779999999</v>
      </c>
    </row>
    <row r="29" spans="1:5" ht="27" customHeight="1" thickBot="1">
      <c r="A29" s="196"/>
      <c r="B29" s="196" t="s">
        <v>1665</v>
      </c>
      <c r="C29" s="384">
        <v>3755277.76</v>
      </c>
      <c r="D29" s="385">
        <v>-10375.530000000001</v>
      </c>
      <c r="E29" s="215">
        <v>3744902.23</v>
      </c>
    </row>
    <row r="30" spans="1:5" ht="27" customHeight="1" thickBot="1">
      <c r="A30" s="196">
        <v>7</v>
      </c>
      <c r="B30" s="196" t="s">
        <v>1666</v>
      </c>
      <c r="C30" s="384">
        <v>15208.9</v>
      </c>
      <c r="D30" s="385">
        <v>614.86</v>
      </c>
      <c r="E30" s="215">
        <v>15823.76</v>
      </c>
    </row>
    <row r="31" spans="1:5" ht="34.5" customHeight="1" thickBot="1">
      <c r="A31" s="386"/>
      <c r="B31" s="386" t="s">
        <v>1667</v>
      </c>
      <c r="C31" s="387">
        <v>3770486.67</v>
      </c>
      <c r="D31" s="388">
        <v>-9760.68</v>
      </c>
      <c r="E31" s="389">
        <v>3760725.99</v>
      </c>
    </row>
    <row r="32" spans="1:5" ht="20.25" customHeight="1">
      <c r="A32" s="2" t="s">
        <v>764</v>
      </c>
    </row>
    <row r="34" spans="1:1">
      <c r="A34" s="2" t="s">
        <v>1671</v>
      </c>
    </row>
    <row r="36" spans="1:1">
      <c r="A36" s="2" t="s">
        <v>1676</v>
      </c>
    </row>
    <row r="39" spans="1:1">
      <c r="A39" s="2" t="s">
        <v>711</v>
      </c>
    </row>
  </sheetData>
  <phoneticPr fontId="0" type="noConversion"/>
  <pageMargins left="0.62992125984251968" right="0.70866141732283472" top="0.70866141732283472" bottom="0.6692913385826772" header="0.51181102362204722" footer="0.38"/>
  <pageSetup paperSize="9" scale="80" orientation="portrait" horizontalDpi="1200" verticalDpi="12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47CF-07A5-5A43-A8AF-FFFE47F735E5}">
  <sheetPr>
    <pageSetUpPr fitToPage="1"/>
  </sheetPr>
  <dimension ref="A1:E39"/>
  <sheetViews>
    <sheetView zoomScale="75" workbookViewId="0">
      <selection activeCell="A33" sqref="A33"/>
    </sheetView>
  </sheetViews>
  <sheetFormatPr baseColWidth="10" defaultColWidth="11.3984375" defaultRowHeight="13"/>
  <cols>
    <col min="1" max="1" width="8.796875" style="2" customWidth="1"/>
    <col min="2" max="2" width="48.796875" style="92" customWidth="1"/>
    <col min="3" max="3" width="16.796875" style="2" customWidth="1"/>
    <col min="4" max="5" width="16.796875" style="7" customWidth="1"/>
    <col min="6" max="16384" width="11.3984375" style="2"/>
  </cols>
  <sheetData>
    <row r="1" spans="1:5" s="1" customFormat="1" ht="14" customHeight="1">
      <c r="B1" s="227"/>
      <c r="D1" s="240"/>
      <c r="E1" s="240"/>
    </row>
    <row r="2" spans="1:5" s="1" customFormat="1" ht="42" customHeight="1">
      <c r="A2" s="2017" t="s">
        <v>1020</v>
      </c>
      <c r="B2" s="2018"/>
      <c r="C2" s="2018"/>
      <c r="D2" s="2018"/>
      <c r="E2" s="53">
        <v>2008</v>
      </c>
    </row>
    <row r="3" spans="1:5" ht="39" customHeight="1">
      <c r="A3" s="178" t="s">
        <v>765</v>
      </c>
      <c r="B3" s="178"/>
      <c r="C3" s="179" t="s">
        <v>766</v>
      </c>
      <c r="D3" s="242" t="s">
        <v>767</v>
      </c>
      <c r="E3" s="377" t="s">
        <v>164</v>
      </c>
    </row>
    <row r="4" spans="1:5" ht="39" customHeight="1">
      <c r="A4" s="378"/>
      <c r="B4" s="379"/>
      <c r="C4" s="188" t="s">
        <v>768</v>
      </c>
      <c r="D4" s="248" t="s">
        <v>768</v>
      </c>
      <c r="E4" s="380" t="s">
        <v>768</v>
      </c>
    </row>
    <row r="5" spans="1:5" ht="30" customHeight="1" thickBot="1">
      <c r="A5" s="190">
        <v>61</v>
      </c>
      <c r="B5" s="190" t="s">
        <v>769</v>
      </c>
      <c r="C5" s="381">
        <v>4685410015.3299999</v>
      </c>
      <c r="D5" s="382">
        <v>144180415.72999999</v>
      </c>
      <c r="E5" s="383">
        <v>4829590431.0600004</v>
      </c>
    </row>
    <row r="6" spans="1:5" ht="20" customHeight="1" thickBot="1">
      <c r="A6" s="195">
        <v>64</v>
      </c>
      <c r="B6" s="195" t="s">
        <v>770</v>
      </c>
      <c r="C6" s="213">
        <v>-15281325.59</v>
      </c>
      <c r="D6" s="263">
        <v>-499032.07</v>
      </c>
      <c r="E6" s="280">
        <v>-15780357.66</v>
      </c>
    </row>
    <row r="7" spans="1:5" ht="20" customHeight="1" thickBot="1">
      <c r="A7" s="195">
        <v>65</v>
      </c>
      <c r="B7" s="195" t="s">
        <v>771</v>
      </c>
      <c r="C7" s="213">
        <v>1689715.68</v>
      </c>
      <c r="D7" s="263">
        <v>37233.94</v>
      </c>
      <c r="E7" s="280">
        <v>1726949.62</v>
      </c>
    </row>
    <row r="8" spans="1:5" ht="27" customHeight="1" thickBot="1">
      <c r="A8" s="196" t="s">
        <v>772</v>
      </c>
      <c r="B8" s="196" t="s">
        <v>773</v>
      </c>
      <c r="C8" s="384">
        <v>4671818405.3800001</v>
      </c>
      <c r="D8" s="385">
        <v>143718617.58000001</v>
      </c>
      <c r="E8" s="215">
        <v>4815537022.96</v>
      </c>
    </row>
    <row r="9" spans="1:5" ht="20" customHeight="1" thickBot="1">
      <c r="A9" s="195">
        <v>66</v>
      </c>
      <c r="B9" s="195" t="s">
        <v>774</v>
      </c>
      <c r="C9" s="213">
        <v>-7829682.8499999996</v>
      </c>
      <c r="D9" s="263">
        <v>-223704.95999999999</v>
      </c>
      <c r="E9" s="280">
        <v>-8053387.8099999996</v>
      </c>
    </row>
    <row r="10" spans="1:5" ht="30" customHeight="1" thickBot="1">
      <c r="A10" s="196" t="s">
        <v>775</v>
      </c>
      <c r="B10" s="196" t="s">
        <v>776</v>
      </c>
      <c r="C10" s="384">
        <v>4663988722.5900002</v>
      </c>
      <c r="D10" s="385">
        <v>143494912.62</v>
      </c>
      <c r="E10" s="215">
        <v>4807483635.21</v>
      </c>
    </row>
    <row r="11" spans="1:5" ht="20" customHeight="1" thickBot="1">
      <c r="A11" s="195">
        <v>67</v>
      </c>
      <c r="B11" s="195" t="s">
        <v>777</v>
      </c>
      <c r="C11" s="213">
        <v>314595082.19999999</v>
      </c>
      <c r="D11" s="263">
        <v>9028576.4000000004</v>
      </c>
      <c r="E11" s="280">
        <v>323623658.60000002</v>
      </c>
    </row>
    <row r="12" spans="1:5" ht="20" customHeight="1" thickBot="1">
      <c r="A12" s="195">
        <v>68</v>
      </c>
      <c r="B12" s="195" t="s">
        <v>174</v>
      </c>
      <c r="C12" s="213">
        <v>-310674561.69999999</v>
      </c>
      <c r="D12" s="263">
        <v>-8937863.3000000007</v>
      </c>
      <c r="E12" s="280">
        <v>-319612425</v>
      </c>
    </row>
    <row r="13" spans="1:5" ht="20" customHeight="1" thickBot="1">
      <c r="A13" s="195">
        <v>69</v>
      </c>
      <c r="B13" s="195" t="s">
        <v>175</v>
      </c>
      <c r="C13" s="213">
        <v>28136032.399999999</v>
      </c>
      <c r="D13" s="263">
        <v>783693.94</v>
      </c>
      <c r="E13" s="280">
        <v>28919726.34</v>
      </c>
    </row>
    <row r="14" spans="1:5" ht="27" customHeight="1" thickBot="1">
      <c r="A14" s="196">
        <v>6</v>
      </c>
      <c r="B14" s="196" t="s">
        <v>176</v>
      </c>
      <c r="C14" s="384">
        <v>4696045275.5200005</v>
      </c>
      <c r="D14" s="385">
        <v>144369319.63999999</v>
      </c>
      <c r="E14" s="215">
        <v>4840414595.1599998</v>
      </c>
    </row>
    <row r="15" spans="1:5" ht="20" customHeight="1" thickBot="1">
      <c r="A15" s="195">
        <v>31</v>
      </c>
      <c r="B15" s="195" t="s">
        <v>177</v>
      </c>
      <c r="C15" s="213">
        <v>4196353896.3499999</v>
      </c>
      <c r="D15" s="263">
        <v>153373157.87</v>
      </c>
      <c r="E15" s="280">
        <v>4349727054.2200003</v>
      </c>
    </row>
    <row r="16" spans="1:5" ht="20" customHeight="1" thickBot="1">
      <c r="A16" s="195">
        <v>32</v>
      </c>
      <c r="B16" s="195" t="s">
        <v>178</v>
      </c>
      <c r="C16" s="213">
        <v>-778469207.97000003</v>
      </c>
      <c r="D16" s="263">
        <v>-30460094.859999999</v>
      </c>
      <c r="E16" s="280">
        <v>-808929302.83000004</v>
      </c>
    </row>
    <row r="17" spans="1:5" ht="27" customHeight="1" thickBot="1">
      <c r="A17" s="196" t="s">
        <v>179</v>
      </c>
      <c r="B17" s="196" t="s">
        <v>180</v>
      </c>
      <c r="C17" s="384">
        <v>3417884688.4200001</v>
      </c>
      <c r="D17" s="385">
        <v>122913063</v>
      </c>
      <c r="E17" s="215">
        <v>3540797751.4200001</v>
      </c>
    </row>
    <row r="18" spans="1:5" ht="20" customHeight="1" thickBot="1">
      <c r="A18" s="195">
        <v>34</v>
      </c>
      <c r="B18" s="195" t="s">
        <v>1651</v>
      </c>
      <c r="C18" s="213">
        <v>20775707.859999999</v>
      </c>
      <c r="D18" s="263">
        <v>275190.40999999997</v>
      </c>
      <c r="E18" s="280">
        <v>21050898.27</v>
      </c>
    </row>
    <row r="19" spans="1:5" ht="20" customHeight="1" thickBot="1">
      <c r="A19" s="195">
        <v>35</v>
      </c>
      <c r="B19" s="195" t="s">
        <v>1652</v>
      </c>
      <c r="C19" s="213">
        <v>95289138.969999999</v>
      </c>
      <c r="D19" s="263">
        <v>4055729.06</v>
      </c>
      <c r="E19" s="280">
        <v>99344868.030000001</v>
      </c>
    </row>
    <row r="20" spans="1:5" ht="27" customHeight="1" thickBot="1">
      <c r="A20" s="196" t="s">
        <v>1653</v>
      </c>
      <c r="B20" s="196" t="s">
        <v>1654</v>
      </c>
      <c r="C20" s="384">
        <v>3533949535.2199998</v>
      </c>
      <c r="D20" s="385">
        <v>127243982.48999999</v>
      </c>
      <c r="E20" s="215">
        <v>3661193517.71</v>
      </c>
    </row>
    <row r="21" spans="1:5" ht="20" customHeight="1" thickBot="1">
      <c r="A21" s="195">
        <v>36</v>
      </c>
      <c r="B21" s="195" t="s">
        <v>1655</v>
      </c>
      <c r="C21" s="213">
        <v>-6537276.1200000001</v>
      </c>
      <c r="D21" s="263">
        <v>-223701.72</v>
      </c>
      <c r="E21" s="280">
        <v>-6760977.8399999999</v>
      </c>
    </row>
    <row r="22" spans="1:5" ht="20" customHeight="1" thickBot="1">
      <c r="A22" s="195">
        <v>37</v>
      </c>
      <c r="B22" s="195" t="s">
        <v>1656</v>
      </c>
      <c r="C22" s="213">
        <v>764934099.61000001</v>
      </c>
      <c r="D22" s="263">
        <v>49881297.729999997</v>
      </c>
      <c r="E22" s="280">
        <v>814815397.34000003</v>
      </c>
    </row>
    <row r="23" spans="1:5" ht="27" customHeight="1" thickBot="1">
      <c r="A23" s="196">
        <v>3</v>
      </c>
      <c r="B23" s="196" t="s">
        <v>1657</v>
      </c>
      <c r="C23" s="384">
        <v>4292346358.71</v>
      </c>
      <c r="D23" s="385">
        <v>176901578.49000001</v>
      </c>
      <c r="E23" s="215">
        <v>4469247937.1999998</v>
      </c>
    </row>
    <row r="24" spans="1:5" ht="20" customHeight="1" thickBot="1">
      <c r="A24" s="195" t="s">
        <v>1658</v>
      </c>
      <c r="B24" s="195" t="s">
        <v>1659</v>
      </c>
      <c r="C24" s="213">
        <v>268363993.41999999</v>
      </c>
      <c r="D24" s="263">
        <v>8428221.4600000009</v>
      </c>
      <c r="E24" s="280">
        <v>276792214.88</v>
      </c>
    </row>
    <row r="25" spans="1:5" ht="20" customHeight="1" thickBot="1">
      <c r="A25" s="195">
        <v>48</v>
      </c>
      <c r="B25" s="195" t="s">
        <v>1660</v>
      </c>
      <c r="C25" s="213">
        <v>15095453.82</v>
      </c>
      <c r="D25" s="263">
        <v>523999.48</v>
      </c>
      <c r="E25" s="280">
        <v>15619453.300000001</v>
      </c>
    </row>
    <row r="26" spans="1:5" ht="20" customHeight="1" thickBot="1">
      <c r="A26" s="195">
        <v>49</v>
      </c>
      <c r="B26" s="195" t="s">
        <v>1661</v>
      </c>
      <c r="C26" s="213">
        <v>2111407.4500000002</v>
      </c>
      <c r="D26" s="263">
        <v>79875.05</v>
      </c>
      <c r="E26" s="280">
        <v>2191282.5</v>
      </c>
    </row>
    <row r="27" spans="1:5" ht="27" customHeight="1" thickBot="1">
      <c r="A27" s="196">
        <v>4</v>
      </c>
      <c r="B27" s="196" t="s">
        <v>1662</v>
      </c>
      <c r="C27" s="384">
        <v>285570854.68000001</v>
      </c>
      <c r="D27" s="385">
        <v>9032095.9900000002</v>
      </c>
      <c r="E27" s="215">
        <v>294602950.67000002</v>
      </c>
    </row>
    <row r="28" spans="1:5" ht="27" customHeight="1" thickBot="1">
      <c r="A28" s="196" t="s">
        <v>1663</v>
      </c>
      <c r="B28" s="196" t="s">
        <v>1664</v>
      </c>
      <c r="C28" s="384">
        <v>4577917213.3800001</v>
      </c>
      <c r="D28" s="385">
        <v>185933674.47999999</v>
      </c>
      <c r="E28" s="215">
        <v>4763850887.8599997</v>
      </c>
    </row>
    <row r="29" spans="1:5" ht="27" customHeight="1" thickBot="1">
      <c r="A29" s="196"/>
      <c r="B29" s="196" t="s">
        <v>1665</v>
      </c>
      <c r="C29" s="384">
        <v>118128062.14</v>
      </c>
      <c r="D29" s="385">
        <v>-41564354.850000001</v>
      </c>
      <c r="E29" s="215">
        <v>76563707.290000007</v>
      </c>
    </row>
    <row r="30" spans="1:5" ht="27" customHeight="1" thickBot="1">
      <c r="A30" s="196">
        <v>7</v>
      </c>
      <c r="B30" s="196" t="s">
        <v>1666</v>
      </c>
      <c r="C30" s="384">
        <v>18856883.579999998</v>
      </c>
      <c r="D30" s="385">
        <v>589175.69999999995</v>
      </c>
      <c r="E30" s="215">
        <v>19446059.280000001</v>
      </c>
    </row>
    <row r="31" spans="1:5" ht="34.5" customHeight="1" thickBot="1">
      <c r="A31" s="386"/>
      <c r="B31" s="386" t="s">
        <v>1667</v>
      </c>
      <c r="C31" s="387">
        <v>136984945.71000001</v>
      </c>
      <c r="D31" s="388">
        <v>-40975179.140000001</v>
      </c>
      <c r="E31" s="389">
        <v>96009766.569999993</v>
      </c>
    </row>
    <row r="32" spans="1:5" ht="18.75" customHeight="1">
      <c r="A32" s="2" t="s">
        <v>764</v>
      </c>
    </row>
    <row r="34" spans="1:1">
      <c r="A34" s="2" t="s">
        <v>1671</v>
      </c>
    </row>
    <row r="36" spans="1:1">
      <c r="A36" s="2" t="s">
        <v>1678</v>
      </c>
    </row>
    <row r="39" spans="1:1">
      <c r="A39" s="2" t="s">
        <v>711</v>
      </c>
    </row>
  </sheetData>
  <mergeCells count="1">
    <mergeCell ref="A2:D2"/>
  </mergeCells>
  <phoneticPr fontId="0" type="noConversion"/>
  <pageMargins left="0.64" right="0.56000000000000005" top="0.96" bottom="0.49" header="0.53" footer="0.4921259845"/>
  <pageSetup paperSize="9" scale="84" orientation="portrait" horizontalDpi="1200" verticalDpi="12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EAD0-5684-134F-802A-DD2248C46F8E}">
  <sheetPr>
    <pageSetUpPr fitToPage="1"/>
  </sheetPr>
  <dimension ref="A1:E48"/>
  <sheetViews>
    <sheetView topLeftCell="A32" zoomScale="75" workbookViewId="0">
      <selection activeCell="A41" sqref="A41"/>
    </sheetView>
  </sheetViews>
  <sheetFormatPr baseColWidth="10" defaultColWidth="11.3984375" defaultRowHeight="13"/>
  <cols>
    <col min="1" max="1" width="8.796875" style="2" customWidth="1"/>
    <col min="2" max="2" width="48.796875" style="92" customWidth="1"/>
    <col min="3" max="3" width="16.796875" style="2" customWidth="1"/>
    <col min="4" max="4" width="16.796875" style="7" customWidth="1"/>
    <col min="5" max="5" width="16.796875" style="410" customWidth="1"/>
    <col min="6" max="16384" width="11.3984375" style="2"/>
  </cols>
  <sheetData>
    <row r="1" spans="1:5" s="1" customFormat="1" ht="54.75" customHeight="1">
      <c r="A1" s="2019" t="s">
        <v>1032</v>
      </c>
      <c r="B1" s="2020"/>
      <c r="C1" s="2020"/>
      <c r="D1" s="2020"/>
      <c r="E1" s="53">
        <v>2008</v>
      </c>
    </row>
    <row r="2" spans="1:5" s="1" customFormat="1" ht="10.5" customHeight="1">
      <c r="A2" s="287"/>
      <c r="B2" s="287"/>
      <c r="C2" s="287"/>
      <c r="D2" s="287"/>
      <c r="E2" s="287"/>
    </row>
    <row r="3" spans="1:5" ht="39" customHeight="1">
      <c r="A3" s="394" t="s">
        <v>765</v>
      </c>
      <c r="B3" s="228"/>
      <c r="C3" s="179" t="s">
        <v>766</v>
      </c>
      <c r="D3" s="242" t="s">
        <v>767</v>
      </c>
      <c r="E3" s="377" t="s">
        <v>164</v>
      </c>
    </row>
    <row r="4" spans="1:5" ht="25.5" customHeight="1">
      <c r="A4" s="378"/>
      <c r="B4" s="379"/>
      <c r="C4" s="188" t="s">
        <v>768</v>
      </c>
      <c r="D4" s="248" t="s">
        <v>768</v>
      </c>
      <c r="E4" s="380" t="s">
        <v>768</v>
      </c>
    </row>
    <row r="5" spans="1:5" ht="30" customHeight="1" thickBot="1">
      <c r="A5" s="190">
        <v>61.1</v>
      </c>
      <c r="B5" s="190" t="s">
        <v>1021</v>
      </c>
      <c r="C5" s="211">
        <v>91592996.879999995</v>
      </c>
      <c r="D5" s="257">
        <v>2225444.5099999998</v>
      </c>
      <c r="E5" s="395">
        <v>93818441.390000001</v>
      </c>
    </row>
    <row r="6" spans="1:5" ht="22.5" customHeight="1" thickBot="1">
      <c r="A6" s="396">
        <v>61.2</v>
      </c>
      <c r="B6" s="396" t="s">
        <v>1022</v>
      </c>
      <c r="C6" s="211">
        <v>4425503.0199999996</v>
      </c>
      <c r="D6" s="257">
        <v>244376.57</v>
      </c>
      <c r="E6" s="395">
        <v>4669879.59</v>
      </c>
    </row>
    <row r="7" spans="1:5" ht="20" customHeight="1" thickBot="1">
      <c r="A7" s="195">
        <v>64</v>
      </c>
      <c r="B7" s="195" t="s">
        <v>770</v>
      </c>
      <c r="C7" s="211">
        <v>-476380.8</v>
      </c>
      <c r="D7" s="257">
        <v>-15874.2</v>
      </c>
      <c r="E7" s="395">
        <v>-492255</v>
      </c>
    </row>
    <row r="8" spans="1:5" ht="20" customHeight="1" thickBot="1">
      <c r="A8" s="195">
        <v>65</v>
      </c>
      <c r="B8" s="195" t="s">
        <v>771</v>
      </c>
      <c r="C8" s="211">
        <v>60369.26</v>
      </c>
      <c r="D8" s="257">
        <v>2642.37</v>
      </c>
      <c r="E8" s="395">
        <v>63011.63</v>
      </c>
    </row>
    <row r="9" spans="1:5" ht="27" customHeight="1" thickBot="1">
      <c r="A9" s="196" t="s">
        <v>772</v>
      </c>
      <c r="B9" s="196" t="s">
        <v>773</v>
      </c>
      <c r="C9" s="211">
        <v>95602488.359999999</v>
      </c>
      <c r="D9" s="257">
        <v>2456589.23</v>
      </c>
      <c r="E9" s="395">
        <v>98059077.590000004</v>
      </c>
    </row>
    <row r="10" spans="1:5" ht="20" customHeight="1" thickBot="1">
      <c r="A10" s="195">
        <v>66</v>
      </c>
      <c r="B10" s="195" t="s">
        <v>774</v>
      </c>
      <c r="C10" s="211">
        <v>-50126.59</v>
      </c>
      <c r="D10" s="257">
        <v>-1034.3499999999999</v>
      </c>
      <c r="E10" s="395">
        <v>-51160.94</v>
      </c>
    </row>
    <row r="11" spans="1:5" ht="27" customHeight="1" thickBot="1">
      <c r="A11" s="196" t="s">
        <v>775</v>
      </c>
      <c r="B11" s="196" t="s">
        <v>776</v>
      </c>
      <c r="C11" s="211">
        <v>95552361.769999996</v>
      </c>
      <c r="D11" s="257">
        <v>2455554.88</v>
      </c>
      <c r="E11" s="395">
        <v>98007916.650000006</v>
      </c>
    </row>
    <row r="12" spans="1:5" ht="21" customHeight="1" thickBot="1">
      <c r="A12" s="195">
        <v>67</v>
      </c>
      <c r="B12" s="195" t="s">
        <v>777</v>
      </c>
      <c r="C12" s="211">
        <v>1413004.31</v>
      </c>
      <c r="D12" s="257">
        <v>58687.99</v>
      </c>
      <c r="E12" s="395">
        <v>1471692.3</v>
      </c>
    </row>
    <row r="13" spans="1:5" ht="21" customHeight="1" thickBot="1">
      <c r="A13" s="195">
        <v>68</v>
      </c>
      <c r="B13" s="195" t="s">
        <v>174</v>
      </c>
      <c r="C13" s="211">
        <v>-1571498.26</v>
      </c>
      <c r="D13" s="257">
        <v>-59956.21</v>
      </c>
      <c r="E13" s="395">
        <v>-1631454.47</v>
      </c>
    </row>
    <row r="14" spans="1:5" ht="21" customHeight="1" thickBot="1">
      <c r="A14" s="195">
        <v>69</v>
      </c>
      <c r="B14" s="195" t="s">
        <v>175</v>
      </c>
      <c r="C14" s="211">
        <v>56562.83</v>
      </c>
      <c r="D14" s="257">
        <v>1937.17</v>
      </c>
      <c r="E14" s="395">
        <v>58500</v>
      </c>
    </row>
    <row r="15" spans="1:5" ht="27" customHeight="1" thickBot="1">
      <c r="A15" s="196">
        <v>6</v>
      </c>
      <c r="B15" s="196" t="s">
        <v>176</v>
      </c>
      <c r="C15" s="211">
        <v>95450430.659999996</v>
      </c>
      <c r="D15" s="257">
        <v>2456223.86</v>
      </c>
      <c r="E15" s="395">
        <v>97906654.519999996</v>
      </c>
    </row>
    <row r="16" spans="1:5" ht="20" customHeight="1" thickBot="1">
      <c r="A16" s="195">
        <v>31.1</v>
      </c>
      <c r="B16" s="195" t="s">
        <v>1023</v>
      </c>
      <c r="C16" s="211">
        <v>70072218.370000005</v>
      </c>
      <c r="D16" s="257">
        <v>1340665.42</v>
      </c>
      <c r="E16" s="395">
        <v>71412883.790000007</v>
      </c>
    </row>
    <row r="17" spans="1:5" ht="20" customHeight="1" thickBot="1">
      <c r="A17" s="195">
        <v>31.2</v>
      </c>
      <c r="B17" s="195" t="s">
        <v>1024</v>
      </c>
      <c r="C17" s="211">
        <v>4862489.9800000004</v>
      </c>
      <c r="D17" s="257">
        <v>107375.66</v>
      </c>
      <c r="E17" s="395">
        <v>4969865.6399999997</v>
      </c>
    </row>
    <row r="18" spans="1:5" ht="20" customHeight="1" thickBot="1">
      <c r="A18" s="195">
        <v>32</v>
      </c>
      <c r="B18" s="195" t="s">
        <v>178</v>
      </c>
      <c r="C18" s="211">
        <v>-4447442.6100000003</v>
      </c>
      <c r="D18" s="257">
        <v>-106401.91</v>
      </c>
      <c r="E18" s="395">
        <v>-4553844.5199999996</v>
      </c>
    </row>
    <row r="19" spans="1:5" ht="27" customHeight="1" thickBot="1">
      <c r="A19" s="196" t="s">
        <v>179</v>
      </c>
      <c r="B19" s="196" t="s">
        <v>180</v>
      </c>
      <c r="C19" s="211">
        <v>70487265.739999995</v>
      </c>
      <c r="D19" s="257">
        <v>1341639.17</v>
      </c>
      <c r="E19" s="395">
        <v>71828904.909999996</v>
      </c>
    </row>
    <row r="20" spans="1:5" ht="20" customHeight="1" thickBot="1">
      <c r="A20" s="195">
        <v>34</v>
      </c>
      <c r="B20" s="195" t="s">
        <v>1651</v>
      </c>
      <c r="C20" s="211">
        <v>90530.9</v>
      </c>
      <c r="D20" s="257">
        <v>2928.38</v>
      </c>
      <c r="E20" s="395">
        <v>93459.28</v>
      </c>
    </row>
    <row r="21" spans="1:5" ht="20" customHeight="1" thickBot="1">
      <c r="A21" s="195">
        <v>35</v>
      </c>
      <c r="B21" s="195" t="s">
        <v>1652</v>
      </c>
      <c r="C21" s="211">
        <v>2296157.86</v>
      </c>
      <c r="D21" s="257">
        <v>26924.16</v>
      </c>
      <c r="E21" s="395">
        <v>2323082.02</v>
      </c>
    </row>
    <row r="22" spans="1:5" ht="20" customHeight="1" thickBot="1">
      <c r="A22" s="195">
        <v>35.1</v>
      </c>
      <c r="B22" s="195" t="s">
        <v>1025</v>
      </c>
      <c r="C22" s="211">
        <v>-87402.55</v>
      </c>
      <c r="D22" s="257">
        <v>-39239.65</v>
      </c>
      <c r="E22" s="395">
        <v>-126642.2</v>
      </c>
    </row>
    <row r="23" spans="1:5" ht="27" customHeight="1" thickBot="1">
      <c r="A23" s="196" t="s">
        <v>1653</v>
      </c>
      <c r="B23" s="196" t="s">
        <v>1654</v>
      </c>
      <c r="C23" s="211">
        <v>72786551.959999993</v>
      </c>
      <c r="D23" s="257">
        <v>1332252.04</v>
      </c>
      <c r="E23" s="395">
        <v>74118804</v>
      </c>
    </row>
    <row r="24" spans="1:5" ht="20" customHeight="1" thickBot="1">
      <c r="A24" s="195">
        <v>36</v>
      </c>
      <c r="B24" s="195" t="s">
        <v>1655</v>
      </c>
      <c r="C24" s="211">
        <v>-15741.21</v>
      </c>
      <c r="D24" s="257">
        <v>-317.69</v>
      </c>
      <c r="E24" s="395">
        <v>-16058.9</v>
      </c>
    </row>
    <row r="25" spans="1:5" ht="20" customHeight="1" thickBot="1">
      <c r="A25" s="195">
        <v>37</v>
      </c>
      <c r="B25" s="195" t="s">
        <v>1656</v>
      </c>
      <c r="C25" s="211">
        <v>16622295.17</v>
      </c>
      <c r="D25" s="257">
        <v>261679.49</v>
      </c>
      <c r="E25" s="395">
        <v>16883974.66</v>
      </c>
    </row>
    <row r="26" spans="1:5" ht="27" customHeight="1" thickBot="1">
      <c r="A26" s="196">
        <v>3</v>
      </c>
      <c r="B26" s="196" t="s">
        <v>1657</v>
      </c>
      <c r="C26" s="211">
        <v>89393105.920000002</v>
      </c>
      <c r="D26" s="257">
        <v>1593613.84</v>
      </c>
      <c r="E26" s="395">
        <v>90986719.760000005</v>
      </c>
    </row>
    <row r="27" spans="1:5" ht="20" customHeight="1" thickBot="1">
      <c r="A27" s="195" t="s">
        <v>1658</v>
      </c>
      <c r="B27" s="195" t="s">
        <v>1659</v>
      </c>
      <c r="C27" s="211">
        <v>6643172.3200000003</v>
      </c>
      <c r="D27" s="257">
        <v>153620.76</v>
      </c>
      <c r="E27" s="395">
        <v>6796793.0800000001</v>
      </c>
    </row>
    <row r="28" spans="1:5" ht="20" customHeight="1" thickBot="1">
      <c r="A28" s="195">
        <v>48</v>
      </c>
      <c r="B28" s="195" t="s">
        <v>1660</v>
      </c>
      <c r="C28" s="211">
        <v>168348.57</v>
      </c>
      <c r="D28" s="257">
        <v>4288.2700000000004</v>
      </c>
      <c r="E28" s="395">
        <v>172636.84</v>
      </c>
    </row>
    <row r="29" spans="1:5" ht="20" customHeight="1" thickBot="1">
      <c r="A29" s="195">
        <v>49</v>
      </c>
      <c r="B29" s="195" t="s">
        <v>1661</v>
      </c>
      <c r="C29" s="211">
        <v>122289.94</v>
      </c>
      <c r="D29" s="257">
        <v>1673.87</v>
      </c>
      <c r="E29" s="395">
        <v>123963.81</v>
      </c>
    </row>
    <row r="30" spans="1:5" ht="27" customHeight="1" thickBot="1">
      <c r="A30" s="196">
        <v>4</v>
      </c>
      <c r="B30" s="196" t="s">
        <v>1662</v>
      </c>
      <c r="C30" s="211">
        <v>6933810.8399999999</v>
      </c>
      <c r="D30" s="257">
        <v>159582.9</v>
      </c>
      <c r="E30" s="395">
        <v>7093393.7400000002</v>
      </c>
    </row>
    <row r="31" spans="1:5" ht="27" customHeight="1" thickBot="1">
      <c r="A31" s="196" t="s">
        <v>1663</v>
      </c>
      <c r="B31" s="196" t="s">
        <v>1664</v>
      </c>
      <c r="C31" s="211">
        <v>96326916.769999996</v>
      </c>
      <c r="D31" s="257">
        <v>1753196.72</v>
      </c>
      <c r="E31" s="395">
        <v>98080113.489999995</v>
      </c>
    </row>
    <row r="32" spans="1:5" ht="27" customHeight="1" thickBot="1">
      <c r="A32" s="196"/>
      <c r="B32" s="196" t="s">
        <v>1665</v>
      </c>
      <c r="C32" s="213">
        <v>-876486.11</v>
      </c>
      <c r="D32" s="263">
        <v>703027.15</v>
      </c>
      <c r="E32" s="280">
        <v>-173458.96</v>
      </c>
    </row>
    <row r="33" spans="1:5" ht="27" customHeight="1" thickBot="1">
      <c r="A33" s="196">
        <v>7</v>
      </c>
      <c r="B33" s="196" t="s">
        <v>1666</v>
      </c>
      <c r="C33" s="213">
        <v>261693.27</v>
      </c>
      <c r="D33" s="263">
        <v>8109.64</v>
      </c>
      <c r="E33" s="280">
        <v>269802.90999999997</v>
      </c>
    </row>
    <row r="34" spans="1:5" ht="27.75" customHeight="1" thickBot="1">
      <c r="A34" s="397"/>
      <c r="B34" s="397" t="s">
        <v>1667</v>
      </c>
      <c r="C34" s="398">
        <v>-614792.84</v>
      </c>
      <c r="D34" s="399">
        <v>711136.79</v>
      </c>
      <c r="E34" s="400">
        <v>96343.95</v>
      </c>
    </row>
    <row r="35" spans="1:5" ht="22.5" customHeight="1">
      <c r="A35" s="401"/>
      <c r="B35" s="401"/>
      <c r="C35" s="402"/>
      <c r="D35" s="402"/>
      <c r="E35" s="403"/>
    </row>
    <row r="36" spans="1:5" ht="24" customHeight="1">
      <c r="A36" s="404" t="s">
        <v>1033</v>
      </c>
      <c r="B36" s="405"/>
      <c r="C36" s="405"/>
      <c r="D36" s="405"/>
      <c r="E36" s="405"/>
    </row>
    <row r="37" spans="1:5" ht="21" customHeight="1" thickBot="1">
      <c r="A37" s="406"/>
      <c r="B37" s="406" t="s">
        <v>1026</v>
      </c>
      <c r="C37" s="407" t="s">
        <v>1060</v>
      </c>
      <c r="D37" s="408" t="s">
        <v>1060</v>
      </c>
      <c r="E37" s="258">
        <v>42765518.479999997</v>
      </c>
    </row>
    <row r="38" spans="1:5" ht="21" customHeight="1" thickBot="1">
      <c r="A38" s="196"/>
      <c r="B38" s="196" t="s">
        <v>1027</v>
      </c>
      <c r="C38" s="384" t="s">
        <v>1060</v>
      </c>
      <c r="D38" s="385" t="s">
        <v>1060</v>
      </c>
      <c r="E38" s="215">
        <v>-2748734.85</v>
      </c>
    </row>
    <row r="39" spans="1:5" ht="21" customHeight="1" thickBot="1">
      <c r="A39" s="196"/>
      <c r="B39" s="196" t="s">
        <v>1028</v>
      </c>
      <c r="C39" s="384" t="s">
        <v>1060</v>
      </c>
      <c r="D39" s="385" t="s">
        <v>1060</v>
      </c>
      <c r="E39" s="215">
        <v>40016783.640000001</v>
      </c>
    </row>
    <row r="40" spans="1:5" ht="15.75" customHeight="1">
      <c r="A40" s="201" t="s">
        <v>764</v>
      </c>
      <c r="B40" s="231"/>
      <c r="C40" s="201"/>
      <c r="D40" s="253"/>
      <c r="E40" s="409"/>
    </row>
    <row r="42" spans="1:5">
      <c r="A42" s="2" t="s">
        <v>1029</v>
      </c>
    </row>
    <row r="43" spans="1:5">
      <c r="A43" s="411" t="s">
        <v>1030</v>
      </c>
    </row>
    <row r="45" spans="1:5">
      <c r="A45" s="2" t="s">
        <v>1031</v>
      </c>
    </row>
    <row r="48" spans="1:5">
      <c r="A48" s="2" t="s">
        <v>711</v>
      </c>
    </row>
  </sheetData>
  <mergeCells count="1">
    <mergeCell ref="A1:D1"/>
  </mergeCells>
  <phoneticPr fontId="0" type="noConversion"/>
  <pageMargins left="0.47244094488188981" right="0.59055118110236227" top="0.5" bottom="0.3" header="0.26" footer="0.19"/>
  <pageSetup paperSize="9" scale="76" orientation="portrait" horizontalDpi="1200" verticalDpi="12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432D-ED03-7345-8A20-89915EF76513}">
  <sheetPr>
    <pageSetUpPr fitToPage="1"/>
  </sheetPr>
  <dimension ref="A1:J25"/>
  <sheetViews>
    <sheetView zoomScale="75" workbookViewId="0">
      <selection activeCell="I12" sqref="I12"/>
    </sheetView>
  </sheetViews>
  <sheetFormatPr baseColWidth="10" defaultColWidth="11.3984375" defaultRowHeight="13"/>
  <cols>
    <col min="1" max="1" width="14.3984375" style="2" customWidth="1"/>
    <col min="2" max="2" width="17.3984375" style="2" customWidth="1"/>
    <col min="3" max="5" width="15.19921875" style="2" customWidth="1"/>
    <col min="6" max="6" width="16.3984375" style="2" customWidth="1"/>
    <col min="7" max="16384" width="11.3984375" style="2"/>
  </cols>
  <sheetData>
    <row r="1" spans="1:10" s="1" customFormat="1" ht="14" customHeight="1"/>
    <row r="2" spans="1:10" s="1" customFormat="1" ht="39" customHeight="1">
      <c r="A2" s="2017" t="s">
        <v>817</v>
      </c>
      <c r="B2" s="2021"/>
      <c r="C2" s="2021"/>
      <c r="D2" s="2021"/>
      <c r="E2" s="2021"/>
      <c r="F2" s="53"/>
    </row>
    <row r="3" spans="1:10" ht="24" customHeight="1">
      <c r="A3" s="178" t="s">
        <v>2250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</row>
    <row r="4" spans="1:10" ht="15" customHeight="1">
      <c r="A4" s="274"/>
      <c r="B4" s="182" t="s">
        <v>2255</v>
      </c>
      <c r="C4" s="183" t="s">
        <v>2256</v>
      </c>
      <c r="D4" s="182" t="s">
        <v>2257</v>
      </c>
      <c r="E4" s="245" t="s">
        <v>2258</v>
      </c>
      <c r="F4" s="182"/>
    </row>
    <row r="5" spans="1:10" ht="15" customHeight="1">
      <c r="A5" s="274"/>
      <c r="B5" s="182" t="s">
        <v>2259</v>
      </c>
      <c r="C5" s="183" t="s">
        <v>2260</v>
      </c>
      <c r="D5" s="182"/>
      <c r="E5" s="245" t="s">
        <v>818</v>
      </c>
      <c r="F5" s="182"/>
    </row>
    <row r="6" spans="1:10" ht="24" customHeight="1">
      <c r="A6" s="275"/>
      <c r="B6" s="188"/>
      <c r="C6" s="187"/>
      <c r="D6" s="188"/>
      <c r="E6" s="248" t="s">
        <v>2262</v>
      </c>
      <c r="F6" s="188"/>
    </row>
    <row r="7" spans="1:10" ht="3" customHeight="1" thickBot="1">
      <c r="A7" s="276">
        <v>1996</v>
      </c>
      <c r="B7" s="211">
        <v>-991775322</v>
      </c>
      <c r="C7" s="257">
        <v>663779882</v>
      </c>
      <c r="D7" s="211">
        <v>3167199</v>
      </c>
      <c r="E7" s="257">
        <v>4895896</v>
      </c>
      <c r="F7" s="211">
        <v>-319932346</v>
      </c>
      <c r="G7" s="7"/>
    </row>
    <row r="8" spans="1:10" ht="0.75" hidden="1" customHeight="1" thickBot="1">
      <c r="A8" s="278">
        <v>1997</v>
      </c>
      <c r="B8" s="213">
        <v>-876459686</v>
      </c>
      <c r="C8" s="263">
        <v>838256173</v>
      </c>
      <c r="D8" s="213">
        <v>-2030295</v>
      </c>
      <c r="E8" s="263">
        <v>110405696</v>
      </c>
      <c r="F8" s="213">
        <v>70171888</v>
      </c>
      <c r="G8" s="7"/>
      <c r="H8" s="8"/>
      <c r="I8" s="8"/>
      <c r="J8" s="8"/>
    </row>
    <row r="9" spans="1:10" ht="20" customHeight="1" thickBot="1">
      <c r="A9" s="278">
        <v>1998</v>
      </c>
      <c r="B9" s="213">
        <v>-430866451</v>
      </c>
      <c r="C9" s="263">
        <v>357976738</v>
      </c>
      <c r="D9" s="213">
        <v>4544767</v>
      </c>
      <c r="E9" s="263">
        <v>68311649</v>
      </c>
      <c r="F9" s="213">
        <v>-33297</v>
      </c>
      <c r="G9" s="7"/>
    </row>
    <row r="10" spans="1:10" ht="20" customHeight="1" thickBot="1">
      <c r="A10" s="278">
        <v>1999</v>
      </c>
      <c r="B10" s="213">
        <v>-927498708</v>
      </c>
      <c r="C10" s="263">
        <v>825438408</v>
      </c>
      <c r="D10" s="213">
        <v>3614253</v>
      </c>
      <c r="E10" s="263">
        <v>49059277</v>
      </c>
      <c r="F10" s="213">
        <v>-49386770</v>
      </c>
      <c r="G10" s="7"/>
    </row>
    <row r="11" spans="1:10" ht="19.5" customHeight="1" thickBot="1">
      <c r="A11" s="278">
        <v>2000</v>
      </c>
      <c r="B11" s="213">
        <v>-1105229685</v>
      </c>
      <c r="C11" s="263">
        <v>733255417.92999995</v>
      </c>
      <c r="D11" s="213">
        <v>3877650.94</v>
      </c>
      <c r="E11" s="263">
        <v>62142502.969999999</v>
      </c>
      <c r="F11" s="213">
        <v>-305954113.39999998</v>
      </c>
      <c r="G11" s="7"/>
    </row>
    <row r="12" spans="1:10" ht="19.5" customHeight="1" thickBot="1">
      <c r="A12" s="278">
        <v>2001</v>
      </c>
      <c r="B12" s="213">
        <v>-1433346588</v>
      </c>
      <c r="C12" s="263">
        <v>618037013.5</v>
      </c>
      <c r="D12" s="213">
        <v>2472338.21</v>
      </c>
      <c r="E12" s="263">
        <v>23119861.41</v>
      </c>
      <c r="F12" s="213">
        <v>-789717374.88</v>
      </c>
      <c r="G12" s="7"/>
    </row>
    <row r="13" spans="1:10" ht="19.5" customHeight="1" thickBot="1">
      <c r="A13" s="278">
        <v>2002</v>
      </c>
      <c r="B13" s="213">
        <v>-1276900302</v>
      </c>
      <c r="C13" s="263">
        <v>976642734.75999999</v>
      </c>
      <c r="D13" s="213">
        <v>4263892.6399999997</v>
      </c>
      <c r="E13" s="263">
        <v>72321311.689999998</v>
      </c>
      <c r="F13" s="213">
        <v>-223672362.91000003</v>
      </c>
      <c r="G13" s="7"/>
    </row>
    <row r="14" spans="1:10" ht="19.5" customHeight="1" thickBot="1">
      <c r="A14" s="278">
        <v>2003</v>
      </c>
      <c r="B14" s="213">
        <v>-1199959344</v>
      </c>
      <c r="C14" s="263">
        <v>1406688222.5</v>
      </c>
      <c r="D14" s="213">
        <v>4842490.32</v>
      </c>
      <c r="E14" s="263">
        <v>188158567.50999999</v>
      </c>
      <c r="F14" s="213">
        <v>399729936.32999998</v>
      </c>
      <c r="G14" s="7"/>
    </row>
    <row r="15" spans="1:10" ht="19.5" customHeight="1" thickBot="1">
      <c r="A15" s="278">
        <v>2004</v>
      </c>
      <c r="B15" s="213">
        <v>-1391640712</v>
      </c>
      <c r="C15" s="263">
        <v>1634981205.5999999</v>
      </c>
      <c r="D15" s="213">
        <v>5236324.96</v>
      </c>
      <c r="E15" s="263">
        <v>265564837.19999999</v>
      </c>
      <c r="F15" s="213">
        <v>514141655.75999987</v>
      </c>
      <c r="G15" s="7"/>
    </row>
    <row r="16" spans="1:10" ht="19.5" customHeight="1" thickBot="1">
      <c r="A16" s="278">
        <v>2005</v>
      </c>
      <c r="B16" s="213">
        <v>-1649416138.25</v>
      </c>
      <c r="C16" s="263">
        <v>1546156469.1700001</v>
      </c>
      <c r="D16" s="213">
        <v>5085262.22</v>
      </c>
      <c r="E16" s="263">
        <v>269599080.74000001</v>
      </c>
      <c r="F16" s="213">
        <v>171424673.88000008</v>
      </c>
      <c r="G16" s="7"/>
    </row>
    <row r="17" spans="1:7" ht="19.5" customHeight="1" thickBot="1">
      <c r="A17" s="278">
        <v>2006</v>
      </c>
      <c r="B17" s="213">
        <v>-1546989478.8199999</v>
      </c>
      <c r="C17" s="263">
        <v>1652478712.1400001</v>
      </c>
      <c r="D17" s="213">
        <v>4831758.9400000004</v>
      </c>
      <c r="E17" s="263">
        <v>380628960.20999998</v>
      </c>
      <c r="F17" s="213">
        <v>490949952.47000015</v>
      </c>
      <c r="G17" s="7"/>
    </row>
    <row r="18" spans="1:7" ht="19.5" customHeight="1" thickBot="1">
      <c r="A18" s="619">
        <v>2007</v>
      </c>
      <c r="B18" s="213">
        <v>-1647720676.0699999</v>
      </c>
      <c r="C18" s="263">
        <v>1490223134.8800001</v>
      </c>
      <c r="D18" s="213">
        <v>5382703.5700000003</v>
      </c>
      <c r="E18" s="263">
        <v>330774914.56</v>
      </c>
      <c r="F18" s="213">
        <v>178660076.94000018</v>
      </c>
      <c r="G18" s="7"/>
    </row>
    <row r="19" spans="1:7" ht="30" customHeight="1" thickBot="1">
      <c r="A19" s="429">
        <v>2008</v>
      </c>
      <c r="B19" s="430">
        <v>-2065228716.0899999</v>
      </c>
      <c r="C19" s="431">
        <v>1210139517.8499999</v>
      </c>
      <c r="D19" s="430">
        <v>3760725.99</v>
      </c>
      <c r="E19" s="431">
        <v>96009766.569999993</v>
      </c>
      <c r="F19" s="430">
        <v>-755318705.68000007</v>
      </c>
      <c r="G19" s="432"/>
    </row>
    <row r="20" spans="1:7" ht="20" customHeight="1">
      <c r="A20" s="201" t="s">
        <v>764</v>
      </c>
      <c r="B20" s="201"/>
      <c r="C20" s="201"/>
      <c r="D20" s="201"/>
      <c r="E20" s="201"/>
      <c r="F20" s="201"/>
    </row>
    <row r="21" spans="1:7" ht="12" customHeight="1">
      <c r="A21" s="202"/>
      <c r="B21" s="202"/>
      <c r="C21" s="202"/>
      <c r="D21" s="202"/>
      <c r="E21" s="202"/>
      <c r="F21" s="202"/>
    </row>
    <row r="22" spans="1:7">
      <c r="A22" s="2" t="s">
        <v>819</v>
      </c>
    </row>
    <row r="25" spans="1:7">
      <c r="A25" s="2" t="s">
        <v>711</v>
      </c>
    </row>
  </sheetData>
  <mergeCells count="1">
    <mergeCell ref="A2:E2"/>
  </mergeCells>
  <phoneticPr fontId="0" type="noConversion"/>
  <pageMargins left="0.6" right="0.65" top="1.01" bottom="0.49" header="0.53" footer="0.4921259845"/>
  <pageSetup paperSize="9" scale="96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6BDF-7C26-3E48-B4F1-E29017FF1B0B}">
  <sheetPr>
    <pageSetUpPr fitToPage="1"/>
  </sheetPr>
  <dimension ref="A1:J25"/>
  <sheetViews>
    <sheetView zoomScale="75" workbookViewId="0">
      <selection activeCell="A18" sqref="A18:IV18"/>
    </sheetView>
  </sheetViews>
  <sheetFormatPr baseColWidth="10" defaultColWidth="11.3984375" defaultRowHeight="13"/>
  <cols>
    <col min="1" max="1" width="14.3984375" style="2" customWidth="1"/>
    <col min="2" max="6" width="15.3984375" style="2" customWidth="1"/>
    <col min="7" max="16384" width="11.3984375" style="2"/>
  </cols>
  <sheetData>
    <row r="1" spans="1:10" s="1" customFormat="1" ht="14" customHeight="1"/>
    <row r="2" spans="1:10" s="1" customFormat="1" ht="39" customHeight="1">
      <c r="A2" s="2017" t="s">
        <v>820</v>
      </c>
      <c r="B2" s="2021"/>
      <c r="C2" s="2021"/>
      <c r="D2" s="2021"/>
      <c r="E2" s="2021"/>
      <c r="F2" s="428"/>
    </row>
    <row r="3" spans="1:10" ht="24" customHeight="1">
      <c r="A3" s="178" t="s">
        <v>821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</row>
    <row r="4" spans="1:10" ht="15" customHeight="1">
      <c r="A4" s="274"/>
      <c r="B4" s="182" t="s">
        <v>2255</v>
      </c>
      <c r="C4" s="183" t="s">
        <v>2256</v>
      </c>
      <c r="D4" s="182" t="s">
        <v>822</v>
      </c>
      <c r="E4" s="245" t="s">
        <v>823</v>
      </c>
      <c r="F4" s="182"/>
    </row>
    <row r="5" spans="1:10" ht="15" customHeight="1">
      <c r="A5" s="274"/>
      <c r="B5" s="182" t="s">
        <v>2259</v>
      </c>
      <c r="C5" s="183" t="s">
        <v>2260</v>
      </c>
      <c r="D5" s="182" t="s">
        <v>824</v>
      </c>
      <c r="E5" s="245" t="s">
        <v>825</v>
      </c>
      <c r="F5" s="182"/>
    </row>
    <row r="6" spans="1:10" ht="24" customHeight="1">
      <c r="A6" s="275"/>
      <c r="B6" s="188"/>
      <c r="C6" s="187"/>
      <c r="D6" s="188"/>
      <c r="E6" s="248" t="s">
        <v>2262</v>
      </c>
      <c r="F6" s="188"/>
    </row>
    <row r="7" spans="1:10" ht="1.5" customHeight="1" thickBot="1">
      <c r="A7" s="276">
        <v>1996</v>
      </c>
      <c r="B7" s="211">
        <v>-209.25119249563258</v>
      </c>
      <c r="C7" s="257">
        <v>287.88798918153714</v>
      </c>
      <c r="D7" s="211">
        <v>113.8133893919793</v>
      </c>
      <c r="E7" s="257">
        <v>40.26296485139558</v>
      </c>
      <c r="F7" s="211">
        <v>-44.467447531910054</v>
      </c>
    </row>
    <row r="8" spans="1:10" ht="0.75" customHeight="1" thickBot="1">
      <c r="A8" s="278">
        <v>1997</v>
      </c>
      <c r="B8" s="213">
        <v>-214.61582270081155</v>
      </c>
      <c r="C8" s="263">
        <v>306.33942450638875</v>
      </c>
      <c r="D8" s="213">
        <v>-176.63955107012353</v>
      </c>
      <c r="E8" s="263">
        <v>288.19554520703849</v>
      </c>
      <c r="F8" s="213">
        <v>9.7260962701001628</v>
      </c>
      <c r="H8" s="8"/>
      <c r="I8" s="8"/>
      <c r="J8" s="8"/>
    </row>
    <row r="9" spans="1:10" ht="20" customHeight="1" thickBot="1">
      <c r="A9" s="278">
        <v>1998</v>
      </c>
      <c r="B9" s="213">
        <v>-107.28033046607707</v>
      </c>
      <c r="C9" s="263">
        <v>131.29687859897859</v>
      </c>
      <c r="D9" s="213">
        <v>384.2379945891106</v>
      </c>
      <c r="E9" s="263">
        <v>138.27149421099506</v>
      </c>
      <c r="F9" s="213">
        <v>-4.5935747895146139E-3</v>
      </c>
    </row>
    <row r="10" spans="1:10" ht="20" customHeight="1" thickBot="1">
      <c r="A10" s="278">
        <v>1999</v>
      </c>
      <c r="B10" s="213">
        <v>-231.94750851767455</v>
      </c>
      <c r="C10" s="263">
        <v>303.95700464199626</v>
      </c>
      <c r="D10" s="213">
        <v>352.33505556638721</v>
      </c>
      <c r="E10" s="263">
        <v>90.53364520474635</v>
      </c>
      <c r="F10" s="213">
        <v>-6.7964685777290796</v>
      </c>
    </row>
    <row r="11" spans="1:10" ht="20" customHeight="1" thickBot="1">
      <c r="A11" s="278">
        <v>2000</v>
      </c>
      <c r="B11" s="213">
        <v>-281.80831964955939</v>
      </c>
      <c r="C11" s="263">
        <v>265.81296038591444</v>
      </c>
      <c r="D11" s="213">
        <v>395.23503618387525</v>
      </c>
      <c r="E11" s="263">
        <v>107.54256442516194</v>
      </c>
      <c r="F11" s="213">
        <v>-42.095410127886048</v>
      </c>
    </row>
    <row r="12" spans="1:10" ht="20" customHeight="1" thickBot="1">
      <c r="A12" s="278">
        <v>2001</v>
      </c>
      <c r="B12" s="213">
        <v>-369.21073383560986</v>
      </c>
      <c r="C12" s="263">
        <v>218.09355776804139</v>
      </c>
      <c r="D12" s="213">
        <v>264.67596724119471</v>
      </c>
      <c r="E12" s="263">
        <v>38.795684474417683</v>
      </c>
      <c r="F12" s="213">
        <v>-107.86592232759077</v>
      </c>
    </row>
    <row r="13" spans="1:10" ht="20" customHeight="1" thickBot="1">
      <c r="A13" s="278">
        <v>2002</v>
      </c>
      <c r="B13" s="213">
        <v>-334.90929649130862</v>
      </c>
      <c r="C13" s="263">
        <v>327.64230472151957</v>
      </c>
      <c r="D13" s="213">
        <v>482.61376796830785</v>
      </c>
      <c r="E13" s="263">
        <v>129.83261678350553</v>
      </c>
      <c r="F13" s="213">
        <v>-30.392888912290669</v>
      </c>
    </row>
    <row r="14" spans="1:10" ht="20" customHeight="1" thickBot="1">
      <c r="A14" s="278">
        <v>2003</v>
      </c>
      <c r="B14" s="213">
        <v>-326.58442193959615</v>
      </c>
      <c r="C14" s="263">
        <v>452.73392575127201</v>
      </c>
      <c r="D14" s="213">
        <v>582.24002885655887</v>
      </c>
      <c r="E14" s="263">
        <v>311.77683579562023</v>
      </c>
      <c r="F14" s="213">
        <v>54.067330132819563</v>
      </c>
    </row>
    <row r="15" spans="1:10" ht="20" customHeight="1" thickBot="1">
      <c r="A15" s="278">
        <v>2004</v>
      </c>
      <c r="B15" s="213">
        <v>-382.39377988050956</v>
      </c>
      <c r="C15" s="263">
        <v>540.52128193947215</v>
      </c>
      <c r="D15" s="213">
        <v>646.61953074833286</v>
      </c>
      <c r="E15" s="263">
        <v>355.14430610645576</v>
      </c>
      <c r="F15" s="213">
        <v>69.291571070195104</v>
      </c>
    </row>
    <row r="16" spans="1:10" ht="20" customHeight="1" thickBot="1">
      <c r="A16" s="278">
        <v>2005</v>
      </c>
      <c r="B16" s="213">
        <v>-457.46233703722402</v>
      </c>
      <c r="C16" s="263">
        <v>526.06943385550483</v>
      </c>
      <c r="D16" s="213">
        <v>659.48154843729731</v>
      </c>
      <c r="E16" s="263">
        <v>297.53361969202518</v>
      </c>
      <c r="F16" s="213">
        <v>22.983877251046639</v>
      </c>
    </row>
    <row r="17" spans="1:6" ht="20" customHeight="1" thickBot="1">
      <c r="A17" s="278">
        <v>2006</v>
      </c>
      <c r="B17" s="213">
        <v>-460.949938416431</v>
      </c>
      <c r="C17" s="263">
        <v>592.83257515796822</v>
      </c>
      <c r="D17" s="213">
        <v>669.21868975069253</v>
      </c>
      <c r="E17" s="263">
        <v>280.53307562761364</v>
      </c>
      <c r="F17" s="213">
        <v>65.394207090333808</v>
      </c>
    </row>
    <row r="18" spans="1:6" ht="20" customHeight="1" thickBot="1">
      <c r="A18" s="278">
        <v>2007</v>
      </c>
      <c r="B18" s="213">
        <v>-523.18043356720625</v>
      </c>
      <c r="C18" s="263">
        <v>577.6616172956227</v>
      </c>
      <c r="D18" s="213">
        <v>779.76293930175291</v>
      </c>
      <c r="E18" s="263">
        <v>179.66674102290708</v>
      </c>
      <c r="F18" s="213">
        <v>23.57885238636468</v>
      </c>
    </row>
    <row r="19" spans="1:6" s="217" customFormat="1" ht="30" customHeight="1" thickBot="1">
      <c r="A19" s="429">
        <v>2008</v>
      </c>
      <c r="B19" s="430">
        <v>-695.79333085705503</v>
      </c>
      <c r="C19" s="431">
        <v>505.40006483827597</v>
      </c>
      <c r="D19" s="430">
        <v>573.54369223730373</v>
      </c>
      <c r="E19" s="431">
        <v>41.734830202162946</v>
      </c>
      <c r="F19" s="430">
        <v>-98.482009802061683</v>
      </c>
    </row>
    <row r="20" spans="1:6" ht="20" customHeight="1">
      <c r="A20" s="201" t="s">
        <v>764</v>
      </c>
      <c r="B20" s="201"/>
      <c r="C20" s="201"/>
      <c r="D20" s="201"/>
      <c r="E20" s="201"/>
      <c r="F20" s="201"/>
    </row>
    <row r="22" spans="1:6">
      <c r="A22" s="2" t="s">
        <v>826</v>
      </c>
    </row>
    <row r="25" spans="1:6">
      <c r="A25" s="2" t="s">
        <v>711</v>
      </c>
    </row>
  </sheetData>
  <mergeCells count="1">
    <mergeCell ref="A2:E2"/>
  </mergeCells>
  <phoneticPr fontId="0" type="noConversion"/>
  <pageMargins left="0.57999999999999996" right="0.72" top="1.1000000000000001" bottom="0.49" header="0.57999999999999996" footer="0.4921259845"/>
  <pageSetup paperSize="9" scale="97" orientation="portrait" horizontalDpi="4294967292" verticalDpi="429496729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138F-CBE0-B34E-A345-BC42D41FAA38}">
  <sheetPr>
    <pageSetUpPr fitToPage="1"/>
  </sheetPr>
  <dimension ref="A1:J25"/>
  <sheetViews>
    <sheetView zoomScale="75" workbookViewId="0">
      <selection activeCell="A18" sqref="A18:IV18"/>
    </sheetView>
  </sheetViews>
  <sheetFormatPr baseColWidth="10" defaultColWidth="11.3984375" defaultRowHeight="13"/>
  <cols>
    <col min="1" max="1" width="14.3984375" style="2" customWidth="1"/>
    <col min="2" max="7" width="15.3984375" style="2" customWidth="1"/>
    <col min="8" max="8" width="17.796875" style="2" customWidth="1"/>
    <col min="9" max="16384" width="11.3984375" style="2"/>
  </cols>
  <sheetData>
    <row r="1" spans="1:10" s="1" customFormat="1" ht="14" customHeight="1"/>
    <row r="2" spans="1:10" s="1" customFormat="1" ht="28" customHeight="1">
      <c r="A2" s="177" t="s">
        <v>1464</v>
      </c>
      <c r="H2" s="433"/>
    </row>
    <row r="3" spans="1:10" ht="24" customHeight="1">
      <c r="A3" s="178" t="s">
        <v>821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  <c r="G3" s="180" t="s">
        <v>1465</v>
      </c>
      <c r="H3" s="182" t="s">
        <v>1466</v>
      </c>
    </row>
    <row r="4" spans="1:10" ht="15" customHeight="1">
      <c r="A4" s="274"/>
      <c r="B4" s="182" t="s">
        <v>2255</v>
      </c>
      <c r="C4" s="183" t="s">
        <v>2256</v>
      </c>
      <c r="D4" s="182" t="s">
        <v>822</v>
      </c>
      <c r="E4" s="183" t="s">
        <v>823</v>
      </c>
      <c r="F4" s="182"/>
      <c r="G4" s="183" t="s">
        <v>1466</v>
      </c>
      <c r="H4" s="434" t="s">
        <v>1467</v>
      </c>
    </row>
    <row r="5" spans="1:10" ht="15" customHeight="1">
      <c r="A5" s="274"/>
      <c r="B5" s="182" t="s">
        <v>2259</v>
      </c>
      <c r="C5" s="183" t="s">
        <v>2260</v>
      </c>
      <c r="D5" s="182" t="s">
        <v>824</v>
      </c>
      <c r="E5" s="183" t="s">
        <v>825</v>
      </c>
      <c r="F5" s="182"/>
      <c r="G5" s="435" t="s">
        <v>1467</v>
      </c>
      <c r="H5" s="436" t="s">
        <v>1468</v>
      </c>
    </row>
    <row r="6" spans="1:10" ht="24" customHeight="1">
      <c r="A6" s="275"/>
      <c r="B6" s="188"/>
      <c r="C6" s="187"/>
      <c r="D6" s="188"/>
      <c r="E6" s="187" t="s">
        <v>2262</v>
      </c>
      <c r="F6" s="188"/>
      <c r="G6" s="187" t="s">
        <v>1469</v>
      </c>
      <c r="H6" s="188"/>
    </row>
    <row r="7" spans="1:10" ht="1.5" customHeight="1" thickBot="1">
      <c r="A7" s="437">
        <v>1996</v>
      </c>
      <c r="B7" s="211">
        <v>649209078</v>
      </c>
      <c r="C7" s="257">
        <v>296204692</v>
      </c>
      <c r="D7" s="211">
        <v>2703444</v>
      </c>
      <c r="E7" s="257">
        <v>11710365</v>
      </c>
      <c r="F7" s="211">
        <v>959827579</v>
      </c>
      <c r="G7" s="212">
        <v>8.160992566527614E-2</v>
      </c>
      <c r="H7" s="211">
        <v>11761162275</v>
      </c>
    </row>
    <row r="8" spans="1:10" ht="0.75" customHeight="1" thickBot="1">
      <c r="A8" s="438">
        <v>1997</v>
      </c>
      <c r="B8" s="213">
        <v>500889187</v>
      </c>
      <c r="C8" s="263">
        <v>356202290</v>
      </c>
      <c r="D8" s="213">
        <v>947002</v>
      </c>
      <c r="E8" s="263">
        <v>35169957</v>
      </c>
      <c r="F8" s="213">
        <v>893208437</v>
      </c>
      <c r="G8" s="439">
        <v>7.2355407590263501E-2</v>
      </c>
      <c r="H8" s="213">
        <v>12344736444</v>
      </c>
      <c r="I8" s="8"/>
      <c r="J8" s="8"/>
    </row>
    <row r="9" spans="1:10" ht="20" customHeight="1" thickBot="1">
      <c r="A9" s="438">
        <v>1998</v>
      </c>
      <c r="B9" s="213">
        <v>457365467</v>
      </c>
      <c r="C9" s="263">
        <v>348237805</v>
      </c>
      <c r="D9" s="213">
        <v>775330</v>
      </c>
      <c r="E9" s="263">
        <v>48566196</v>
      </c>
      <c r="F9" s="213">
        <v>854944797</v>
      </c>
      <c r="G9" s="439">
        <v>6.5539994260804979E-2</v>
      </c>
      <c r="H9" s="213">
        <v>13044627279</v>
      </c>
    </row>
    <row r="10" spans="1:10" ht="20" customHeight="1" thickBot="1">
      <c r="A10" s="438">
        <v>1999</v>
      </c>
      <c r="B10" s="213">
        <v>466630422</v>
      </c>
      <c r="C10" s="263">
        <v>332810614</v>
      </c>
      <c r="D10" s="213">
        <v>653141</v>
      </c>
      <c r="E10" s="263">
        <v>54148946</v>
      </c>
      <c r="F10" s="213">
        <v>854243123</v>
      </c>
      <c r="G10" s="439">
        <v>6.3520258007815578E-2</v>
      </c>
      <c r="H10" s="213">
        <v>13448357261</v>
      </c>
    </row>
    <row r="11" spans="1:10" ht="20" customHeight="1" thickBot="1">
      <c r="A11" s="438">
        <v>2000</v>
      </c>
      <c r="B11" s="213">
        <v>463039687.31</v>
      </c>
      <c r="C11" s="263">
        <v>338664058.75</v>
      </c>
      <c r="D11" s="213">
        <v>692132.4</v>
      </c>
      <c r="E11" s="263">
        <v>60882478.25</v>
      </c>
      <c r="F11" s="213">
        <v>863278356.70999992</v>
      </c>
      <c r="G11" s="439">
        <v>6.0778319554744789E-2</v>
      </c>
      <c r="H11" s="213">
        <v>14203722035</v>
      </c>
    </row>
    <row r="12" spans="1:10" ht="20" customHeight="1" thickBot="1">
      <c r="A12" s="438">
        <v>2001</v>
      </c>
      <c r="B12" s="213">
        <v>473405802.30000001</v>
      </c>
      <c r="C12" s="263">
        <v>367784678.56</v>
      </c>
      <c r="D12" s="213">
        <v>749931.27</v>
      </c>
      <c r="E12" s="263">
        <v>66915939.469999999</v>
      </c>
      <c r="F12" s="213">
        <v>908856351.60000002</v>
      </c>
      <c r="G12" s="439">
        <v>6.0883052653460515E-2</v>
      </c>
      <c r="H12" s="213">
        <v>14927903776</v>
      </c>
    </row>
    <row r="13" spans="1:10" ht="20" customHeight="1" thickBot="1">
      <c r="A13" s="438">
        <v>2002</v>
      </c>
      <c r="B13" s="213">
        <v>472860051.04000002</v>
      </c>
      <c r="C13" s="263">
        <v>381940533.88</v>
      </c>
      <c r="D13" s="213">
        <v>686255.39</v>
      </c>
      <c r="E13" s="263">
        <v>68086548.329999998</v>
      </c>
      <c r="F13" s="213">
        <v>923573388.6400001</v>
      </c>
      <c r="G13" s="439">
        <v>5.9305732530714958E-2</v>
      </c>
      <c r="H13" s="213">
        <v>15573087950</v>
      </c>
    </row>
    <row r="14" spans="1:10" ht="20" customHeight="1" thickBot="1">
      <c r="A14" s="438">
        <v>2003</v>
      </c>
      <c r="B14" s="213">
        <v>470970297.86000001</v>
      </c>
      <c r="C14" s="263">
        <v>408594784.26000005</v>
      </c>
      <c r="D14" s="213">
        <v>692369.29</v>
      </c>
      <c r="E14" s="263">
        <v>68876407.299999997</v>
      </c>
      <c r="F14" s="213">
        <v>949133858.71000004</v>
      </c>
      <c r="G14" s="439">
        <v>5.7102364889053812E-2</v>
      </c>
      <c r="H14" s="213">
        <v>16621620848</v>
      </c>
    </row>
    <row r="15" spans="1:10" ht="20" customHeight="1" thickBot="1">
      <c r="A15" s="438">
        <v>2004</v>
      </c>
      <c r="B15" s="213">
        <v>484897853.29000002</v>
      </c>
      <c r="C15" s="263">
        <v>415930592.72000003</v>
      </c>
      <c r="D15" s="213">
        <v>723109.3</v>
      </c>
      <c r="E15" s="263">
        <v>85829196.189999998</v>
      </c>
      <c r="F15" s="213">
        <v>987380751.5</v>
      </c>
      <c r="G15" s="439">
        <v>5.6068315584587115E-2</v>
      </c>
      <c r="H15" s="213">
        <v>17610315937</v>
      </c>
    </row>
    <row r="16" spans="1:10" ht="20" customHeight="1" thickBot="1">
      <c r="A16" s="438">
        <v>2005</v>
      </c>
      <c r="B16" s="213">
        <v>499701726.70000005</v>
      </c>
      <c r="C16" s="263">
        <v>398938241.44999999</v>
      </c>
      <c r="D16" s="213">
        <v>733379.04</v>
      </c>
      <c r="E16" s="263">
        <v>99764105.649999991</v>
      </c>
      <c r="F16" s="213">
        <v>999137452.84000003</v>
      </c>
      <c r="G16" s="439">
        <v>5.3974609336098663E-2</v>
      </c>
      <c r="H16" s="213">
        <v>18511249365.759998</v>
      </c>
    </row>
    <row r="17" spans="1:9" ht="20" customHeight="1" thickBot="1">
      <c r="A17" s="438">
        <v>2006</v>
      </c>
      <c r="B17" s="213">
        <v>508338112.01999998</v>
      </c>
      <c r="C17" s="263">
        <v>413420689.21999997</v>
      </c>
      <c r="D17" s="213">
        <v>822420.13</v>
      </c>
      <c r="E17" s="263">
        <v>155371559.38</v>
      </c>
      <c r="F17" s="213">
        <v>1077952780.75</v>
      </c>
      <c r="G17" s="439">
        <v>5.6978300934543424E-2</v>
      </c>
      <c r="H17" s="213">
        <v>18918654348.580002</v>
      </c>
    </row>
    <row r="18" spans="1:9" ht="20" customHeight="1" thickBot="1">
      <c r="A18" s="438">
        <v>2007</v>
      </c>
      <c r="B18" s="213">
        <v>481020986.33999997</v>
      </c>
      <c r="C18" s="263">
        <v>375935869.96999997</v>
      </c>
      <c r="D18" s="213">
        <v>730848.95</v>
      </c>
      <c r="E18" s="263">
        <v>214014620.28999999</v>
      </c>
      <c r="F18" s="213">
        <v>1071702325.55</v>
      </c>
      <c r="G18" s="439">
        <v>5.4317232192756151E-2</v>
      </c>
      <c r="H18" s="213">
        <v>19730429594.549999</v>
      </c>
    </row>
    <row r="19" spans="1:9" ht="27" customHeight="1" thickBot="1">
      <c r="A19" s="440">
        <v>2008</v>
      </c>
      <c r="B19" s="430">
        <v>494936955.20999998</v>
      </c>
      <c r="C19" s="431">
        <v>380251206.43000001</v>
      </c>
      <c r="D19" s="430">
        <v>1017675.22</v>
      </c>
      <c r="E19" s="431">
        <v>292411668.18000001</v>
      </c>
      <c r="F19" s="430">
        <v>1168617505.04</v>
      </c>
      <c r="G19" s="441">
        <v>5.6945041751302432E-2</v>
      </c>
      <c r="H19" s="442">
        <v>20521848243.5</v>
      </c>
      <c r="I19" s="7"/>
    </row>
    <row r="20" spans="1:9" ht="20" customHeight="1">
      <c r="A20" s="201" t="s">
        <v>764</v>
      </c>
      <c r="B20" s="201"/>
      <c r="C20" s="201"/>
      <c r="D20" s="201"/>
      <c r="E20" s="201"/>
      <c r="F20" s="201"/>
      <c r="G20" s="201"/>
    </row>
    <row r="21" spans="1:9">
      <c r="F21" s="443"/>
    </row>
    <row r="22" spans="1:9">
      <c r="A22" s="2" t="s">
        <v>2350</v>
      </c>
    </row>
    <row r="25" spans="1:9">
      <c r="A25" s="2" t="s">
        <v>711</v>
      </c>
    </row>
  </sheetData>
  <phoneticPr fontId="0" type="noConversion"/>
  <pageMargins left="0.48" right="0.56000000000000005" top="0.94" bottom="0.49" header="0.57999999999999996" footer="0.4921259845"/>
  <pageSetup paperSize="9" scale="74" orientation="portrait" horizontalDpi="1200" verticalDpi="12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473A-C7F0-D842-BE7D-AF9B751C812B}">
  <sheetPr>
    <pageSetUpPr fitToPage="1"/>
  </sheetPr>
  <dimension ref="A1:J25"/>
  <sheetViews>
    <sheetView zoomScale="75" workbookViewId="0">
      <selection activeCell="A18" sqref="A18:IV18"/>
    </sheetView>
  </sheetViews>
  <sheetFormatPr baseColWidth="10" defaultColWidth="11.3984375" defaultRowHeight="13"/>
  <cols>
    <col min="1" max="1" width="18.796875" style="2" customWidth="1"/>
    <col min="2" max="7" width="14.796875" style="2" customWidth="1"/>
    <col min="8" max="8" width="9.19921875" style="2" customWidth="1"/>
    <col min="9" max="16384" width="11.3984375" style="2"/>
  </cols>
  <sheetData>
    <row r="1" spans="1:10" s="1" customFormat="1" ht="14" customHeight="1"/>
    <row r="2" spans="1:10" s="1" customFormat="1" ht="39" customHeight="1">
      <c r="A2" s="2017" t="s">
        <v>2351</v>
      </c>
      <c r="B2" s="2021"/>
      <c r="C2" s="2021"/>
      <c r="D2" s="2021"/>
      <c r="E2" s="2021"/>
      <c r="F2" s="2021"/>
      <c r="G2" s="428"/>
    </row>
    <row r="3" spans="1:10" ht="24" customHeight="1">
      <c r="A3" s="178" t="s">
        <v>821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  <c r="G3" s="180" t="s">
        <v>2372</v>
      </c>
    </row>
    <row r="4" spans="1:10" ht="15" customHeight="1">
      <c r="A4" s="274"/>
      <c r="B4" s="182" t="s">
        <v>2255</v>
      </c>
      <c r="C4" s="183" t="s">
        <v>2256</v>
      </c>
      <c r="D4" s="182" t="s">
        <v>822</v>
      </c>
      <c r="E4" s="245" t="s">
        <v>823</v>
      </c>
      <c r="F4" s="182"/>
      <c r="G4" s="183" t="s">
        <v>2373</v>
      </c>
    </row>
    <row r="5" spans="1:10" ht="15" customHeight="1">
      <c r="A5" s="274"/>
      <c r="B5" s="182" t="s">
        <v>2259</v>
      </c>
      <c r="C5" s="183" t="s">
        <v>2260</v>
      </c>
      <c r="D5" s="182" t="s">
        <v>824</v>
      </c>
      <c r="E5" s="245" t="s">
        <v>825</v>
      </c>
      <c r="F5" s="182"/>
      <c r="G5" s="183" t="s">
        <v>2377</v>
      </c>
    </row>
    <row r="6" spans="1:10" ht="24" customHeight="1">
      <c r="A6" s="275"/>
      <c r="B6" s="188"/>
      <c r="C6" s="187"/>
      <c r="D6" s="188"/>
      <c r="E6" s="248" t="s">
        <v>2262</v>
      </c>
      <c r="F6" s="188"/>
      <c r="G6" s="187"/>
    </row>
    <row r="7" spans="1:10" ht="1.5" customHeight="1" thickBot="1">
      <c r="A7" s="276">
        <v>1996</v>
      </c>
      <c r="B7" s="211">
        <v>136.97434362103451</v>
      </c>
      <c r="C7" s="257">
        <v>128.46694435673865</v>
      </c>
      <c r="D7" s="211">
        <v>97.148339801638642</v>
      </c>
      <c r="E7" s="257">
        <v>96.303927696179215</v>
      </c>
      <c r="F7" s="211">
        <v>133.40658749416588</v>
      </c>
      <c r="G7" s="212">
        <v>0.15128629508664851</v>
      </c>
    </row>
    <row r="8" spans="1:10" ht="0.75" customHeight="1" thickBot="1">
      <c r="A8" s="278">
        <v>1997</v>
      </c>
      <c r="B8" s="213">
        <v>122.6511004066257</v>
      </c>
      <c r="C8" s="263">
        <v>130.17357705334524</v>
      </c>
      <c r="D8" s="213">
        <v>82.390986601705237</v>
      </c>
      <c r="E8" s="263">
        <v>91.805271826945415</v>
      </c>
      <c r="F8" s="213">
        <v>123.8021591713151</v>
      </c>
      <c r="G8" s="214">
        <v>-7.1993658658503643E-2</v>
      </c>
      <c r="H8" s="8"/>
      <c r="I8" s="8"/>
      <c r="J8" s="8"/>
    </row>
    <row r="9" spans="1:10" ht="20" customHeight="1" thickBot="1">
      <c r="A9" s="278">
        <v>1998</v>
      </c>
      <c r="B9" s="213">
        <v>113.87825236718575</v>
      </c>
      <c r="C9" s="263">
        <v>127.72488252200283</v>
      </c>
      <c r="D9" s="213">
        <v>65.550388907676705</v>
      </c>
      <c r="E9" s="263">
        <v>98.304177799368475</v>
      </c>
      <c r="F9" s="213">
        <v>117.94614727831004</v>
      </c>
      <c r="G9" s="214">
        <v>-4.7301371253966752E-2</v>
      </c>
    </row>
    <row r="10" spans="1:10" ht="20" customHeight="1" thickBot="1">
      <c r="A10" s="278">
        <v>1999</v>
      </c>
      <c r="B10" s="213">
        <v>116.69424749371302</v>
      </c>
      <c r="C10" s="263">
        <v>122.55319883843305</v>
      </c>
      <c r="D10" s="213">
        <v>63.671378436342366</v>
      </c>
      <c r="E10" s="263">
        <v>99.926084629721899</v>
      </c>
      <c r="F10" s="213">
        <v>117.55853932562621</v>
      </c>
      <c r="G10" s="214">
        <v>-3.2863129625523811E-3</v>
      </c>
    </row>
    <row r="11" spans="1:10" ht="20" customHeight="1" thickBot="1">
      <c r="A11" s="278">
        <v>2000</v>
      </c>
      <c r="B11" s="213">
        <v>118.06454168111537</v>
      </c>
      <c r="C11" s="263">
        <v>122.76935680445337</v>
      </c>
      <c r="D11" s="213">
        <v>70.546570176332693</v>
      </c>
      <c r="E11" s="263">
        <v>105.36199101482934</v>
      </c>
      <c r="F11" s="213">
        <v>118.77616573412266</v>
      </c>
      <c r="G11" s="214">
        <v>1.0357617706730186E-2</v>
      </c>
    </row>
    <row r="12" spans="1:10" ht="20" customHeight="1" thickBot="1">
      <c r="A12" s="278">
        <v>2001</v>
      </c>
      <c r="B12" s="213">
        <v>121.94294466707073</v>
      </c>
      <c r="C12" s="263">
        <v>129.78424801045657</v>
      </c>
      <c r="D12" s="213">
        <v>80.283831495557223</v>
      </c>
      <c r="E12" s="263">
        <v>112.28655864106896</v>
      </c>
      <c r="F12" s="213">
        <v>124.13887771371346</v>
      </c>
      <c r="G12" s="214">
        <v>4.514973139977501E-2</v>
      </c>
    </row>
    <row r="13" spans="1:10" ht="20" customHeight="1" thickBot="1">
      <c r="A13" s="278">
        <v>2002</v>
      </c>
      <c r="B13" s="213">
        <v>124.02317297960094</v>
      </c>
      <c r="C13" s="263">
        <v>128.13270639622655</v>
      </c>
      <c r="D13" s="213">
        <v>77.674633842671199</v>
      </c>
      <c r="E13" s="263">
        <v>122.23028773775435</v>
      </c>
      <c r="F13" s="213">
        <v>125.49634223061366</v>
      </c>
      <c r="G13" s="214">
        <v>1.0935047439616501E-2</v>
      </c>
    </row>
    <row r="14" spans="1:10" ht="20" customHeight="1" thickBot="1">
      <c r="A14" s="278">
        <v>2003</v>
      </c>
      <c r="B14" s="213">
        <v>128.18064482468625</v>
      </c>
      <c r="C14" s="263">
        <v>131.50371046027854</v>
      </c>
      <c r="D14" s="213">
        <v>83.247479860526639</v>
      </c>
      <c r="E14" s="263">
        <v>114.12750752273389</v>
      </c>
      <c r="F14" s="213">
        <v>128.37951080237647</v>
      </c>
      <c r="G14" s="214">
        <v>2.2974124349095865E-2</v>
      </c>
    </row>
    <row r="15" spans="1:10" ht="20" customHeight="1" thickBot="1">
      <c r="A15" s="278">
        <v>2004</v>
      </c>
      <c r="B15" s="213">
        <v>133.23979485267307</v>
      </c>
      <c r="C15" s="263">
        <v>137.50576239336979</v>
      </c>
      <c r="D15" s="213">
        <v>89.294801185477908</v>
      </c>
      <c r="E15" s="263">
        <v>114.78082206198195</v>
      </c>
      <c r="F15" s="213">
        <v>133.07064842814813</v>
      </c>
      <c r="G15" s="214">
        <v>3.6541170755768453E-2</v>
      </c>
    </row>
    <row r="16" spans="1:10" ht="20" customHeight="1" thickBot="1">
      <c r="A16" s="278">
        <v>2005</v>
      </c>
      <c r="B16" s="213">
        <v>138.59129568130271</v>
      </c>
      <c r="C16" s="263">
        <v>135.73607782113612</v>
      </c>
      <c r="D16" s="213">
        <v>95.10816236545196</v>
      </c>
      <c r="E16" s="263">
        <v>110.10117463274447</v>
      </c>
      <c r="F16" s="213">
        <v>133.96001901729241</v>
      </c>
      <c r="G16" s="214">
        <v>6.6834467228473445E-3</v>
      </c>
    </row>
    <row r="17" spans="1:7" ht="20" customHeight="1" thickBot="1">
      <c r="A17" s="278">
        <v>2006</v>
      </c>
      <c r="B17" s="213">
        <v>151.46736589900746</v>
      </c>
      <c r="C17" s="263">
        <v>148.31613261539576</v>
      </c>
      <c r="D17" s="213">
        <v>113.9086052631579</v>
      </c>
      <c r="E17" s="263">
        <v>114.51273017660594</v>
      </c>
      <c r="F17" s="213">
        <v>143.58259334442883</v>
      </c>
      <c r="G17" s="214">
        <v>7.1831688273306951E-2</v>
      </c>
    </row>
    <row r="18" spans="1:7" ht="20" customHeight="1" thickBot="1">
      <c r="A18" s="278">
        <v>2007</v>
      </c>
      <c r="B18" s="213">
        <v>152.73266388118995</v>
      </c>
      <c r="C18" s="263">
        <v>145.72564172666276</v>
      </c>
      <c r="D18" s="213">
        <v>105.8741054613936</v>
      </c>
      <c r="E18" s="263">
        <v>116.24614705110733</v>
      </c>
      <c r="F18" s="213">
        <v>141.43904653502142</v>
      </c>
      <c r="G18" s="214">
        <v>-1.4929015833175735E-2</v>
      </c>
    </row>
    <row r="19" spans="1:7" ht="26.25" customHeight="1" thickBot="1">
      <c r="A19" s="429">
        <v>2008</v>
      </c>
      <c r="B19" s="430">
        <v>166.74852036814676</v>
      </c>
      <c r="C19" s="431">
        <v>158.8072958116353</v>
      </c>
      <c r="D19" s="430">
        <v>155.20439530272989</v>
      </c>
      <c r="E19" s="431">
        <v>127.10947809383383</v>
      </c>
      <c r="F19" s="430">
        <v>152.36985357406002</v>
      </c>
      <c r="G19" s="216">
        <v>7.7282810559190562E-2</v>
      </c>
    </row>
    <row r="20" spans="1:7" ht="20.25" customHeight="1">
      <c r="A20" s="201" t="s">
        <v>764</v>
      </c>
      <c r="B20" s="201"/>
      <c r="C20" s="201"/>
      <c r="D20" s="201"/>
      <c r="E20" s="201"/>
      <c r="F20" s="201"/>
      <c r="G20" s="201"/>
    </row>
    <row r="22" spans="1:7">
      <c r="A22" s="2" t="s">
        <v>2352</v>
      </c>
    </row>
    <row r="25" spans="1:7">
      <c r="A25" s="2" t="s">
        <v>711</v>
      </c>
    </row>
  </sheetData>
  <mergeCells count="1">
    <mergeCell ref="A2:F2"/>
  </mergeCells>
  <phoneticPr fontId="0" type="noConversion"/>
  <pageMargins left="0.55000000000000004" right="0.55000000000000004" top="1.0900000000000001" bottom="0.49" header="0.53" footer="0.4921259845"/>
  <pageSetup paperSize="9" scale="85" orientation="portrait" horizontalDpi="4294967292" verticalDpi="429496729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5FE5-24B4-8E42-A8CA-6F7550A11C33}">
  <sheetPr>
    <pageSetUpPr fitToPage="1"/>
  </sheetPr>
  <dimension ref="A1:K28"/>
  <sheetViews>
    <sheetView zoomScale="75" workbookViewId="0">
      <selection activeCell="I12" sqref="I12"/>
    </sheetView>
  </sheetViews>
  <sheetFormatPr baseColWidth="10" defaultColWidth="11.3984375" defaultRowHeight="13"/>
  <cols>
    <col min="1" max="1" width="14.3984375" style="2" customWidth="1"/>
    <col min="2" max="2" width="17.19921875" style="2" customWidth="1"/>
    <col min="3" max="5" width="15.3984375" style="2" customWidth="1"/>
    <col min="6" max="6" width="16.19921875" style="537" customWidth="1"/>
    <col min="7" max="7" width="15.3984375" style="2" customWidth="1"/>
    <col min="8" max="16384" width="11.3984375" style="2"/>
  </cols>
  <sheetData>
    <row r="1" spans="1:11" s="1" customFormat="1" ht="14" customHeight="1">
      <c r="F1" s="547"/>
    </row>
    <row r="2" spans="1:11" s="1" customFormat="1" ht="28" customHeight="1">
      <c r="A2" s="177" t="s">
        <v>100</v>
      </c>
      <c r="F2" s="428"/>
      <c r="G2" s="548"/>
    </row>
    <row r="3" spans="1:11" ht="24" customHeight="1">
      <c r="A3" s="178" t="s">
        <v>821</v>
      </c>
      <c r="B3" s="179" t="s">
        <v>101</v>
      </c>
      <c r="C3" s="180" t="s">
        <v>2372</v>
      </c>
      <c r="D3" s="179" t="s">
        <v>109</v>
      </c>
      <c r="E3" s="180" t="s">
        <v>2372</v>
      </c>
      <c r="F3" s="549" t="s">
        <v>102</v>
      </c>
      <c r="G3" s="550"/>
    </row>
    <row r="4" spans="1:11" ht="15" customHeight="1">
      <c r="A4" s="274"/>
      <c r="B4" s="209" t="s">
        <v>2010</v>
      </c>
      <c r="C4" s="183" t="s">
        <v>2373</v>
      </c>
      <c r="D4" s="209" t="s">
        <v>103</v>
      </c>
      <c r="E4" s="183" t="s">
        <v>2373</v>
      </c>
      <c r="F4" s="551" t="s">
        <v>110</v>
      </c>
      <c r="G4" s="550"/>
    </row>
    <row r="5" spans="1:11" ht="15" customHeight="1">
      <c r="A5" s="274"/>
      <c r="B5" s="675" t="s">
        <v>1993</v>
      </c>
      <c r="C5" s="183" t="s">
        <v>2377</v>
      </c>
      <c r="D5" s="182" t="s">
        <v>104</v>
      </c>
      <c r="E5" s="183" t="s">
        <v>2377</v>
      </c>
      <c r="F5" s="551"/>
      <c r="G5" s="550"/>
    </row>
    <row r="6" spans="1:11" ht="24" customHeight="1">
      <c r="A6" s="275"/>
      <c r="B6" s="188"/>
      <c r="C6" s="187"/>
      <c r="D6" s="188" t="s">
        <v>105</v>
      </c>
      <c r="E6" s="187"/>
      <c r="F6" s="552"/>
      <c r="G6" s="553"/>
    </row>
    <row r="7" spans="1:11" ht="2.25" customHeight="1" thickBot="1">
      <c r="A7" s="276">
        <v>1996</v>
      </c>
      <c r="B7" s="211">
        <v>2856.0771495999998</v>
      </c>
      <c r="C7" s="212" t="s">
        <v>1301</v>
      </c>
      <c r="D7" s="211">
        <v>394.88575237875602</v>
      </c>
      <c r="E7" s="212" t="s">
        <v>1301</v>
      </c>
      <c r="F7" s="554">
        <v>0.25659604678130066</v>
      </c>
      <c r="G7" s="555"/>
    </row>
    <row r="8" spans="1:11" ht="0.75" customHeight="1" thickBot="1">
      <c r="A8" s="278">
        <v>1997</v>
      </c>
      <c r="B8" s="213">
        <v>2991.8799653000001</v>
      </c>
      <c r="C8" s="214">
        <v>4.7548721055738929E-2</v>
      </c>
      <c r="D8" s="213">
        <v>413.44461478530076</v>
      </c>
      <c r="E8" s="214">
        <v>4.6998055246986824E-2</v>
      </c>
      <c r="F8" s="556">
        <v>0.24848089473110047</v>
      </c>
      <c r="G8" s="555"/>
      <c r="I8" s="8"/>
      <c r="J8" s="8"/>
      <c r="K8" s="8"/>
    </row>
    <row r="9" spans="1:11" ht="20" customHeight="1" thickBot="1">
      <c r="A9" s="278">
        <v>1998</v>
      </c>
      <c r="B9" s="213">
        <v>2985.5309591999999</v>
      </c>
      <c r="C9" s="214">
        <v>-2.1220791521171876E-3</v>
      </c>
      <c r="D9" s="213">
        <v>411.98967338686089</v>
      </c>
      <c r="E9" s="214">
        <v>-3.5190720749752979E-3</v>
      </c>
      <c r="F9" s="556">
        <v>0.23492819435144413</v>
      </c>
      <c r="G9" s="555"/>
    </row>
    <row r="10" spans="1:11" ht="20" customHeight="1" thickBot="1">
      <c r="A10" s="278">
        <v>1999</v>
      </c>
      <c r="B10" s="213">
        <v>3077.4121471999997</v>
      </c>
      <c r="C10" s="214">
        <v>3.0775493289347849E-2</v>
      </c>
      <c r="D10" s="213">
        <v>423.27251702147385</v>
      </c>
      <c r="E10" s="214">
        <v>2.7386229227202737E-2</v>
      </c>
      <c r="F10" s="556">
        <v>0.23610935015841622</v>
      </c>
      <c r="G10" s="555"/>
    </row>
    <row r="11" spans="1:11" ht="20" customHeight="1" thickBot="1">
      <c r="A11" s="278">
        <v>2000</v>
      </c>
      <c r="B11" s="213">
        <v>2832.1064589000002</v>
      </c>
      <c r="C11" s="214">
        <v>-7.9711678698347957E-2</v>
      </c>
      <c r="D11" s="213">
        <v>389.82276793217119</v>
      </c>
      <c r="E11" s="214">
        <v>-7.9026508323018885E-2</v>
      </c>
      <c r="F11" s="556">
        <v>0.21069626660407667</v>
      </c>
      <c r="G11" s="555"/>
    </row>
    <row r="12" spans="1:11" ht="20" customHeight="1" thickBot="1">
      <c r="A12" s="278">
        <v>2001</v>
      </c>
      <c r="B12" s="213">
        <v>2102.6392701999998</v>
      </c>
      <c r="C12" s="214">
        <v>-0.25757053955638659</v>
      </c>
      <c r="D12" s="213">
        <v>287.99008361810974</v>
      </c>
      <c r="E12" s="214">
        <v>-0.26122815979742942</v>
      </c>
      <c r="F12" s="556">
        <v>0.15021735666544661</v>
      </c>
      <c r="G12" s="555"/>
    </row>
    <row r="13" spans="1:11" ht="20" customHeight="1" thickBot="1">
      <c r="A13" s="278">
        <v>2002</v>
      </c>
      <c r="B13" s="213">
        <v>1965.5320859999999</v>
      </c>
      <c r="C13" s="214">
        <v>-6.5207183249725215E-2</v>
      </c>
      <c r="D13" s="213">
        <v>267.61478124431557</v>
      </c>
      <c r="E13" s="214">
        <v>-7.075001374287912E-2</v>
      </c>
      <c r="F13" s="556">
        <v>0.12800562007019203</v>
      </c>
      <c r="G13" s="555"/>
    </row>
    <row r="14" spans="1:11" ht="20" customHeight="1" thickBot="1">
      <c r="A14" s="278">
        <v>2003</v>
      </c>
      <c r="B14" s="213">
        <v>2393.7060728000001</v>
      </c>
      <c r="C14" s="214">
        <v>0.2178412603130612</v>
      </c>
      <c r="D14" s="213">
        <v>324.68015590359045</v>
      </c>
      <c r="E14" s="214">
        <v>0.21323700579594579</v>
      </c>
      <c r="F14" s="556">
        <v>0.14231214354211111</v>
      </c>
      <c r="G14" s="555"/>
    </row>
    <row r="15" spans="1:11" ht="20" customHeight="1" thickBot="1">
      <c r="A15" s="278">
        <v>2004</v>
      </c>
      <c r="B15" s="213">
        <v>2968.4810149999998</v>
      </c>
      <c r="C15" s="214">
        <v>0.24011926473815798</v>
      </c>
      <c r="D15" s="213">
        <v>402.03849991887398</v>
      </c>
      <c r="E15" s="214">
        <v>0.23826015421236305</v>
      </c>
      <c r="F15" s="556">
        <v>0.16464390527007836</v>
      </c>
      <c r="G15" s="555"/>
    </row>
    <row r="16" spans="1:11" ht="20" customHeight="1" thickBot="1">
      <c r="A16" s="278">
        <v>2005</v>
      </c>
      <c r="B16" s="213">
        <v>3184.4883300000001</v>
      </c>
      <c r="C16" s="214">
        <v>7.2766951820980502E-2</v>
      </c>
      <c r="D16" s="213">
        <v>428.26064350549666</v>
      </c>
      <c r="E16" s="214">
        <v>6.5222966437079921E-2</v>
      </c>
      <c r="F16" s="556">
        <v>0.17216782468933323</v>
      </c>
      <c r="G16" s="555"/>
    </row>
    <row r="17" spans="1:7" ht="20" customHeight="1" thickBot="1">
      <c r="A17" s="278">
        <v>2006</v>
      </c>
      <c r="B17" s="213">
        <v>3749.0085764</v>
      </c>
      <c r="C17" s="214">
        <v>0.17727188417738679</v>
      </c>
      <c r="D17" s="213">
        <v>501.3096435628392</v>
      </c>
      <c r="E17" s="214">
        <v>0.17057135920640573</v>
      </c>
      <c r="F17" s="556">
        <v>0.19410142905887745</v>
      </c>
      <c r="G17" s="555"/>
    </row>
    <row r="18" spans="1:7" ht="20" customHeight="1" thickBot="1">
      <c r="A18" s="278">
        <v>2007</v>
      </c>
      <c r="B18" s="213">
        <v>3970.4438487200005</v>
      </c>
      <c r="C18" s="214">
        <v>5.9065021540344008E-2</v>
      </c>
      <c r="D18" s="213">
        <v>526.75277940082935</v>
      </c>
      <c r="E18" s="214">
        <v>5.0753334121331053E-2</v>
      </c>
      <c r="F18" s="556">
        <v>0.20165652481540366</v>
      </c>
      <c r="G18" s="555"/>
    </row>
    <row r="19" spans="1:7" ht="30" customHeight="1" thickBot="1">
      <c r="A19" s="429">
        <v>2008</v>
      </c>
      <c r="B19" s="430">
        <v>3251.9246672899999</v>
      </c>
      <c r="C19" s="216">
        <v>-0.18096696712173332</v>
      </c>
      <c r="D19" s="430">
        <v>427.01052060248747</v>
      </c>
      <c r="E19" s="216">
        <v>-0.18935307548219615</v>
      </c>
      <c r="F19" s="557">
        <v>0.16513713887296896</v>
      </c>
      <c r="G19" s="558"/>
    </row>
    <row r="20" spans="1:7" ht="20" customHeight="1">
      <c r="A20" s="201" t="s">
        <v>764</v>
      </c>
      <c r="B20" s="201"/>
      <c r="C20" s="201"/>
      <c r="D20" s="201"/>
      <c r="E20" s="201"/>
      <c r="F20" s="524"/>
      <c r="G20" s="202"/>
    </row>
    <row r="21" spans="1:7" ht="14.25" customHeight="1">
      <c r="A21" s="202"/>
      <c r="B21" s="202"/>
      <c r="C21" s="202"/>
      <c r="D21" s="202"/>
      <c r="E21" s="202"/>
      <c r="F21" s="525"/>
      <c r="G21" s="202"/>
    </row>
    <row r="22" spans="1:7" ht="12.75" customHeight="1">
      <c r="A22" s="202" t="s">
        <v>106</v>
      </c>
      <c r="B22" s="202"/>
      <c r="C22" s="202"/>
      <c r="D22" s="202"/>
      <c r="E22" s="202"/>
      <c r="F22" s="525"/>
      <c r="G22" s="202"/>
    </row>
    <row r="23" spans="1:7">
      <c r="A23" s="2" t="s">
        <v>107</v>
      </c>
    </row>
    <row r="25" spans="1:7">
      <c r="A25" s="2" t="s">
        <v>108</v>
      </c>
    </row>
    <row r="28" spans="1:7">
      <c r="A28" s="2" t="s">
        <v>711</v>
      </c>
    </row>
  </sheetData>
  <phoneticPr fontId="0" type="noConversion"/>
  <pageMargins left="0.57999999999999996" right="0.69" top="0.94" bottom="0.49" header="0.53" footer="0.4921259845"/>
  <pageSetup paperSize="9" scale="83" orientation="portrait" horizontalDpi="4294967292" verticalDpi="4294967292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70-2CA4-2643-A943-1CCA8E9C14F0}">
  <sheetPr>
    <pageSetUpPr fitToPage="1"/>
  </sheetPr>
  <dimension ref="A1:K28"/>
  <sheetViews>
    <sheetView zoomScale="75" workbookViewId="0">
      <selection activeCell="A18" sqref="A18:IV18"/>
    </sheetView>
  </sheetViews>
  <sheetFormatPr baseColWidth="10" defaultColWidth="11.3984375" defaultRowHeight="13"/>
  <cols>
    <col min="1" max="1" width="15.19921875" style="2" customWidth="1"/>
    <col min="2" max="2" width="16.796875" style="2" customWidth="1"/>
    <col min="3" max="5" width="15.19921875" style="2" customWidth="1"/>
    <col min="6" max="6" width="15.19921875" style="537" customWidth="1"/>
    <col min="7" max="7" width="15.19921875" style="2" customWidth="1"/>
    <col min="8" max="16384" width="11.3984375" style="2"/>
  </cols>
  <sheetData>
    <row r="1" spans="1:11" s="1" customFormat="1" ht="14" customHeight="1">
      <c r="F1" s="547"/>
    </row>
    <row r="2" spans="1:11" s="1" customFormat="1" ht="37.5" customHeight="1">
      <c r="A2" s="2017" t="s">
        <v>114</v>
      </c>
      <c r="B2" s="2021"/>
      <c r="C2" s="2021"/>
      <c r="D2" s="2021"/>
      <c r="E2" s="2021"/>
      <c r="F2" s="428"/>
      <c r="G2" s="428"/>
    </row>
    <row r="3" spans="1:11" ht="24" customHeight="1">
      <c r="A3" s="178" t="s">
        <v>821</v>
      </c>
      <c r="B3" s="179" t="s">
        <v>101</v>
      </c>
      <c r="C3" s="180" t="s">
        <v>2372</v>
      </c>
      <c r="D3" s="179" t="s">
        <v>115</v>
      </c>
      <c r="E3" s="180" t="s">
        <v>2372</v>
      </c>
      <c r="F3" s="549" t="s">
        <v>116</v>
      </c>
      <c r="G3" s="550"/>
    </row>
    <row r="4" spans="1:11" ht="15" customHeight="1">
      <c r="A4" s="274"/>
      <c r="B4" s="209" t="s">
        <v>117</v>
      </c>
      <c r="C4" s="183" t="s">
        <v>2373</v>
      </c>
      <c r="D4" s="209" t="s">
        <v>118</v>
      </c>
      <c r="E4" s="183" t="s">
        <v>2373</v>
      </c>
      <c r="F4" s="551" t="s">
        <v>119</v>
      </c>
      <c r="G4" s="550"/>
    </row>
    <row r="5" spans="1:11" ht="15" customHeight="1">
      <c r="A5" s="274"/>
      <c r="B5" s="182" t="s">
        <v>120</v>
      </c>
      <c r="C5" s="183" t="s">
        <v>2377</v>
      </c>
      <c r="D5" s="182" t="s">
        <v>121</v>
      </c>
      <c r="E5" s="183" t="s">
        <v>2377</v>
      </c>
      <c r="F5" s="551" t="s">
        <v>122</v>
      </c>
      <c r="G5" s="550"/>
    </row>
    <row r="6" spans="1:11" ht="24" customHeight="1">
      <c r="A6" s="275"/>
      <c r="B6" s="188" t="s">
        <v>1993</v>
      </c>
      <c r="C6" s="187"/>
      <c r="D6" s="188" t="s">
        <v>125</v>
      </c>
      <c r="E6" s="187"/>
      <c r="F6" s="552" t="s">
        <v>126</v>
      </c>
      <c r="G6" s="553"/>
    </row>
    <row r="7" spans="1:11" ht="2.25" customHeight="1" thickBot="1">
      <c r="A7" s="276">
        <v>1996</v>
      </c>
      <c r="B7" s="211">
        <v>3454.5367919999999</v>
      </c>
      <c r="C7" s="212" t="s">
        <v>1301</v>
      </c>
      <c r="D7" s="211">
        <v>477.62973077565988</v>
      </c>
      <c r="E7" s="212" t="s">
        <v>1301</v>
      </c>
      <c r="F7" s="554">
        <v>0.3204435263250443</v>
      </c>
      <c r="G7" s="555"/>
    </row>
    <row r="8" spans="1:11" ht="0.75" customHeight="1" thickBot="1">
      <c r="A8" s="278">
        <v>1997</v>
      </c>
      <c r="B8" s="213">
        <v>3507.8977540000001</v>
      </c>
      <c r="C8" s="214">
        <v>1.5446632996809664E-2</v>
      </c>
      <c r="D8" s="213">
        <v>484.75254775428522</v>
      </c>
      <c r="E8" s="214">
        <v>1.4912842563334664E-2</v>
      </c>
      <c r="F8" s="556">
        <v>0.30878035637656381</v>
      </c>
      <c r="G8" s="555"/>
      <c r="I8" s="8"/>
      <c r="J8" s="8"/>
      <c r="K8" s="8"/>
    </row>
    <row r="9" spans="1:11" ht="20" customHeight="1" thickBot="1">
      <c r="A9" s="278">
        <v>1998</v>
      </c>
      <c r="B9" s="213">
        <v>3693.9578390000001</v>
      </c>
      <c r="C9" s="214">
        <v>5.3040338700818382E-2</v>
      </c>
      <c r="D9" s="213">
        <v>509.74935597525797</v>
      </c>
      <c r="E9" s="214">
        <v>5.1566120357232882E-2</v>
      </c>
      <c r="F9" s="556">
        <v>0.30971755221728081</v>
      </c>
      <c r="G9" s="555"/>
    </row>
    <row r="10" spans="1:11" ht="20" customHeight="1" thickBot="1">
      <c r="A10" s="278">
        <v>1999</v>
      </c>
      <c r="B10" s="213">
        <v>3810.0183766999999</v>
      </c>
      <c r="C10" s="214">
        <v>3.1419020670636219E-2</v>
      </c>
      <c r="D10" s="213">
        <v>524.03642778331459</v>
      </c>
      <c r="E10" s="214">
        <v>2.8027640723002865E-2</v>
      </c>
      <c r="F10" s="556">
        <v>0.30650294561819263</v>
      </c>
      <c r="G10" s="555"/>
    </row>
    <row r="11" spans="1:11" ht="20" customHeight="1" thickBot="1">
      <c r="A11" s="278">
        <v>2000</v>
      </c>
      <c r="B11" s="213">
        <v>3956.2184863000002</v>
      </c>
      <c r="C11" s="214">
        <v>3.8372547096906594E-2</v>
      </c>
      <c r="D11" s="213">
        <v>544.55016542757153</v>
      </c>
      <c r="E11" s="214">
        <v>3.9145632930577913E-2</v>
      </c>
      <c r="F11" s="556">
        <v>0.29993370263899466</v>
      </c>
      <c r="G11" s="555"/>
    </row>
    <row r="12" spans="1:11" ht="20" customHeight="1" thickBot="1">
      <c r="A12" s="278">
        <v>2001</v>
      </c>
      <c r="B12" s="213">
        <v>3996.3588403000003</v>
      </c>
      <c r="C12" s="214">
        <v>1.0146141862235935E-2</v>
      </c>
      <c r="D12" s="213">
        <v>547.35962635511339</v>
      </c>
      <c r="E12" s="214">
        <v>5.1592325297264803E-3</v>
      </c>
      <c r="F12" s="556">
        <v>0.28573440049664334</v>
      </c>
      <c r="G12" s="555"/>
    </row>
    <row r="13" spans="1:11" ht="20" customHeight="1" thickBot="1">
      <c r="A13" s="278">
        <v>2002</v>
      </c>
      <c r="B13" s="213">
        <v>4018.0238040999998</v>
      </c>
      <c r="C13" s="214">
        <v>5.4211757917047021E-3</v>
      </c>
      <c r="D13" s="213">
        <v>547.06945209780417</v>
      </c>
      <c r="E13" s="214">
        <v>-5.3013456480431012E-4</v>
      </c>
      <c r="F13" s="556">
        <v>0.27534370592196139</v>
      </c>
      <c r="G13" s="555"/>
    </row>
    <row r="14" spans="1:11" ht="20" customHeight="1" thickBot="1">
      <c r="A14" s="278">
        <v>2003</v>
      </c>
      <c r="B14" s="213">
        <v>4264.2535405999997</v>
      </c>
      <c r="C14" s="214">
        <v>6.1281303572354805E-2</v>
      </c>
      <c r="D14" s="213">
        <v>578.39954541909435</v>
      </c>
      <c r="E14" s="214">
        <v>5.7268950406847131E-2</v>
      </c>
      <c r="F14" s="556">
        <v>0.27806202962780097</v>
      </c>
      <c r="G14" s="555"/>
    </row>
    <row r="15" spans="1:11" ht="20" customHeight="1" thickBot="1">
      <c r="A15" s="278">
        <v>2004</v>
      </c>
      <c r="B15" s="213">
        <v>4487.9860973999994</v>
      </c>
      <c r="C15" s="214">
        <v>5.2466992093654796E-2</v>
      </c>
      <c r="D15" s="213">
        <v>607.83383459013214</v>
      </c>
      <c r="E15" s="214">
        <v>5.0889198313097593E-2</v>
      </c>
      <c r="F15" s="556">
        <v>0.27520979583864619</v>
      </c>
      <c r="G15" s="555"/>
    </row>
    <row r="16" spans="1:11" ht="20" customHeight="1" thickBot="1">
      <c r="A16" s="278">
        <v>2005</v>
      </c>
      <c r="B16" s="213">
        <v>4710.4063185000005</v>
      </c>
      <c r="C16" s="214">
        <v>4.9559026314465314E-2</v>
      </c>
      <c r="D16" s="213">
        <v>633.47119917588623</v>
      </c>
      <c r="E16" s="214">
        <v>4.2178245314431359E-2</v>
      </c>
      <c r="F16" s="556">
        <v>0.27145060304290114</v>
      </c>
      <c r="G16" s="555"/>
    </row>
    <row r="17" spans="1:7" ht="20" customHeight="1" thickBot="1">
      <c r="A17" s="278">
        <v>2006</v>
      </c>
      <c r="B17" s="213">
        <v>4989.9724866999995</v>
      </c>
      <c r="C17" s="214">
        <v>5.9350754329198757E-2</v>
      </c>
      <c r="D17" s="213">
        <v>667.24876129732593</v>
      </c>
      <c r="E17" s="214">
        <v>5.3321385668965833E-2</v>
      </c>
      <c r="F17" s="556">
        <v>0.28410364747524469</v>
      </c>
      <c r="G17" s="555"/>
    </row>
    <row r="18" spans="1:7" ht="20" customHeight="1" thickBot="1">
      <c r="A18" s="278">
        <v>2007</v>
      </c>
      <c r="B18" s="213">
        <v>5234.0909351299997</v>
      </c>
      <c r="C18" s="214">
        <v>4.8921802491027788E-2</v>
      </c>
      <c r="D18" s="213">
        <v>694.39892686185294</v>
      </c>
      <c r="E18" s="214">
        <v>4.0689720445099345E-2</v>
      </c>
      <c r="F18" s="556">
        <v>0.28409673931984064</v>
      </c>
      <c r="G18" s="555"/>
    </row>
    <row r="19" spans="1:7" ht="30" customHeight="1" thickBot="1">
      <c r="A19" s="429">
        <v>2008</v>
      </c>
      <c r="B19" s="430">
        <v>5191.0501722600002</v>
      </c>
      <c r="C19" s="216">
        <v>-8.2231591700328011E-3</v>
      </c>
      <c r="D19" s="430">
        <v>681.6372651023346</v>
      </c>
      <c r="E19" s="216">
        <v>-1.8377997525415579E-2</v>
      </c>
      <c r="F19" s="557">
        <v>0.2671467252402307</v>
      </c>
      <c r="G19" s="558"/>
    </row>
    <row r="20" spans="1:7" ht="20" customHeight="1">
      <c r="A20" s="201" t="s">
        <v>764</v>
      </c>
      <c r="B20" s="201"/>
      <c r="C20" s="201"/>
      <c r="D20" s="201"/>
      <c r="E20" s="201"/>
      <c r="F20" s="524"/>
      <c r="G20" s="202"/>
    </row>
    <row r="21" spans="1:7" ht="12.75" customHeight="1">
      <c r="A21" s="202"/>
      <c r="B21" s="202"/>
      <c r="C21" s="202"/>
      <c r="D21" s="202"/>
      <c r="E21" s="202"/>
      <c r="F21" s="525"/>
      <c r="G21" s="202"/>
    </row>
    <row r="22" spans="1:7" ht="12.75" customHeight="1">
      <c r="A22" s="2" t="s">
        <v>106</v>
      </c>
      <c r="B22" s="202"/>
      <c r="C22" s="202"/>
      <c r="D22" s="202"/>
      <c r="E22" s="202"/>
      <c r="F22" s="525"/>
      <c r="G22" s="202"/>
    </row>
    <row r="23" spans="1:7" ht="12.75" customHeight="1">
      <c r="A23" s="2" t="s">
        <v>123</v>
      </c>
    </row>
    <row r="25" spans="1:7">
      <c r="A25" s="2" t="s">
        <v>124</v>
      </c>
    </row>
    <row r="28" spans="1:7">
      <c r="A28" s="2" t="s">
        <v>711</v>
      </c>
    </row>
  </sheetData>
  <mergeCells count="1">
    <mergeCell ref="A2:E2"/>
  </mergeCells>
  <phoneticPr fontId="0" type="noConversion"/>
  <pageMargins left="0.62" right="0.78740157480314965" top="0.99" bottom="0.49" header="0.6" footer="0.4921259845"/>
  <pageSetup paperSize="9" scale="80" orientation="portrait" horizontalDpi="4294967292" verticalDpi="4294967292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D45A-6CF8-A04E-80AD-283948C60121}">
  <sheetPr>
    <pageSetUpPr fitToPage="1"/>
  </sheetPr>
  <dimension ref="A1:N42"/>
  <sheetViews>
    <sheetView zoomScale="75" workbookViewId="0"/>
  </sheetViews>
  <sheetFormatPr baseColWidth="10" defaultColWidth="11.3984375" defaultRowHeight="13"/>
  <cols>
    <col min="1" max="1" width="16.796875" style="2" customWidth="1"/>
    <col min="2" max="3" width="0.19921875" style="2" customWidth="1"/>
    <col min="4" max="11" width="10.3984375" style="2" customWidth="1"/>
    <col min="12" max="13" width="10.19921875" style="2" customWidth="1"/>
    <col min="14" max="14" width="10.3984375" style="2" customWidth="1"/>
    <col min="15" max="16384" width="11.3984375" style="2"/>
  </cols>
  <sheetData>
    <row r="1" spans="1:14" s="1" customFormat="1" ht="14" customHeight="1"/>
    <row r="2" spans="1:14" s="1" customFormat="1" ht="24.75" customHeight="1">
      <c r="A2" s="2017" t="s">
        <v>1702</v>
      </c>
      <c r="B2" s="2022"/>
      <c r="C2" s="2022"/>
      <c r="D2" s="2022"/>
      <c r="E2" s="2022"/>
      <c r="F2" s="2022"/>
      <c r="G2" s="2022"/>
      <c r="H2" s="2022"/>
      <c r="I2" s="2022"/>
      <c r="J2" s="2022"/>
      <c r="K2" s="2022"/>
      <c r="L2" s="298"/>
      <c r="M2" s="298"/>
      <c r="N2" s="792"/>
    </row>
    <row r="3" spans="1:14" ht="24" customHeight="1">
      <c r="A3" s="677" t="s">
        <v>2368</v>
      </c>
      <c r="B3" s="182">
        <v>1996</v>
      </c>
      <c r="C3" s="183">
        <v>1997</v>
      </c>
      <c r="D3" s="182">
        <v>1998</v>
      </c>
      <c r="E3" s="183">
        <v>1999</v>
      </c>
      <c r="F3" s="783">
        <v>2000</v>
      </c>
      <c r="G3" s="784">
        <v>2001</v>
      </c>
      <c r="H3" s="182">
        <v>2002</v>
      </c>
      <c r="I3" s="183">
        <v>2003</v>
      </c>
      <c r="J3" s="182">
        <v>2004</v>
      </c>
      <c r="K3" s="183">
        <v>2005</v>
      </c>
      <c r="L3" s="182">
        <v>2006</v>
      </c>
      <c r="M3" s="183">
        <v>2007</v>
      </c>
      <c r="N3" s="182">
        <v>2008</v>
      </c>
    </row>
    <row r="4" spans="1:14" ht="15" customHeight="1">
      <c r="A4" s="678"/>
      <c r="B4" s="678"/>
      <c r="C4" s="183"/>
      <c r="D4" s="182"/>
      <c r="E4" s="183"/>
      <c r="F4" s="209"/>
      <c r="G4" s="245"/>
      <c r="H4" s="182"/>
      <c r="I4" s="183"/>
      <c r="J4" s="182"/>
      <c r="K4" s="183"/>
      <c r="L4" s="182"/>
      <c r="M4" s="183"/>
      <c r="N4" s="182"/>
    </row>
    <row r="5" spans="1:14" ht="16" customHeight="1">
      <c r="A5" s="671"/>
      <c r="B5" s="671"/>
      <c r="C5" s="187"/>
      <c r="D5" s="188"/>
      <c r="E5" s="187"/>
      <c r="F5" s="210"/>
      <c r="G5" s="248"/>
      <c r="H5" s="188"/>
      <c r="I5" s="187"/>
      <c r="J5" s="188"/>
      <c r="K5" s="187"/>
      <c r="L5" s="188"/>
      <c r="M5" s="187"/>
      <c r="N5" s="188"/>
    </row>
    <row r="6" spans="1:14" ht="26.25" customHeight="1" thickBot="1">
      <c r="A6" s="785" t="s">
        <v>2378</v>
      </c>
      <c r="B6" s="566">
        <v>0.2634227125004695</v>
      </c>
      <c r="C6" s="439">
        <v>0.2300324710120896</v>
      </c>
      <c r="D6" s="566">
        <v>0.20251354313748665</v>
      </c>
      <c r="E6" s="439">
        <v>0.19120936116799284</v>
      </c>
      <c r="F6" s="566">
        <v>0.18744031261524499</v>
      </c>
      <c r="G6" s="439">
        <v>0.16065262316394033</v>
      </c>
      <c r="H6" s="566">
        <v>0.14149928786851756</v>
      </c>
      <c r="I6" s="212">
        <v>0.21521528701468851</v>
      </c>
      <c r="J6" s="554">
        <v>0.25116698085815475</v>
      </c>
      <c r="K6" s="212">
        <v>0.28327951111651667</v>
      </c>
      <c r="L6" s="554">
        <v>0.32190124962810607</v>
      </c>
      <c r="M6" s="212">
        <v>0.34128800135164433</v>
      </c>
      <c r="N6" s="554">
        <v>0.3068824808957975</v>
      </c>
    </row>
    <row r="7" spans="1:14" ht="20" customHeight="1" thickBot="1">
      <c r="A7" s="786" t="s">
        <v>2379</v>
      </c>
      <c r="B7" s="556">
        <v>0.23235146063383727</v>
      </c>
      <c r="C7" s="214">
        <v>0.20555096262894337</v>
      </c>
      <c r="D7" s="556">
        <v>0.22990607076846439</v>
      </c>
      <c r="E7" s="214">
        <v>0.24838409380060938</v>
      </c>
      <c r="F7" s="556">
        <v>0.22181685273656229</v>
      </c>
      <c r="G7" s="214">
        <v>0.16849274687658564</v>
      </c>
      <c r="H7" s="556">
        <v>0.14248301442737826</v>
      </c>
      <c r="I7" s="212">
        <v>0.14602495851755054</v>
      </c>
      <c r="J7" s="554">
        <v>9.9815930981512563E-2</v>
      </c>
      <c r="K7" s="212">
        <v>4.6454307105322008E-2</v>
      </c>
      <c r="L7" s="554">
        <v>2.0529104744383939E-2</v>
      </c>
      <c r="M7" s="212">
        <v>-1.7309077806537707E-2</v>
      </c>
      <c r="N7" s="554">
        <v>-7.5092587100530447E-2</v>
      </c>
    </row>
    <row r="8" spans="1:14" ht="20" customHeight="1" thickBot="1">
      <c r="A8" s="786" t="s">
        <v>2380</v>
      </c>
      <c r="B8" s="556">
        <v>0.26584023597644763</v>
      </c>
      <c r="C8" s="214">
        <v>0.31271554209843622</v>
      </c>
      <c r="D8" s="556">
        <v>0.31522137253377702</v>
      </c>
      <c r="E8" s="214">
        <v>0.29053536904586225</v>
      </c>
      <c r="F8" s="556">
        <v>0.23933329387214186</v>
      </c>
      <c r="G8" s="214">
        <v>0.16188591662030111</v>
      </c>
      <c r="H8" s="556">
        <v>0.14781546126644296</v>
      </c>
      <c r="I8" s="212">
        <v>0.14327175852104376</v>
      </c>
      <c r="J8" s="554">
        <v>0.12755396857197224</v>
      </c>
      <c r="K8" s="212">
        <v>9.3681246570406537E-2</v>
      </c>
      <c r="L8" s="554">
        <v>0.10668399812730318</v>
      </c>
      <c r="M8" s="212">
        <v>9.6152634933930572E-2</v>
      </c>
      <c r="N8" s="554">
        <v>3.86669340605066E-2</v>
      </c>
    </row>
    <row r="9" spans="1:14" ht="20" customHeight="1" thickBot="1">
      <c r="A9" s="786" t="s">
        <v>2381</v>
      </c>
      <c r="B9" s="556">
        <v>0.25324038775732494</v>
      </c>
      <c r="C9" s="214">
        <v>0.31030358937772989</v>
      </c>
      <c r="D9" s="556">
        <v>0.39132535734956697</v>
      </c>
      <c r="E9" s="214">
        <v>0.39486039728373246</v>
      </c>
      <c r="F9" s="556">
        <v>0.35958136282943409</v>
      </c>
      <c r="G9" s="214">
        <v>0.21075710377074799</v>
      </c>
      <c r="H9" s="556">
        <v>0.21604584923969608</v>
      </c>
      <c r="I9" s="212">
        <v>0.20719871245075289</v>
      </c>
      <c r="J9" s="554">
        <v>0.20956536974136691</v>
      </c>
      <c r="K9" s="212">
        <v>0.14538287957166046</v>
      </c>
      <c r="L9" s="554">
        <v>9.1478413804166533E-2</v>
      </c>
      <c r="M9" s="212">
        <v>-2.1576060091339479E-2</v>
      </c>
      <c r="N9" s="554">
        <v>-0.14864390018859108</v>
      </c>
    </row>
    <row r="10" spans="1:14" ht="20" customHeight="1" thickBot="1">
      <c r="A10" s="786" t="s">
        <v>2382</v>
      </c>
      <c r="B10" s="556">
        <v>0.27217220526182745</v>
      </c>
      <c r="C10" s="214">
        <v>0.32639202738231093</v>
      </c>
      <c r="D10" s="556">
        <v>0.40130547479736495</v>
      </c>
      <c r="E10" s="214">
        <v>0.37801225816696959</v>
      </c>
      <c r="F10" s="556">
        <v>0.33465572843725377</v>
      </c>
      <c r="G10" s="214">
        <v>0.18987346362753815</v>
      </c>
      <c r="H10" s="556">
        <v>0.16577372289281472</v>
      </c>
      <c r="I10" s="212">
        <v>0.15822256336389404</v>
      </c>
      <c r="J10" s="554">
        <v>0.1521517697850901</v>
      </c>
      <c r="K10" s="212">
        <v>0.14655442880900277</v>
      </c>
      <c r="L10" s="554">
        <v>0.13727953347573557</v>
      </c>
      <c r="M10" s="212">
        <v>0.11596122167087022</v>
      </c>
      <c r="N10" s="554">
        <v>6.1825498059706843E-2</v>
      </c>
    </row>
    <row r="11" spans="1:14" ht="20" customHeight="1" thickBot="1">
      <c r="A11" s="786" t="s">
        <v>2383</v>
      </c>
      <c r="B11" s="556">
        <v>0.25491681249510278</v>
      </c>
      <c r="C11" s="214">
        <v>0.30124645267951627</v>
      </c>
      <c r="D11" s="556">
        <v>0.31658503968260293</v>
      </c>
      <c r="E11" s="214">
        <v>0.30356945414859665</v>
      </c>
      <c r="F11" s="556">
        <v>0.25443756533044776</v>
      </c>
      <c r="G11" s="214">
        <v>0.21243618256298138</v>
      </c>
      <c r="H11" s="556">
        <v>0.18207666207899045</v>
      </c>
      <c r="I11" s="212">
        <v>0.1432346169103676</v>
      </c>
      <c r="J11" s="554">
        <v>0.12766118334325563</v>
      </c>
      <c r="K11" s="212">
        <v>7.0281978685824753E-2</v>
      </c>
      <c r="L11" s="554">
        <v>2.5500449104954151E-2</v>
      </c>
      <c r="M11" s="212">
        <v>-9.0001408448058262E-2</v>
      </c>
      <c r="N11" s="554">
        <v>-0.22029185141241442</v>
      </c>
    </row>
    <row r="12" spans="1:14" ht="20" customHeight="1" thickBot="1">
      <c r="A12" s="786" t="s">
        <v>2384</v>
      </c>
      <c r="B12" s="556">
        <v>0.24797084644691073</v>
      </c>
      <c r="C12" s="214">
        <v>0.34071013397258532</v>
      </c>
      <c r="D12" s="556">
        <v>0.41906573628683091</v>
      </c>
      <c r="E12" s="214">
        <v>0.44405532841213452</v>
      </c>
      <c r="F12" s="556">
        <v>0.39652645290442345</v>
      </c>
      <c r="G12" s="214">
        <v>0.33321415868053961</v>
      </c>
      <c r="H12" s="556">
        <v>0.26762976098403074</v>
      </c>
      <c r="I12" s="212">
        <v>0.23970429636067705</v>
      </c>
      <c r="J12" s="554">
        <v>0.22487277001990333</v>
      </c>
      <c r="K12" s="212">
        <v>0.19891007547106582</v>
      </c>
      <c r="L12" s="554">
        <v>0.17501999637407706</v>
      </c>
      <c r="M12" s="212">
        <v>9.920097005358211E-2</v>
      </c>
      <c r="N12" s="554">
        <v>-2.552815119168806E-2</v>
      </c>
    </row>
    <row r="13" spans="1:14" ht="20" customHeight="1" thickBot="1">
      <c r="A13" s="786" t="s">
        <v>2385</v>
      </c>
      <c r="B13" s="556">
        <v>0.24402817259960116</v>
      </c>
      <c r="C13" s="214">
        <v>0.19215628507138377</v>
      </c>
      <c r="D13" s="556">
        <v>0.2146753959221511</v>
      </c>
      <c r="E13" s="214">
        <v>0.17064443950082706</v>
      </c>
      <c r="F13" s="556">
        <v>8.5185521297170649E-2</v>
      </c>
      <c r="G13" s="214">
        <v>-4.8648076670398978E-2</v>
      </c>
      <c r="H13" s="556">
        <v>-6.7622757611448425E-2</v>
      </c>
      <c r="I13" s="212">
        <v>-2.1853590375176792E-2</v>
      </c>
      <c r="J13" s="554">
        <v>-5.474320249555905E-3</v>
      </c>
      <c r="K13" s="212">
        <v>-1.9322463992327066E-2</v>
      </c>
      <c r="L13" s="554">
        <v>1.6114427564821471E-3</v>
      </c>
      <c r="M13" s="212">
        <v>5.0028179819713754E-3</v>
      </c>
      <c r="N13" s="554">
        <v>-2.4654344706172678E-2</v>
      </c>
    </row>
    <row r="14" spans="1:14" ht="20" customHeight="1" thickBot="1">
      <c r="A14" s="786" t="s">
        <v>2386</v>
      </c>
      <c r="B14" s="556">
        <v>0.23894112642061488</v>
      </c>
      <c r="C14" s="214">
        <v>0.3403292170118517</v>
      </c>
      <c r="D14" s="556">
        <v>0.39052797437824199</v>
      </c>
      <c r="E14" s="214">
        <v>0.36231825521399358</v>
      </c>
      <c r="F14" s="556">
        <v>0.29181111335205689</v>
      </c>
      <c r="G14" s="214">
        <v>0.14279017594196197</v>
      </c>
      <c r="H14" s="556">
        <v>3.1505956256030122E-2</v>
      </c>
      <c r="I14" s="212">
        <v>3.0847646691087822E-2</v>
      </c>
      <c r="J14" s="554">
        <v>4.2841752762412935E-2</v>
      </c>
      <c r="K14" s="212">
        <v>5.8655771928796514E-2</v>
      </c>
      <c r="L14" s="554">
        <v>7.2974058930847546E-2</v>
      </c>
      <c r="M14" s="212">
        <v>6.6776738065622898E-2</v>
      </c>
      <c r="N14" s="554">
        <v>7.440581983671965E-3</v>
      </c>
    </row>
    <row r="15" spans="1:14" ht="20" customHeight="1" thickBot="1">
      <c r="A15" s="786" t="s">
        <v>2387</v>
      </c>
      <c r="B15" s="556">
        <v>0.25178331238561441</v>
      </c>
      <c r="C15" s="214">
        <v>0.30660091228279412</v>
      </c>
      <c r="D15" s="556">
        <v>0.27901942424159176</v>
      </c>
      <c r="E15" s="214">
        <v>0.24966932748396012</v>
      </c>
      <c r="F15" s="556">
        <v>0.26135467283099711</v>
      </c>
      <c r="G15" s="214">
        <v>0.21838855116856853</v>
      </c>
      <c r="H15" s="556">
        <v>0.20613612249366109</v>
      </c>
      <c r="I15" s="212">
        <v>0.23257546390356967</v>
      </c>
      <c r="J15" s="554">
        <v>0.24801584372642493</v>
      </c>
      <c r="K15" s="212">
        <v>0.24212779232687789</v>
      </c>
      <c r="L15" s="554">
        <v>0.22462103933524197</v>
      </c>
      <c r="M15" s="212">
        <v>0.20376302954724085</v>
      </c>
      <c r="N15" s="554">
        <v>0.14955369917679623</v>
      </c>
    </row>
    <row r="16" spans="1:14" ht="20" customHeight="1" thickBot="1">
      <c r="A16" s="786" t="s">
        <v>2388</v>
      </c>
      <c r="B16" s="556">
        <v>0.26853512487220682</v>
      </c>
      <c r="C16" s="214">
        <v>0.28591865182107673</v>
      </c>
      <c r="D16" s="556">
        <v>0.3303659458864574</v>
      </c>
      <c r="E16" s="214">
        <v>0.30904530148288967</v>
      </c>
      <c r="F16" s="556">
        <v>0.31267801109145449</v>
      </c>
      <c r="G16" s="214">
        <v>0.30250784342107884</v>
      </c>
      <c r="H16" s="556">
        <v>0.26529509865397671</v>
      </c>
      <c r="I16" s="212">
        <v>0.22684029728863092</v>
      </c>
      <c r="J16" s="554">
        <v>0.23609060659102094</v>
      </c>
      <c r="K16" s="212">
        <v>0.1953729968588028</v>
      </c>
      <c r="L16" s="554">
        <v>0.15475066288438055</v>
      </c>
      <c r="M16" s="212">
        <v>0.12170271563874681</v>
      </c>
      <c r="N16" s="554">
        <v>1.7366420922868515E-2</v>
      </c>
    </row>
    <row r="17" spans="1:14" ht="20" customHeight="1" thickBot="1">
      <c r="A17" s="786" t="s">
        <v>2389</v>
      </c>
      <c r="B17" s="556">
        <v>0.36281434238684518</v>
      </c>
      <c r="C17" s="214">
        <v>0.32184341961627005</v>
      </c>
      <c r="D17" s="556">
        <v>0.3149843969738953</v>
      </c>
      <c r="E17" s="214">
        <v>0.3109577436082348</v>
      </c>
      <c r="F17" s="556">
        <v>0.21713878274573126</v>
      </c>
      <c r="G17" s="214">
        <v>0.1194145782981933</v>
      </c>
      <c r="H17" s="556">
        <v>0.10774739527821756</v>
      </c>
      <c r="I17" s="212">
        <v>0.14419593068925815</v>
      </c>
      <c r="J17" s="554">
        <v>0.19968630601582033</v>
      </c>
      <c r="K17" s="212">
        <v>0.20970323630858814</v>
      </c>
      <c r="L17" s="554">
        <v>0.24263587991692168</v>
      </c>
      <c r="M17" s="212">
        <v>0.25089449181595114</v>
      </c>
      <c r="N17" s="554">
        <v>0.21508944146677611</v>
      </c>
    </row>
    <row r="18" spans="1:14" ht="20" customHeight="1" thickBot="1">
      <c r="A18" s="786" t="s">
        <v>2390</v>
      </c>
      <c r="B18" s="556">
        <v>0.25000700978055562</v>
      </c>
      <c r="C18" s="214">
        <v>0.25850359594318745</v>
      </c>
      <c r="D18" s="556">
        <v>0.29908799152432414</v>
      </c>
      <c r="E18" s="214">
        <v>0.28105456645559984</v>
      </c>
      <c r="F18" s="556">
        <v>0.30060147957546718</v>
      </c>
      <c r="G18" s="214">
        <v>0.18945221109334132</v>
      </c>
      <c r="H18" s="556">
        <v>0.14061835365267317</v>
      </c>
      <c r="I18" s="212">
        <v>0.15422142950185103</v>
      </c>
      <c r="J18" s="554">
        <v>0.19548959141524538</v>
      </c>
      <c r="K18" s="212">
        <v>0.20435780890959937</v>
      </c>
      <c r="L18" s="554">
        <v>0.21798383825688256</v>
      </c>
      <c r="M18" s="212">
        <v>0.22306932489885264</v>
      </c>
      <c r="N18" s="554">
        <v>0.12833628625715598</v>
      </c>
    </row>
    <row r="19" spans="1:14" ht="20" customHeight="1" thickBot="1">
      <c r="A19" s="786" t="s">
        <v>2391</v>
      </c>
      <c r="B19" s="556">
        <v>0.22955060128064969</v>
      </c>
      <c r="C19" s="214">
        <v>0.16944605936294338</v>
      </c>
      <c r="D19" s="556">
        <v>0.1862404360756898</v>
      </c>
      <c r="E19" s="214">
        <v>8.0700269549161652E-2</v>
      </c>
      <c r="F19" s="556">
        <v>2.6169132889845088E-2</v>
      </c>
      <c r="G19" s="214">
        <v>-7.7439122966828464E-2</v>
      </c>
      <c r="H19" s="556">
        <v>-2.9269694727323374E-2</v>
      </c>
      <c r="I19" s="212">
        <v>1.0185021041792782E-2</v>
      </c>
      <c r="J19" s="554">
        <v>3.9644720978565466E-2</v>
      </c>
      <c r="K19" s="212">
        <v>5.1742377988050738E-2</v>
      </c>
      <c r="L19" s="554">
        <v>9.2605456923340462E-2</v>
      </c>
      <c r="M19" s="212">
        <v>0.1172968096317934</v>
      </c>
      <c r="N19" s="554">
        <v>0.10803471286993331</v>
      </c>
    </row>
    <row r="20" spans="1:14" ht="20" customHeight="1" thickBot="1">
      <c r="A20" s="786" t="s">
        <v>2392</v>
      </c>
      <c r="B20" s="556">
        <v>0.22426231750264985</v>
      </c>
      <c r="C20" s="214">
        <v>0.19570605306026581</v>
      </c>
      <c r="D20" s="556">
        <v>0.25338629872206647</v>
      </c>
      <c r="E20" s="214">
        <v>0.21605939446616124</v>
      </c>
      <c r="F20" s="556">
        <v>0.16841528947940015</v>
      </c>
      <c r="G20" s="214">
        <v>0.10053848220410065</v>
      </c>
      <c r="H20" s="556">
        <v>8.0443552989450953E-2</v>
      </c>
      <c r="I20" s="212">
        <v>4.4813783274197105E-2</v>
      </c>
      <c r="J20" s="554">
        <v>5.665546986412031E-2</v>
      </c>
      <c r="K20" s="212">
        <v>4.4310445663865126E-2</v>
      </c>
      <c r="L20" s="554">
        <v>4.4294038694566093E-2</v>
      </c>
      <c r="M20" s="212">
        <v>1.6449646801819345E-2</v>
      </c>
      <c r="N20" s="554">
        <v>-4.2649078153207912E-2</v>
      </c>
    </row>
    <row r="21" spans="1:14" ht="20" customHeight="1" thickBot="1">
      <c r="A21" s="786" t="s">
        <v>2393</v>
      </c>
      <c r="B21" s="556">
        <v>0.24585035750766088</v>
      </c>
      <c r="C21" s="214">
        <v>0.29245320271440189</v>
      </c>
      <c r="D21" s="556">
        <v>0.35677417223862196</v>
      </c>
      <c r="E21" s="214">
        <v>0.28599760573151062</v>
      </c>
      <c r="F21" s="556">
        <v>0.21984437058923176</v>
      </c>
      <c r="G21" s="214">
        <v>0.13469397978881945</v>
      </c>
      <c r="H21" s="556">
        <v>1.6234213573508613E-2</v>
      </c>
      <c r="I21" s="212">
        <v>-3.2112132566234138E-2</v>
      </c>
      <c r="J21" s="554">
        <v>-1.8764788927883705E-2</v>
      </c>
      <c r="K21" s="212">
        <v>-4.1479128907079957E-2</v>
      </c>
      <c r="L21" s="554">
        <v>-8.9670626901258987E-3</v>
      </c>
      <c r="M21" s="212">
        <v>3.3731812089493503E-2</v>
      </c>
      <c r="N21" s="554">
        <v>-3.7055080787600975E-2</v>
      </c>
    </row>
    <row r="22" spans="1:14" ht="20" customHeight="1" thickBot="1">
      <c r="A22" s="786" t="s">
        <v>2394</v>
      </c>
      <c r="B22" s="556">
        <v>0.24323650251501203</v>
      </c>
      <c r="C22" s="214">
        <v>0.23334111506916808</v>
      </c>
      <c r="D22" s="556">
        <v>0.2511060960542793</v>
      </c>
      <c r="E22" s="214">
        <v>0.22037128205305415</v>
      </c>
      <c r="F22" s="556">
        <v>0.19286721461580075</v>
      </c>
      <c r="G22" s="214">
        <v>0.15685463204023639</v>
      </c>
      <c r="H22" s="556">
        <v>0.10620048675315266</v>
      </c>
      <c r="I22" s="212">
        <v>5.9058151022422525E-2</v>
      </c>
      <c r="J22" s="554">
        <v>4.2347434655218681E-2</v>
      </c>
      <c r="K22" s="212">
        <v>3.4142405158759277E-2</v>
      </c>
      <c r="L22" s="554">
        <v>4.486392675296523E-2</v>
      </c>
      <c r="M22" s="212">
        <v>4.1437418071859515E-2</v>
      </c>
      <c r="N22" s="554">
        <v>3.9872744920255851E-3</v>
      </c>
    </row>
    <row r="23" spans="1:14" ht="20" customHeight="1" thickBot="1">
      <c r="A23" s="786" t="s">
        <v>2395</v>
      </c>
      <c r="B23" s="556">
        <v>0.3723075105745946</v>
      </c>
      <c r="C23" s="214">
        <v>0.28723821641214636</v>
      </c>
      <c r="D23" s="556">
        <v>0.23234955606074459</v>
      </c>
      <c r="E23" s="214">
        <v>0.29648815124025041</v>
      </c>
      <c r="F23" s="556">
        <v>0.12231885189747953</v>
      </c>
      <c r="G23" s="214">
        <v>5.2170022542286545E-2</v>
      </c>
      <c r="H23" s="556">
        <v>3.0318734478638004E-2</v>
      </c>
      <c r="I23" s="212">
        <v>7.2786057650912714E-2</v>
      </c>
      <c r="J23" s="554">
        <v>8.4704790905582542E-2</v>
      </c>
      <c r="K23" s="212">
        <v>0.11234099651594993</v>
      </c>
      <c r="L23" s="554">
        <v>0.13658279940156992</v>
      </c>
      <c r="M23" s="212">
        <v>0.11615422839564869</v>
      </c>
      <c r="N23" s="554">
        <v>7.6721890928905925E-2</v>
      </c>
    </row>
    <row r="24" spans="1:14" ht="20" customHeight="1" thickBot="1">
      <c r="A24" s="786" t="s">
        <v>2396</v>
      </c>
      <c r="B24" s="556">
        <v>0.25925041593390363</v>
      </c>
      <c r="C24" s="214">
        <v>0.23421046037695684</v>
      </c>
      <c r="D24" s="556">
        <v>0.16728031378369035</v>
      </c>
      <c r="E24" s="214">
        <v>0.11234841846575912</v>
      </c>
      <c r="F24" s="556">
        <v>6.5584819705058847E-2</v>
      </c>
      <c r="G24" s="214">
        <v>1.5320060248661215E-2</v>
      </c>
      <c r="H24" s="556">
        <v>1.1914966384036118E-2</v>
      </c>
      <c r="I24" s="212">
        <v>5.2833455716879883E-2</v>
      </c>
      <c r="J24" s="554">
        <v>8.6999317806569013E-2</v>
      </c>
      <c r="K24" s="212">
        <v>9.6081203419912303E-2</v>
      </c>
      <c r="L24" s="554">
        <v>0.10366722706468806</v>
      </c>
      <c r="M24" s="212">
        <v>0.11118107922354274</v>
      </c>
      <c r="N24" s="554">
        <v>7.4638814544422533E-2</v>
      </c>
    </row>
    <row r="25" spans="1:14" ht="20" customHeight="1" thickBot="1">
      <c r="A25" s="786" t="s">
        <v>2397</v>
      </c>
      <c r="B25" s="556">
        <v>0.26229144445396013</v>
      </c>
      <c r="C25" s="214">
        <v>0.13156095808976942</v>
      </c>
      <c r="D25" s="556">
        <v>7.8828564840270232E-2</v>
      </c>
      <c r="E25" s="214">
        <v>5.4139325896166456E-2</v>
      </c>
      <c r="F25" s="556">
        <v>7.4650772123890218E-3</v>
      </c>
      <c r="G25" s="214">
        <v>-3.7367467311746456E-2</v>
      </c>
      <c r="H25" s="556">
        <v>-4.3554901224245185E-2</v>
      </c>
      <c r="I25" s="212">
        <v>-2.637185332271054E-2</v>
      </c>
      <c r="J25" s="554">
        <v>5.796182580914723E-2</v>
      </c>
      <c r="K25" s="212">
        <v>0.11900570523870589</v>
      </c>
      <c r="L25" s="554">
        <v>0.18556920253512177</v>
      </c>
      <c r="M25" s="212">
        <v>0.23546020320648234</v>
      </c>
      <c r="N25" s="554">
        <v>0.23385776771550931</v>
      </c>
    </row>
    <row r="26" spans="1:14" ht="20" customHeight="1" thickBot="1">
      <c r="A26" s="786" t="s">
        <v>2398</v>
      </c>
      <c r="B26" s="556">
        <v>0.236874184094269</v>
      </c>
      <c r="C26" s="214">
        <v>0.2369910139731975</v>
      </c>
      <c r="D26" s="556">
        <v>0.26802595010545144</v>
      </c>
      <c r="E26" s="214">
        <v>0.28565666290919861</v>
      </c>
      <c r="F26" s="556">
        <v>0.25623402792667599</v>
      </c>
      <c r="G26" s="214">
        <v>0.16751661505363338</v>
      </c>
      <c r="H26" s="556">
        <v>0.10885342965162399</v>
      </c>
      <c r="I26" s="212">
        <v>7.7450764553762277E-2</v>
      </c>
      <c r="J26" s="554">
        <v>0.12447106354641546</v>
      </c>
      <c r="K26" s="212">
        <v>0.15021208604377001</v>
      </c>
      <c r="L26" s="554">
        <v>0.20497580389289158</v>
      </c>
      <c r="M26" s="212">
        <v>0.23178226307241459</v>
      </c>
      <c r="N26" s="554">
        <v>0.26892508100656098</v>
      </c>
    </row>
    <row r="27" spans="1:14" ht="20" customHeight="1" thickBot="1">
      <c r="A27" s="786" t="s">
        <v>2399</v>
      </c>
      <c r="B27" s="556">
        <v>0.22313050052141742</v>
      </c>
      <c r="C27" s="214">
        <v>0.22227805043910842</v>
      </c>
      <c r="D27" s="556">
        <v>0.25856477693637758</v>
      </c>
      <c r="E27" s="214">
        <v>0.28406116114771063</v>
      </c>
      <c r="F27" s="556">
        <v>0.29187319225713276</v>
      </c>
      <c r="G27" s="214">
        <v>0.20900649454496339</v>
      </c>
      <c r="H27" s="556">
        <v>0.22318977853306346</v>
      </c>
      <c r="I27" s="212">
        <v>0.23019462335231186</v>
      </c>
      <c r="J27" s="554">
        <v>0.26514283719011067</v>
      </c>
      <c r="K27" s="212">
        <v>0.28755930579149347</v>
      </c>
      <c r="L27" s="554">
        <v>0.33964081194471551</v>
      </c>
      <c r="M27" s="212">
        <v>0.37227894673461587</v>
      </c>
      <c r="N27" s="554">
        <v>0.34118474598365101</v>
      </c>
    </row>
    <row r="28" spans="1:14" ht="20" customHeight="1" thickBot="1">
      <c r="A28" s="786" t="s">
        <v>2400</v>
      </c>
      <c r="B28" s="556">
        <v>0.37839967809753738</v>
      </c>
      <c r="C28" s="214">
        <v>0.41352282390439626</v>
      </c>
      <c r="D28" s="556">
        <v>0.47175855015490631</v>
      </c>
      <c r="E28" s="214">
        <v>0.45897699292043254</v>
      </c>
      <c r="F28" s="556">
        <v>0.41551223901119466</v>
      </c>
      <c r="G28" s="214">
        <v>0.31104021391854852</v>
      </c>
      <c r="H28" s="556">
        <v>0.2200071687604184</v>
      </c>
      <c r="I28" s="212">
        <v>0.1584602677762636</v>
      </c>
      <c r="J28" s="554">
        <v>0.169473663913141</v>
      </c>
      <c r="K28" s="212">
        <v>0.15485042382444214</v>
      </c>
      <c r="L28" s="554">
        <v>0.13060268777900635</v>
      </c>
      <c r="M28" s="212">
        <v>0.11408225463523539</v>
      </c>
      <c r="N28" s="554">
        <v>6.180249205045181E-2</v>
      </c>
    </row>
    <row r="29" spans="1:14" ht="20" customHeight="1" thickBot="1">
      <c r="A29" s="786" t="s">
        <v>2401</v>
      </c>
      <c r="B29" s="556">
        <v>0.25802740566520094</v>
      </c>
      <c r="C29" s="214">
        <v>0.12970184411294444</v>
      </c>
      <c r="D29" s="556">
        <v>7.9713420764876433E-2</v>
      </c>
      <c r="E29" s="214">
        <v>0.15061655115531589</v>
      </c>
      <c r="F29" s="556">
        <v>6.5001314408217395E-2</v>
      </c>
      <c r="G29" s="214">
        <v>-1.2149876224653886E-2</v>
      </c>
      <c r="H29" s="556">
        <v>-3.2861485786554852E-2</v>
      </c>
      <c r="I29" s="212">
        <v>-5.6495518265718268E-2</v>
      </c>
      <c r="J29" s="554">
        <v>-7.0664777641847365E-2</v>
      </c>
      <c r="K29" s="212">
        <v>-9.7130251688859279E-3</v>
      </c>
      <c r="L29" s="554">
        <v>9.692340520616298E-2</v>
      </c>
      <c r="M29" s="212">
        <v>0.18189721022097571</v>
      </c>
      <c r="N29" s="554">
        <v>0.25107108722033555</v>
      </c>
    </row>
    <row r="30" spans="1:14" ht="20" customHeight="1" thickBot="1">
      <c r="A30" s="786" t="s">
        <v>2402</v>
      </c>
      <c r="B30" s="556">
        <v>0.23654414098950466</v>
      </c>
      <c r="C30" s="214">
        <v>0.25704871072153829</v>
      </c>
      <c r="D30" s="556">
        <v>0.19364675610998625</v>
      </c>
      <c r="E30" s="214">
        <v>0.19443428041117658</v>
      </c>
      <c r="F30" s="556">
        <v>0.20235197130171162</v>
      </c>
      <c r="G30" s="214">
        <v>0.14297495150362821</v>
      </c>
      <c r="H30" s="556">
        <v>0.14116459632232728</v>
      </c>
      <c r="I30" s="212">
        <v>0.19628026050886554</v>
      </c>
      <c r="J30" s="554">
        <v>0.25385020159773114</v>
      </c>
      <c r="K30" s="212">
        <v>0.29481247813075095</v>
      </c>
      <c r="L30" s="554">
        <v>0.35333709648940276</v>
      </c>
      <c r="M30" s="212">
        <v>0.42123843262055904</v>
      </c>
      <c r="N30" s="554">
        <v>0.41425734796850955</v>
      </c>
    </row>
    <row r="31" spans="1:14" ht="20" customHeight="1" thickBot="1">
      <c r="A31" s="786" t="s">
        <v>2403</v>
      </c>
      <c r="B31" s="556">
        <v>0.27809499423889389</v>
      </c>
      <c r="C31" s="214">
        <v>0.18905048348040993</v>
      </c>
      <c r="D31" s="556">
        <v>0.16152511133804917</v>
      </c>
      <c r="E31" s="214">
        <v>0.10137396549879286</v>
      </c>
      <c r="F31" s="556">
        <v>5.1863703849464746E-2</v>
      </c>
      <c r="G31" s="214">
        <v>8.8997688321701685E-3</v>
      </c>
      <c r="H31" s="556">
        <v>-1.2732810015009728E-2</v>
      </c>
      <c r="I31" s="212">
        <v>6.2366693541832441E-2</v>
      </c>
      <c r="J31" s="554">
        <v>0.11169863052251632</v>
      </c>
      <c r="K31" s="212">
        <v>0.13340921951954637</v>
      </c>
      <c r="L31" s="554">
        <v>0.20264393926117077</v>
      </c>
      <c r="M31" s="212">
        <v>0.22594457989600364</v>
      </c>
      <c r="N31" s="554">
        <v>0.19738866596475613</v>
      </c>
    </row>
    <row r="32" spans="1:14" ht="29.25" customHeight="1" thickBot="1">
      <c r="A32" s="885" t="s">
        <v>1698</v>
      </c>
      <c r="B32" s="886">
        <v>0.25659604681954279</v>
      </c>
      <c r="C32" s="281">
        <v>0.24848089470618492</v>
      </c>
      <c r="D32" s="886">
        <v>0.23492819433570639</v>
      </c>
      <c r="E32" s="281">
        <v>0.23610935014307161</v>
      </c>
      <c r="F32" s="886">
        <v>0.21069626661151625</v>
      </c>
      <c r="G32" s="281">
        <v>0.15</v>
      </c>
      <c r="H32" s="886">
        <v>0.12800562009999999</v>
      </c>
      <c r="I32" s="887">
        <v>0.1423121436</v>
      </c>
      <c r="J32" s="888">
        <v>0.1646439053</v>
      </c>
      <c r="K32" s="887">
        <v>0.17216782469748099</v>
      </c>
      <c r="L32" s="888">
        <v>0.19410142906268091</v>
      </c>
      <c r="M32" s="887">
        <v>0.20165652481550608</v>
      </c>
      <c r="N32" s="888">
        <v>0.16513713885628103</v>
      </c>
    </row>
    <row r="33" spans="1:14" s="159" customFormat="1" ht="30" customHeight="1" thickBot="1">
      <c r="A33" s="889" t="s">
        <v>1927</v>
      </c>
      <c r="B33" s="890">
        <v>0.16889043725722225</v>
      </c>
      <c r="C33" s="891">
        <v>0.17196051689003333</v>
      </c>
      <c r="D33" s="890">
        <v>0.16909401257090675</v>
      </c>
      <c r="E33" s="891">
        <v>0.17151239307717711</v>
      </c>
      <c r="F33" s="890">
        <v>0.16991133453450352</v>
      </c>
      <c r="G33" s="891">
        <v>0.16939255966928513</v>
      </c>
      <c r="H33" s="890">
        <v>0.16961724397646502</v>
      </c>
      <c r="I33" s="892">
        <v>0.170648522304884</v>
      </c>
      <c r="J33" s="893">
        <v>0.16498531532934302</v>
      </c>
      <c r="K33" s="894">
        <v>0.16198747607257327</v>
      </c>
      <c r="L33" s="893">
        <v>0.16226794774511255</v>
      </c>
      <c r="M33" s="894">
        <v>0.14404868700935056</v>
      </c>
      <c r="N33" s="893">
        <v>0.12504203657801569</v>
      </c>
    </row>
    <row r="34" spans="1:14" ht="20" customHeight="1">
      <c r="A34" s="895" t="s">
        <v>1928</v>
      </c>
      <c r="B34" s="201"/>
      <c r="C34" s="585"/>
      <c r="D34" s="585"/>
      <c r="E34" s="585"/>
      <c r="F34" s="585"/>
      <c r="G34" s="585"/>
      <c r="H34" s="585"/>
      <c r="I34" s="650"/>
    </row>
    <row r="35" spans="1:14" ht="15.75" customHeight="1">
      <c r="A35" s="202"/>
      <c r="B35" s="202"/>
      <c r="C35" s="586"/>
      <c r="D35" s="586"/>
      <c r="E35" s="586"/>
      <c r="F35" s="586"/>
      <c r="G35" s="586"/>
      <c r="H35" s="586"/>
      <c r="I35" s="651"/>
    </row>
    <row r="36" spans="1:14" ht="14.25" customHeight="1">
      <c r="A36" s="202" t="s">
        <v>1699</v>
      </c>
      <c r="B36" s="202"/>
      <c r="C36" s="586"/>
      <c r="D36" s="586"/>
      <c r="E36" s="586"/>
      <c r="F36" s="586"/>
      <c r="G36" s="586"/>
      <c r="H36" s="586"/>
      <c r="I36" s="651"/>
    </row>
    <row r="37" spans="1:14" ht="13.5" customHeight="1">
      <c r="A37" s="202"/>
      <c r="B37" s="202"/>
      <c r="C37" s="586"/>
      <c r="D37" s="586"/>
      <c r="E37" s="586"/>
      <c r="F37" s="586"/>
      <c r="G37" s="586"/>
      <c r="H37" s="586"/>
      <c r="I37" s="651"/>
    </row>
    <row r="38" spans="1:14" ht="12.75" customHeight="1">
      <c r="A38" s="202" t="s">
        <v>1700</v>
      </c>
      <c r="B38" s="202"/>
      <c r="C38" s="586"/>
      <c r="D38" s="586"/>
      <c r="E38" s="586"/>
      <c r="F38" s="586"/>
      <c r="G38" s="586"/>
      <c r="H38" s="586"/>
      <c r="I38" s="651"/>
    </row>
    <row r="39" spans="1:14" ht="12.75" customHeight="1">
      <c r="A39" s="202" t="s">
        <v>1701</v>
      </c>
      <c r="B39" s="202"/>
      <c r="C39" s="586"/>
      <c r="D39" s="586"/>
      <c r="E39" s="586"/>
      <c r="F39" s="586"/>
      <c r="G39" s="586"/>
      <c r="H39" s="586"/>
      <c r="I39" s="651"/>
    </row>
    <row r="41" spans="1:14">
      <c r="A41" s="202"/>
      <c r="B41" s="202"/>
    </row>
    <row r="42" spans="1:14">
      <c r="A42" s="202" t="s">
        <v>711</v>
      </c>
      <c r="B42" s="202"/>
    </row>
  </sheetData>
  <mergeCells count="1">
    <mergeCell ref="A2:K2"/>
  </mergeCells>
  <phoneticPr fontId="0" type="noConversion"/>
  <pageMargins left="0.45" right="0.49" top="0.76" bottom="0.49" header="0.56000000000000005" footer="0.4921259845"/>
  <pageSetup paperSize="9" scale="72" orientation="portrait" horizontalDpi="4294967292" verticalDpi="4294967292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FF22-6D23-7A44-A1C7-AC2249F180FC}">
  <sheetPr>
    <pageSetUpPr fitToPage="1"/>
  </sheetPr>
  <dimension ref="A1:H45"/>
  <sheetViews>
    <sheetView topLeftCell="A23" zoomScale="75" workbookViewId="0">
      <selection activeCell="A36" sqref="A36"/>
    </sheetView>
  </sheetViews>
  <sheetFormatPr baseColWidth="10" defaultColWidth="11.3984375" defaultRowHeight="13"/>
  <cols>
    <col min="1" max="1" width="20.796875" style="2" customWidth="1"/>
    <col min="2" max="2" width="21.796875" style="2" customWidth="1"/>
    <col min="3" max="3" width="24.19921875" style="2" customWidth="1"/>
    <col min="4" max="4" width="23.796875" style="2" customWidth="1"/>
    <col min="5" max="5" width="22.796875" style="2" customWidth="1"/>
    <col min="6" max="6" width="12" style="2" customWidth="1"/>
    <col min="7" max="16384" width="11.3984375" style="2"/>
  </cols>
  <sheetData>
    <row r="1" spans="1:8" s="1" customFormat="1" ht="14" customHeight="1"/>
    <row r="2" spans="1:8" s="1" customFormat="1" ht="26.25" customHeight="1">
      <c r="A2" s="2017" t="s">
        <v>1871</v>
      </c>
      <c r="B2" s="2021"/>
      <c r="C2" s="2021"/>
      <c r="D2" s="2021"/>
      <c r="E2" s="241">
        <v>2008</v>
      </c>
      <c r="H2" s="241"/>
    </row>
    <row r="3" spans="1:8" ht="59.25" customHeight="1">
      <c r="A3" s="677" t="s">
        <v>2368</v>
      </c>
      <c r="B3" s="875" t="s">
        <v>1872</v>
      </c>
      <c r="C3" s="876" t="s">
        <v>1697</v>
      </c>
      <c r="D3" s="875" t="s">
        <v>1873</v>
      </c>
      <c r="E3" s="876" t="s">
        <v>1353</v>
      </c>
    </row>
    <row r="4" spans="1:8" ht="15" customHeight="1">
      <c r="A4" s="678"/>
      <c r="B4" s="181"/>
      <c r="C4" s="184"/>
      <c r="D4" s="181" t="s">
        <v>1845</v>
      </c>
      <c r="E4" s="184" t="s">
        <v>1354</v>
      </c>
    </row>
    <row r="5" spans="1:8" ht="16" customHeight="1">
      <c r="A5" s="671"/>
      <c r="B5" s="185"/>
      <c r="C5" s="186"/>
      <c r="D5" s="185"/>
      <c r="E5" s="186"/>
    </row>
    <row r="6" spans="1:8" ht="30" customHeight="1" thickBot="1">
      <c r="A6" s="785" t="s">
        <v>2378</v>
      </c>
      <c r="B6" s="229">
        <v>0.3068824808957975</v>
      </c>
      <c r="C6" s="193">
        <v>0.1221277848194065</v>
      </c>
      <c r="D6" s="229">
        <v>0.184754696076391</v>
      </c>
      <c r="E6" s="877">
        <v>473.05332088371182</v>
      </c>
    </row>
    <row r="7" spans="1:8" ht="20" customHeight="1" thickBot="1">
      <c r="A7" s="786" t="s">
        <v>2379</v>
      </c>
      <c r="B7" s="477">
        <v>-7.5092587100530447E-2</v>
      </c>
      <c r="C7" s="500">
        <v>0.12532285364191387</v>
      </c>
      <c r="D7" s="229">
        <v>-0.20041544074244433</v>
      </c>
      <c r="E7" s="877">
        <v>-540.9206681749655</v>
      </c>
    </row>
    <row r="8" spans="1:8" ht="20" customHeight="1" thickBot="1">
      <c r="A8" s="786" t="s">
        <v>2380</v>
      </c>
      <c r="B8" s="477">
        <v>3.86669340605066E-2</v>
      </c>
      <c r="C8" s="500">
        <v>0.12198466566887535</v>
      </c>
      <c r="D8" s="229">
        <v>-8.331773160836875E-2</v>
      </c>
      <c r="E8" s="877">
        <v>-175.72376999011539</v>
      </c>
    </row>
    <row r="9" spans="1:8" ht="20" customHeight="1" thickBot="1">
      <c r="A9" s="786" t="s">
        <v>2381</v>
      </c>
      <c r="B9" s="477">
        <v>-0.14864390018859108</v>
      </c>
      <c r="C9" s="500">
        <v>0.11850145531538707</v>
      </c>
      <c r="D9" s="229">
        <v>-0.26714535550397817</v>
      </c>
      <c r="E9" s="877">
        <v>-508.44267364432011</v>
      </c>
    </row>
    <row r="10" spans="1:8" ht="20" customHeight="1" thickBot="1">
      <c r="A10" s="786" t="s">
        <v>2382</v>
      </c>
      <c r="B10" s="477">
        <v>6.1825498059706843E-2</v>
      </c>
      <c r="C10" s="500">
        <v>0.11964151613242345</v>
      </c>
      <c r="D10" s="229">
        <v>-5.7816018072716607E-2</v>
      </c>
      <c r="E10" s="877">
        <v>-120.99200092053411</v>
      </c>
    </row>
    <row r="11" spans="1:8" ht="20" customHeight="1" thickBot="1">
      <c r="A11" s="786" t="s">
        <v>2383</v>
      </c>
      <c r="B11" s="477">
        <v>-0.22029185141241442</v>
      </c>
      <c r="C11" s="500">
        <v>0.1171116158859386</v>
      </c>
      <c r="D11" s="229">
        <v>-0.33740346729835302</v>
      </c>
      <c r="E11" s="877">
        <v>-635.72387258342496</v>
      </c>
    </row>
    <row r="12" spans="1:8" ht="20" customHeight="1" thickBot="1">
      <c r="A12" s="786" t="s">
        <v>2384</v>
      </c>
      <c r="B12" s="477">
        <v>-2.552815119168806E-2</v>
      </c>
      <c r="C12" s="500">
        <v>0.11790002431937602</v>
      </c>
      <c r="D12" s="229">
        <v>-0.14342817551106407</v>
      </c>
      <c r="E12" s="877">
        <v>-258.52653491060744</v>
      </c>
    </row>
    <row r="13" spans="1:8" ht="20" customHeight="1" thickBot="1">
      <c r="A13" s="786" t="s">
        <v>2385</v>
      </c>
      <c r="B13" s="477">
        <v>-2.4654344706172678E-2</v>
      </c>
      <c r="C13" s="500">
        <v>0.1300086845867916</v>
      </c>
      <c r="D13" s="229">
        <v>-0.15466302929296427</v>
      </c>
      <c r="E13" s="877">
        <v>-333.71311517646666</v>
      </c>
    </row>
    <row r="14" spans="1:8" ht="20" customHeight="1" thickBot="1">
      <c r="A14" s="786" t="s">
        <v>2386</v>
      </c>
      <c r="B14" s="477">
        <v>7.440581983671965E-3</v>
      </c>
      <c r="C14" s="500">
        <v>0.12179150583281284</v>
      </c>
      <c r="D14" s="229">
        <v>-0.11435092384914088</v>
      </c>
      <c r="E14" s="877">
        <v>-236.6627653217262</v>
      </c>
    </row>
    <row r="15" spans="1:8" ht="20" customHeight="1" thickBot="1">
      <c r="A15" s="786" t="s">
        <v>2387</v>
      </c>
      <c r="B15" s="477">
        <v>0.14955369917679623</v>
      </c>
      <c r="C15" s="500">
        <v>0.12538500560321034</v>
      </c>
      <c r="D15" s="229">
        <v>2.4168693573585892E-2</v>
      </c>
      <c r="E15" s="877">
        <v>56.646476548737425</v>
      </c>
    </row>
    <row r="16" spans="1:8" ht="20" customHeight="1" thickBot="1">
      <c r="A16" s="786" t="s">
        <v>2388</v>
      </c>
      <c r="B16" s="477">
        <v>1.7366420922868515E-2</v>
      </c>
      <c r="C16" s="500">
        <v>0.12011737226309663</v>
      </c>
      <c r="D16" s="229">
        <v>-0.10275095134022812</v>
      </c>
      <c r="E16" s="877">
        <v>-242.43722885303885</v>
      </c>
    </row>
    <row r="17" spans="1:5" ht="20" customHeight="1" thickBot="1">
      <c r="A17" s="786" t="s">
        <v>2389</v>
      </c>
      <c r="B17" s="477">
        <v>0.21508944146677611</v>
      </c>
      <c r="C17" s="500">
        <v>0.13552337091117023</v>
      </c>
      <c r="D17" s="229">
        <v>7.9566070555605883E-2</v>
      </c>
      <c r="E17" s="877">
        <v>284.73313189604642</v>
      </c>
    </row>
    <row r="18" spans="1:5" ht="20" customHeight="1" thickBot="1">
      <c r="A18" s="786" t="s">
        <v>2390</v>
      </c>
      <c r="B18" s="477">
        <v>0.12833628625715598</v>
      </c>
      <c r="C18" s="500">
        <v>0.12324834861815485</v>
      </c>
      <c r="D18" s="229">
        <v>5.0879376390011305E-3</v>
      </c>
      <c r="E18" s="877">
        <v>13.474281372385756</v>
      </c>
    </row>
    <row r="19" spans="1:5" ht="20" customHeight="1" thickBot="1">
      <c r="A19" s="786" t="s">
        <v>2391</v>
      </c>
      <c r="B19" s="477">
        <v>0.10803471286993331</v>
      </c>
      <c r="C19" s="500">
        <v>0.12462792237510111</v>
      </c>
      <c r="D19" s="229">
        <v>-1.6593209505167794E-2</v>
      </c>
      <c r="E19" s="877">
        <v>-41.253717972859661</v>
      </c>
    </row>
    <row r="20" spans="1:5" ht="20" customHeight="1" thickBot="1">
      <c r="A20" s="786" t="s">
        <v>2392</v>
      </c>
      <c r="B20" s="477">
        <v>-4.2649078153207912E-2</v>
      </c>
      <c r="C20" s="500">
        <v>0.1177946444113558</v>
      </c>
      <c r="D20" s="229">
        <v>-0.16044372256456371</v>
      </c>
      <c r="E20" s="877">
        <v>-309.11018974540843</v>
      </c>
    </row>
    <row r="21" spans="1:5" ht="20" customHeight="1" thickBot="1">
      <c r="A21" s="786" t="s">
        <v>2393</v>
      </c>
      <c r="B21" s="477">
        <v>-3.7055080787600975E-2</v>
      </c>
      <c r="C21" s="500">
        <v>0.11456013689574107</v>
      </c>
      <c r="D21" s="229">
        <v>-0.15161521768334205</v>
      </c>
      <c r="E21" s="877">
        <v>-268.63552046247742</v>
      </c>
    </row>
    <row r="22" spans="1:5" ht="20" customHeight="1" thickBot="1">
      <c r="A22" s="786" t="s">
        <v>2394</v>
      </c>
      <c r="B22" s="477">
        <v>3.9872744920255851E-3</v>
      </c>
      <c r="C22" s="500">
        <v>0.11876385533016613</v>
      </c>
      <c r="D22" s="229">
        <v>-0.11477658083814055</v>
      </c>
      <c r="E22" s="877">
        <v>-241.27993154878035</v>
      </c>
    </row>
    <row r="23" spans="1:5" ht="20" customHeight="1" thickBot="1">
      <c r="A23" s="786" t="s">
        <v>2395</v>
      </c>
      <c r="B23" s="477">
        <v>7.6721890928905925E-2</v>
      </c>
      <c r="C23" s="500">
        <v>0.14133044199959149</v>
      </c>
      <c r="D23" s="229">
        <v>-6.4608551070685569E-2</v>
      </c>
      <c r="E23" s="877">
        <v>-143.43001944561269</v>
      </c>
    </row>
    <row r="24" spans="1:5" ht="20" customHeight="1" thickBot="1">
      <c r="A24" s="786" t="s">
        <v>2396</v>
      </c>
      <c r="B24" s="477">
        <v>7.4638814544422533E-2</v>
      </c>
      <c r="C24" s="500">
        <v>0.12272995035253806</v>
      </c>
      <c r="D24" s="229">
        <v>-4.8091135808115526E-2</v>
      </c>
      <c r="E24" s="877">
        <v>-112.29720963257421</v>
      </c>
    </row>
    <row r="25" spans="1:5" ht="20" customHeight="1" thickBot="1">
      <c r="A25" s="786" t="s">
        <v>2397</v>
      </c>
      <c r="B25" s="477">
        <v>0.23385776771550931</v>
      </c>
      <c r="C25" s="500">
        <v>0.12794825087587994</v>
      </c>
      <c r="D25" s="229">
        <v>0.10590951683962938</v>
      </c>
      <c r="E25" s="877">
        <v>241.29513403933899</v>
      </c>
    </row>
    <row r="26" spans="1:5" ht="20" customHeight="1" thickBot="1">
      <c r="A26" s="786" t="s">
        <v>2398</v>
      </c>
      <c r="B26" s="477">
        <v>0.26892508100656098</v>
      </c>
      <c r="C26" s="500">
        <v>0.12180358399440669</v>
      </c>
      <c r="D26" s="229">
        <v>0.1471214970121543</v>
      </c>
      <c r="E26" s="877">
        <v>459.59911508585373</v>
      </c>
    </row>
    <row r="27" spans="1:5" ht="20" customHeight="1" thickBot="1">
      <c r="A27" s="786" t="s">
        <v>2399</v>
      </c>
      <c r="B27" s="477">
        <v>0.34118474598365101</v>
      </c>
      <c r="C27" s="500">
        <v>0.13126305468261773</v>
      </c>
      <c r="D27" s="229">
        <v>0.20992169130103328</v>
      </c>
      <c r="E27" s="877">
        <v>627.07633690788487</v>
      </c>
    </row>
    <row r="28" spans="1:5" ht="20" customHeight="1" thickBot="1">
      <c r="A28" s="786" t="s">
        <v>2400</v>
      </c>
      <c r="B28" s="477">
        <v>6.180249205045181E-2</v>
      </c>
      <c r="C28" s="500">
        <v>0.1380909652062749</v>
      </c>
      <c r="D28" s="229">
        <v>-7.6288473155823086E-2</v>
      </c>
      <c r="E28" s="877">
        <v>-174.00324519662283</v>
      </c>
    </row>
    <row r="29" spans="1:5" ht="20" customHeight="1" thickBot="1">
      <c r="A29" s="786" t="s">
        <v>2401</v>
      </c>
      <c r="B29" s="477">
        <v>0.25107108722033555</v>
      </c>
      <c r="C29" s="500">
        <v>0.12333110350256125</v>
      </c>
      <c r="D29" s="229">
        <v>0.12773998371777429</v>
      </c>
      <c r="E29" s="877">
        <v>381.2701827886878</v>
      </c>
    </row>
    <row r="30" spans="1:5" ht="20" customHeight="1" thickBot="1">
      <c r="A30" s="786" t="s">
        <v>2402</v>
      </c>
      <c r="B30" s="477">
        <v>0.41425734796850955</v>
      </c>
      <c r="C30" s="500">
        <v>0.11870445132146512</v>
      </c>
      <c r="D30" s="229">
        <v>0.29555289664704443</v>
      </c>
      <c r="E30" s="877">
        <v>1051.7402344728894</v>
      </c>
    </row>
    <row r="31" spans="1:5" ht="20" customHeight="1" thickBot="1">
      <c r="A31" s="786" t="s">
        <v>2403</v>
      </c>
      <c r="B31" s="477">
        <v>0.19738866596475613</v>
      </c>
      <c r="C31" s="500">
        <v>0.12884050723355178</v>
      </c>
      <c r="D31" s="229">
        <v>6.8548158731204345E-2</v>
      </c>
      <c r="E31" s="877">
        <v>183.4427299058936</v>
      </c>
    </row>
    <row r="32" spans="1:5" ht="30" customHeight="1" thickBot="1">
      <c r="A32" s="685" t="s">
        <v>2404</v>
      </c>
      <c r="B32" s="878">
        <v>0.16513713885628103</v>
      </c>
      <c r="C32" s="879">
        <v>0.12504203657801569</v>
      </c>
      <c r="D32" s="777">
        <v>4.0095102278265349E-2</v>
      </c>
      <c r="E32" s="689">
        <v>103.65621772760687</v>
      </c>
    </row>
    <row r="33" spans="1:5" ht="20" customHeight="1">
      <c r="A33" s="201" t="s">
        <v>1928</v>
      </c>
      <c r="B33" s="585"/>
      <c r="C33" s="585"/>
      <c r="D33" s="585"/>
      <c r="E33" s="585"/>
    </row>
    <row r="34" spans="1:5" ht="12" customHeight="1">
      <c r="A34" s="202"/>
      <c r="B34" s="586"/>
      <c r="C34" s="586"/>
      <c r="D34" s="586"/>
      <c r="E34" s="586"/>
    </row>
    <row r="35" spans="1:5" ht="14.25" customHeight="1">
      <c r="A35" s="202" t="s">
        <v>575</v>
      </c>
      <c r="B35" s="586"/>
      <c r="C35" s="586"/>
      <c r="D35" s="586"/>
      <c r="E35" s="586"/>
    </row>
    <row r="36" spans="1:5" ht="13.5" customHeight="1">
      <c r="A36" s="202"/>
      <c r="B36" s="586"/>
      <c r="C36" s="586"/>
      <c r="D36" s="586"/>
      <c r="E36" s="586"/>
    </row>
    <row r="37" spans="1:5" ht="12.75" customHeight="1">
      <c r="A37" s="202" t="s">
        <v>576</v>
      </c>
      <c r="B37" s="586"/>
      <c r="C37" s="586"/>
      <c r="D37" s="586"/>
      <c r="E37" s="586"/>
    </row>
    <row r="38" spans="1:5">
      <c r="A38" s="2" t="s">
        <v>577</v>
      </c>
    </row>
    <row r="39" spans="1:5">
      <c r="A39" s="202" t="s">
        <v>578</v>
      </c>
    </row>
    <row r="40" spans="1:5">
      <c r="A40" s="2" t="s">
        <v>579</v>
      </c>
    </row>
    <row r="41" spans="1:5">
      <c r="A41" s="2" t="s">
        <v>1695</v>
      </c>
    </row>
    <row r="42" spans="1:5">
      <c r="A42" s="202" t="s">
        <v>1696</v>
      </c>
    </row>
    <row r="44" spans="1:5">
      <c r="A44" s="202"/>
    </row>
    <row r="45" spans="1:5">
      <c r="A45" s="202" t="s">
        <v>711</v>
      </c>
    </row>
  </sheetData>
  <mergeCells count="1">
    <mergeCell ref="A2:D2"/>
  </mergeCells>
  <phoneticPr fontId="0" type="noConversion"/>
  <pageMargins left="0.45" right="0.42" top="0.76" bottom="0.49" header="0.56000000000000005" footer="0.4921259845"/>
  <pageSetup paperSize="9" scale="75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7C6E-F9BB-3746-95F3-40CCB455F8C6}">
  <dimension ref="A1:B28"/>
  <sheetViews>
    <sheetView workbookViewId="0">
      <selection activeCell="A2" sqref="A2"/>
    </sheetView>
  </sheetViews>
  <sheetFormatPr baseColWidth="10" defaultColWidth="11.3984375" defaultRowHeight="13"/>
  <cols>
    <col min="1" max="1" width="5.59765625" style="105" customWidth="1"/>
    <col min="2" max="16384" width="11.3984375" style="105"/>
  </cols>
  <sheetData>
    <row r="1" spans="1:2" ht="16">
      <c r="A1" s="104" t="s">
        <v>2060</v>
      </c>
    </row>
    <row r="2" spans="1:2" ht="16">
      <c r="A2" s="104"/>
    </row>
    <row r="3" spans="1:2" s="108" customFormat="1">
      <c r="A3" s="106">
        <v>2.0099999999999998</v>
      </c>
      <c r="B3" s="107" t="s">
        <v>1104</v>
      </c>
    </row>
    <row r="4" spans="1:2" s="108" customFormat="1">
      <c r="A4" s="106">
        <v>2.02</v>
      </c>
      <c r="B4" s="107" t="s">
        <v>1105</v>
      </c>
    </row>
    <row r="5" spans="1:2" s="108" customFormat="1">
      <c r="A5" s="106">
        <v>2.0299999999999998</v>
      </c>
      <c r="B5" s="106" t="s">
        <v>1106</v>
      </c>
    </row>
    <row r="6" spans="1:2" s="108" customFormat="1">
      <c r="A6" s="106">
        <v>2.04</v>
      </c>
      <c r="B6" s="106" t="s">
        <v>1040</v>
      </c>
    </row>
    <row r="7" spans="1:2" s="108" customFormat="1">
      <c r="A7" s="106">
        <v>2.0499999999999998</v>
      </c>
      <c r="B7" s="106" t="s">
        <v>1041</v>
      </c>
    </row>
    <row r="8" spans="1:2" s="108" customFormat="1">
      <c r="A8" s="106">
        <v>2.06</v>
      </c>
      <c r="B8" s="106" t="s">
        <v>1042</v>
      </c>
    </row>
    <row r="9" spans="1:2" s="108" customFormat="1">
      <c r="A9" s="106">
        <v>2.0699999999999998</v>
      </c>
      <c r="B9" s="106" t="s">
        <v>1043</v>
      </c>
    </row>
    <row r="10" spans="1:2" s="108" customFormat="1">
      <c r="A10" s="106">
        <v>2.08</v>
      </c>
      <c r="B10" s="106" t="s">
        <v>1044</v>
      </c>
    </row>
    <row r="11" spans="1:2" s="108" customFormat="1">
      <c r="A11" s="106">
        <v>2.09</v>
      </c>
      <c r="B11" s="106" t="s">
        <v>1045</v>
      </c>
    </row>
    <row r="12" spans="1:2">
      <c r="A12" s="109">
        <v>2.1</v>
      </c>
      <c r="B12" s="107" t="s">
        <v>1046</v>
      </c>
    </row>
    <row r="13" spans="1:2">
      <c r="A13" s="109">
        <v>2.11</v>
      </c>
      <c r="B13" s="107" t="s">
        <v>1047</v>
      </c>
    </row>
    <row r="14" spans="1:2">
      <c r="A14" s="106">
        <v>2.12</v>
      </c>
      <c r="B14" s="106" t="s">
        <v>1048</v>
      </c>
    </row>
    <row r="15" spans="1:2">
      <c r="A15" s="106">
        <v>2.13</v>
      </c>
      <c r="B15" s="107" t="s">
        <v>1049</v>
      </c>
    </row>
    <row r="16" spans="1:2">
      <c r="A16" s="106">
        <v>2.14</v>
      </c>
      <c r="B16" s="107" t="s">
        <v>1107</v>
      </c>
    </row>
    <row r="17" spans="1:2">
      <c r="A17" s="106">
        <v>2.15</v>
      </c>
      <c r="B17" s="107" t="s">
        <v>1108</v>
      </c>
    </row>
    <row r="18" spans="1:2">
      <c r="A18" s="106">
        <v>2.16</v>
      </c>
      <c r="B18" s="107" t="s">
        <v>1109</v>
      </c>
    </row>
    <row r="19" spans="1:2">
      <c r="A19" s="106">
        <v>2.17</v>
      </c>
      <c r="B19" s="107" t="s">
        <v>1050</v>
      </c>
    </row>
    <row r="20" spans="1:2">
      <c r="A20" s="106">
        <v>2.1800000000000002</v>
      </c>
      <c r="B20" s="107" t="s">
        <v>1110</v>
      </c>
    </row>
    <row r="21" spans="1:2">
      <c r="A21" s="106">
        <v>2.19</v>
      </c>
      <c r="B21" s="107" t="s">
        <v>1051</v>
      </c>
    </row>
    <row r="22" spans="1:2">
      <c r="A22" s="110" t="s">
        <v>1071</v>
      </c>
      <c r="B22" s="107" t="s">
        <v>1111</v>
      </c>
    </row>
    <row r="23" spans="1:2">
      <c r="A23" s="106">
        <v>2.21</v>
      </c>
      <c r="B23" s="107" t="s">
        <v>1112</v>
      </c>
    </row>
    <row r="24" spans="1:2">
      <c r="A24" s="106">
        <v>2.2200000000000002</v>
      </c>
      <c r="B24" s="107" t="s">
        <v>1052</v>
      </c>
    </row>
    <row r="25" spans="1:2">
      <c r="A25" s="106">
        <v>2.23</v>
      </c>
      <c r="B25" s="107" t="s">
        <v>72</v>
      </c>
    </row>
    <row r="28" spans="1:2">
      <c r="A28" s="111" t="s">
        <v>711</v>
      </c>
    </row>
  </sheetData>
  <phoneticPr fontId="30" type="noConversion"/>
  <pageMargins left="0.46" right="0.35" top="0.88" bottom="0.984251969" header="0.4921259845" footer="0.4921259845"/>
  <pageSetup paperSize="9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1079-DFD9-3B49-A0AD-190E0587B2DE}">
  <sheetPr>
    <pageSetUpPr fitToPage="1"/>
  </sheetPr>
  <dimension ref="A1:J25"/>
  <sheetViews>
    <sheetView zoomScale="75" workbookViewId="0">
      <selection activeCell="A3" sqref="A3"/>
    </sheetView>
  </sheetViews>
  <sheetFormatPr baseColWidth="10" defaultColWidth="11.3984375" defaultRowHeight="13"/>
  <cols>
    <col min="1" max="1" width="12.796875" style="2" customWidth="1"/>
    <col min="2" max="6" width="15.3984375" style="2" customWidth="1"/>
    <col min="7" max="7" width="14.796875" style="2" customWidth="1"/>
    <col min="8" max="16384" width="11.3984375" style="2"/>
  </cols>
  <sheetData>
    <row r="1" spans="1:10" s="1" customFormat="1" ht="14" customHeight="1">
      <c r="A1" s="360"/>
      <c r="B1" s="360"/>
      <c r="C1" s="360"/>
      <c r="D1" s="360"/>
      <c r="E1" s="360"/>
      <c r="F1" s="360"/>
      <c r="G1" s="360"/>
    </row>
    <row r="2" spans="1:10" s="1" customFormat="1" ht="39" customHeight="1">
      <c r="A2" s="2023" t="s">
        <v>1470</v>
      </c>
      <c r="B2" s="2021"/>
      <c r="C2" s="2021"/>
      <c r="D2" s="2021"/>
      <c r="E2" s="2021"/>
      <c r="F2" s="2021"/>
      <c r="G2" s="596"/>
    </row>
    <row r="3" spans="1:10" ht="24" customHeight="1">
      <c r="A3" s="178" t="s">
        <v>821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  <c r="G3" s="180" t="s">
        <v>2372</v>
      </c>
    </row>
    <row r="4" spans="1:10" ht="15" customHeight="1">
      <c r="A4" s="274"/>
      <c r="B4" s="182" t="s">
        <v>2255</v>
      </c>
      <c r="C4" s="183" t="s">
        <v>2256</v>
      </c>
      <c r="D4" s="182" t="s">
        <v>822</v>
      </c>
      <c r="E4" s="245" t="s">
        <v>823</v>
      </c>
      <c r="F4" s="182"/>
      <c r="G4" s="183" t="s">
        <v>2373</v>
      </c>
    </row>
    <row r="5" spans="1:10" ht="15" customHeight="1">
      <c r="A5" s="274"/>
      <c r="B5" s="182" t="s">
        <v>2259</v>
      </c>
      <c r="C5" s="183" t="s">
        <v>2260</v>
      </c>
      <c r="D5" s="182" t="s">
        <v>824</v>
      </c>
      <c r="E5" s="245" t="s">
        <v>825</v>
      </c>
      <c r="F5" s="182"/>
      <c r="G5" s="183" t="s">
        <v>2377</v>
      </c>
    </row>
    <row r="6" spans="1:10" ht="24" customHeight="1">
      <c r="A6" s="275"/>
      <c r="B6" s="188"/>
      <c r="C6" s="187"/>
      <c r="D6" s="188"/>
      <c r="E6" s="248" t="s">
        <v>2262</v>
      </c>
      <c r="F6" s="188"/>
      <c r="G6" s="187"/>
    </row>
    <row r="7" spans="1:10" ht="2.25" customHeight="1" thickBot="1">
      <c r="A7" s="276">
        <v>1996</v>
      </c>
      <c r="B7" s="497">
        <v>1089.2648005000001</v>
      </c>
      <c r="C7" s="277">
        <v>580.10166180000022</v>
      </c>
      <c r="D7" s="497">
        <v>4.3753463500000001</v>
      </c>
      <c r="E7" s="277">
        <v>4.7899289500000002</v>
      </c>
      <c r="F7" s="497">
        <v>1678.5317376000003</v>
      </c>
      <c r="G7" s="212" t="s">
        <v>1060</v>
      </c>
    </row>
    <row r="8" spans="1:10" ht="0.75" customHeight="1" thickBot="1">
      <c r="A8" s="278">
        <v>1997</v>
      </c>
      <c r="B8" s="499">
        <v>879.95045900000002</v>
      </c>
      <c r="C8" s="501">
        <v>850.70337900000004</v>
      </c>
      <c r="D8" s="499">
        <v>1.7040200000000001</v>
      </c>
      <c r="E8" s="501">
        <v>45.624484000000002</v>
      </c>
      <c r="F8" s="499">
        <v>1777.9823429999999</v>
      </c>
      <c r="G8" s="214">
        <v>5.9248570147500512E-2</v>
      </c>
      <c r="H8" s="8"/>
      <c r="I8" s="8"/>
      <c r="J8" s="8"/>
    </row>
    <row r="9" spans="1:10" ht="20" customHeight="1" thickBot="1">
      <c r="A9" s="278">
        <v>1998</v>
      </c>
      <c r="B9" s="499">
        <v>1013.8999679999999</v>
      </c>
      <c r="C9" s="501">
        <v>981.74108000000001</v>
      </c>
      <c r="D9" s="499">
        <v>1.2942830000000001</v>
      </c>
      <c r="E9" s="501">
        <v>100.29746900000001</v>
      </c>
      <c r="F9" s="499">
        <v>2097.2328000000002</v>
      </c>
      <c r="G9" s="214">
        <v>0.17955772072591403</v>
      </c>
    </row>
    <row r="10" spans="1:10" ht="20" customHeight="1" thickBot="1">
      <c r="A10" s="278">
        <v>1999</v>
      </c>
      <c r="B10" s="499">
        <v>1011.36115</v>
      </c>
      <c r="C10" s="501">
        <v>1055.56864</v>
      </c>
      <c r="D10" s="499">
        <v>0.79245500000000002</v>
      </c>
      <c r="E10" s="501">
        <v>122.17894</v>
      </c>
      <c r="F10" s="499">
        <v>2189.9011839999998</v>
      </c>
      <c r="G10" s="214">
        <v>4.4186026463061134E-2</v>
      </c>
    </row>
    <row r="11" spans="1:10" ht="20" customHeight="1" thickBot="1">
      <c r="A11" s="278">
        <v>2000</v>
      </c>
      <c r="B11" s="499">
        <v>1054.450601</v>
      </c>
      <c r="C11" s="501">
        <v>1090.7209829999999</v>
      </c>
      <c r="D11" s="499">
        <v>1.2512209999999999</v>
      </c>
      <c r="E11" s="501">
        <v>141.59474</v>
      </c>
      <c r="F11" s="499">
        <v>2288.0175450000002</v>
      </c>
      <c r="G11" s="214">
        <v>4.4804012946732197E-2</v>
      </c>
    </row>
    <row r="12" spans="1:10" ht="20" customHeight="1" thickBot="1">
      <c r="A12" s="278">
        <v>2001</v>
      </c>
      <c r="B12" s="499">
        <v>1083.514122</v>
      </c>
      <c r="C12" s="501">
        <v>1158.4133609999999</v>
      </c>
      <c r="D12" s="499">
        <v>1.2681009299999999</v>
      </c>
      <c r="E12" s="501">
        <v>156.9939449</v>
      </c>
      <c r="F12" s="499">
        <v>2400.1895288299997</v>
      </c>
      <c r="G12" s="214">
        <v>4.9025840765569706E-2</v>
      </c>
    </row>
    <row r="13" spans="1:10" ht="20" customHeight="1" thickBot="1">
      <c r="A13" s="278">
        <v>2002</v>
      </c>
      <c r="B13" s="499">
        <v>1089.8289460000001</v>
      </c>
      <c r="C13" s="501">
        <v>1244.155033</v>
      </c>
      <c r="D13" s="499">
        <v>1.2603006499999998</v>
      </c>
      <c r="E13" s="501">
        <v>167.5860868</v>
      </c>
      <c r="F13" s="499">
        <v>2502.8303664500004</v>
      </c>
      <c r="G13" s="214">
        <v>4.2763638615669786E-2</v>
      </c>
    </row>
    <row r="14" spans="1:10" ht="20" customHeight="1" thickBot="1">
      <c r="A14" s="278">
        <v>2003</v>
      </c>
      <c r="B14" s="499">
        <v>1079.925866</v>
      </c>
      <c r="C14" s="501">
        <v>1341.49136</v>
      </c>
      <c r="D14" s="499">
        <v>1.2206523200000001</v>
      </c>
      <c r="E14" s="501">
        <v>165.86177330000001</v>
      </c>
      <c r="F14" s="499">
        <v>2588.4996516200003</v>
      </c>
      <c r="G14" s="214">
        <v>3.4228961865886642E-2</v>
      </c>
    </row>
    <row r="15" spans="1:10" ht="20" customHeight="1" thickBot="1">
      <c r="A15" s="278">
        <v>2004</v>
      </c>
      <c r="B15" s="499">
        <v>1255.4702629999999</v>
      </c>
      <c r="C15" s="501">
        <v>1341.301393</v>
      </c>
      <c r="D15" s="499">
        <v>1.3776067599999999</v>
      </c>
      <c r="E15" s="501">
        <v>234.16313299999999</v>
      </c>
      <c r="F15" s="499">
        <v>2832.3123957600001</v>
      </c>
      <c r="G15" s="214">
        <v>9.4190757950232129E-2</v>
      </c>
    </row>
    <row r="16" spans="1:10" ht="20" customHeight="1" thickBot="1">
      <c r="A16" s="278">
        <v>2005</v>
      </c>
      <c r="B16" s="499">
        <v>1328.0246323900001</v>
      </c>
      <c r="C16" s="501">
        <v>1371.8229592</v>
      </c>
      <c r="D16" s="499">
        <v>1.4003180399999999</v>
      </c>
      <c r="E16" s="501">
        <v>293.73870004000003</v>
      </c>
      <c r="F16" s="499">
        <v>2994.9866096700002</v>
      </c>
      <c r="G16" s="214">
        <v>5.7435124089251222E-2</v>
      </c>
    </row>
    <row r="17" spans="1:7" ht="20" customHeight="1" thickBot="1">
      <c r="A17" s="278">
        <v>2006</v>
      </c>
      <c r="B17" s="499">
        <v>1275.3436029700001</v>
      </c>
      <c r="C17" s="501">
        <v>1332.0194115899999</v>
      </c>
      <c r="D17" s="499">
        <v>1.24792378</v>
      </c>
      <c r="E17" s="501">
        <v>430.10038037999999</v>
      </c>
      <c r="F17" s="499">
        <v>3038.7113187199998</v>
      </c>
      <c r="G17" s="214">
        <v>1.4599300347061472E-2</v>
      </c>
    </row>
    <row r="18" spans="1:7" ht="20" customHeight="1" thickBot="1">
      <c r="A18" s="278">
        <v>2007</v>
      </c>
      <c r="B18" s="499">
        <v>1254.93473436</v>
      </c>
      <c r="C18" s="501">
        <v>1283.5501741300002</v>
      </c>
      <c r="D18" s="499">
        <v>1.3477021599999999</v>
      </c>
      <c r="E18" s="501">
        <v>615.23426004999999</v>
      </c>
      <c r="F18" s="499">
        <v>3155.0668707000004</v>
      </c>
      <c r="G18" s="214">
        <v>3.8291084534154862E-2</v>
      </c>
    </row>
    <row r="19" spans="1:7" ht="30" customHeight="1" thickBot="1">
      <c r="A19" s="429">
        <v>2008</v>
      </c>
      <c r="B19" s="559">
        <v>1219.7052699400001</v>
      </c>
      <c r="C19" s="560">
        <v>1260.4115306800002</v>
      </c>
      <c r="D19" s="559">
        <v>1.4081255100000001</v>
      </c>
      <c r="E19" s="560">
        <v>808.9293028300001</v>
      </c>
      <c r="F19" s="559">
        <v>3290.4542289600004</v>
      </c>
      <c r="G19" s="216">
        <v>4.2911089941482627E-2</v>
      </c>
    </row>
    <row r="20" spans="1:7" ht="20" customHeight="1">
      <c r="A20" s="620" t="s">
        <v>764</v>
      </c>
      <c r="B20" s="620"/>
      <c r="C20" s="620"/>
      <c r="D20" s="620"/>
      <c r="E20" s="620"/>
      <c r="F20" s="620"/>
      <c r="G20" s="620"/>
    </row>
    <row r="22" spans="1:7">
      <c r="A22" s="2" t="s">
        <v>1471</v>
      </c>
    </row>
    <row r="25" spans="1:7">
      <c r="A25" s="2" t="s">
        <v>711</v>
      </c>
    </row>
  </sheetData>
  <mergeCells count="1">
    <mergeCell ref="A2:F2"/>
  </mergeCells>
  <phoneticPr fontId="0" type="noConversion"/>
  <pageMargins left="0.53" right="0.6" top="1.1200000000000001" bottom="0.49" header="0.63" footer="0.4921259845"/>
  <pageSetup paperSize="9" scale="86" orientation="portrait" horizontalDpi="4294967292" verticalDpi="4294967292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E903-B6B0-4347-BAE8-5A5FCCB5C0B9}">
  <sheetPr>
    <pageSetUpPr fitToPage="1"/>
  </sheetPr>
  <dimension ref="A1:J54"/>
  <sheetViews>
    <sheetView topLeftCell="A29" zoomScale="75" workbookViewId="0">
      <selection activeCell="A47" sqref="A47"/>
    </sheetView>
  </sheetViews>
  <sheetFormatPr baseColWidth="10" defaultColWidth="11.3984375" defaultRowHeight="13"/>
  <cols>
    <col min="1" max="1" width="21.796875" style="2" customWidth="1"/>
    <col min="2" max="3" width="15.796875" style="2" customWidth="1"/>
    <col min="4" max="4" width="19.19921875" style="2" customWidth="1"/>
    <col min="5" max="5" width="14.19921875" style="2" customWidth="1"/>
    <col min="6" max="6" width="20.19921875" style="2" customWidth="1"/>
    <col min="7" max="7" width="16.1992187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9.75" customHeight="1">
      <c r="A2" s="2017" t="s">
        <v>391</v>
      </c>
      <c r="B2" s="2021"/>
      <c r="C2" s="2021"/>
      <c r="D2" s="2021"/>
      <c r="E2" s="2021"/>
      <c r="F2" s="177"/>
      <c r="G2" s="177"/>
    </row>
    <row r="3" spans="1:10" ht="24" customHeight="1">
      <c r="A3" s="394" t="s">
        <v>392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  <c r="G3" s="228" t="s">
        <v>2372</v>
      </c>
    </row>
    <row r="4" spans="1:10" ht="15" customHeight="1">
      <c r="A4" s="274"/>
      <c r="B4" s="182" t="s">
        <v>2255</v>
      </c>
      <c r="C4" s="183" t="s">
        <v>2256</v>
      </c>
      <c r="D4" s="182" t="s">
        <v>822</v>
      </c>
      <c r="E4" s="245" t="s">
        <v>823</v>
      </c>
      <c r="F4" s="182"/>
      <c r="G4" s="181" t="s">
        <v>2373</v>
      </c>
    </row>
    <row r="5" spans="1:10" ht="15" customHeight="1">
      <c r="A5" s="274"/>
      <c r="B5" s="182" t="s">
        <v>2259</v>
      </c>
      <c r="C5" s="183" t="s">
        <v>2260</v>
      </c>
      <c r="D5" s="182" t="s">
        <v>824</v>
      </c>
      <c r="E5" s="245" t="s">
        <v>825</v>
      </c>
      <c r="F5" s="182"/>
      <c r="G5" s="181" t="s">
        <v>2377</v>
      </c>
    </row>
    <row r="6" spans="1:10" ht="24" customHeight="1">
      <c r="A6" s="378" t="s">
        <v>2250</v>
      </c>
      <c r="B6" s="188"/>
      <c r="C6" s="187"/>
      <c r="D6" s="188"/>
      <c r="E6" s="248" t="s">
        <v>2262</v>
      </c>
      <c r="F6" s="188"/>
      <c r="G6" s="247"/>
    </row>
    <row r="7" spans="1:10" ht="1.5" customHeight="1" thickBot="1">
      <c r="A7" s="276">
        <v>1996</v>
      </c>
      <c r="B7" s="211">
        <v>228.61851592074831</v>
      </c>
      <c r="C7" s="257">
        <v>250.28080917066114</v>
      </c>
      <c r="D7" s="211">
        <v>156.40767594799246</v>
      </c>
      <c r="E7" s="257">
        <v>39.181749983856008</v>
      </c>
      <c r="F7" s="211">
        <v>232.07567799264095</v>
      </c>
      <c r="G7" s="473" t="s">
        <v>1060</v>
      </c>
    </row>
    <row r="8" spans="1:10" ht="0.75" customHeight="1" thickBot="1">
      <c r="A8" s="278">
        <v>1997</v>
      </c>
      <c r="B8" s="213">
        <v>214.82091350284739</v>
      </c>
      <c r="C8" s="263">
        <v>309.95377266694288</v>
      </c>
      <c r="D8" s="213">
        <v>147.80819168288531</v>
      </c>
      <c r="E8" s="263">
        <v>118.73527169724866</v>
      </c>
      <c r="F8" s="213">
        <v>245.69341951346181</v>
      </c>
      <c r="G8" s="477">
        <v>5.8678021060236452E-2</v>
      </c>
      <c r="H8" s="8"/>
      <c r="I8" s="8"/>
      <c r="J8" s="8"/>
    </row>
    <row r="9" spans="1:10" ht="20" customHeight="1" thickBot="1">
      <c r="A9" s="278">
        <v>1998</v>
      </c>
      <c r="B9" s="213">
        <v>252.5128510168046</v>
      </c>
      <c r="C9" s="263">
        <v>360.17625657491357</v>
      </c>
      <c r="D9" s="213">
        <v>109.45734992662796</v>
      </c>
      <c r="E9" s="263">
        <v>203.07165413877752</v>
      </c>
      <c r="F9" s="213">
        <v>289.40816378154983</v>
      </c>
      <c r="G9" s="477">
        <v>0.17792395235759595</v>
      </c>
    </row>
    <row r="10" spans="1:10" ht="20" customHeight="1" thickBot="1">
      <c r="A10" s="278">
        <v>1999</v>
      </c>
      <c r="B10" s="213">
        <v>252.78194503280005</v>
      </c>
      <c r="C10" s="263">
        <v>388.48632413108436</v>
      </c>
      <c r="D10" s="213">
        <v>77.211639339766236</v>
      </c>
      <c r="E10" s="263">
        <v>225.34003908380205</v>
      </c>
      <c r="F10" s="213">
        <v>301.19915324099151</v>
      </c>
      <c r="G10" s="477">
        <v>4.0741730659476838E-2</v>
      </c>
    </row>
    <row r="11" spans="1:10" ht="20" customHeight="1" thickBot="1">
      <c r="A11" s="278">
        <v>2000</v>
      </c>
      <c r="B11" s="213">
        <v>268.97415894253976</v>
      </c>
      <c r="C11" s="263">
        <v>395.55641048968283</v>
      </c>
      <c r="D11" s="213">
        <v>127.58078154223918</v>
      </c>
      <c r="E11" s="263">
        <v>245.13884972744927</v>
      </c>
      <c r="F11" s="213">
        <v>314.93035979343995</v>
      </c>
      <c r="G11" s="477">
        <v>4.5588463329649498E-2</v>
      </c>
    </row>
    <row r="12" spans="1:10" ht="20" customHeight="1" thickBot="1">
      <c r="A12" s="278">
        <v>2001</v>
      </c>
      <c r="B12" s="213">
        <v>279.87221622151498</v>
      </c>
      <c r="C12" s="263">
        <v>409.91519673787701</v>
      </c>
      <c r="D12" s="213">
        <v>136.13273133558098</v>
      </c>
      <c r="E12" s="263">
        <v>264.16982213438177</v>
      </c>
      <c r="F12" s="213">
        <v>328.74580078618828</v>
      </c>
      <c r="G12" s="477">
        <v>4.3868241225805571E-2</v>
      </c>
    </row>
    <row r="13" spans="1:10" ht="20" customHeight="1" thickBot="1">
      <c r="A13" s="278">
        <v>2002</v>
      </c>
      <c r="B13" s="213">
        <v>286.4170414821387</v>
      </c>
      <c r="C13" s="263">
        <v>418.22409665521263</v>
      </c>
      <c r="D13" s="213">
        <v>142.93477715564441</v>
      </c>
      <c r="E13" s="263">
        <v>301.45728171382285</v>
      </c>
      <c r="F13" s="213">
        <v>340.77001631259407</v>
      </c>
      <c r="G13" s="477">
        <v>3.6576027732217797E-2</v>
      </c>
    </row>
    <row r="14" spans="1:10" ht="20" customHeight="1" thickBot="1">
      <c r="A14" s="278">
        <v>2003</v>
      </c>
      <c r="B14" s="213">
        <v>294.74032000405879</v>
      </c>
      <c r="C14" s="263">
        <v>432.96196147343414</v>
      </c>
      <c r="D14" s="213">
        <v>147.17768028203764</v>
      </c>
      <c r="E14" s="263">
        <v>275.60229235265177</v>
      </c>
      <c r="F14" s="213">
        <v>351.10178312798706</v>
      </c>
      <c r="G14" s="477">
        <v>3.0318884645988087E-2</v>
      </c>
    </row>
    <row r="15" spans="1:10" ht="20" customHeight="1" thickBot="1">
      <c r="A15" s="278">
        <v>2004</v>
      </c>
      <c r="B15" s="213">
        <v>346.67767559714537</v>
      </c>
      <c r="C15" s="263">
        <v>445.61742079017637</v>
      </c>
      <c r="D15" s="213">
        <v>170.9555657016069</v>
      </c>
      <c r="E15" s="263">
        <v>314.69406860308436</v>
      </c>
      <c r="F15" s="213">
        <v>383.59639867630506</v>
      </c>
      <c r="G15" s="477">
        <v>9.2550414466202602E-2</v>
      </c>
    </row>
    <row r="16" spans="1:10" ht="20" customHeight="1" thickBot="1">
      <c r="A16" s="278">
        <v>2005</v>
      </c>
      <c r="B16" s="213">
        <v>369.44498634392721</v>
      </c>
      <c r="C16" s="263">
        <v>468.17286197785694</v>
      </c>
      <c r="D16" s="213">
        <v>182.15224262282666</v>
      </c>
      <c r="E16" s="263">
        <v>325.16017542364909</v>
      </c>
      <c r="F16" s="213">
        <v>402.77581823634506</v>
      </c>
      <c r="G16" s="477">
        <v>4.9998956262945482E-2</v>
      </c>
    </row>
    <row r="17" spans="1:7" ht="20" customHeight="1" thickBot="1">
      <c r="A17" s="278">
        <v>2006</v>
      </c>
      <c r="B17" s="213">
        <v>381.48826099648591</v>
      </c>
      <c r="C17" s="263">
        <v>479.72716225398437</v>
      </c>
      <c r="D17" s="213">
        <v>173.51556238627722</v>
      </c>
      <c r="E17" s="263">
        <v>318.22891670236891</v>
      </c>
      <c r="F17" s="213">
        <v>406.33016890579557</v>
      </c>
      <c r="G17" s="477">
        <v>8.8246376979981278E-3</v>
      </c>
    </row>
    <row r="18" spans="1:7" ht="20" customHeight="1" thickBot="1">
      <c r="A18" s="278">
        <v>2007</v>
      </c>
      <c r="B18" s="213">
        <v>400.55455286147281</v>
      </c>
      <c r="C18" s="263">
        <v>500.15854269388518</v>
      </c>
      <c r="D18" s="213">
        <v>196.2585932147031</v>
      </c>
      <c r="E18" s="263">
        <v>335.92959502889681</v>
      </c>
      <c r="F18" s="213">
        <v>418.57794913092192</v>
      </c>
      <c r="G18" s="477">
        <v>3.014243381954218E-2</v>
      </c>
    </row>
    <row r="19" spans="1:7" ht="21.75" customHeight="1" thickBot="1">
      <c r="A19" s="429">
        <v>2008</v>
      </c>
      <c r="B19" s="430">
        <v>413.84569612436934</v>
      </c>
      <c r="C19" s="431">
        <v>530.13155278898682</v>
      </c>
      <c r="D19" s="430">
        <v>216.27564645013524</v>
      </c>
      <c r="E19" s="431">
        <v>354.13205606736216</v>
      </c>
      <c r="F19" s="430">
        <v>432.06984081146493</v>
      </c>
      <c r="G19" s="777">
        <v>3.223268619036368E-2</v>
      </c>
    </row>
    <row r="20" spans="1:7" ht="17.25" customHeight="1">
      <c r="A20" s="201" t="s">
        <v>764</v>
      </c>
      <c r="B20" s="201"/>
      <c r="C20" s="201"/>
      <c r="D20" s="201"/>
      <c r="E20" s="201"/>
      <c r="F20" s="201"/>
      <c r="G20" s="466"/>
    </row>
    <row r="21" spans="1:7">
      <c r="G21" s="467"/>
    </row>
    <row r="22" spans="1:7">
      <c r="A22" s="2" t="s">
        <v>390</v>
      </c>
      <c r="G22" s="467"/>
    </row>
    <row r="23" spans="1:7">
      <c r="G23" s="467"/>
    </row>
    <row r="24" spans="1:7">
      <c r="G24" s="467"/>
    </row>
    <row r="25" spans="1:7" ht="21" customHeight="1">
      <c r="A25" s="778" t="s">
        <v>389</v>
      </c>
      <c r="G25" s="467"/>
    </row>
    <row r="26" spans="1:7">
      <c r="G26" s="467"/>
    </row>
    <row r="27" spans="1:7" ht="18" customHeight="1">
      <c r="A27" s="394"/>
      <c r="B27" s="179" t="s">
        <v>2369</v>
      </c>
      <c r="C27" s="446" t="s">
        <v>2372</v>
      </c>
      <c r="D27" s="179" t="s">
        <v>2227</v>
      </c>
      <c r="E27" s="446" t="s">
        <v>2372</v>
      </c>
      <c r="F27" s="179" t="s">
        <v>870</v>
      </c>
      <c r="G27" s="446" t="s">
        <v>2372</v>
      </c>
    </row>
    <row r="28" spans="1:7" ht="18" customHeight="1">
      <c r="A28" s="766"/>
      <c r="B28" s="182" t="s">
        <v>2374</v>
      </c>
      <c r="C28" s="494" t="s">
        <v>2373</v>
      </c>
      <c r="D28" s="182" t="s">
        <v>2375</v>
      </c>
      <c r="E28" s="494" t="s">
        <v>2373</v>
      </c>
      <c r="F28" s="182" t="s">
        <v>871</v>
      </c>
      <c r="G28" s="494" t="s">
        <v>2373</v>
      </c>
    </row>
    <row r="29" spans="1:7" ht="18" customHeight="1">
      <c r="A29" s="274"/>
      <c r="B29" s="182"/>
      <c r="C29" s="494" t="s">
        <v>2377</v>
      </c>
      <c r="D29" s="182"/>
      <c r="E29" s="494" t="s">
        <v>2377</v>
      </c>
      <c r="F29" s="182"/>
      <c r="G29" s="494" t="s">
        <v>2377</v>
      </c>
    </row>
    <row r="30" spans="1:7" ht="18" customHeight="1">
      <c r="A30" s="275" t="s">
        <v>821</v>
      </c>
      <c r="B30" s="188"/>
      <c r="C30" s="187"/>
      <c r="D30" s="188"/>
      <c r="E30" s="248"/>
      <c r="F30" s="188"/>
      <c r="G30" s="447"/>
    </row>
    <row r="31" spans="1:7" ht="2.25" customHeight="1" thickBot="1">
      <c r="A31" s="276">
        <v>1996</v>
      </c>
      <c r="B31" s="211" t="s">
        <v>1060</v>
      </c>
      <c r="C31" s="779" t="s">
        <v>1060</v>
      </c>
      <c r="D31" s="211" t="s">
        <v>1060</v>
      </c>
      <c r="E31" s="779" t="s">
        <v>1060</v>
      </c>
      <c r="F31" s="211" t="s">
        <v>1060</v>
      </c>
      <c r="G31" s="473" t="s">
        <v>1060</v>
      </c>
    </row>
    <row r="32" spans="1:7" ht="0.75" customHeight="1" thickBot="1">
      <c r="A32" s="276">
        <v>1997</v>
      </c>
      <c r="B32" s="211">
        <v>63.73</v>
      </c>
      <c r="C32" s="477" t="s">
        <v>1060</v>
      </c>
      <c r="D32" s="211">
        <v>181.03</v>
      </c>
      <c r="E32" s="477" t="s">
        <v>1060</v>
      </c>
      <c r="F32" s="211">
        <v>315.33</v>
      </c>
      <c r="G32" s="477" t="s">
        <v>1060</v>
      </c>
    </row>
    <row r="33" spans="1:7" ht="18" customHeight="1" thickBot="1">
      <c r="A33" s="276">
        <v>1998</v>
      </c>
      <c r="B33" s="213">
        <v>67.75</v>
      </c>
      <c r="C33" s="477">
        <v>6.3078612898164188E-2</v>
      </c>
      <c r="D33" s="213">
        <v>220.5</v>
      </c>
      <c r="E33" s="477">
        <v>0.21803016074683756</v>
      </c>
      <c r="F33" s="213">
        <v>369.64</v>
      </c>
      <c r="G33" s="477">
        <v>0.17223226461167673</v>
      </c>
    </row>
    <row r="34" spans="1:7" ht="18" customHeight="1" thickBot="1">
      <c r="A34" s="276">
        <v>1999</v>
      </c>
      <c r="B34" s="213">
        <v>68.52</v>
      </c>
      <c r="C34" s="477">
        <v>1.1365313653136422E-2</v>
      </c>
      <c r="D34" s="213">
        <v>233.83</v>
      </c>
      <c r="E34" s="477">
        <v>6.0453514739229108E-2</v>
      </c>
      <c r="F34" s="213">
        <v>384.99</v>
      </c>
      <c r="G34" s="477">
        <v>4.1526891029109558E-2</v>
      </c>
    </row>
    <row r="35" spans="1:7" ht="18" customHeight="1" thickBot="1">
      <c r="A35" s="276">
        <v>2000</v>
      </c>
      <c r="B35" s="213">
        <v>71.95</v>
      </c>
      <c r="C35" s="477">
        <v>5.0058377116170671E-2</v>
      </c>
      <c r="D35" s="213">
        <v>241.33</v>
      </c>
      <c r="E35" s="477">
        <v>3.2074584099559544E-2</v>
      </c>
      <c r="F35" s="213">
        <v>405.65</v>
      </c>
      <c r="G35" s="477">
        <v>5.3663731525493974E-2</v>
      </c>
    </row>
    <row r="36" spans="1:7" ht="18" customHeight="1" thickBot="1">
      <c r="A36" s="276">
        <v>2001</v>
      </c>
      <c r="B36" s="213">
        <v>75.150000000000006</v>
      </c>
      <c r="C36" s="477">
        <v>4.4475330090340659E-2</v>
      </c>
      <c r="D36" s="213">
        <v>252.17</v>
      </c>
      <c r="E36" s="477">
        <v>4.4917747482699832E-2</v>
      </c>
      <c r="F36" s="213">
        <v>422.68</v>
      </c>
      <c r="G36" s="477">
        <v>4.1982004190805E-2</v>
      </c>
    </row>
    <row r="37" spans="1:7" ht="18" customHeight="1" thickBot="1">
      <c r="A37" s="276">
        <v>2002</v>
      </c>
      <c r="B37" s="213">
        <v>75.16</v>
      </c>
      <c r="C37" s="477">
        <v>1.3306719893524388E-4</v>
      </c>
      <c r="D37" s="213">
        <v>258.77</v>
      </c>
      <c r="E37" s="477">
        <v>2.6172819923067747E-2</v>
      </c>
      <c r="F37" s="213">
        <v>434.56</v>
      </c>
      <c r="G37" s="477">
        <v>2.8106368884262212E-2</v>
      </c>
    </row>
    <row r="38" spans="1:7" ht="18" customHeight="1" thickBot="1">
      <c r="A38" s="276">
        <v>2003</v>
      </c>
      <c r="B38" s="213">
        <v>77.430000000000007</v>
      </c>
      <c r="C38" s="477">
        <v>3.0202235231506336E-2</v>
      </c>
      <c r="D38" s="213">
        <v>267.27999999999997</v>
      </c>
      <c r="E38" s="477">
        <v>3.2886346949028145E-2</v>
      </c>
      <c r="F38" s="213">
        <v>445.21</v>
      </c>
      <c r="G38" s="477">
        <v>2.4507547864506485E-2</v>
      </c>
    </row>
    <row r="39" spans="1:7" ht="18" customHeight="1" thickBot="1">
      <c r="A39" s="276">
        <v>2004</v>
      </c>
      <c r="B39" s="213">
        <v>80.83</v>
      </c>
      <c r="C39" s="477">
        <v>4.391062895518516E-2</v>
      </c>
      <c r="D39" s="213">
        <v>289.83</v>
      </c>
      <c r="E39" s="477">
        <v>8.4368452559114182E-2</v>
      </c>
      <c r="F39" s="213">
        <v>485.65</v>
      </c>
      <c r="G39" s="477">
        <v>9.0833539228678539E-2</v>
      </c>
    </row>
    <row r="40" spans="1:7" ht="18" customHeight="1" thickBot="1">
      <c r="A40" s="276">
        <v>2005</v>
      </c>
      <c r="B40" s="213">
        <v>88.02</v>
      </c>
      <c r="C40" s="477">
        <v>8.8952121736978862E-2</v>
      </c>
      <c r="D40" s="213">
        <v>302.69</v>
      </c>
      <c r="E40" s="477">
        <v>4.4370838077493646E-2</v>
      </c>
      <c r="F40" s="213">
        <v>505.01</v>
      </c>
      <c r="G40" s="477">
        <v>3.9864099660249286E-2</v>
      </c>
    </row>
    <row r="41" spans="1:7" ht="18" customHeight="1" thickBot="1">
      <c r="A41" s="276">
        <v>2006</v>
      </c>
      <c r="B41" s="213">
        <v>89.58</v>
      </c>
      <c r="C41" s="477">
        <v>1.7723244717109843E-2</v>
      </c>
      <c r="D41" s="213">
        <v>304.13</v>
      </c>
      <c r="E41" s="477">
        <v>4.7573424956226518E-3</v>
      </c>
      <c r="F41" s="213">
        <v>510.09</v>
      </c>
      <c r="G41" s="477">
        <v>1.0059206748381122E-2</v>
      </c>
    </row>
    <row r="42" spans="1:7" ht="18" customHeight="1" thickBot="1">
      <c r="A42" s="276">
        <v>2007</v>
      </c>
      <c r="B42" s="213">
        <v>92.79</v>
      </c>
      <c r="C42" s="477">
        <v>3.5833891493637138E-2</v>
      </c>
      <c r="D42" s="213">
        <v>309.54000000000002</v>
      </c>
      <c r="E42" s="477">
        <v>1.7788445730444247E-2</v>
      </c>
      <c r="F42" s="213">
        <v>522.22</v>
      </c>
      <c r="G42" s="477">
        <v>2.3780117234213582E-2</v>
      </c>
    </row>
    <row r="43" spans="1:7" ht="21" customHeight="1" thickBot="1">
      <c r="A43" s="780">
        <v>2008</v>
      </c>
      <c r="B43" s="781">
        <v>95.087019294832501</v>
      </c>
      <c r="C43" s="777">
        <v>2.4755030658826227E-2</v>
      </c>
      <c r="D43" s="442">
        <v>320.79966291492889</v>
      </c>
      <c r="E43" s="777">
        <v>3.6375469777504943E-2</v>
      </c>
      <c r="F43" s="442">
        <v>538.06114670750605</v>
      </c>
      <c r="G43" s="777">
        <v>3.0334239798372353E-2</v>
      </c>
    </row>
    <row r="44" spans="1:7" ht="15" customHeight="1">
      <c r="A44" s="587" t="s">
        <v>367</v>
      </c>
    </row>
    <row r="46" spans="1:7">
      <c r="A46" s="202" t="s">
        <v>1679</v>
      </c>
    </row>
    <row r="48" spans="1:7">
      <c r="G48" s="467"/>
    </row>
    <row r="49" spans="1:1">
      <c r="A49" s="266" t="s">
        <v>1127</v>
      </c>
    </row>
    <row r="50" spans="1:1">
      <c r="A50" s="2" t="s">
        <v>385</v>
      </c>
    </row>
    <row r="51" spans="1:1">
      <c r="A51" s="2" t="s">
        <v>386</v>
      </c>
    </row>
    <row r="54" spans="1:1">
      <c r="A54" s="2" t="s">
        <v>711</v>
      </c>
    </row>
  </sheetData>
  <mergeCells count="1">
    <mergeCell ref="A2:E2"/>
  </mergeCells>
  <phoneticPr fontId="0" type="noConversion"/>
  <pageMargins left="0.39370078740157483" right="0.39370078740157483" top="0.39370078740157483" bottom="0.33" header="0.23622047244094491" footer="0.21"/>
  <pageSetup paperSize="9" scale="70" orientation="portrait" horizontalDpi="1200" verticalDpi="12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ABB3-9F8C-2E49-A675-194E7C39DFB1}">
  <sheetPr>
    <pageSetUpPr fitToPage="1"/>
  </sheetPr>
  <dimension ref="A1:M42"/>
  <sheetViews>
    <sheetView zoomScale="75" workbookViewId="0">
      <selection activeCell="K39" sqref="K39"/>
    </sheetView>
  </sheetViews>
  <sheetFormatPr baseColWidth="10" defaultColWidth="11.3984375" defaultRowHeight="13"/>
  <cols>
    <col min="1" max="1" width="14" style="2" customWidth="1"/>
    <col min="2" max="2" width="0.19921875" style="2" customWidth="1"/>
    <col min="3" max="11" width="10.3984375" style="2" customWidth="1"/>
    <col min="12" max="16384" width="11.3984375" style="2"/>
  </cols>
  <sheetData>
    <row r="1" spans="1:13" s="1" customFormat="1" ht="14" customHeight="1"/>
    <row r="2" spans="1:13" s="1" customFormat="1" ht="39.75" customHeight="1">
      <c r="A2" s="2017" t="s">
        <v>1682</v>
      </c>
      <c r="B2" s="2021"/>
      <c r="C2" s="2021"/>
      <c r="D2" s="2021"/>
      <c r="E2" s="2021"/>
      <c r="F2" s="2021"/>
      <c r="G2" s="2021"/>
      <c r="H2" s="2021"/>
      <c r="I2" s="298"/>
      <c r="J2" s="298"/>
      <c r="K2" s="298"/>
      <c r="L2" s="298"/>
      <c r="M2" s="298"/>
    </row>
    <row r="3" spans="1:13" ht="24" customHeight="1">
      <c r="A3" s="677" t="s">
        <v>2368</v>
      </c>
      <c r="B3" s="183">
        <v>1997</v>
      </c>
      <c r="C3" s="182">
        <v>1998</v>
      </c>
      <c r="D3" s="183">
        <v>1999</v>
      </c>
      <c r="E3" s="783">
        <v>2000</v>
      </c>
      <c r="F3" s="784">
        <v>2001</v>
      </c>
      <c r="G3" s="182">
        <v>2002</v>
      </c>
      <c r="H3" s="183">
        <v>2003</v>
      </c>
      <c r="I3" s="182">
        <v>2004</v>
      </c>
      <c r="J3" s="183">
        <v>2005</v>
      </c>
      <c r="K3" s="182">
        <v>2006</v>
      </c>
      <c r="L3" s="183">
        <v>2007</v>
      </c>
      <c r="M3" s="182">
        <v>2008</v>
      </c>
    </row>
    <row r="4" spans="1:13" ht="15" customHeight="1">
      <c r="A4" s="678"/>
      <c r="B4" s="183"/>
      <c r="C4" s="182"/>
      <c r="D4" s="183"/>
      <c r="E4" s="209"/>
      <c r="F4" s="245"/>
      <c r="G4" s="182"/>
      <c r="H4" s="183"/>
      <c r="I4" s="182"/>
      <c r="J4" s="183"/>
      <c r="K4" s="182"/>
      <c r="L4" s="183"/>
      <c r="M4" s="182"/>
    </row>
    <row r="5" spans="1:13" ht="16" customHeight="1">
      <c r="A5" s="671"/>
      <c r="B5" s="187"/>
      <c r="C5" s="188"/>
      <c r="D5" s="187"/>
      <c r="E5" s="210"/>
      <c r="F5" s="248"/>
      <c r="G5" s="188"/>
      <c r="H5" s="187"/>
      <c r="I5" s="188"/>
      <c r="J5" s="187"/>
      <c r="K5" s="188"/>
      <c r="L5" s="187"/>
      <c r="M5" s="188"/>
    </row>
    <row r="6" spans="1:13" ht="30" customHeight="1" thickBot="1">
      <c r="A6" s="785" t="s">
        <v>2378</v>
      </c>
      <c r="B6" s="382">
        <v>1574.74</v>
      </c>
      <c r="C6" s="381">
        <v>1712.02</v>
      </c>
      <c r="D6" s="382">
        <v>1767.1</v>
      </c>
      <c r="E6" s="381">
        <v>1853.81</v>
      </c>
      <c r="F6" s="382">
        <v>1945.7</v>
      </c>
      <c r="G6" s="381">
        <v>1997.6</v>
      </c>
      <c r="H6" s="257">
        <v>2040.72</v>
      </c>
      <c r="I6" s="211">
        <v>2204.77</v>
      </c>
      <c r="J6" s="257">
        <v>2262.65</v>
      </c>
      <c r="K6" s="211">
        <v>2279.52</v>
      </c>
      <c r="L6" s="257">
        <v>2380.5</v>
      </c>
      <c r="M6" s="211">
        <v>2491.8616173272144</v>
      </c>
    </row>
    <row r="7" spans="1:13" ht="20" customHeight="1" thickBot="1">
      <c r="A7" s="786" t="s">
        <v>2379</v>
      </c>
      <c r="B7" s="263">
        <v>1405.21</v>
      </c>
      <c r="C7" s="213">
        <v>1555.67</v>
      </c>
      <c r="D7" s="263">
        <v>1637.63</v>
      </c>
      <c r="E7" s="213">
        <v>1832.02</v>
      </c>
      <c r="F7" s="263">
        <v>1887.26</v>
      </c>
      <c r="G7" s="213">
        <v>1965.91</v>
      </c>
      <c r="H7" s="257">
        <v>2126.35</v>
      </c>
      <c r="I7" s="211">
        <v>2366.1</v>
      </c>
      <c r="J7" s="257">
        <v>2494.56</v>
      </c>
      <c r="K7" s="211">
        <v>2565.0300000000002</v>
      </c>
      <c r="L7" s="257">
        <v>2662.74</v>
      </c>
      <c r="M7" s="211">
        <v>2792.8234297533545</v>
      </c>
    </row>
    <row r="8" spans="1:13" ht="20" customHeight="1" thickBot="1">
      <c r="A8" s="786" t="s">
        <v>2380</v>
      </c>
      <c r="B8" s="263">
        <v>1184.71</v>
      </c>
      <c r="C8" s="213">
        <v>1246.68</v>
      </c>
      <c r="D8" s="263">
        <v>1319.84</v>
      </c>
      <c r="E8" s="213">
        <v>1425.18</v>
      </c>
      <c r="F8" s="263">
        <v>1529.85</v>
      </c>
      <c r="G8" s="213">
        <v>1579.99</v>
      </c>
      <c r="H8" s="257">
        <v>1686.93</v>
      </c>
      <c r="I8" s="211">
        <v>1800.15</v>
      </c>
      <c r="J8" s="257">
        <v>1960.76</v>
      </c>
      <c r="K8" s="211">
        <v>1926.27</v>
      </c>
      <c r="L8" s="257">
        <v>2026.47</v>
      </c>
      <c r="M8" s="211">
        <v>2115.3419598530504</v>
      </c>
    </row>
    <row r="9" spans="1:13" ht="20" customHeight="1" thickBot="1">
      <c r="A9" s="786" t="s">
        <v>2381</v>
      </c>
      <c r="B9" s="263">
        <v>1223.1600000000001</v>
      </c>
      <c r="C9" s="213">
        <v>1225.93</v>
      </c>
      <c r="D9" s="263">
        <v>1305.03</v>
      </c>
      <c r="E9" s="213">
        <v>1419.01</v>
      </c>
      <c r="F9" s="263">
        <v>1569.55</v>
      </c>
      <c r="G9" s="213">
        <v>1489.15</v>
      </c>
      <c r="H9" s="257">
        <v>1621.62</v>
      </c>
      <c r="I9" s="211">
        <v>1668.24</v>
      </c>
      <c r="J9" s="257">
        <v>1854.56</v>
      </c>
      <c r="K9" s="211">
        <v>1860.39</v>
      </c>
      <c r="L9" s="257">
        <v>1991.41</v>
      </c>
      <c r="M9" s="211">
        <v>2056.4202737698852</v>
      </c>
    </row>
    <row r="10" spans="1:13" ht="20" customHeight="1" thickBot="1">
      <c r="A10" s="786" t="s">
        <v>2382</v>
      </c>
      <c r="B10" s="263">
        <v>1225.3599999999999</v>
      </c>
      <c r="C10" s="213">
        <v>1219.58</v>
      </c>
      <c r="D10" s="263">
        <v>1329.14</v>
      </c>
      <c r="E10" s="213">
        <v>1433.5</v>
      </c>
      <c r="F10" s="263">
        <v>1590.79</v>
      </c>
      <c r="G10" s="213">
        <v>1578.63</v>
      </c>
      <c r="H10" s="257">
        <v>1700.18</v>
      </c>
      <c r="I10" s="211">
        <v>1790.74</v>
      </c>
      <c r="J10" s="257">
        <v>1891.09</v>
      </c>
      <c r="K10" s="211">
        <v>1938.8</v>
      </c>
      <c r="L10" s="257">
        <v>2026.57</v>
      </c>
      <c r="M10" s="211">
        <v>2079.4510203078826</v>
      </c>
    </row>
    <row r="11" spans="1:13" ht="20" customHeight="1" thickBot="1">
      <c r="A11" s="786" t="s">
        <v>2383</v>
      </c>
      <c r="B11" s="263">
        <v>1181.44</v>
      </c>
      <c r="C11" s="213">
        <v>1263.81</v>
      </c>
      <c r="D11" s="263">
        <v>1289.94</v>
      </c>
      <c r="E11" s="213">
        <v>1396.65</v>
      </c>
      <c r="F11" s="263">
        <v>1431.96</v>
      </c>
      <c r="G11" s="213">
        <v>1455.13</v>
      </c>
      <c r="H11" s="257">
        <v>1567.61</v>
      </c>
      <c r="I11" s="211">
        <v>1619.38</v>
      </c>
      <c r="J11" s="257">
        <v>1745.05</v>
      </c>
      <c r="K11" s="211">
        <v>1793.54</v>
      </c>
      <c r="L11" s="257">
        <v>1937.03</v>
      </c>
      <c r="M11" s="211">
        <v>2016.7732516325768</v>
      </c>
    </row>
    <row r="12" spans="1:13" ht="20" customHeight="1" thickBot="1">
      <c r="A12" s="786" t="s">
        <v>2384</v>
      </c>
      <c r="B12" s="263">
        <v>1090.96</v>
      </c>
      <c r="C12" s="213">
        <v>1128.8900000000001</v>
      </c>
      <c r="D12" s="263">
        <v>1207.8499999999999</v>
      </c>
      <c r="E12" s="213">
        <v>1351.49</v>
      </c>
      <c r="F12" s="263">
        <v>1381.42</v>
      </c>
      <c r="G12" s="213">
        <v>1410.12</v>
      </c>
      <c r="H12" s="257">
        <v>1526.73</v>
      </c>
      <c r="I12" s="211">
        <v>1555.61</v>
      </c>
      <c r="J12" s="257">
        <v>1650.2</v>
      </c>
      <c r="K12" s="211">
        <v>1705.83</v>
      </c>
      <c r="L12" s="257">
        <v>1862.27</v>
      </c>
      <c r="M12" s="211">
        <v>1917.3528882445571</v>
      </c>
    </row>
    <row r="13" spans="1:13" ht="20" customHeight="1" thickBot="1">
      <c r="A13" s="786" t="s">
        <v>2385</v>
      </c>
      <c r="B13" s="263">
        <v>1304</v>
      </c>
      <c r="C13" s="213">
        <v>1339.52</v>
      </c>
      <c r="D13" s="263">
        <v>1481.14</v>
      </c>
      <c r="E13" s="213">
        <v>1589.34</v>
      </c>
      <c r="F13" s="263">
        <v>1656.5</v>
      </c>
      <c r="G13" s="213">
        <v>1719.94</v>
      </c>
      <c r="H13" s="257">
        <v>1747.83</v>
      </c>
      <c r="I13" s="211">
        <v>1865.56</v>
      </c>
      <c r="J13" s="257">
        <v>1970.12</v>
      </c>
      <c r="K13" s="211">
        <v>1960.34</v>
      </c>
      <c r="L13" s="257">
        <v>2031.72</v>
      </c>
      <c r="M13" s="211">
        <v>2173.5117444409648</v>
      </c>
    </row>
    <row r="14" spans="1:13" ht="20" customHeight="1" thickBot="1">
      <c r="A14" s="786" t="s">
        <v>2386</v>
      </c>
      <c r="B14" s="263">
        <v>1159.56</v>
      </c>
      <c r="C14" s="213">
        <v>1229.81</v>
      </c>
      <c r="D14" s="263">
        <v>1290.81</v>
      </c>
      <c r="E14" s="213">
        <v>1395.64</v>
      </c>
      <c r="F14" s="263">
        <v>1563.95</v>
      </c>
      <c r="G14" s="213">
        <v>1651.83</v>
      </c>
      <c r="H14" s="257">
        <v>1695.75</v>
      </c>
      <c r="I14" s="211">
        <v>1773.25</v>
      </c>
      <c r="J14" s="257">
        <v>1866.95</v>
      </c>
      <c r="K14" s="211">
        <v>1885.95</v>
      </c>
      <c r="L14" s="257">
        <v>2018.81</v>
      </c>
      <c r="M14" s="211">
        <v>2067.7010235788703</v>
      </c>
    </row>
    <row r="15" spans="1:13" ht="20" customHeight="1" thickBot="1">
      <c r="A15" s="786" t="s">
        <v>2387</v>
      </c>
      <c r="B15" s="263">
        <v>1675.91</v>
      </c>
      <c r="C15" s="213">
        <v>1574.84</v>
      </c>
      <c r="D15" s="263">
        <v>1642.48</v>
      </c>
      <c r="E15" s="213">
        <v>1704.33</v>
      </c>
      <c r="F15" s="263">
        <v>1823.19</v>
      </c>
      <c r="G15" s="213">
        <v>1920.23</v>
      </c>
      <c r="H15" s="257">
        <v>1947.27</v>
      </c>
      <c r="I15" s="211">
        <v>2008.7</v>
      </c>
      <c r="J15" s="257">
        <v>2140.27</v>
      </c>
      <c r="K15" s="211">
        <v>2205.13</v>
      </c>
      <c r="L15" s="257">
        <v>2285.81</v>
      </c>
      <c r="M15" s="211">
        <v>2346.8264861348903</v>
      </c>
    </row>
    <row r="16" spans="1:13" ht="20" customHeight="1" thickBot="1">
      <c r="A16" s="786" t="s">
        <v>2388</v>
      </c>
      <c r="B16" s="263">
        <v>1324.05</v>
      </c>
      <c r="C16" s="213">
        <v>1482.28</v>
      </c>
      <c r="D16" s="263">
        <v>1547.69</v>
      </c>
      <c r="E16" s="213">
        <v>1646.33</v>
      </c>
      <c r="F16" s="263">
        <v>1724.47</v>
      </c>
      <c r="G16" s="213">
        <v>1839.3</v>
      </c>
      <c r="H16" s="257">
        <v>2005.14</v>
      </c>
      <c r="I16" s="211">
        <v>2081.4</v>
      </c>
      <c r="J16" s="257">
        <v>2189.8200000000002</v>
      </c>
      <c r="K16" s="211">
        <v>2259.56</v>
      </c>
      <c r="L16" s="257">
        <v>2380.6</v>
      </c>
      <c r="M16" s="211">
        <v>2485.6816571564432</v>
      </c>
    </row>
    <row r="17" spans="1:13" ht="20" customHeight="1" thickBot="1">
      <c r="A17" s="786" t="s">
        <v>2389</v>
      </c>
      <c r="B17" s="263">
        <v>2231.2399999999998</v>
      </c>
      <c r="C17" s="213">
        <v>2342.92</v>
      </c>
      <c r="D17" s="263">
        <v>2423.2199999999998</v>
      </c>
      <c r="E17" s="213">
        <v>2585.5100000000002</v>
      </c>
      <c r="F17" s="263">
        <v>2736.33</v>
      </c>
      <c r="G17" s="213">
        <v>2755.5</v>
      </c>
      <c r="H17" s="257">
        <v>2805.3</v>
      </c>
      <c r="I17" s="211">
        <v>2883.22</v>
      </c>
      <c r="J17" s="257">
        <v>3141.52</v>
      </c>
      <c r="K17" s="211">
        <v>3162.18</v>
      </c>
      <c r="L17" s="257">
        <v>3290.8</v>
      </c>
      <c r="M17" s="211">
        <v>3701.1725486253081</v>
      </c>
    </row>
    <row r="18" spans="1:13" ht="20" customHeight="1" thickBot="1">
      <c r="A18" s="786" t="s">
        <v>2390</v>
      </c>
      <c r="B18" s="263">
        <v>1605.13</v>
      </c>
      <c r="C18" s="213">
        <v>1649.3</v>
      </c>
      <c r="D18" s="263">
        <v>1769.72</v>
      </c>
      <c r="E18" s="213">
        <v>1894.49</v>
      </c>
      <c r="F18" s="263">
        <v>2012</v>
      </c>
      <c r="G18" s="213">
        <v>2085.25</v>
      </c>
      <c r="H18" s="257">
        <v>2167.37</v>
      </c>
      <c r="I18" s="211">
        <v>2197.11</v>
      </c>
      <c r="J18" s="257">
        <v>2359.2199999999998</v>
      </c>
      <c r="K18" s="211">
        <v>2386.52</v>
      </c>
      <c r="L18" s="257">
        <v>2508.2199999999998</v>
      </c>
      <c r="M18" s="211">
        <v>2712.8333111027127</v>
      </c>
    </row>
    <row r="19" spans="1:13" ht="20" customHeight="1" thickBot="1">
      <c r="A19" s="786" t="s">
        <v>2391</v>
      </c>
      <c r="B19" s="263">
        <v>1457.88</v>
      </c>
      <c r="C19" s="213">
        <v>1533.8</v>
      </c>
      <c r="D19" s="263">
        <v>1735.7</v>
      </c>
      <c r="E19" s="213">
        <v>1831.18</v>
      </c>
      <c r="F19" s="263">
        <v>1926.28</v>
      </c>
      <c r="G19" s="213">
        <v>1971.15</v>
      </c>
      <c r="H19" s="257">
        <v>2049.35</v>
      </c>
      <c r="I19" s="211">
        <v>2120.3000000000002</v>
      </c>
      <c r="J19" s="257">
        <v>2204.77</v>
      </c>
      <c r="K19" s="211">
        <v>2202.85</v>
      </c>
      <c r="L19" s="257">
        <v>2301.19</v>
      </c>
      <c r="M19" s="211">
        <v>2379.6936298361434</v>
      </c>
    </row>
    <row r="20" spans="1:13" ht="20" customHeight="1" thickBot="1">
      <c r="A20" s="786" t="s">
        <v>2392</v>
      </c>
      <c r="B20" s="263">
        <v>1156.06</v>
      </c>
      <c r="C20" s="213">
        <v>1200.6099999999999</v>
      </c>
      <c r="D20" s="263">
        <v>1317.39</v>
      </c>
      <c r="E20" s="213">
        <v>1421.13</v>
      </c>
      <c r="F20" s="263">
        <v>1480.04</v>
      </c>
      <c r="G20" s="213">
        <v>1518.84</v>
      </c>
      <c r="H20" s="257">
        <v>1649</v>
      </c>
      <c r="I20" s="211">
        <v>1698.48</v>
      </c>
      <c r="J20" s="257">
        <v>1773.7</v>
      </c>
      <c r="K20" s="211">
        <v>1775.69</v>
      </c>
      <c r="L20" s="257">
        <v>1869.43</v>
      </c>
      <c r="M20" s="211">
        <v>1941.1932571642631</v>
      </c>
    </row>
    <row r="21" spans="1:13" ht="20" customHeight="1" thickBot="1">
      <c r="A21" s="786" t="s">
        <v>2393</v>
      </c>
      <c r="B21" s="263">
        <v>977.88</v>
      </c>
      <c r="C21" s="213">
        <v>980.34</v>
      </c>
      <c r="D21" s="263">
        <v>1110.8599999999999</v>
      </c>
      <c r="E21" s="213">
        <v>1222.43</v>
      </c>
      <c r="F21" s="263">
        <v>1303.8599999999999</v>
      </c>
      <c r="G21" s="213">
        <v>1422.39</v>
      </c>
      <c r="H21" s="257">
        <v>1474.35</v>
      </c>
      <c r="I21" s="211">
        <v>1464.82</v>
      </c>
      <c r="J21" s="257">
        <v>1571.68</v>
      </c>
      <c r="K21" s="211">
        <v>1525.3</v>
      </c>
      <c r="L21" s="257">
        <v>1560.62</v>
      </c>
      <c r="M21" s="211">
        <v>1764.606978701366</v>
      </c>
    </row>
    <row r="22" spans="1:13" ht="20" customHeight="1" thickBot="1">
      <c r="A22" s="786" t="s">
        <v>2394</v>
      </c>
      <c r="B22" s="263">
        <v>1220.83</v>
      </c>
      <c r="C22" s="213">
        <v>1268.57</v>
      </c>
      <c r="D22" s="263">
        <v>1372.38</v>
      </c>
      <c r="E22" s="213">
        <v>1447.46</v>
      </c>
      <c r="F22" s="263">
        <v>1518.72</v>
      </c>
      <c r="G22" s="213">
        <v>1603.49</v>
      </c>
      <c r="H22" s="257">
        <v>1748.34</v>
      </c>
      <c r="I22" s="211">
        <v>1828.82</v>
      </c>
      <c r="J22" s="257">
        <v>1892.44</v>
      </c>
      <c r="K22" s="211">
        <v>1898.79</v>
      </c>
      <c r="L22" s="257">
        <v>1992.59</v>
      </c>
      <c r="M22" s="211">
        <v>2068.3631025655222</v>
      </c>
    </row>
    <row r="23" spans="1:13" ht="20" customHeight="1" thickBot="1">
      <c r="A23" s="786" t="s">
        <v>2395</v>
      </c>
      <c r="B23" s="263">
        <v>1241.78</v>
      </c>
      <c r="C23" s="213">
        <v>1273.6199999999999</v>
      </c>
      <c r="D23" s="263">
        <v>1397.39</v>
      </c>
      <c r="E23" s="213">
        <v>1553.84</v>
      </c>
      <c r="F23" s="263">
        <v>1573.39</v>
      </c>
      <c r="G23" s="213">
        <v>1596.96</v>
      </c>
      <c r="H23" s="257">
        <v>1798.77</v>
      </c>
      <c r="I23" s="211">
        <v>1865.58</v>
      </c>
      <c r="J23" s="257">
        <v>1943.18</v>
      </c>
      <c r="K23" s="211">
        <v>1998.89</v>
      </c>
      <c r="L23" s="257">
        <v>2140.9</v>
      </c>
      <c r="M23" s="211">
        <v>2202.200833869515</v>
      </c>
    </row>
    <row r="24" spans="1:13" ht="20" customHeight="1" thickBot="1">
      <c r="A24" s="786" t="s">
        <v>2396</v>
      </c>
      <c r="B24" s="263">
        <v>1261.31</v>
      </c>
      <c r="C24" s="213">
        <v>1367.78</v>
      </c>
      <c r="D24" s="263">
        <v>1484.07</v>
      </c>
      <c r="E24" s="213">
        <v>1600.06</v>
      </c>
      <c r="F24" s="263">
        <v>1688.86</v>
      </c>
      <c r="G24" s="213">
        <v>1759.97</v>
      </c>
      <c r="H24" s="257">
        <v>1853.89</v>
      </c>
      <c r="I24" s="211">
        <v>1912.21</v>
      </c>
      <c r="J24" s="257">
        <v>2044</v>
      </c>
      <c r="K24" s="211">
        <v>2096.9699999999998</v>
      </c>
      <c r="L24" s="257">
        <v>2167</v>
      </c>
      <c r="M24" s="211">
        <v>2279.5863567080901</v>
      </c>
    </row>
    <row r="25" spans="1:13" ht="20" customHeight="1" thickBot="1">
      <c r="A25" s="786" t="s">
        <v>2397</v>
      </c>
      <c r="B25" s="263">
        <v>1446.55</v>
      </c>
      <c r="C25" s="213">
        <v>1489.6</v>
      </c>
      <c r="D25" s="263">
        <v>1562.52</v>
      </c>
      <c r="E25" s="213">
        <v>1631.21</v>
      </c>
      <c r="F25" s="263">
        <v>1694.01</v>
      </c>
      <c r="G25" s="213">
        <v>1826.69</v>
      </c>
      <c r="H25" s="257">
        <v>1914.58</v>
      </c>
      <c r="I25" s="211">
        <v>1906.85</v>
      </c>
      <c r="J25" s="257">
        <v>1972.24</v>
      </c>
      <c r="K25" s="211">
        <v>1962.29</v>
      </c>
      <c r="L25" s="257">
        <v>2070</v>
      </c>
      <c r="M25" s="211">
        <v>2161.7181025961295</v>
      </c>
    </row>
    <row r="26" spans="1:13" ht="20" customHeight="1" thickBot="1">
      <c r="A26" s="786" t="s">
        <v>2398</v>
      </c>
      <c r="B26" s="263">
        <v>1954.92</v>
      </c>
      <c r="C26" s="213">
        <v>1985.34</v>
      </c>
      <c r="D26" s="263">
        <v>2047.88</v>
      </c>
      <c r="E26" s="213">
        <v>2244.37</v>
      </c>
      <c r="F26" s="263">
        <v>2358.9899999999998</v>
      </c>
      <c r="G26" s="213">
        <v>2511</v>
      </c>
      <c r="H26" s="257">
        <v>2651.52</v>
      </c>
      <c r="I26" s="211">
        <v>2632.57</v>
      </c>
      <c r="J26" s="257">
        <v>2809.82</v>
      </c>
      <c r="K26" s="211">
        <v>2816.03</v>
      </c>
      <c r="L26" s="257">
        <v>2892.4</v>
      </c>
      <c r="M26" s="211">
        <v>2865.9805688521046</v>
      </c>
    </row>
    <row r="27" spans="1:13" ht="20" customHeight="1" thickBot="1">
      <c r="A27" s="786" t="s">
        <v>2399</v>
      </c>
      <c r="B27" s="263">
        <v>2044.73</v>
      </c>
      <c r="C27" s="213">
        <v>2059.25</v>
      </c>
      <c r="D27" s="263">
        <v>2097.46</v>
      </c>
      <c r="E27" s="213">
        <v>2268.5100000000002</v>
      </c>
      <c r="F27" s="263">
        <v>2422.64</v>
      </c>
      <c r="G27" s="213">
        <v>2479.8000000000002</v>
      </c>
      <c r="H27" s="257">
        <v>2575.5300000000002</v>
      </c>
      <c r="I27" s="211">
        <v>2616.02</v>
      </c>
      <c r="J27" s="257">
        <v>2740.2</v>
      </c>
      <c r="K27" s="211">
        <v>2732.29</v>
      </c>
      <c r="L27" s="257">
        <v>2777.04</v>
      </c>
      <c r="M27" s="211">
        <v>2867.7026837617591</v>
      </c>
    </row>
    <row r="28" spans="1:13" ht="20" customHeight="1" thickBot="1">
      <c r="A28" s="786" t="s">
        <v>2400</v>
      </c>
      <c r="B28" s="263">
        <v>1415.95</v>
      </c>
      <c r="C28" s="213">
        <v>1391.67</v>
      </c>
      <c r="D28" s="263">
        <v>1477.29</v>
      </c>
      <c r="E28" s="213">
        <v>1625.44</v>
      </c>
      <c r="F28" s="263">
        <v>1716.24</v>
      </c>
      <c r="G28" s="213">
        <v>1795.24</v>
      </c>
      <c r="H28" s="257">
        <v>1906.24</v>
      </c>
      <c r="I28" s="211">
        <v>1912.21</v>
      </c>
      <c r="J28" s="257">
        <v>2033.28</v>
      </c>
      <c r="K28" s="211">
        <v>2086.69</v>
      </c>
      <c r="L28" s="257">
        <v>2215.88</v>
      </c>
      <c r="M28" s="211">
        <v>2291.7430844693799</v>
      </c>
    </row>
    <row r="29" spans="1:13" ht="20" customHeight="1" thickBot="1">
      <c r="A29" s="786" t="s">
        <v>2401</v>
      </c>
      <c r="B29" s="263">
        <v>1793.44</v>
      </c>
      <c r="C29" s="213">
        <v>2003.05</v>
      </c>
      <c r="D29" s="263">
        <v>1859.86</v>
      </c>
      <c r="E29" s="213">
        <v>2231.21</v>
      </c>
      <c r="F29" s="263">
        <v>2345.88</v>
      </c>
      <c r="G29" s="213">
        <v>2370.9899999999998</v>
      </c>
      <c r="H29" s="257">
        <v>2463.52</v>
      </c>
      <c r="I29" s="211">
        <v>2659.11</v>
      </c>
      <c r="J29" s="257">
        <v>2678.97</v>
      </c>
      <c r="K29" s="211">
        <v>2569.15</v>
      </c>
      <c r="L29" s="257">
        <v>2576.5100000000002</v>
      </c>
      <c r="M29" s="211">
        <v>2691.5935668898587</v>
      </c>
    </row>
    <row r="30" spans="1:13" ht="20" customHeight="1" thickBot="1">
      <c r="A30" s="786" t="s">
        <v>2402</v>
      </c>
      <c r="B30" s="263">
        <v>2354.1799999999998</v>
      </c>
      <c r="C30" s="213">
        <v>2570.25</v>
      </c>
      <c r="D30" s="263">
        <v>2550.08</v>
      </c>
      <c r="E30" s="213">
        <v>2671.53</v>
      </c>
      <c r="F30" s="263">
        <v>2915.74</v>
      </c>
      <c r="G30" s="213">
        <v>3015.51</v>
      </c>
      <c r="H30" s="257">
        <v>2871.83</v>
      </c>
      <c r="I30" s="211">
        <v>2997.66</v>
      </c>
      <c r="J30" s="257">
        <v>3226.97</v>
      </c>
      <c r="K30" s="211">
        <v>3180.86</v>
      </c>
      <c r="L30" s="257">
        <v>3238.02</v>
      </c>
      <c r="M30" s="211">
        <v>3391.2625997346909</v>
      </c>
    </row>
    <row r="31" spans="1:13" ht="20" customHeight="1" thickBot="1">
      <c r="A31" s="786" t="s">
        <v>2403</v>
      </c>
      <c r="B31" s="263">
        <v>1743.78</v>
      </c>
      <c r="C31" s="213">
        <v>1825.7</v>
      </c>
      <c r="D31" s="263">
        <v>2010.66</v>
      </c>
      <c r="E31" s="213">
        <v>2029.99</v>
      </c>
      <c r="F31" s="263">
        <v>2178.44</v>
      </c>
      <c r="G31" s="213">
        <v>2254.27</v>
      </c>
      <c r="H31" s="257">
        <v>2091.5700000000002</v>
      </c>
      <c r="I31" s="211">
        <v>2253.96</v>
      </c>
      <c r="J31" s="257">
        <v>2461.69</v>
      </c>
      <c r="K31" s="211">
        <v>2362.73</v>
      </c>
      <c r="L31" s="257">
        <v>2449.73</v>
      </c>
      <c r="M31" s="211">
        <v>2653.0839794207427</v>
      </c>
    </row>
    <row r="32" spans="1:13" ht="30" customHeight="1" thickBot="1">
      <c r="A32" s="685" t="s">
        <v>2404</v>
      </c>
      <c r="B32" s="431">
        <v>1557.27</v>
      </c>
      <c r="C32" s="430">
        <v>1647.56</v>
      </c>
      <c r="D32" s="431">
        <v>1717.23</v>
      </c>
      <c r="E32" s="430">
        <v>1846.79</v>
      </c>
      <c r="F32" s="431">
        <v>1946.82</v>
      </c>
      <c r="G32" s="430">
        <v>2014.31</v>
      </c>
      <c r="H32" s="259">
        <v>2108.92</v>
      </c>
      <c r="I32" s="442">
        <v>2211.54</v>
      </c>
      <c r="J32" s="571">
        <v>2330.34</v>
      </c>
      <c r="K32" s="442">
        <v>2350.5300000000002</v>
      </c>
      <c r="L32" s="571">
        <v>2441.98</v>
      </c>
      <c r="M32" s="442">
        <v>2548.4616692016748</v>
      </c>
    </row>
    <row r="33" spans="1:8" ht="20" customHeight="1">
      <c r="A33" s="201" t="s">
        <v>367</v>
      </c>
      <c r="B33" s="585"/>
      <c r="C33" s="585"/>
      <c r="D33" s="585"/>
      <c r="E33" s="585"/>
      <c r="F33" s="585"/>
      <c r="G33" s="585"/>
      <c r="H33" s="650"/>
    </row>
    <row r="34" spans="1:8" ht="15.75" customHeight="1">
      <c r="A34" s="202"/>
      <c r="B34" s="586"/>
      <c r="C34" s="586"/>
      <c r="D34" s="586"/>
      <c r="E34" s="586"/>
      <c r="F34" s="586"/>
      <c r="G34" s="586"/>
      <c r="H34" s="651"/>
    </row>
    <row r="35" spans="1:8" ht="14.25" customHeight="1">
      <c r="A35" s="202" t="s">
        <v>1680</v>
      </c>
      <c r="B35" s="586"/>
      <c r="C35" s="586"/>
      <c r="D35" s="586"/>
      <c r="E35" s="586"/>
      <c r="F35" s="586"/>
      <c r="G35" s="586"/>
      <c r="H35" s="651"/>
    </row>
    <row r="36" spans="1:8" ht="13.5" customHeight="1">
      <c r="A36" s="202"/>
      <c r="B36" s="586"/>
      <c r="C36" s="586"/>
      <c r="D36" s="586"/>
      <c r="E36" s="586"/>
      <c r="F36" s="586"/>
      <c r="G36" s="586"/>
      <c r="H36" s="651"/>
    </row>
    <row r="37" spans="1:8" ht="12.75" customHeight="1">
      <c r="A37" s="202" t="s">
        <v>1681</v>
      </c>
      <c r="B37" s="586"/>
      <c r="C37" s="586"/>
      <c r="D37" s="586"/>
      <c r="E37" s="586"/>
      <c r="F37" s="586"/>
      <c r="G37" s="586"/>
      <c r="H37" s="651"/>
    </row>
    <row r="38" spans="1:8" ht="12.75" customHeight="1">
      <c r="A38" s="202" t="s">
        <v>364</v>
      </c>
      <c r="B38" s="586"/>
      <c r="C38" s="586"/>
      <c r="D38" s="586"/>
      <c r="E38" s="586"/>
      <c r="F38" s="586"/>
      <c r="G38" s="586"/>
      <c r="H38" s="651"/>
    </row>
    <row r="39" spans="1:8" ht="12.75" customHeight="1">
      <c r="A39" s="2" t="s">
        <v>396</v>
      </c>
      <c r="B39" s="586"/>
      <c r="C39" s="586"/>
      <c r="D39" s="586"/>
      <c r="E39" s="586"/>
      <c r="F39" s="586"/>
      <c r="G39" s="586"/>
      <c r="H39" s="651"/>
    </row>
    <row r="41" spans="1:8">
      <c r="A41" s="202"/>
    </row>
    <row r="42" spans="1:8">
      <c r="A42" s="202" t="s">
        <v>711</v>
      </c>
    </row>
  </sheetData>
  <mergeCells count="1">
    <mergeCell ref="A2:H2"/>
  </mergeCells>
  <phoneticPr fontId="0" type="noConversion"/>
  <pageMargins left="0.45" right="0.49" top="0.76" bottom="0.49" header="0.56000000000000005" footer="0.4921259845"/>
  <pageSetup paperSize="9" scale="72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5ADE-9D04-A345-A7E7-17470D6C4ED8}">
  <dimension ref="A1:I42"/>
  <sheetViews>
    <sheetView zoomScale="75" workbookViewId="0">
      <selection activeCell="I29" sqref="I29"/>
    </sheetView>
  </sheetViews>
  <sheetFormatPr baseColWidth="10" defaultColWidth="11.3984375" defaultRowHeight="13"/>
  <cols>
    <col min="1" max="3" width="14.796875" style="2" customWidth="1"/>
    <col min="4" max="4" width="16" style="2" customWidth="1"/>
    <col min="5" max="5" width="17" style="2" customWidth="1"/>
    <col min="6" max="6" width="16.3984375" style="2" customWidth="1"/>
    <col min="7" max="7" width="14.796875" style="92" customWidth="1"/>
    <col min="8" max="8" width="11.3984375" style="2"/>
    <col min="9" max="9" width="14.59765625" style="2" customWidth="1"/>
    <col min="10" max="16384" width="11.3984375" style="2"/>
  </cols>
  <sheetData>
    <row r="1" spans="1:9" s="1" customFormat="1" ht="14" customHeight="1">
      <c r="G1" s="227"/>
    </row>
    <row r="2" spans="1:9" s="1" customFormat="1" ht="28" customHeight="1">
      <c r="A2" s="177" t="s">
        <v>1649</v>
      </c>
      <c r="G2" s="177">
        <v>2008</v>
      </c>
    </row>
    <row r="3" spans="1:9" ht="27" customHeight="1">
      <c r="A3" s="178" t="s">
        <v>2368</v>
      </c>
      <c r="B3" s="179" t="s">
        <v>2369</v>
      </c>
      <c r="C3" s="180" t="s">
        <v>1867</v>
      </c>
      <c r="D3" s="179" t="s">
        <v>1868</v>
      </c>
      <c r="E3" s="180" t="s">
        <v>164</v>
      </c>
      <c r="F3" s="179" t="s">
        <v>164</v>
      </c>
      <c r="G3" s="228" t="s">
        <v>2372</v>
      </c>
    </row>
    <row r="4" spans="1:9" ht="15" customHeight="1">
      <c r="A4" s="181"/>
      <c r="B4" s="182"/>
      <c r="C4" s="181"/>
      <c r="D4" s="184"/>
      <c r="E4" s="183" t="s">
        <v>1646</v>
      </c>
      <c r="F4" s="182" t="s">
        <v>1869</v>
      </c>
      <c r="G4" s="181" t="s">
        <v>2373</v>
      </c>
    </row>
    <row r="5" spans="1:9" ht="15" customHeight="1">
      <c r="A5" s="181"/>
      <c r="B5" s="182"/>
      <c r="C5" s="181"/>
      <c r="D5" s="184"/>
      <c r="E5" s="183" t="s">
        <v>1647</v>
      </c>
      <c r="F5" s="182" t="s">
        <v>2371</v>
      </c>
      <c r="G5" s="181" t="s">
        <v>2377</v>
      </c>
    </row>
    <row r="6" spans="1:9" ht="24" customHeight="1">
      <c r="A6" s="185"/>
      <c r="B6" s="186"/>
      <c r="C6" s="185"/>
      <c r="D6" s="186"/>
      <c r="E6" s="187"/>
      <c r="F6" s="188"/>
      <c r="G6" s="185"/>
    </row>
    <row r="7" spans="1:9" ht="30" customHeight="1" thickBot="1">
      <c r="A7" s="190" t="s">
        <v>2378</v>
      </c>
      <c r="B7" s="191">
        <v>240278806</v>
      </c>
      <c r="C7" s="192">
        <v>1470619404</v>
      </c>
      <c r="D7" s="191">
        <v>2151708474</v>
      </c>
      <c r="E7" s="192">
        <v>3622327878</v>
      </c>
      <c r="F7" s="191">
        <v>3862606684</v>
      </c>
      <c r="G7" s="229">
        <v>6.2962774326234913E-2</v>
      </c>
      <c r="I7" s="194"/>
    </row>
    <row r="8" spans="1:9" ht="20" customHeight="1" thickBot="1">
      <c r="A8" s="195" t="s">
        <v>2379</v>
      </c>
      <c r="B8" s="191">
        <v>145729199</v>
      </c>
      <c r="C8" s="192">
        <v>1219582521</v>
      </c>
      <c r="D8" s="191">
        <v>1748365639</v>
      </c>
      <c r="E8" s="192">
        <v>2967948160</v>
      </c>
      <c r="F8" s="191">
        <v>3113677359</v>
      </c>
      <c r="G8" s="229">
        <v>4.7242168595773674E-2</v>
      </c>
      <c r="I8" s="194"/>
    </row>
    <row r="9" spans="1:9" ht="20" customHeight="1" thickBot="1">
      <c r="A9" s="195" t="s">
        <v>2380</v>
      </c>
      <c r="B9" s="191">
        <v>53423004</v>
      </c>
      <c r="C9" s="192">
        <v>353206335</v>
      </c>
      <c r="D9" s="191">
        <v>504301741</v>
      </c>
      <c r="E9" s="192">
        <v>857508076</v>
      </c>
      <c r="F9" s="191">
        <v>910931080</v>
      </c>
      <c r="G9" s="229">
        <v>5.4229776741622576E-2</v>
      </c>
      <c r="I9" s="194"/>
    </row>
    <row r="10" spans="1:9" ht="20" customHeight="1" thickBot="1">
      <c r="A10" s="195" t="s">
        <v>2381</v>
      </c>
      <c r="B10" s="191">
        <v>4962661</v>
      </c>
      <c r="C10" s="192">
        <v>34142497</v>
      </c>
      <c r="D10" s="191">
        <v>46475115</v>
      </c>
      <c r="E10" s="192">
        <v>80617612</v>
      </c>
      <c r="F10" s="191">
        <v>85580273</v>
      </c>
      <c r="G10" s="229">
        <v>2.8143321328194509E-2</v>
      </c>
      <c r="I10" s="194"/>
    </row>
    <row r="11" spans="1:9" ht="20" customHeight="1" thickBot="1">
      <c r="A11" s="195" t="s">
        <v>2382</v>
      </c>
      <c r="B11" s="191">
        <v>24854473</v>
      </c>
      <c r="C11" s="192">
        <v>142016677</v>
      </c>
      <c r="D11" s="191">
        <v>186621120</v>
      </c>
      <c r="E11" s="192">
        <v>328637797</v>
      </c>
      <c r="F11" s="191">
        <v>353492270</v>
      </c>
      <c r="G11" s="229">
        <v>5.2103184929440861E-2</v>
      </c>
      <c r="I11" s="194"/>
    </row>
    <row r="12" spans="1:9" ht="20" customHeight="1" thickBot="1">
      <c r="A12" s="195" t="s">
        <v>2383</v>
      </c>
      <c r="B12" s="191">
        <v>5518446</v>
      </c>
      <c r="C12" s="192">
        <v>32734594</v>
      </c>
      <c r="D12" s="191">
        <v>44693200</v>
      </c>
      <c r="E12" s="192">
        <v>77427794</v>
      </c>
      <c r="F12" s="191">
        <v>82946240</v>
      </c>
      <c r="G12" s="229">
        <v>4.8872358624944025E-2</v>
      </c>
      <c r="I12" s="194"/>
    </row>
    <row r="13" spans="1:9" ht="20" customHeight="1" thickBot="1">
      <c r="A13" s="195" t="s">
        <v>2384</v>
      </c>
      <c r="B13" s="191">
        <v>5415791</v>
      </c>
      <c r="C13" s="192">
        <v>35964880</v>
      </c>
      <c r="D13" s="191">
        <v>50164583</v>
      </c>
      <c r="E13" s="192">
        <v>86129463</v>
      </c>
      <c r="F13" s="191">
        <v>91545254</v>
      </c>
      <c r="G13" s="229">
        <v>4.7157496603110347E-2</v>
      </c>
      <c r="I13" s="194"/>
    </row>
    <row r="14" spans="1:9" ht="20" customHeight="1" thickBot="1">
      <c r="A14" s="195" t="s">
        <v>2385</v>
      </c>
      <c r="B14" s="191">
        <v>6634661</v>
      </c>
      <c r="C14" s="192">
        <v>38289239</v>
      </c>
      <c r="D14" s="191">
        <v>53650528</v>
      </c>
      <c r="E14" s="192">
        <v>91939767</v>
      </c>
      <c r="F14" s="191">
        <v>98574428</v>
      </c>
      <c r="G14" s="229">
        <v>7.3774024805189894E-2</v>
      </c>
      <c r="I14" s="194"/>
    </row>
    <row r="15" spans="1:9" ht="20" customHeight="1" thickBot="1">
      <c r="A15" s="195" t="s">
        <v>2386</v>
      </c>
      <c r="B15" s="191">
        <v>16796570</v>
      </c>
      <c r="C15" s="192">
        <v>103762186</v>
      </c>
      <c r="D15" s="191">
        <v>147905051</v>
      </c>
      <c r="E15" s="192">
        <v>251667237</v>
      </c>
      <c r="F15" s="191">
        <v>268463807</v>
      </c>
      <c r="G15" s="229">
        <v>5.0529941913162499E-2</v>
      </c>
      <c r="I15" s="194"/>
    </row>
    <row r="16" spans="1:9" ht="20" customHeight="1" thickBot="1">
      <c r="A16" s="195" t="s">
        <v>2387</v>
      </c>
      <c r="B16" s="191">
        <v>52984506</v>
      </c>
      <c r="C16" s="192">
        <v>282573288</v>
      </c>
      <c r="D16" s="191">
        <v>402163196</v>
      </c>
      <c r="E16" s="192">
        <v>684736484</v>
      </c>
      <c r="F16" s="191">
        <v>737720990</v>
      </c>
      <c r="G16" s="229">
        <v>5.2343145741470198E-2</v>
      </c>
      <c r="I16" s="194"/>
    </row>
    <row r="17" spans="1:9" ht="20" customHeight="1" thickBot="1">
      <c r="A17" s="195" t="s">
        <v>2388</v>
      </c>
      <c r="B17" s="191">
        <v>42840915</v>
      </c>
      <c r="C17" s="192">
        <v>292480494</v>
      </c>
      <c r="D17" s="191">
        <v>400631361</v>
      </c>
      <c r="E17" s="192">
        <v>693111855</v>
      </c>
      <c r="F17" s="191">
        <v>735952770</v>
      </c>
      <c r="G17" s="229">
        <v>5.7806017389420324E-2</v>
      </c>
      <c r="I17" s="194"/>
    </row>
    <row r="18" spans="1:9" ht="20" customHeight="1" thickBot="1">
      <c r="A18" s="195" t="s">
        <v>2389</v>
      </c>
      <c r="B18" s="191">
        <v>35598361</v>
      </c>
      <c r="C18" s="192">
        <v>283852860</v>
      </c>
      <c r="D18" s="191">
        <v>437239064</v>
      </c>
      <c r="E18" s="192">
        <v>721091924</v>
      </c>
      <c r="F18" s="191">
        <v>756690285</v>
      </c>
      <c r="G18" s="229">
        <v>6.1830098180440045E-2</v>
      </c>
      <c r="I18" s="194"/>
    </row>
    <row r="19" spans="1:9" ht="20" customHeight="1" thickBot="1">
      <c r="A19" s="195" t="s">
        <v>2390</v>
      </c>
      <c r="B19" s="191">
        <v>52972969</v>
      </c>
      <c r="C19" s="192">
        <v>338486110</v>
      </c>
      <c r="D19" s="191">
        <v>473456967</v>
      </c>
      <c r="E19" s="192">
        <v>811943077</v>
      </c>
      <c r="F19" s="191">
        <v>864916046</v>
      </c>
      <c r="G19" s="229">
        <v>7.1547254284135303E-2</v>
      </c>
      <c r="I19" s="194"/>
    </row>
    <row r="20" spans="1:9" ht="20" customHeight="1" thickBot="1">
      <c r="A20" s="195" t="s">
        <v>2391</v>
      </c>
      <c r="B20" s="191">
        <v>11085905</v>
      </c>
      <c r="C20" s="192">
        <v>81062222</v>
      </c>
      <c r="D20" s="191">
        <v>120823599</v>
      </c>
      <c r="E20" s="192">
        <v>201885821</v>
      </c>
      <c r="F20" s="191">
        <v>212971726</v>
      </c>
      <c r="G20" s="229">
        <v>4.4552882338091897E-2</v>
      </c>
      <c r="I20" s="194"/>
    </row>
    <row r="21" spans="1:9" ht="20" customHeight="1" thickBot="1">
      <c r="A21" s="195" t="s">
        <v>2392</v>
      </c>
      <c r="B21" s="191">
        <v>7944377</v>
      </c>
      <c r="C21" s="192">
        <v>48079356</v>
      </c>
      <c r="D21" s="191">
        <v>67202029</v>
      </c>
      <c r="E21" s="192">
        <v>115281385</v>
      </c>
      <c r="F21" s="191">
        <v>123225762</v>
      </c>
      <c r="G21" s="229">
        <v>5.6674471646094161E-2</v>
      </c>
      <c r="I21" s="194"/>
    </row>
    <row r="22" spans="1:9" ht="20" customHeight="1" thickBot="1">
      <c r="A22" s="195" t="s">
        <v>2393</v>
      </c>
      <c r="B22" s="191">
        <v>2387183</v>
      </c>
      <c r="C22" s="192">
        <v>13398648</v>
      </c>
      <c r="D22" s="191">
        <v>16723631</v>
      </c>
      <c r="E22" s="192">
        <v>30122279</v>
      </c>
      <c r="F22" s="191">
        <v>32509462</v>
      </c>
      <c r="G22" s="229">
        <v>0.13783712657735764</v>
      </c>
      <c r="I22" s="194"/>
    </row>
    <row r="23" spans="1:9" ht="20" customHeight="1" thickBot="1">
      <c r="A23" s="195" t="s">
        <v>2394</v>
      </c>
      <c r="B23" s="191">
        <v>79949838</v>
      </c>
      <c r="C23" s="192">
        <v>445473732</v>
      </c>
      <c r="D23" s="191">
        <v>627823477</v>
      </c>
      <c r="E23" s="192">
        <v>1073297209</v>
      </c>
      <c r="F23" s="191">
        <v>1153247047</v>
      </c>
      <c r="G23" s="229">
        <v>5.4807809614884316E-2</v>
      </c>
      <c r="I23" s="194"/>
    </row>
    <row r="24" spans="1:9" ht="20" customHeight="1" thickBot="1">
      <c r="A24" s="195" t="s">
        <v>2395</v>
      </c>
      <c r="B24" s="191">
        <v>30708020</v>
      </c>
      <c r="C24" s="192">
        <v>194042010</v>
      </c>
      <c r="D24" s="191">
        <v>277216913</v>
      </c>
      <c r="E24" s="192">
        <v>471258923</v>
      </c>
      <c r="F24" s="191">
        <v>501966943</v>
      </c>
      <c r="G24" s="229">
        <v>4.0763776769616261E-2</v>
      </c>
      <c r="I24" s="194"/>
    </row>
    <row r="25" spans="1:9" ht="20" customHeight="1" thickBot="1">
      <c r="A25" s="195" t="s">
        <v>2396</v>
      </c>
      <c r="B25" s="191">
        <v>102629927</v>
      </c>
      <c r="C25" s="192">
        <v>621153557</v>
      </c>
      <c r="D25" s="191">
        <v>862741141</v>
      </c>
      <c r="E25" s="192">
        <v>1483894698</v>
      </c>
      <c r="F25" s="191">
        <v>1586524625</v>
      </c>
      <c r="G25" s="229">
        <v>7.0931567039867874E-2</v>
      </c>
      <c r="I25" s="194"/>
    </row>
    <row r="26" spans="1:9" ht="20" customHeight="1" thickBot="1">
      <c r="A26" s="195" t="s">
        <v>2397</v>
      </c>
      <c r="B26" s="191">
        <v>41934897</v>
      </c>
      <c r="C26" s="192">
        <v>244072606</v>
      </c>
      <c r="D26" s="191">
        <v>330917254</v>
      </c>
      <c r="E26" s="192">
        <v>574989860</v>
      </c>
      <c r="F26" s="191">
        <v>616924757</v>
      </c>
      <c r="G26" s="229">
        <v>6.3982356048274305E-2</v>
      </c>
      <c r="I26" s="194"/>
    </row>
    <row r="27" spans="1:9" ht="20" customHeight="1" thickBot="1">
      <c r="A27" s="195" t="s">
        <v>2398</v>
      </c>
      <c r="B27" s="191">
        <v>54097677</v>
      </c>
      <c r="C27" s="192">
        <v>426692079</v>
      </c>
      <c r="D27" s="191">
        <v>601058728</v>
      </c>
      <c r="E27" s="192">
        <v>1027750807</v>
      </c>
      <c r="F27" s="191">
        <v>1081848484</v>
      </c>
      <c r="G27" s="229">
        <v>9.7939519204190938E-3</v>
      </c>
      <c r="I27" s="194"/>
    </row>
    <row r="28" spans="1:9" ht="20" customHeight="1" thickBot="1">
      <c r="A28" s="195" t="s">
        <v>2399</v>
      </c>
      <c r="B28" s="191">
        <v>160336577</v>
      </c>
      <c r="C28" s="192">
        <v>819796537</v>
      </c>
      <c r="D28" s="191">
        <v>1252328960</v>
      </c>
      <c r="E28" s="192">
        <v>2072125497</v>
      </c>
      <c r="F28" s="191">
        <v>2232462074</v>
      </c>
      <c r="G28" s="229">
        <v>4.6731107119579528E-2</v>
      </c>
      <c r="I28" s="194"/>
    </row>
    <row r="29" spans="1:9" ht="20" customHeight="1" thickBot="1">
      <c r="A29" s="195" t="s">
        <v>2400</v>
      </c>
      <c r="B29" s="191">
        <v>50702852</v>
      </c>
      <c r="C29" s="192">
        <v>325740427</v>
      </c>
      <c r="D29" s="191">
        <v>441812672</v>
      </c>
      <c r="E29" s="192">
        <v>767553099</v>
      </c>
      <c r="F29" s="191">
        <v>818255951</v>
      </c>
      <c r="G29" s="229">
        <v>4.9085056465603676E-2</v>
      </c>
      <c r="I29" s="194"/>
    </row>
    <row r="30" spans="1:9" ht="20" customHeight="1" thickBot="1">
      <c r="A30" s="195" t="s">
        <v>2401</v>
      </c>
      <c r="B30" s="191">
        <v>32748370</v>
      </c>
      <c r="C30" s="192">
        <v>196766267</v>
      </c>
      <c r="D30" s="191">
        <v>299537016</v>
      </c>
      <c r="E30" s="192">
        <v>496303283</v>
      </c>
      <c r="F30" s="191">
        <v>529051653</v>
      </c>
      <c r="G30" s="229">
        <v>5.0080339380141684E-2</v>
      </c>
      <c r="I30" s="194"/>
    </row>
    <row r="31" spans="1:9" ht="20" customHeight="1" thickBot="1">
      <c r="A31" s="195" t="s">
        <v>2402</v>
      </c>
      <c r="B31" s="191">
        <v>114719542</v>
      </c>
      <c r="C31" s="192">
        <v>579528323</v>
      </c>
      <c r="D31" s="191">
        <v>903136484</v>
      </c>
      <c r="E31" s="192">
        <v>1482664807</v>
      </c>
      <c r="F31" s="191">
        <v>1597384349</v>
      </c>
      <c r="G31" s="229">
        <v>5.8962693013884793E-2</v>
      </c>
      <c r="I31" s="194"/>
    </row>
    <row r="32" spans="1:9" ht="20" customHeight="1" thickBot="1">
      <c r="A32" s="196" t="s">
        <v>2403</v>
      </c>
      <c r="B32" s="191">
        <v>14257035</v>
      </c>
      <c r="C32" s="192">
        <v>82635877</v>
      </c>
      <c r="D32" s="191">
        <v>118295391</v>
      </c>
      <c r="E32" s="192">
        <v>200931268</v>
      </c>
      <c r="F32" s="191">
        <v>215188303</v>
      </c>
      <c r="G32" s="229">
        <v>4.0667788907983018E-2</v>
      </c>
      <c r="I32" s="194"/>
    </row>
    <row r="33" spans="1:9" ht="30" customHeight="1" thickBot="1">
      <c r="A33" s="197" t="s">
        <v>2404</v>
      </c>
      <c r="B33" s="198">
        <v>1391512562</v>
      </c>
      <c r="C33" s="199">
        <v>8706152726</v>
      </c>
      <c r="D33" s="198">
        <v>12566993334</v>
      </c>
      <c r="E33" s="199">
        <v>21273146060</v>
      </c>
      <c r="F33" s="198">
        <v>22664658622</v>
      </c>
      <c r="G33" s="230">
        <v>5.3686154103588082E-2</v>
      </c>
      <c r="I33" s="194"/>
    </row>
    <row r="34" spans="1:9" ht="20" customHeight="1">
      <c r="A34" s="201" t="s">
        <v>2367</v>
      </c>
      <c r="B34" s="201"/>
      <c r="C34" s="201"/>
      <c r="D34" s="201"/>
      <c r="E34" s="201"/>
      <c r="F34" s="201"/>
      <c r="G34" s="231"/>
    </row>
    <row r="35" spans="1:9" ht="13.5" customHeight="1">
      <c r="A35" s="202"/>
      <c r="B35" s="202"/>
      <c r="C35" s="202"/>
      <c r="D35" s="202"/>
      <c r="E35" s="202"/>
      <c r="F35" s="202"/>
      <c r="G35" s="232"/>
    </row>
    <row r="36" spans="1:9" ht="13.5" customHeight="1">
      <c r="A36" s="202" t="s">
        <v>2405</v>
      </c>
      <c r="B36" s="202"/>
      <c r="C36" s="202"/>
      <c r="D36" s="202"/>
      <c r="E36" s="202"/>
      <c r="F36" s="202"/>
      <c r="G36" s="232"/>
    </row>
    <row r="37" spans="1:9" ht="12.75" customHeight="1">
      <c r="A37" s="202"/>
      <c r="B37" s="202"/>
      <c r="C37" s="202"/>
      <c r="D37" s="202"/>
      <c r="E37" s="202"/>
      <c r="F37" s="202"/>
      <c r="G37" s="232"/>
    </row>
    <row r="38" spans="1:9" ht="12" customHeight="1">
      <c r="A38" s="202" t="s">
        <v>1103</v>
      </c>
    </row>
    <row r="39" spans="1:9" ht="12" customHeight="1">
      <c r="A39" s="2" t="s">
        <v>1648</v>
      </c>
    </row>
    <row r="40" spans="1:9" ht="12" customHeight="1"/>
    <row r="41" spans="1:9" ht="12" customHeight="1"/>
    <row r="42" spans="1:9">
      <c r="A42" s="202" t="s">
        <v>711</v>
      </c>
    </row>
  </sheetData>
  <phoneticPr fontId="0" type="noConversion"/>
  <pageMargins left="0.56000000000000005" right="0.64" top="0.81" bottom="0.49" header="0.44" footer="0.4921259845"/>
  <pageSetup paperSize="9" scale="80" orientation="portrait" horizontalDpi="1200" verticalDpi="12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57DF-3922-1C42-926C-980B555AD913}">
  <dimension ref="A1:I41"/>
  <sheetViews>
    <sheetView zoomScale="75" workbookViewId="0">
      <selection activeCell="A37" sqref="A37"/>
    </sheetView>
  </sheetViews>
  <sheetFormatPr baseColWidth="10" defaultColWidth="11.3984375" defaultRowHeight="13"/>
  <cols>
    <col min="1" max="1" width="14.796875" style="2" customWidth="1"/>
    <col min="2" max="6" width="14.796875" style="7" customWidth="1"/>
    <col min="7" max="7" width="14.796875" style="225" customWidth="1"/>
    <col min="8" max="8" width="11.3984375" style="2"/>
    <col min="9" max="9" width="0" style="2" hidden="1" customWidth="1"/>
    <col min="10" max="16384" width="11.3984375" style="2"/>
  </cols>
  <sheetData>
    <row r="1" spans="1:9" s="1" customFormat="1" ht="14" customHeight="1">
      <c r="B1" s="240"/>
      <c r="C1" s="240"/>
      <c r="D1" s="240"/>
      <c r="E1" s="240"/>
      <c r="F1" s="240"/>
      <c r="G1" s="205"/>
    </row>
    <row r="2" spans="1:9" s="1" customFormat="1" ht="39.75" customHeight="1">
      <c r="A2" s="2017" t="s">
        <v>1119</v>
      </c>
      <c r="B2" s="2021"/>
      <c r="C2" s="2021"/>
      <c r="D2" s="2021"/>
      <c r="E2" s="2021"/>
      <c r="F2" s="2021"/>
      <c r="G2" s="241">
        <v>2008</v>
      </c>
      <c r="H2" s="241"/>
    </row>
    <row r="3" spans="1:9" ht="27" customHeight="1">
      <c r="A3" s="178" t="s">
        <v>2368</v>
      </c>
      <c r="B3" s="208" t="s">
        <v>2369</v>
      </c>
      <c r="C3" s="242" t="s">
        <v>1867</v>
      </c>
      <c r="D3" s="208" t="s">
        <v>1868</v>
      </c>
      <c r="E3" s="242" t="s">
        <v>164</v>
      </c>
      <c r="F3" s="208" t="s">
        <v>164</v>
      </c>
      <c r="G3" s="180" t="s">
        <v>2372</v>
      </c>
    </row>
    <row r="4" spans="1:9" ht="15" customHeight="1">
      <c r="A4" s="181"/>
      <c r="B4" s="209"/>
      <c r="C4" s="243"/>
      <c r="D4" s="244"/>
      <c r="E4" s="245" t="s">
        <v>1646</v>
      </c>
      <c r="F4" s="209" t="s">
        <v>1869</v>
      </c>
      <c r="G4" s="183" t="s">
        <v>2373</v>
      </c>
    </row>
    <row r="5" spans="1:9" ht="15" customHeight="1">
      <c r="A5" s="181"/>
      <c r="B5" s="209"/>
      <c r="C5" s="243"/>
      <c r="D5" s="244"/>
      <c r="E5" s="245" t="s">
        <v>1647</v>
      </c>
      <c r="F5" s="209" t="s">
        <v>2371</v>
      </c>
      <c r="G5" s="183" t="s">
        <v>2377</v>
      </c>
    </row>
    <row r="6" spans="1:9" ht="24" customHeight="1">
      <c r="A6" s="185"/>
      <c r="B6" s="246"/>
      <c r="C6" s="247"/>
      <c r="D6" s="246"/>
      <c r="E6" s="248"/>
      <c r="F6" s="210"/>
      <c r="G6" s="187"/>
    </row>
    <row r="7" spans="1:9" ht="30" customHeight="1" thickBot="1">
      <c r="A7" s="190" t="s">
        <v>2378</v>
      </c>
      <c r="B7" s="233">
        <v>82.33373013262279</v>
      </c>
      <c r="C7" s="234">
        <v>234.60736950316732</v>
      </c>
      <c r="D7" s="233">
        <v>325.54882895477402</v>
      </c>
      <c r="E7" s="234">
        <v>281.28206092288195</v>
      </c>
      <c r="F7" s="233">
        <v>244.52628757497652</v>
      </c>
      <c r="G7" s="212">
        <v>4.5069306128553865E-2</v>
      </c>
      <c r="I7" s="194">
        <v>172.8785586534616</v>
      </c>
    </row>
    <row r="8" spans="1:9" ht="20" customHeight="1" thickBot="1">
      <c r="A8" s="195" t="s">
        <v>2379</v>
      </c>
      <c r="B8" s="233">
        <v>67.523491335372071</v>
      </c>
      <c r="C8" s="234">
        <v>271.15572356660709</v>
      </c>
      <c r="D8" s="233">
        <v>357.58461591008751</v>
      </c>
      <c r="E8" s="234">
        <v>316.17198522402799</v>
      </c>
      <c r="F8" s="233">
        <v>269.69173301389657</v>
      </c>
      <c r="G8" s="214">
        <v>4.2685770972069659E-2</v>
      </c>
      <c r="I8" s="194">
        <v>161.49387493756916</v>
      </c>
    </row>
    <row r="9" spans="1:9" ht="20" customHeight="1" thickBot="1">
      <c r="A9" s="195" t="s">
        <v>2380</v>
      </c>
      <c r="B9" s="233">
        <v>58.193472066089775</v>
      </c>
      <c r="C9" s="234">
        <v>207.6404281360667</v>
      </c>
      <c r="D9" s="233">
        <v>282.15020935999178</v>
      </c>
      <c r="E9" s="234">
        <v>245.81786085722115</v>
      </c>
      <c r="F9" s="233">
        <v>206.72853105882973</v>
      </c>
      <c r="G9" s="214">
        <v>4.1327555297027224E-2</v>
      </c>
      <c r="I9" s="194">
        <v>129.41591119853354</v>
      </c>
    </row>
    <row r="10" spans="1:9" ht="20" customHeight="1" thickBot="1">
      <c r="A10" s="195" t="s">
        <v>2381</v>
      </c>
      <c r="B10" s="233">
        <v>56.861691644896645</v>
      </c>
      <c r="C10" s="234">
        <v>204.79436286859092</v>
      </c>
      <c r="D10" s="233">
        <v>277.21181375706823</v>
      </c>
      <c r="E10" s="234">
        <v>241.09579520306238</v>
      </c>
      <c r="F10" s="233">
        <v>202.95652741019001</v>
      </c>
      <c r="G10" s="214">
        <v>2.3988497581684927E-2</v>
      </c>
      <c r="I10" s="194">
        <v>126.90557061409594</v>
      </c>
    </row>
    <row r="11" spans="1:9" ht="20" customHeight="1" thickBot="1">
      <c r="A11" s="195" t="s">
        <v>2382</v>
      </c>
      <c r="B11" s="233">
        <v>70.056014995208301</v>
      </c>
      <c r="C11" s="234">
        <v>207.19778499480606</v>
      </c>
      <c r="D11" s="233">
        <v>278.84529871620168</v>
      </c>
      <c r="E11" s="234">
        <v>242.59011341222879</v>
      </c>
      <c r="F11" s="233">
        <v>206.78302341525281</v>
      </c>
      <c r="G11" s="214">
        <v>3.3632277459056718E-2</v>
      </c>
      <c r="I11" s="194">
        <v>131.64111605385247</v>
      </c>
    </row>
    <row r="12" spans="1:9" ht="20" customHeight="1" thickBot="1">
      <c r="A12" s="195" t="s">
        <v>2383</v>
      </c>
      <c r="B12" s="233">
        <v>62.254027345336404</v>
      </c>
      <c r="C12" s="234">
        <v>199.69859687652513</v>
      </c>
      <c r="D12" s="233">
        <v>271.51952564943741</v>
      </c>
      <c r="E12" s="234">
        <v>235.70965758262096</v>
      </c>
      <c r="F12" s="233">
        <v>198.84890154675259</v>
      </c>
      <c r="G12" s="214">
        <v>3.7225261866242455E-2</v>
      </c>
      <c r="I12" s="194">
        <v>125.19129183854066</v>
      </c>
    </row>
    <row r="13" spans="1:9" ht="20" customHeight="1" thickBot="1">
      <c r="A13" s="195" t="s">
        <v>2384</v>
      </c>
      <c r="B13" s="233">
        <v>57.83135785067487</v>
      </c>
      <c r="C13" s="234">
        <v>185.18742791234141</v>
      </c>
      <c r="D13" s="233">
        <v>260.99656094566188</v>
      </c>
      <c r="E13" s="234">
        <v>222.8884929507484</v>
      </c>
      <c r="F13" s="233">
        <v>190.68590913256847</v>
      </c>
      <c r="G13" s="214">
        <v>4.0404512522234488E-2</v>
      </c>
      <c r="I13" s="194">
        <v>117.8833340734285</v>
      </c>
    </row>
    <row r="14" spans="1:9" ht="20" customHeight="1" thickBot="1">
      <c r="A14" s="195" t="s">
        <v>2385</v>
      </c>
      <c r="B14" s="233">
        <v>72.80595426213678</v>
      </c>
      <c r="C14" s="234">
        <v>211.23931920997461</v>
      </c>
      <c r="D14" s="233">
        <v>286.28272608909094</v>
      </c>
      <c r="E14" s="234">
        <v>249.38634366252197</v>
      </c>
      <c r="F14" s="233">
        <v>214.38917597522357</v>
      </c>
      <c r="G14" s="214">
        <v>6.9402254582055539E-2</v>
      </c>
      <c r="I14" s="194">
        <v>140.25371771237261</v>
      </c>
    </row>
    <row r="15" spans="1:9" ht="20" customHeight="1" thickBot="1">
      <c r="A15" s="195" t="s">
        <v>2386</v>
      </c>
      <c r="B15" s="233">
        <v>65.196989457667641</v>
      </c>
      <c r="C15" s="234">
        <v>196.17153303991407</v>
      </c>
      <c r="D15" s="233">
        <v>280.93408056587572</v>
      </c>
      <c r="E15" s="234">
        <v>238.45402269445489</v>
      </c>
      <c r="F15" s="233">
        <v>204.4597323767745</v>
      </c>
      <c r="G15" s="214">
        <v>3.5187711542323079E-2</v>
      </c>
      <c r="I15" s="194">
        <v>131.3336445580656</v>
      </c>
    </row>
    <row r="16" spans="1:9" ht="20" customHeight="1" thickBot="1">
      <c r="A16" s="195" t="s">
        <v>2387</v>
      </c>
      <c r="B16" s="233">
        <v>72.45447161142107</v>
      </c>
      <c r="C16" s="234">
        <v>230.9964096527369</v>
      </c>
      <c r="D16" s="233">
        <v>320.3180821847979</v>
      </c>
      <c r="E16" s="234">
        <v>276.23797559456381</v>
      </c>
      <c r="F16" s="233">
        <v>229.81446833591272</v>
      </c>
      <c r="G16" s="214">
        <v>3.1733418331469775E-2</v>
      </c>
      <c r="I16" s="194">
        <v>163.19734143075968</v>
      </c>
    </row>
    <row r="17" spans="1:9" ht="20" customHeight="1" thickBot="1">
      <c r="A17" s="195" t="s">
        <v>2388</v>
      </c>
      <c r="B17" s="233">
        <v>73.455336200156367</v>
      </c>
      <c r="C17" s="234">
        <v>245.09401679320229</v>
      </c>
      <c r="D17" s="233">
        <v>320.0616114312009</v>
      </c>
      <c r="E17" s="234">
        <v>283.4702011700154</v>
      </c>
      <c r="F17" s="233">
        <v>243.02344864479315</v>
      </c>
      <c r="G17" s="214">
        <v>5.0420321547606367E-2</v>
      </c>
      <c r="I17" s="194">
        <v>156.59253023292777</v>
      </c>
    </row>
    <row r="18" spans="1:9" ht="20" customHeight="1" thickBot="1">
      <c r="A18" s="195" t="s">
        <v>2389</v>
      </c>
      <c r="B18" s="233">
        <v>105.95885571073092</v>
      </c>
      <c r="C18" s="234">
        <v>335.04822946175636</v>
      </c>
      <c r="D18" s="233">
        <v>453.04489427133848</v>
      </c>
      <c r="E18" s="234">
        <v>397.88772499034377</v>
      </c>
      <c r="F18" s="233">
        <v>352.23337774128322</v>
      </c>
      <c r="G18" s="214">
        <v>5.8342503930961805E-2</v>
      </c>
      <c r="I18" s="194">
        <v>239.48436004651805</v>
      </c>
    </row>
    <row r="19" spans="1:9" ht="20" customHeight="1" thickBot="1">
      <c r="A19" s="195" t="s">
        <v>2390</v>
      </c>
      <c r="B19" s="233">
        <v>88.781909081157906</v>
      </c>
      <c r="C19" s="234">
        <v>264.66475724906246</v>
      </c>
      <c r="D19" s="233">
        <v>347.31291593309857</v>
      </c>
      <c r="E19" s="234">
        <v>307.30834915401016</v>
      </c>
      <c r="F19" s="233">
        <v>267.05028257588668</v>
      </c>
      <c r="G19" s="214">
        <v>6.2229210409023718E-2</v>
      </c>
      <c r="I19" s="194">
        <v>177.06647582891381</v>
      </c>
    </row>
    <row r="20" spans="1:9" ht="20" customHeight="1" thickBot="1">
      <c r="A20" s="195" t="s">
        <v>2391</v>
      </c>
      <c r="B20" s="233">
        <v>66.228791789136622</v>
      </c>
      <c r="C20" s="234">
        <v>223.68903495700741</v>
      </c>
      <c r="D20" s="233">
        <v>315.6806160840257</v>
      </c>
      <c r="E20" s="234">
        <v>270.94549170867356</v>
      </c>
      <c r="F20" s="233">
        <v>233.39264923770199</v>
      </c>
      <c r="G20" s="214">
        <v>3.7107685443911909E-2</v>
      </c>
      <c r="I20" s="194">
        <v>165.60622548393192</v>
      </c>
    </row>
    <row r="21" spans="1:9" ht="20" customHeight="1" thickBot="1">
      <c r="A21" s="195" t="s">
        <v>2392</v>
      </c>
      <c r="B21" s="233">
        <v>60.113630860498198</v>
      </c>
      <c r="C21" s="234">
        <v>192.35743434634404</v>
      </c>
      <c r="D21" s="233">
        <v>259.86863495746326</v>
      </c>
      <c r="E21" s="234">
        <v>226.7033717985023</v>
      </c>
      <c r="F21" s="233">
        <v>192.33589623525006</v>
      </c>
      <c r="G21" s="214">
        <v>5.3250521775429813E-2</v>
      </c>
      <c r="I21" s="194">
        <v>125.02923450612184</v>
      </c>
    </row>
    <row r="22" spans="1:9" ht="20" customHeight="1" thickBot="1">
      <c r="A22" s="195" t="s">
        <v>2393</v>
      </c>
      <c r="B22" s="233">
        <v>55.166920872619706</v>
      </c>
      <c r="C22" s="234">
        <v>184.9517972502899</v>
      </c>
      <c r="D22" s="233">
        <v>240.15783502785916</v>
      </c>
      <c r="E22" s="234">
        <v>211.99137882498664</v>
      </c>
      <c r="F22" s="233">
        <v>175.38174618588292</v>
      </c>
      <c r="G22" s="214">
        <v>0.13039739395715233</v>
      </c>
      <c r="I22" s="194">
        <v>109.87124540182084</v>
      </c>
    </row>
    <row r="23" spans="1:9" ht="20" customHeight="1" thickBot="1">
      <c r="A23" s="195" t="s">
        <v>2394</v>
      </c>
      <c r="B23" s="233">
        <v>67.538663111904057</v>
      </c>
      <c r="C23" s="234">
        <v>204.03539020462452</v>
      </c>
      <c r="D23" s="233">
        <v>276.90015604270752</v>
      </c>
      <c r="E23" s="234">
        <v>241.15613445461227</v>
      </c>
      <c r="F23" s="233">
        <v>204.67936418519923</v>
      </c>
      <c r="G23" s="214">
        <v>4.6385683680987805E-2</v>
      </c>
      <c r="I23" s="194">
        <v>134.24530167185685</v>
      </c>
    </row>
    <row r="24" spans="1:9" ht="20" customHeight="1" thickBot="1">
      <c r="A24" s="195" t="s">
        <v>2395</v>
      </c>
      <c r="B24" s="233">
        <v>71.83565861007402</v>
      </c>
      <c r="C24" s="234">
        <v>206.17061493542096</v>
      </c>
      <c r="D24" s="233">
        <v>287.97209479645812</v>
      </c>
      <c r="E24" s="234">
        <v>247.53281973543776</v>
      </c>
      <c r="F24" s="233">
        <v>215.31632265259725</v>
      </c>
      <c r="G24" s="214">
        <v>3.6119112276195679E-2</v>
      </c>
      <c r="I24" s="194">
        <v>132.91701511018809</v>
      </c>
    </row>
    <row r="25" spans="1:9" ht="20" customHeight="1" thickBot="1">
      <c r="A25" s="195" t="s">
        <v>2396</v>
      </c>
      <c r="B25" s="233">
        <v>71.980389310171674</v>
      </c>
      <c r="C25" s="234">
        <v>221.27850865943358</v>
      </c>
      <c r="D25" s="233">
        <v>300.77099300244873</v>
      </c>
      <c r="E25" s="234">
        <v>261.45473199692998</v>
      </c>
      <c r="F25" s="233">
        <v>223.41213329435473</v>
      </c>
      <c r="G25" s="214">
        <v>5.5279604440163416E-2</v>
      </c>
      <c r="I25" s="194">
        <v>145.05617363699608</v>
      </c>
    </row>
    <row r="26" spans="1:9" ht="20" customHeight="1" thickBot="1">
      <c r="A26" s="195" t="s">
        <v>2397</v>
      </c>
      <c r="B26" s="233">
        <v>68.103107399684291</v>
      </c>
      <c r="C26" s="234">
        <v>215.40481057075885</v>
      </c>
      <c r="D26" s="233">
        <v>287.11399453739665</v>
      </c>
      <c r="E26" s="234">
        <v>251.56623965278871</v>
      </c>
      <c r="F26" s="233">
        <v>212.63031899127179</v>
      </c>
      <c r="G26" s="214">
        <v>5.2122827257788246E-2</v>
      </c>
      <c r="I26" s="194">
        <v>145.7338374894791</v>
      </c>
    </row>
    <row r="27" spans="1:9" ht="20" customHeight="1" thickBot="1">
      <c r="A27" s="195" t="s">
        <v>2398</v>
      </c>
      <c r="B27" s="233">
        <v>77.871549609617901</v>
      </c>
      <c r="C27" s="234">
        <v>282.45482690963394</v>
      </c>
      <c r="D27" s="233">
        <v>357.69129437081051</v>
      </c>
      <c r="E27" s="234">
        <v>322.07635655853807</v>
      </c>
      <c r="F27" s="233">
        <v>278.41647982870614</v>
      </c>
      <c r="G27" s="214">
        <v>-4.8766587854194658E-4</v>
      </c>
      <c r="I27" s="194">
        <v>199.67764846714121</v>
      </c>
    </row>
    <row r="28" spans="1:9" ht="20" customHeight="1" thickBot="1">
      <c r="A28" s="195" t="s">
        <v>2399</v>
      </c>
      <c r="B28" s="233">
        <v>93.168455813477806</v>
      </c>
      <c r="C28" s="234">
        <v>273.19557426632116</v>
      </c>
      <c r="D28" s="233">
        <v>380.43572142894465</v>
      </c>
      <c r="E28" s="234">
        <v>329.29643799749039</v>
      </c>
      <c r="F28" s="233">
        <v>278.58666919239568</v>
      </c>
      <c r="G28" s="214">
        <v>2.8122386909868811E-2</v>
      </c>
      <c r="I28" s="194">
        <v>203.24357993536964</v>
      </c>
    </row>
    <row r="29" spans="1:9" ht="20" customHeight="1" thickBot="1">
      <c r="A29" s="195" t="s">
        <v>2400</v>
      </c>
      <c r="B29" s="233">
        <v>69.546658107559452</v>
      </c>
      <c r="C29" s="234">
        <v>226.88171227419119</v>
      </c>
      <c r="D29" s="233">
        <v>295.99333263658315</v>
      </c>
      <c r="E29" s="234">
        <v>262.11022517723228</v>
      </c>
      <c r="F29" s="233">
        <v>223.72490744841991</v>
      </c>
      <c r="G29" s="214">
        <v>3.6745309012713216E-2</v>
      </c>
      <c r="I29" s="194">
        <v>144.85185631308477</v>
      </c>
    </row>
    <row r="30" spans="1:9" ht="20" customHeight="1" thickBot="1">
      <c r="A30" s="195" t="s">
        <v>2401</v>
      </c>
      <c r="B30" s="233">
        <v>76.750874183236306</v>
      </c>
      <c r="C30" s="234">
        <v>256.07803780401463</v>
      </c>
      <c r="D30" s="233">
        <v>355.47954257394719</v>
      </c>
      <c r="E30" s="234">
        <v>308.06697044860908</v>
      </c>
      <c r="F30" s="233">
        <v>259.63074837022776</v>
      </c>
      <c r="G30" s="214">
        <v>4.3475943838927951E-2</v>
      </c>
      <c r="I30" s="194">
        <v>184.5803903521614</v>
      </c>
    </row>
    <row r="31" spans="1:9" ht="20" customHeight="1" thickBot="1">
      <c r="A31" s="195" t="s">
        <v>2402</v>
      </c>
      <c r="B31" s="233">
        <v>109.58106662387333</v>
      </c>
      <c r="C31" s="234">
        <v>316.86083244758794</v>
      </c>
      <c r="D31" s="233">
        <v>441.58920905380222</v>
      </c>
      <c r="E31" s="234">
        <v>382.70692709010899</v>
      </c>
      <c r="F31" s="233">
        <v>324.60194498904303</v>
      </c>
      <c r="G31" s="214">
        <v>5.097053149031449E-2</v>
      </c>
      <c r="I31" s="194">
        <v>244.01642882305748</v>
      </c>
    </row>
    <row r="32" spans="1:9" ht="20" customHeight="1" thickBot="1">
      <c r="A32" s="196" t="s">
        <v>2403</v>
      </c>
      <c r="B32" s="233">
        <v>78.184143853645693</v>
      </c>
      <c r="C32" s="234">
        <v>260.66784326343151</v>
      </c>
      <c r="D32" s="233">
        <v>350.01950184632864</v>
      </c>
      <c r="E32" s="234">
        <v>306.76154795055942</v>
      </c>
      <c r="F32" s="233">
        <v>256.98789869922661</v>
      </c>
      <c r="G32" s="214">
        <v>3.6312968770676142E-2</v>
      </c>
      <c r="I32" s="194">
        <v>200.58331332206401</v>
      </c>
    </row>
    <row r="33" spans="1:9" s="251" customFormat="1" ht="30" customHeight="1" thickBot="1">
      <c r="A33" s="197" t="s">
        <v>2404</v>
      </c>
      <c r="B33" s="249">
        <v>77.258868005401141</v>
      </c>
      <c r="C33" s="250">
        <v>244.95817962519411</v>
      </c>
      <c r="D33" s="249">
        <v>333.50151281907569</v>
      </c>
      <c r="E33" s="250">
        <v>290.52425796027995</v>
      </c>
      <c r="F33" s="249">
        <v>248.42224695119441</v>
      </c>
      <c r="G33" s="216">
        <v>4.1794940720922436E-2</v>
      </c>
      <c r="I33" s="252">
        <v>167.9825427102873</v>
      </c>
    </row>
    <row r="34" spans="1:9" ht="20" customHeight="1">
      <c r="A34" s="201" t="s">
        <v>2367</v>
      </c>
      <c r="B34" s="253"/>
      <c r="C34" s="253"/>
      <c r="D34" s="253"/>
      <c r="E34" s="253"/>
      <c r="F34" s="253"/>
      <c r="G34" s="220"/>
    </row>
    <row r="35" spans="1:9" ht="14.25" customHeight="1">
      <c r="A35" s="202"/>
      <c r="B35" s="254"/>
      <c r="C35" s="254"/>
      <c r="D35" s="254"/>
      <c r="E35" s="254"/>
      <c r="F35" s="254"/>
      <c r="G35" s="222"/>
    </row>
    <row r="36" spans="1:9" ht="20" customHeight="1">
      <c r="A36" s="202" t="s">
        <v>1118</v>
      </c>
      <c r="B36" s="254"/>
      <c r="C36" s="254"/>
      <c r="D36" s="254"/>
      <c r="E36" s="254"/>
      <c r="F36" s="254"/>
      <c r="G36" s="222"/>
    </row>
    <row r="37" spans="1:9" ht="9.75" customHeight="1">
      <c r="A37" s="202"/>
      <c r="B37" s="254"/>
      <c r="C37" s="254"/>
      <c r="D37" s="254"/>
      <c r="E37" s="254"/>
      <c r="F37" s="254"/>
      <c r="G37" s="222"/>
    </row>
    <row r="38" spans="1:9" ht="12" customHeight="1">
      <c r="A38" s="202" t="s">
        <v>1120</v>
      </c>
    </row>
    <row r="39" spans="1:9" ht="12" customHeight="1"/>
    <row r="40" spans="1:9" ht="12" customHeight="1"/>
    <row r="41" spans="1:9">
      <c r="A41" s="202" t="s">
        <v>711</v>
      </c>
    </row>
  </sheetData>
  <mergeCells count="1">
    <mergeCell ref="A2:F2"/>
  </mergeCells>
  <phoneticPr fontId="0" type="noConversion"/>
  <pageMargins left="0.78740157480314965" right="0.78740157480314965" top="1.48" bottom="0.49" header="0.92" footer="0.4921259845"/>
  <pageSetup paperSize="9" scale="80" orientation="portrait" horizontalDpi="4294967292" verticalDpi="4294967292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9EA6-CE5F-EC4F-95D9-E7459D086D5D}">
  <dimension ref="A1:K31"/>
  <sheetViews>
    <sheetView zoomScale="75" workbookViewId="0"/>
  </sheetViews>
  <sheetFormatPr baseColWidth="10" defaultColWidth="11.3984375" defaultRowHeight="13"/>
  <cols>
    <col min="1" max="1" width="13.796875" style="2" customWidth="1"/>
    <col min="2" max="2" width="14.796875" style="224" customWidth="1"/>
    <col min="3" max="3" width="14.796875" style="225" customWidth="1"/>
    <col min="4" max="4" width="14.796875" style="224" customWidth="1"/>
    <col min="5" max="5" width="14.796875" style="225" customWidth="1"/>
    <col min="6" max="6" width="14.796875" style="224" customWidth="1"/>
    <col min="7" max="7" width="14.796875" style="225" customWidth="1"/>
    <col min="8" max="8" width="7.3984375" style="2" customWidth="1"/>
    <col min="9" max="9" width="8" style="2" customWidth="1"/>
    <col min="10" max="10" width="7.796875" style="2" customWidth="1"/>
    <col min="11" max="11" width="9" style="2" customWidth="1"/>
    <col min="12" max="16384" width="11.3984375" style="2"/>
  </cols>
  <sheetData>
    <row r="1" spans="1:11" s="1" customFormat="1" ht="14.25" customHeight="1">
      <c r="A1" s="203"/>
      <c r="B1" s="204"/>
      <c r="C1" s="205"/>
      <c r="D1" s="206"/>
      <c r="E1" s="205"/>
      <c r="F1" s="206"/>
      <c r="G1" s="205"/>
    </row>
    <row r="2" spans="1:11" s="1" customFormat="1" ht="43.5" customHeight="1">
      <c r="A2" s="2024" t="s">
        <v>1121</v>
      </c>
      <c r="B2" s="2021"/>
      <c r="C2" s="2021"/>
      <c r="D2" s="2021"/>
      <c r="E2" s="2021"/>
      <c r="F2" s="2021"/>
      <c r="G2" s="241">
        <v>2008</v>
      </c>
    </row>
    <row r="3" spans="1:11" ht="27" customHeight="1">
      <c r="A3" s="178" t="s">
        <v>1843</v>
      </c>
      <c r="B3" s="208" t="s">
        <v>1844</v>
      </c>
      <c r="C3" s="180" t="s">
        <v>2372</v>
      </c>
      <c r="D3" s="208" t="s">
        <v>1846</v>
      </c>
      <c r="E3" s="180" t="s">
        <v>2372</v>
      </c>
      <c r="F3" s="208" t="s">
        <v>164</v>
      </c>
      <c r="G3" s="180" t="s">
        <v>2372</v>
      </c>
    </row>
    <row r="4" spans="1:11" ht="15" customHeight="1">
      <c r="A4" s="181"/>
      <c r="B4" s="209"/>
      <c r="C4" s="183" t="s">
        <v>2373</v>
      </c>
      <c r="D4" s="209"/>
      <c r="E4" s="183" t="s">
        <v>2373</v>
      </c>
      <c r="F4" s="209"/>
      <c r="G4" s="183" t="s">
        <v>2373</v>
      </c>
    </row>
    <row r="5" spans="1:11" ht="15" customHeight="1">
      <c r="A5" s="181"/>
      <c r="B5" s="209"/>
      <c r="C5" s="183" t="s">
        <v>2377</v>
      </c>
      <c r="D5" s="209"/>
      <c r="E5" s="183" t="s">
        <v>2377</v>
      </c>
      <c r="F5" s="209"/>
      <c r="G5" s="183" t="s">
        <v>2377</v>
      </c>
    </row>
    <row r="6" spans="1:11" ht="19.5" customHeight="1">
      <c r="A6" s="185"/>
      <c r="B6" s="210"/>
      <c r="C6" s="187"/>
      <c r="D6" s="210"/>
      <c r="E6" s="187"/>
      <c r="F6" s="210"/>
      <c r="G6" s="187"/>
    </row>
    <row r="7" spans="1:11" ht="30" customHeight="1" thickBot="1">
      <c r="A7" s="190" t="s">
        <v>1849</v>
      </c>
      <c r="B7" s="211">
        <v>78.835769299077768</v>
      </c>
      <c r="C7" s="212">
        <v>3.4612458194605761E-2</v>
      </c>
      <c r="D7" s="211">
        <v>75.599617361122498</v>
      </c>
      <c r="E7" s="212">
        <v>3.7232965358698411E-2</v>
      </c>
      <c r="F7" s="211">
        <v>77.258765056856163</v>
      </c>
      <c r="G7" s="212">
        <v>3.5869149917278964E-2</v>
      </c>
      <c r="I7" s="95"/>
      <c r="J7" s="95"/>
      <c r="K7" s="95"/>
    </row>
    <row r="8" spans="1:11" ht="20" customHeight="1" thickBot="1">
      <c r="A8" s="195" t="s">
        <v>1850</v>
      </c>
      <c r="B8" s="213">
        <v>74.751624546059347</v>
      </c>
      <c r="C8" s="214">
        <v>2.9923607704239595E-2</v>
      </c>
      <c r="D8" s="213">
        <v>130.52463999205384</v>
      </c>
      <c r="E8" s="214">
        <v>5.153736186655878E-2</v>
      </c>
      <c r="F8" s="213">
        <v>102.67371466478762</v>
      </c>
      <c r="G8" s="214">
        <v>4.3168599234391036E-2</v>
      </c>
      <c r="I8" s="95"/>
      <c r="J8" s="95"/>
      <c r="K8" s="95"/>
    </row>
    <row r="9" spans="1:11" ht="20" customHeight="1" thickBot="1">
      <c r="A9" s="195" t="s">
        <v>1851</v>
      </c>
      <c r="B9" s="213">
        <v>81.353840664746869</v>
      </c>
      <c r="C9" s="214">
        <v>3.3991662754929333E-2</v>
      </c>
      <c r="D9" s="213">
        <v>180.17285479547181</v>
      </c>
      <c r="E9" s="214">
        <v>3.6747074412010042E-2</v>
      </c>
      <c r="F9" s="213">
        <v>130.56595646576363</v>
      </c>
      <c r="G9" s="214">
        <v>3.521022283355002E-2</v>
      </c>
      <c r="I9" s="95"/>
      <c r="J9" s="95"/>
      <c r="K9" s="95"/>
    </row>
    <row r="10" spans="1:11" ht="20" customHeight="1" thickBot="1">
      <c r="A10" s="195" t="s">
        <v>1852</v>
      </c>
      <c r="B10" s="213">
        <v>95.821055271692217</v>
      </c>
      <c r="C10" s="214">
        <v>1.9545445033752881E-2</v>
      </c>
      <c r="D10" s="213">
        <v>214.30307278138108</v>
      </c>
      <c r="E10" s="214">
        <v>4.826335790748007E-2</v>
      </c>
      <c r="F10" s="213">
        <v>155.06275510137954</v>
      </c>
      <c r="G10" s="214">
        <v>3.8591703742493315E-2</v>
      </c>
      <c r="I10" s="95"/>
      <c r="J10" s="95"/>
      <c r="K10" s="95"/>
    </row>
    <row r="11" spans="1:11" ht="20" customHeight="1" thickBot="1">
      <c r="A11" s="195" t="s">
        <v>1853</v>
      </c>
      <c r="B11" s="213">
        <v>115.25614957748745</v>
      </c>
      <c r="C11" s="214">
        <v>3.1140146694617919E-2</v>
      </c>
      <c r="D11" s="213">
        <v>203.20381994230578</v>
      </c>
      <c r="E11" s="214">
        <v>4.8784938855440364E-2</v>
      </c>
      <c r="F11" s="213">
        <v>159.18988408164191</v>
      </c>
      <c r="G11" s="214">
        <v>4.1830565089582619E-2</v>
      </c>
      <c r="I11" s="95"/>
      <c r="J11" s="95"/>
      <c r="K11" s="95"/>
    </row>
    <row r="12" spans="1:11" ht="20" customHeight="1" thickBot="1">
      <c r="A12" s="195" t="s">
        <v>1854</v>
      </c>
      <c r="B12" s="213">
        <v>138.45535723339316</v>
      </c>
      <c r="C12" s="214">
        <v>3.1894841299875069E-2</v>
      </c>
      <c r="D12" s="213">
        <v>200.44579320252896</v>
      </c>
      <c r="E12" s="214">
        <v>4.0384101025095792E-2</v>
      </c>
      <c r="F12" s="213">
        <v>169.09846248509788</v>
      </c>
      <c r="G12" s="214">
        <v>3.7023056859859509E-2</v>
      </c>
      <c r="I12" s="95"/>
      <c r="J12" s="95"/>
      <c r="K12" s="95"/>
    </row>
    <row r="13" spans="1:11" ht="20" customHeight="1" thickBot="1">
      <c r="A13" s="195" t="s">
        <v>1855</v>
      </c>
      <c r="B13" s="213">
        <v>170.58396063371205</v>
      </c>
      <c r="C13" s="214">
        <v>3.2772364725788761E-2</v>
      </c>
      <c r="D13" s="213">
        <v>228.45363770546567</v>
      </c>
      <c r="E13" s="214">
        <v>4.7936203186497571E-2</v>
      </c>
      <c r="F13" s="213">
        <v>199.17110478143826</v>
      </c>
      <c r="G13" s="214">
        <v>4.1209342668918285E-2</v>
      </c>
      <c r="I13" s="95"/>
      <c r="J13" s="95"/>
      <c r="K13" s="95"/>
    </row>
    <row r="14" spans="1:11" ht="20" customHeight="1" thickBot="1">
      <c r="A14" s="195" t="s">
        <v>1856</v>
      </c>
      <c r="B14" s="213">
        <v>220.37825519834269</v>
      </c>
      <c r="C14" s="214">
        <v>3.6818042188475827E-2</v>
      </c>
      <c r="D14" s="213">
        <v>270.84422749760455</v>
      </c>
      <c r="E14" s="214">
        <v>3.3812590952162221E-2</v>
      </c>
      <c r="F14" s="213">
        <v>245.36861413175043</v>
      </c>
      <c r="G14" s="214">
        <v>3.4888120515655908E-2</v>
      </c>
      <c r="I14" s="95"/>
      <c r="J14" s="95"/>
      <c r="K14" s="95"/>
    </row>
    <row r="15" spans="1:11" ht="20" customHeight="1" thickBot="1">
      <c r="A15" s="195" t="s">
        <v>1857</v>
      </c>
      <c r="B15" s="213">
        <v>285.10754196474494</v>
      </c>
      <c r="C15" s="214">
        <v>3.6302343314531534E-2</v>
      </c>
      <c r="D15" s="213">
        <v>311.02154657860723</v>
      </c>
      <c r="E15" s="214">
        <v>4.126200940754339E-2</v>
      </c>
      <c r="F15" s="213">
        <v>298.09887553239895</v>
      </c>
      <c r="G15" s="214">
        <v>3.8885376749763015E-2</v>
      </c>
      <c r="I15" s="95"/>
      <c r="J15" s="95"/>
      <c r="K15" s="95"/>
    </row>
    <row r="16" spans="1:11" ht="20" customHeight="1" thickBot="1">
      <c r="A16" s="195" t="s">
        <v>1858</v>
      </c>
      <c r="B16" s="213">
        <v>369.42753880709529</v>
      </c>
      <c r="C16" s="214">
        <v>2.9954354022958003E-2</v>
      </c>
      <c r="D16" s="213">
        <v>371.950260155884</v>
      </c>
      <c r="E16" s="214">
        <v>3.1761267295845282E-2</v>
      </c>
      <c r="F16" s="213">
        <v>370.70617383282087</v>
      </c>
      <c r="G16" s="214">
        <v>3.087216761979672E-2</v>
      </c>
      <c r="I16" s="95"/>
      <c r="J16" s="95"/>
      <c r="K16" s="95"/>
    </row>
    <row r="17" spans="1:11" ht="20" customHeight="1" thickBot="1">
      <c r="A17" s="195" t="s">
        <v>1859</v>
      </c>
      <c r="B17" s="213">
        <v>464.34579550420455</v>
      </c>
      <c r="C17" s="214">
        <v>4.1009548822015983E-2</v>
      </c>
      <c r="D17" s="213">
        <v>447.45387513930422</v>
      </c>
      <c r="E17" s="214">
        <v>4.5668135922407246E-2</v>
      </c>
      <c r="F17" s="213">
        <v>455.45793830722721</v>
      </c>
      <c r="G17" s="214">
        <v>4.35335541873677E-2</v>
      </c>
      <c r="I17" s="95"/>
      <c r="J17" s="95"/>
      <c r="K17" s="95"/>
    </row>
    <row r="18" spans="1:11" ht="20" customHeight="1" thickBot="1">
      <c r="A18" s="195" t="s">
        <v>1860</v>
      </c>
      <c r="B18" s="213">
        <v>572.97767021333971</v>
      </c>
      <c r="C18" s="214">
        <v>2.6725573362506787E-2</v>
      </c>
      <c r="D18" s="213">
        <v>545.17622485202105</v>
      </c>
      <c r="E18" s="214">
        <v>3.2749509288098479E-2</v>
      </c>
      <c r="F18" s="213">
        <v>557.72110007115339</v>
      </c>
      <c r="G18" s="214">
        <v>3.0093072285623326E-2</v>
      </c>
      <c r="I18" s="95"/>
      <c r="J18" s="95"/>
      <c r="K18" s="95"/>
    </row>
    <row r="19" spans="1:11" ht="20" customHeight="1" thickBot="1">
      <c r="A19" s="195" t="s">
        <v>1861</v>
      </c>
      <c r="B19" s="213">
        <v>700.63121188885236</v>
      </c>
      <c r="C19" s="214">
        <v>4.2076093843194579E-2</v>
      </c>
      <c r="D19" s="213">
        <v>673.55850638363324</v>
      </c>
      <c r="E19" s="214">
        <v>4.047161207669709E-2</v>
      </c>
      <c r="F19" s="213">
        <v>684.8262518271066</v>
      </c>
      <c r="G19" s="214">
        <v>4.1324092398645207E-2</v>
      </c>
      <c r="I19" s="95"/>
      <c r="J19" s="95"/>
      <c r="K19" s="95"/>
    </row>
    <row r="20" spans="1:11" ht="20" customHeight="1" thickBot="1">
      <c r="A20" s="195" t="s">
        <v>1862</v>
      </c>
      <c r="B20" s="213">
        <v>820.63560807222518</v>
      </c>
      <c r="C20" s="214">
        <v>4.0090018422800279E-2</v>
      </c>
      <c r="D20" s="213">
        <v>854.81518436925364</v>
      </c>
      <c r="E20" s="214">
        <v>3.9275314209729253E-2</v>
      </c>
      <c r="F20" s="213">
        <v>842.19399309718847</v>
      </c>
      <c r="G20" s="214">
        <v>3.9455382380609735E-2</v>
      </c>
      <c r="I20" s="95"/>
      <c r="J20" s="95"/>
      <c r="K20" s="95"/>
    </row>
    <row r="21" spans="1:11" ht="20" customHeight="1" thickBot="1">
      <c r="A21" s="195" t="s">
        <v>1863</v>
      </c>
      <c r="B21" s="213">
        <v>971.28509131173405</v>
      </c>
      <c r="C21" s="214">
        <v>3.2838169740851193E-2</v>
      </c>
      <c r="D21" s="213">
        <v>1116.1718683218712</v>
      </c>
      <c r="E21" s="214">
        <v>3.294124790025163E-2</v>
      </c>
      <c r="F21" s="213">
        <v>1069.161673851989</v>
      </c>
      <c r="G21" s="214">
        <v>3.280815890071645E-2</v>
      </c>
      <c r="I21" s="95"/>
      <c r="J21" s="95"/>
      <c r="K21" s="95"/>
    </row>
    <row r="22" spans="1:11" ht="20" customHeight="1" thickBot="1">
      <c r="A22" s="195" t="s">
        <v>1864</v>
      </c>
      <c r="B22" s="213">
        <v>1264.038994391693</v>
      </c>
      <c r="C22" s="214">
        <v>4.5160208293716572E-2</v>
      </c>
      <c r="D22" s="213">
        <v>1543.0894021841284</v>
      </c>
      <c r="E22" s="214">
        <v>2.493525201405691E-2</v>
      </c>
      <c r="F22" s="213">
        <v>1472.518580345733</v>
      </c>
      <c r="G22" s="214">
        <v>2.8912684759581541E-2</v>
      </c>
      <c r="I22" s="95"/>
      <c r="J22" s="95"/>
      <c r="K22" s="95"/>
    </row>
    <row r="23" spans="1:11" s="217" customFormat="1" ht="21" customHeight="1" thickBot="1">
      <c r="A23" s="197" t="s">
        <v>164</v>
      </c>
      <c r="B23" s="215">
        <v>210.69850336023021</v>
      </c>
      <c r="C23" s="216">
        <v>4.0956992810410382E-2</v>
      </c>
      <c r="D23" s="215">
        <v>284.77909560172219</v>
      </c>
      <c r="E23" s="216">
        <v>4.2744348022534198E-2</v>
      </c>
      <c r="F23" s="215">
        <v>248.42224695119441</v>
      </c>
      <c r="G23" s="216">
        <v>4.1794663539691891E-2</v>
      </c>
      <c r="I23" s="218"/>
      <c r="J23" s="218"/>
      <c r="K23" s="218"/>
    </row>
    <row r="24" spans="1:11" ht="20" customHeight="1">
      <c r="A24" s="201" t="s">
        <v>2367</v>
      </c>
      <c r="B24" s="219"/>
      <c r="C24" s="220"/>
      <c r="D24" s="219"/>
      <c r="E24" s="220"/>
      <c r="F24" s="219"/>
      <c r="G24" s="220"/>
    </row>
    <row r="25" spans="1:11" ht="12.75" customHeight="1">
      <c r="A25" s="202"/>
      <c r="B25" s="221"/>
      <c r="C25" s="222"/>
      <c r="D25" s="221"/>
      <c r="E25" s="222"/>
      <c r="F25" s="221"/>
      <c r="G25" s="222"/>
    </row>
    <row r="26" spans="1:11" ht="13.5" customHeight="1">
      <c r="A26" s="202" t="s">
        <v>2405</v>
      </c>
      <c r="B26" s="221"/>
      <c r="C26" s="222"/>
      <c r="D26" s="221"/>
      <c r="E26" s="222"/>
      <c r="F26" s="221"/>
      <c r="G26" s="222"/>
    </row>
    <row r="28" spans="1:11" ht="15.75" customHeight="1">
      <c r="A28" s="255" t="s">
        <v>1120</v>
      </c>
      <c r="B28" s="221"/>
      <c r="C28" s="222"/>
      <c r="D28" s="221"/>
      <c r="E28" s="222"/>
      <c r="F28" s="221"/>
      <c r="G28" s="222"/>
    </row>
    <row r="29" spans="1:11" ht="12" customHeight="1">
      <c r="B29" s="217"/>
      <c r="C29" s="2"/>
      <c r="D29" s="2"/>
      <c r="E29" s="2"/>
      <c r="F29" s="217"/>
      <c r="G29" s="256"/>
    </row>
    <row r="30" spans="1:11" ht="13.5" customHeight="1">
      <c r="A30" s="255"/>
      <c r="B30" s="221"/>
      <c r="C30" s="222"/>
      <c r="D30" s="221"/>
      <c r="E30" s="222"/>
      <c r="F30" s="221"/>
      <c r="G30" s="222"/>
    </row>
    <row r="31" spans="1:11" ht="18" customHeight="1">
      <c r="A31" s="202" t="s">
        <v>711</v>
      </c>
    </row>
  </sheetData>
  <mergeCells count="1">
    <mergeCell ref="A2:F2"/>
  </mergeCells>
  <phoneticPr fontId="0" type="noConversion"/>
  <pageMargins left="0.6" right="0.56999999999999995" top="0.78" bottom="0.49" header="0.38" footer="0.4921259845"/>
  <pageSetup paperSize="9" scale="80" orientation="portrait" horizontalDpi="1200" verticalDpi="12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2528-449E-6C41-8EBF-DDF007E25FA2}">
  <dimension ref="A1:I42"/>
  <sheetViews>
    <sheetView zoomScale="75" workbookViewId="0">
      <selection activeCell="A40" sqref="A40"/>
    </sheetView>
  </sheetViews>
  <sheetFormatPr baseColWidth="10" defaultColWidth="11.3984375" defaultRowHeight="13"/>
  <cols>
    <col min="1" max="3" width="14.796875" style="2" customWidth="1"/>
    <col min="4" max="4" width="15.796875" style="2" customWidth="1"/>
    <col min="5" max="5" width="15.59765625" style="2" customWidth="1"/>
    <col min="6" max="6" width="16.19921875" style="2" customWidth="1"/>
    <col min="7" max="7" width="14.796875" style="225" customWidth="1"/>
    <col min="8" max="8" width="11.3984375" style="2"/>
    <col min="9" max="9" width="15.19921875" style="2" hidden="1" customWidth="1"/>
    <col min="10" max="16384" width="11.3984375" style="2"/>
  </cols>
  <sheetData>
    <row r="1" spans="1:9" s="1" customFormat="1" ht="14" customHeight="1">
      <c r="G1" s="205"/>
    </row>
    <row r="2" spans="1:9" s="1" customFormat="1" ht="28" customHeight="1">
      <c r="A2" s="177" t="s">
        <v>1114</v>
      </c>
      <c r="G2" s="177">
        <v>2008</v>
      </c>
    </row>
    <row r="3" spans="1:9" ht="27" customHeight="1">
      <c r="A3" s="178" t="s">
        <v>2368</v>
      </c>
      <c r="B3" s="179" t="s">
        <v>2369</v>
      </c>
      <c r="C3" s="180" t="s">
        <v>1867</v>
      </c>
      <c r="D3" s="179" t="s">
        <v>1868</v>
      </c>
      <c r="E3" s="180" t="s">
        <v>164</v>
      </c>
      <c r="F3" s="179" t="s">
        <v>164</v>
      </c>
      <c r="G3" s="180" t="s">
        <v>2372</v>
      </c>
    </row>
    <row r="4" spans="1:9" ht="15" customHeight="1">
      <c r="A4" s="181"/>
      <c r="B4" s="182"/>
      <c r="C4" s="181"/>
      <c r="D4" s="184"/>
      <c r="E4" s="183" t="s">
        <v>1646</v>
      </c>
      <c r="F4" s="182" t="s">
        <v>1869</v>
      </c>
      <c r="G4" s="183" t="s">
        <v>2373</v>
      </c>
    </row>
    <row r="5" spans="1:9" ht="15" customHeight="1">
      <c r="A5" s="181"/>
      <c r="B5" s="182"/>
      <c r="C5" s="181"/>
      <c r="D5" s="184"/>
      <c r="E5" s="183" t="s">
        <v>1647</v>
      </c>
      <c r="F5" s="182" t="s">
        <v>2371</v>
      </c>
      <c r="G5" s="183" t="s">
        <v>2377</v>
      </c>
    </row>
    <row r="6" spans="1:9" ht="24" customHeight="1">
      <c r="A6" s="185"/>
      <c r="B6" s="186"/>
      <c r="C6" s="185"/>
      <c r="D6" s="186"/>
      <c r="E6" s="187"/>
      <c r="F6" s="188"/>
      <c r="G6" s="187"/>
    </row>
    <row r="7" spans="1:9" ht="30" customHeight="1" thickBot="1">
      <c r="A7" s="190" t="s">
        <v>2378</v>
      </c>
      <c r="B7" s="233">
        <v>217024437</v>
      </c>
      <c r="C7" s="234">
        <v>1232463109</v>
      </c>
      <c r="D7" s="233">
        <v>1830691937</v>
      </c>
      <c r="E7" s="234">
        <v>3063155046</v>
      </c>
      <c r="F7" s="233">
        <v>3280179483</v>
      </c>
      <c r="G7" s="212">
        <v>6.4969234025905306E-2</v>
      </c>
      <c r="I7" s="7">
        <v>2156035045</v>
      </c>
    </row>
    <row r="8" spans="1:9" ht="20" customHeight="1" thickBot="1">
      <c r="A8" s="195" t="s">
        <v>2379</v>
      </c>
      <c r="B8" s="235">
        <v>130791829</v>
      </c>
      <c r="C8" s="236">
        <v>1044611762</v>
      </c>
      <c r="D8" s="235">
        <v>1511599759</v>
      </c>
      <c r="E8" s="236">
        <v>2556211521</v>
      </c>
      <c r="F8" s="235">
        <v>2687003350</v>
      </c>
      <c r="G8" s="214">
        <v>4.8717491316051388E-2</v>
      </c>
      <c r="I8" s="7">
        <v>1563935884</v>
      </c>
    </row>
    <row r="9" spans="1:9" ht="20" customHeight="1" thickBot="1">
      <c r="A9" s="195" t="s">
        <v>2380</v>
      </c>
      <c r="B9" s="235">
        <v>47659148</v>
      </c>
      <c r="C9" s="236">
        <v>297803782</v>
      </c>
      <c r="D9" s="235">
        <v>431292753</v>
      </c>
      <c r="E9" s="236">
        <v>729096535</v>
      </c>
      <c r="F9" s="235">
        <v>776755683</v>
      </c>
      <c r="G9" s="214">
        <v>5.5182652213918527E-2</v>
      </c>
      <c r="I9" s="7">
        <v>464604355</v>
      </c>
    </row>
    <row r="10" spans="1:9" ht="20" customHeight="1" thickBot="1">
      <c r="A10" s="195" t="s">
        <v>2381</v>
      </c>
      <c r="B10" s="235">
        <v>4385310</v>
      </c>
      <c r="C10" s="236">
        <v>28420708</v>
      </c>
      <c r="D10" s="235">
        <v>39454534</v>
      </c>
      <c r="E10" s="236">
        <v>67875242</v>
      </c>
      <c r="F10" s="235">
        <v>72260552</v>
      </c>
      <c r="G10" s="214">
        <v>3.1765733911020638E-2</v>
      </c>
      <c r="I10" s="7">
        <v>45901795</v>
      </c>
    </row>
    <row r="11" spans="1:9" ht="20" customHeight="1" thickBot="1">
      <c r="A11" s="195" t="s">
        <v>2382</v>
      </c>
      <c r="B11" s="235">
        <v>22218386</v>
      </c>
      <c r="C11" s="236">
        <v>117102102</v>
      </c>
      <c r="D11" s="235">
        <v>156911866</v>
      </c>
      <c r="E11" s="236">
        <v>274013968</v>
      </c>
      <c r="F11" s="235">
        <v>296232354</v>
      </c>
      <c r="G11" s="214">
        <v>5.0920871186506025E-2</v>
      </c>
      <c r="I11" s="7">
        <v>171549320</v>
      </c>
    </row>
    <row r="12" spans="1:9" ht="20" customHeight="1" thickBot="1">
      <c r="A12" s="195" t="s">
        <v>2383</v>
      </c>
      <c r="B12" s="235">
        <v>4961549</v>
      </c>
      <c r="C12" s="236">
        <v>27245540</v>
      </c>
      <c r="D12" s="235">
        <v>37897966</v>
      </c>
      <c r="E12" s="236">
        <v>65143506</v>
      </c>
      <c r="F12" s="235">
        <v>70105055</v>
      </c>
      <c r="G12" s="214">
        <v>4.8129977165122288E-2</v>
      </c>
      <c r="I12" s="7">
        <v>41764939</v>
      </c>
    </row>
    <row r="13" spans="1:9" ht="20" customHeight="1" thickBot="1">
      <c r="A13" s="195" t="s">
        <v>2384</v>
      </c>
      <c r="B13" s="235">
        <v>4818919</v>
      </c>
      <c r="C13" s="236">
        <v>29685521</v>
      </c>
      <c r="D13" s="235">
        <v>42203097</v>
      </c>
      <c r="E13" s="236">
        <v>71888618</v>
      </c>
      <c r="F13" s="235">
        <v>76707537</v>
      </c>
      <c r="G13" s="214">
        <v>4.4800611836141785E-2</v>
      </c>
      <c r="I13" s="7">
        <v>44323506</v>
      </c>
    </row>
    <row r="14" spans="1:9" ht="20" customHeight="1" thickBot="1">
      <c r="A14" s="195" t="s">
        <v>2385</v>
      </c>
      <c r="B14" s="235">
        <v>5972555</v>
      </c>
      <c r="C14" s="236">
        <v>31896490</v>
      </c>
      <c r="D14" s="235">
        <v>45411231</v>
      </c>
      <c r="E14" s="236">
        <v>77307721</v>
      </c>
      <c r="F14" s="235">
        <v>83280276</v>
      </c>
      <c r="G14" s="214">
        <v>7.7294317539674903E-2</v>
      </c>
      <c r="I14" s="7">
        <v>55927154</v>
      </c>
    </row>
    <row r="15" spans="1:9" ht="20" customHeight="1" thickBot="1">
      <c r="A15" s="195" t="s">
        <v>2386</v>
      </c>
      <c r="B15" s="235">
        <v>15115821</v>
      </c>
      <c r="C15" s="236">
        <v>86036735</v>
      </c>
      <c r="D15" s="235">
        <v>125095290</v>
      </c>
      <c r="E15" s="236">
        <v>211132025</v>
      </c>
      <c r="F15" s="235">
        <v>226247846</v>
      </c>
      <c r="G15" s="214">
        <v>5.0899024224579516E-2</v>
      </c>
      <c r="I15" s="7">
        <v>128772453</v>
      </c>
    </row>
    <row r="16" spans="1:9" ht="20" customHeight="1" thickBot="1">
      <c r="A16" s="195" t="s">
        <v>2387</v>
      </c>
      <c r="B16" s="235">
        <v>47593073</v>
      </c>
      <c r="C16" s="236">
        <v>237271346</v>
      </c>
      <c r="D16" s="235">
        <v>342925747</v>
      </c>
      <c r="E16" s="236">
        <v>580197093</v>
      </c>
      <c r="F16" s="235">
        <v>627790166</v>
      </c>
      <c r="G16" s="214">
        <v>5.4448953837982469E-2</v>
      </c>
      <c r="I16" s="7">
        <v>391250033</v>
      </c>
    </row>
    <row r="17" spans="1:9" ht="20" customHeight="1" thickBot="1">
      <c r="A17" s="195" t="s">
        <v>2388</v>
      </c>
      <c r="B17" s="235">
        <v>38582046</v>
      </c>
      <c r="C17" s="236">
        <v>247300135</v>
      </c>
      <c r="D17" s="235">
        <v>341404442</v>
      </c>
      <c r="E17" s="236">
        <v>588704577</v>
      </c>
      <c r="F17" s="235">
        <v>627286623</v>
      </c>
      <c r="G17" s="214">
        <v>5.9010201554940717E-2</v>
      </c>
      <c r="I17" s="7">
        <v>393696828</v>
      </c>
    </row>
    <row r="18" spans="1:9" ht="20" customHeight="1" thickBot="1">
      <c r="A18" s="195" t="s">
        <v>2389</v>
      </c>
      <c r="B18" s="235">
        <v>32303621</v>
      </c>
      <c r="C18" s="236">
        <v>246744659</v>
      </c>
      <c r="D18" s="235">
        <v>383543032</v>
      </c>
      <c r="E18" s="236">
        <v>630287691</v>
      </c>
      <c r="F18" s="235">
        <v>662591312</v>
      </c>
      <c r="G18" s="214">
        <v>6.566719818895575E-2</v>
      </c>
      <c r="I18" s="7">
        <v>473520714</v>
      </c>
    </row>
    <row r="19" spans="1:9" ht="20" customHeight="1" thickBot="1">
      <c r="A19" s="195" t="s">
        <v>2390</v>
      </c>
      <c r="B19" s="235">
        <v>47487470</v>
      </c>
      <c r="C19" s="236">
        <v>283424982</v>
      </c>
      <c r="D19" s="235">
        <v>401275833</v>
      </c>
      <c r="E19" s="236">
        <v>684700815</v>
      </c>
      <c r="F19" s="235">
        <v>732188285</v>
      </c>
      <c r="G19" s="214">
        <v>7.580712916819432E-2</v>
      </c>
      <c r="I19" s="7">
        <v>469771093</v>
      </c>
    </row>
    <row r="20" spans="1:9" ht="20" customHeight="1" thickBot="1">
      <c r="A20" s="195" t="s">
        <v>2391</v>
      </c>
      <c r="B20" s="235">
        <v>9995993</v>
      </c>
      <c r="C20" s="236">
        <v>68110679</v>
      </c>
      <c r="D20" s="235">
        <v>102849991</v>
      </c>
      <c r="E20" s="236">
        <v>170960670</v>
      </c>
      <c r="F20" s="235">
        <v>180956663</v>
      </c>
      <c r="G20" s="214">
        <v>4.7987834360383438E-2</v>
      </c>
      <c r="I20" s="7">
        <v>127694959</v>
      </c>
    </row>
    <row r="21" spans="1:9" ht="20" customHeight="1" thickBot="1">
      <c r="A21" s="195" t="s">
        <v>2392</v>
      </c>
      <c r="B21" s="235">
        <v>7171660</v>
      </c>
      <c r="C21" s="236">
        <v>39950934</v>
      </c>
      <c r="D21" s="235">
        <v>56517714</v>
      </c>
      <c r="E21" s="236">
        <v>96468648</v>
      </c>
      <c r="F21" s="235">
        <v>103640308</v>
      </c>
      <c r="G21" s="214">
        <v>5.8976584936546297E-2</v>
      </c>
      <c r="I21" s="7">
        <v>69489100</v>
      </c>
    </row>
    <row r="22" spans="1:9" ht="20" customHeight="1" thickBot="1">
      <c r="A22" s="195" t="s">
        <v>2393</v>
      </c>
      <c r="B22" s="235">
        <v>2163201</v>
      </c>
      <c r="C22" s="236">
        <v>11110285</v>
      </c>
      <c r="D22" s="235">
        <v>13984398</v>
      </c>
      <c r="E22" s="236">
        <v>25094683</v>
      </c>
      <c r="F22" s="235">
        <v>27257884</v>
      </c>
      <c r="G22" s="214">
        <v>0.14483068609535515</v>
      </c>
      <c r="I22" s="7">
        <v>16712649</v>
      </c>
    </row>
    <row r="23" spans="1:9" ht="20" customHeight="1" thickBot="1">
      <c r="A23" s="195" t="s">
        <v>2394</v>
      </c>
      <c r="B23" s="235">
        <v>71877782</v>
      </c>
      <c r="C23" s="236">
        <v>369745969</v>
      </c>
      <c r="D23" s="235">
        <v>529543050</v>
      </c>
      <c r="E23" s="236">
        <v>899289019</v>
      </c>
      <c r="F23" s="235">
        <v>971166801</v>
      </c>
      <c r="G23" s="214">
        <v>5.5284250469773748E-2</v>
      </c>
      <c r="I23" s="7">
        <v>615853738</v>
      </c>
    </row>
    <row r="24" spans="1:9" ht="20" customHeight="1" thickBot="1">
      <c r="A24" s="195" t="s">
        <v>2395</v>
      </c>
      <c r="B24" s="235">
        <v>27840169</v>
      </c>
      <c r="C24" s="236">
        <v>162861027</v>
      </c>
      <c r="D24" s="235">
        <v>237131371</v>
      </c>
      <c r="E24" s="236">
        <v>399992398</v>
      </c>
      <c r="F24" s="235">
        <v>427832567</v>
      </c>
      <c r="G24" s="214">
        <v>4.113840387658111E-2</v>
      </c>
      <c r="I24" s="7">
        <v>264690646</v>
      </c>
    </row>
    <row r="25" spans="1:9" ht="20" customHeight="1" thickBot="1">
      <c r="A25" s="195" t="s">
        <v>2396</v>
      </c>
      <c r="B25" s="235">
        <v>92768407</v>
      </c>
      <c r="C25" s="236">
        <v>521684868</v>
      </c>
      <c r="D25" s="235">
        <v>734555780</v>
      </c>
      <c r="E25" s="236">
        <v>1256240648</v>
      </c>
      <c r="F25" s="235">
        <v>1349009055</v>
      </c>
      <c r="G25" s="214">
        <v>7.3822558204708344E-2</v>
      </c>
      <c r="I25" s="7">
        <v>819222625</v>
      </c>
    </row>
    <row r="26" spans="1:9" ht="20" customHeight="1" thickBot="1">
      <c r="A26" s="195" t="s">
        <v>2397</v>
      </c>
      <c r="B26" s="235">
        <v>37646600</v>
      </c>
      <c r="C26" s="236">
        <v>204830683</v>
      </c>
      <c r="D26" s="235">
        <v>280189405</v>
      </c>
      <c r="E26" s="236">
        <v>485020088</v>
      </c>
      <c r="F26" s="235">
        <v>522666688</v>
      </c>
      <c r="G26" s="214">
        <v>6.6866691099409778E-2</v>
      </c>
      <c r="I26" s="7">
        <v>344655658</v>
      </c>
    </row>
    <row r="27" spans="1:9" ht="20" customHeight="1" thickBot="1">
      <c r="A27" s="195" t="s">
        <v>2398</v>
      </c>
      <c r="B27" s="235">
        <v>48001741</v>
      </c>
      <c r="C27" s="236">
        <v>364021888</v>
      </c>
      <c r="D27" s="235">
        <v>516009539</v>
      </c>
      <c r="E27" s="236">
        <v>880031427</v>
      </c>
      <c r="F27" s="235">
        <v>928033168</v>
      </c>
      <c r="G27" s="214">
        <v>9.7024663215307116E-3</v>
      </c>
      <c r="I27" s="7">
        <v>627641817</v>
      </c>
    </row>
    <row r="28" spans="1:9" ht="20" customHeight="1" thickBot="1">
      <c r="A28" s="195" t="s">
        <v>2399</v>
      </c>
      <c r="B28" s="235">
        <v>141634016</v>
      </c>
      <c r="C28" s="236">
        <v>696499225</v>
      </c>
      <c r="D28" s="235">
        <v>1076901405</v>
      </c>
      <c r="E28" s="236">
        <v>1773400630</v>
      </c>
      <c r="F28" s="235">
        <v>1915034646</v>
      </c>
      <c r="G28" s="214">
        <v>4.8387210741084159E-2</v>
      </c>
      <c r="I28" s="7">
        <v>1280335377</v>
      </c>
    </row>
    <row r="29" spans="1:9" ht="20" customHeight="1" thickBot="1">
      <c r="A29" s="195" t="s">
        <v>2400</v>
      </c>
      <c r="B29" s="235">
        <v>45500264</v>
      </c>
      <c r="C29" s="236">
        <v>276126054</v>
      </c>
      <c r="D29" s="235">
        <v>376862598</v>
      </c>
      <c r="E29" s="236">
        <v>652988652</v>
      </c>
      <c r="F29" s="235">
        <v>698488916</v>
      </c>
      <c r="G29" s="214">
        <v>5.0373696259540211E-2</v>
      </c>
      <c r="I29" s="7">
        <v>410743307</v>
      </c>
    </row>
    <row r="30" spans="1:9" ht="20" customHeight="1" thickBot="1">
      <c r="A30" s="195" t="s">
        <v>2401</v>
      </c>
      <c r="B30" s="235">
        <v>29199609</v>
      </c>
      <c r="C30" s="236">
        <v>168392850</v>
      </c>
      <c r="D30" s="235">
        <v>259464353</v>
      </c>
      <c r="E30" s="236">
        <v>427857203</v>
      </c>
      <c r="F30" s="235">
        <v>457056812</v>
      </c>
      <c r="G30" s="214">
        <v>5.0332022112757113E-2</v>
      </c>
      <c r="I30" s="7">
        <v>318756043</v>
      </c>
    </row>
    <row r="31" spans="1:9" ht="20" customHeight="1" thickBot="1">
      <c r="A31" s="195" t="s">
        <v>2402</v>
      </c>
      <c r="B31" s="235">
        <v>103414003</v>
      </c>
      <c r="C31" s="236">
        <v>500287158</v>
      </c>
      <c r="D31" s="235">
        <v>787014936</v>
      </c>
      <c r="E31" s="236">
        <v>1287302094</v>
      </c>
      <c r="F31" s="235">
        <v>1390716097</v>
      </c>
      <c r="G31" s="214">
        <v>6.2841595117405488E-2</v>
      </c>
      <c r="I31" s="7">
        <v>966736347</v>
      </c>
    </row>
    <row r="32" spans="1:9" ht="20" customHeight="1" thickBot="1">
      <c r="A32" s="196" t="s">
        <v>2403</v>
      </c>
      <c r="B32" s="235">
        <v>12666944</v>
      </c>
      <c r="C32" s="236">
        <v>70440174</v>
      </c>
      <c r="D32" s="235">
        <v>102022429</v>
      </c>
      <c r="E32" s="236">
        <v>172462603</v>
      </c>
      <c r="F32" s="235">
        <v>185129547</v>
      </c>
      <c r="G32" s="214">
        <v>4.4330962170311544E-2</v>
      </c>
      <c r="I32" s="7">
        <v>146808815</v>
      </c>
    </row>
    <row r="33" spans="1:9" ht="30" customHeight="1" thickBot="1">
      <c r="A33" s="197" t="s">
        <v>2404</v>
      </c>
      <c r="B33" s="237">
        <v>1248794553</v>
      </c>
      <c r="C33" s="238">
        <v>7364068665</v>
      </c>
      <c r="D33" s="237">
        <v>10762754456</v>
      </c>
      <c r="E33" s="238">
        <v>18126823121</v>
      </c>
      <c r="F33" s="237">
        <v>19375617674</v>
      </c>
      <c r="G33" s="216">
        <v>5.550830401775312E-2</v>
      </c>
      <c r="I33" s="7">
        <v>12410394200</v>
      </c>
    </row>
    <row r="34" spans="1:9" ht="20" customHeight="1">
      <c r="A34" s="201" t="s">
        <v>2367</v>
      </c>
      <c r="B34" s="201"/>
      <c r="C34" s="201"/>
      <c r="D34" s="201"/>
      <c r="E34" s="201"/>
      <c r="F34" s="201"/>
      <c r="G34" s="220"/>
    </row>
    <row r="35" spans="1:9" ht="12.75" customHeight="1">
      <c r="A35" s="202"/>
      <c r="B35" s="202"/>
      <c r="C35" s="202"/>
      <c r="D35" s="202"/>
      <c r="E35" s="202"/>
      <c r="F35" s="202"/>
      <c r="G35" s="222"/>
    </row>
    <row r="36" spans="1:9" ht="14.25" customHeight="1">
      <c r="A36" s="202" t="s">
        <v>2405</v>
      </c>
      <c r="B36" s="202"/>
      <c r="C36" s="202"/>
      <c r="D36" s="202"/>
      <c r="E36" s="202"/>
      <c r="F36" s="202"/>
      <c r="G36" s="222"/>
    </row>
    <row r="37" spans="1:9" ht="10.5" customHeight="1">
      <c r="A37" s="202"/>
      <c r="B37" s="202"/>
      <c r="C37" s="202"/>
      <c r="D37" s="202"/>
      <c r="E37" s="202"/>
      <c r="F37" s="202"/>
      <c r="G37" s="222"/>
    </row>
    <row r="38" spans="1:9" ht="15" customHeight="1">
      <c r="A38" s="202" t="s">
        <v>1115</v>
      </c>
      <c r="B38" s="202"/>
      <c r="C38" s="202"/>
      <c r="D38" s="202"/>
      <c r="E38" s="202"/>
      <c r="F38" s="202"/>
      <c r="G38" s="222"/>
    </row>
    <row r="39" spans="1:9" ht="13.5" customHeight="1">
      <c r="A39" s="2" t="s">
        <v>1113</v>
      </c>
    </row>
    <row r="40" spans="1:9" ht="12" customHeight="1"/>
    <row r="41" spans="1:9" ht="12" customHeight="1"/>
    <row r="42" spans="1:9" ht="12" customHeight="1">
      <c r="A42" s="202" t="s">
        <v>711</v>
      </c>
    </row>
  </sheetData>
  <phoneticPr fontId="0" type="noConversion"/>
  <pageMargins left="0.6" right="0.59" top="0.76" bottom="0.49" header="0.35" footer="0.4921259845"/>
  <pageSetup paperSize="9" scale="80" orientation="portrait" horizontalDpi="4294967292" verticalDpi="4294967292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740A-830C-544B-8D07-C8A707FF6CC0}">
  <dimension ref="A1:H41"/>
  <sheetViews>
    <sheetView zoomScale="75" workbookViewId="0"/>
  </sheetViews>
  <sheetFormatPr baseColWidth="10" defaultColWidth="11.3984375" defaultRowHeight="13"/>
  <cols>
    <col min="1" max="1" width="14.796875" style="2" customWidth="1"/>
    <col min="2" max="5" width="14.796875" style="224" customWidth="1"/>
    <col min="6" max="6" width="15.3984375" style="224" customWidth="1"/>
    <col min="7" max="7" width="11.3984375" style="2"/>
    <col min="8" max="8" width="0" style="2" hidden="1" customWidth="1"/>
    <col min="9" max="16384" width="11.3984375" style="2"/>
  </cols>
  <sheetData>
    <row r="1" spans="1:8" s="1" customFormat="1" ht="14" customHeight="1">
      <c r="B1" s="206"/>
      <c r="C1" s="206"/>
      <c r="D1" s="206"/>
      <c r="E1" s="206"/>
      <c r="F1" s="206"/>
    </row>
    <row r="2" spans="1:8" s="1" customFormat="1" ht="42" customHeight="1">
      <c r="A2" s="2017" t="s">
        <v>1123</v>
      </c>
      <c r="B2" s="2021"/>
      <c r="C2" s="2021"/>
      <c r="D2" s="2021"/>
      <c r="E2" s="2021"/>
      <c r="F2" s="241">
        <v>2008</v>
      </c>
    </row>
    <row r="3" spans="1:8" ht="27" customHeight="1">
      <c r="A3" s="178" t="s">
        <v>2368</v>
      </c>
      <c r="B3" s="208" t="s">
        <v>2369</v>
      </c>
      <c r="C3" s="242" t="s">
        <v>1867</v>
      </c>
      <c r="D3" s="208" t="s">
        <v>1868</v>
      </c>
      <c r="E3" s="242" t="s">
        <v>164</v>
      </c>
      <c r="F3" s="208" t="s">
        <v>164</v>
      </c>
    </row>
    <row r="4" spans="1:8" ht="15" customHeight="1">
      <c r="A4" s="181"/>
      <c r="B4" s="209"/>
      <c r="C4" s="245"/>
      <c r="D4" s="209"/>
      <c r="E4" s="245" t="s">
        <v>1646</v>
      </c>
      <c r="F4" s="209" t="s">
        <v>1869</v>
      </c>
    </row>
    <row r="5" spans="1:8" ht="15" customHeight="1">
      <c r="A5" s="181"/>
      <c r="B5" s="209"/>
      <c r="C5" s="245"/>
      <c r="D5" s="209"/>
      <c r="E5" s="245" t="s">
        <v>1647</v>
      </c>
      <c r="F5" s="209" t="s">
        <v>2371</v>
      </c>
    </row>
    <row r="6" spans="1:8" ht="24" customHeight="1">
      <c r="A6" s="185"/>
      <c r="B6" s="210"/>
      <c r="C6" s="248"/>
      <c r="D6" s="210"/>
      <c r="E6" s="248"/>
      <c r="F6" s="210"/>
    </row>
    <row r="7" spans="1:8" ht="30" customHeight="1" thickBot="1">
      <c r="A7" s="190" t="s">
        <v>2378</v>
      </c>
      <c r="B7" s="211">
        <v>74.365407942564843</v>
      </c>
      <c r="C7" s="257">
        <v>196.61438386147213</v>
      </c>
      <c r="D7" s="211">
        <v>276.97972261055332</v>
      </c>
      <c r="E7" s="257">
        <v>237.86100907599985</v>
      </c>
      <c r="F7" s="211">
        <v>207.65513477726788</v>
      </c>
      <c r="H7" s="194">
        <v>147.6535284720232</v>
      </c>
    </row>
    <row r="8" spans="1:8" ht="20" customHeight="1" thickBot="1">
      <c r="A8" s="195" t="s">
        <v>2379</v>
      </c>
      <c r="B8" s="211">
        <v>60.602274580669075</v>
      </c>
      <c r="C8" s="257">
        <v>232.25362227973287</v>
      </c>
      <c r="D8" s="211">
        <v>309.16005621167199</v>
      </c>
      <c r="E8" s="257">
        <v>272.31017109379098</v>
      </c>
      <c r="F8" s="211">
        <v>232.73528581277955</v>
      </c>
      <c r="H8" s="194">
        <v>136.00843900520724</v>
      </c>
    </row>
    <row r="9" spans="1:8" ht="20" customHeight="1" thickBot="1">
      <c r="A9" s="195" t="s">
        <v>2380</v>
      </c>
      <c r="B9" s="211">
        <v>51.914925971434293</v>
      </c>
      <c r="C9" s="257">
        <v>175.07076931397583</v>
      </c>
      <c r="D9" s="211">
        <v>241.30263820444995</v>
      </c>
      <c r="E9" s="257">
        <v>209.00672029602211</v>
      </c>
      <c r="F9" s="211">
        <v>176.27849665442088</v>
      </c>
      <c r="H9" s="194">
        <v>109.8632844875566</v>
      </c>
    </row>
    <row r="10" spans="1:8" ht="20" customHeight="1" thickBot="1">
      <c r="A10" s="195" t="s">
        <v>2381</v>
      </c>
      <c r="B10" s="211">
        <v>50.246459507768456</v>
      </c>
      <c r="C10" s="257">
        <v>170.47378775882339</v>
      </c>
      <c r="D10" s="211">
        <v>235.33589817001885</v>
      </c>
      <c r="E10" s="257">
        <v>202.98834260422277</v>
      </c>
      <c r="F10" s="211">
        <v>171.36835614749043</v>
      </c>
      <c r="H10" s="194">
        <v>106.3151780359856</v>
      </c>
    </row>
    <row r="11" spans="1:8" ht="20" customHeight="1" thickBot="1">
      <c r="A11" s="195" t="s">
        <v>2382</v>
      </c>
      <c r="B11" s="211">
        <v>62.625813179998879</v>
      </c>
      <c r="C11" s="257">
        <v>170.84821772471025</v>
      </c>
      <c r="D11" s="211">
        <v>234.45436479475961</v>
      </c>
      <c r="E11" s="257">
        <v>202.26851622199388</v>
      </c>
      <c r="F11" s="211">
        <v>173.28758502565688</v>
      </c>
      <c r="H11" s="194">
        <v>110.98351281141051</v>
      </c>
    </row>
    <row r="12" spans="1:8" ht="20" customHeight="1" thickBot="1">
      <c r="A12" s="195" t="s">
        <v>2383</v>
      </c>
      <c r="B12" s="211">
        <v>55.971628085375208</v>
      </c>
      <c r="C12" s="257">
        <v>166.21242069302099</v>
      </c>
      <c r="D12" s="211">
        <v>230.23721173240017</v>
      </c>
      <c r="E12" s="257">
        <v>198.31319865565865</v>
      </c>
      <c r="F12" s="211">
        <v>168.06443763604807</v>
      </c>
      <c r="H12" s="194">
        <v>105.19977836100999</v>
      </c>
    </row>
    <row r="13" spans="1:8" ht="20" customHeight="1" thickBot="1">
      <c r="A13" s="195" t="s">
        <v>2384</v>
      </c>
      <c r="B13" s="211">
        <v>51.457788740816675</v>
      </c>
      <c r="C13" s="257">
        <v>152.8542644999176</v>
      </c>
      <c r="D13" s="211">
        <v>219.57449896984454</v>
      </c>
      <c r="E13" s="257">
        <v>186.0355930273482</v>
      </c>
      <c r="F13" s="211">
        <v>159.77940735371308</v>
      </c>
      <c r="H13" s="194">
        <v>98.806061539893719</v>
      </c>
    </row>
    <row r="14" spans="1:8" ht="20" customHeight="1" thickBot="1">
      <c r="A14" s="195" t="s">
        <v>2385</v>
      </c>
      <c r="B14" s="211">
        <v>65.540283996137305</v>
      </c>
      <c r="C14" s="257">
        <v>175.97092574202804</v>
      </c>
      <c r="D14" s="211">
        <v>242.31729845680988</v>
      </c>
      <c r="E14" s="257">
        <v>209.69696254584119</v>
      </c>
      <c r="F14" s="211">
        <v>181.12597870341372</v>
      </c>
      <c r="H14" s="194">
        <v>118.50730828724598</v>
      </c>
    </row>
    <row r="15" spans="1:8" ht="20" customHeight="1" thickBot="1">
      <c r="A15" s="195" t="s">
        <v>2386</v>
      </c>
      <c r="B15" s="211">
        <v>58.673051842191065</v>
      </c>
      <c r="C15" s="257">
        <v>162.66000990668059</v>
      </c>
      <c r="D15" s="211">
        <v>237.60872290474779</v>
      </c>
      <c r="E15" s="257">
        <v>200.04701955255391</v>
      </c>
      <c r="F15" s="211">
        <v>172.30841863157252</v>
      </c>
      <c r="H15" s="194">
        <v>109.7243161119399</v>
      </c>
    </row>
    <row r="16" spans="1:8" ht="20" customHeight="1" thickBot="1">
      <c r="A16" s="195" t="s">
        <v>2387</v>
      </c>
      <c r="B16" s="211">
        <v>65.081874247894106</v>
      </c>
      <c r="C16" s="257">
        <v>193.96323490942385</v>
      </c>
      <c r="D16" s="211">
        <v>273.13617631691295</v>
      </c>
      <c r="E16" s="257">
        <v>234.06445276570199</v>
      </c>
      <c r="F16" s="211">
        <v>195.5688738445742</v>
      </c>
      <c r="H16" s="194">
        <v>137.47395057718248</v>
      </c>
    </row>
    <row r="17" spans="1:8" ht="20" customHeight="1" thickBot="1">
      <c r="A17" s="195" t="s">
        <v>2388</v>
      </c>
      <c r="B17" s="211">
        <v>66.153049257232212</v>
      </c>
      <c r="C17" s="257">
        <v>207.23359227043423</v>
      </c>
      <c r="D17" s="211">
        <v>272.74563724503327</v>
      </c>
      <c r="E17" s="257">
        <v>240.769514571207</v>
      </c>
      <c r="F17" s="211">
        <v>207.14013809637026</v>
      </c>
      <c r="H17" s="194">
        <v>132.71022733455214</v>
      </c>
    </row>
    <row r="18" spans="1:8" ht="20" customHeight="1" thickBot="1">
      <c r="A18" s="195" t="s">
        <v>2389</v>
      </c>
      <c r="B18" s="211">
        <v>96.15203117000631</v>
      </c>
      <c r="C18" s="257">
        <v>291.24723677998111</v>
      </c>
      <c r="D18" s="211">
        <v>397.40779515745322</v>
      </c>
      <c r="E18" s="257">
        <v>347.78330905479226</v>
      </c>
      <c r="F18" s="211">
        <v>308.43104571877569</v>
      </c>
      <c r="H18" s="194">
        <v>208.35408965566106</v>
      </c>
    </row>
    <row r="19" spans="1:8" ht="20" customHeight="1" thickBot="1">
      <c r="A19" s="195" t="s">
        <v>2390</v>
      </c>
      <c r="B19" s="211">
        <v>79.588294249359777</v>
      </c>
      <c r="C19" s="257">
        <v>221.61205982529063</v>
      </c>
      <c r="D19" s="211">
        <v>294.3631404049296</v>
      </c>
      <c r="E19" s="257">
        <v>259.14905007811933</v>
      </c>
      <c r="F19" s="211">
        <v>226.06944259189274</v>
      </c>
      <c r="H19" s="194">
        <v>149.99608447175385</v>
      </c>
    </row>
    <row r="20" spans="1:8" ht="20" customHeight="1" thickBot="1">
      <c r="A20" s="195" t="s">
        <v>2391</v>
      </c>
      <c r="B20" s="211">
        <v>59.717500657155831</v>
      </c>
      <c r="C20" s="257">
        <v>187.94959822069163</v>
      </c>
      <c r="D20" s="211">
        <v>268.72025657104041</v>
      </c>
      <c r="E20" s="257">
        <v>229.44168424782183</v>
      </c>
      <c r="F20" s="211">
        <v>198.30780248634528</v>
      </c>
      <c r="H20" s="194">
        <v>141.06151978810024</v>
      </c>
    </row>
    <row r="21" spans="1:8" ht="20" customHeight="1" thickBot="1">
      <c r="A21" s="195" t="s">
        <v>2392</v>
      </c>
      <c r="B21" s="211">
        <v>54.266624292502797</v>
      </c>
      <c r="C21" s="257">
        <v>159.83698209227518</v>
      </c>
      <c r="D21" s="211">
        <v>218.55264501160093</v>
      </c>
      <c r="E21" s="257">
        <v>189.70771191240325</v>
      </c>
      <c r="F21" s="211">
        <v>161.76610476368859</v>
      </c>
      <c r="H21" s="194">
        <v>105.54236904359847</v>
      </c>
    </row>
    <row r="22" spans="1:8" ht="20" customHeight="1" thickBot="1">
      <c r="A22" s="195" t="s">
        <v>2393</v>
      </c>
      <c r="B22" s="211">
        <v>49.990779256794234</v>
      </c>
      <c r="C22" s="257">
        <v>153.36377063662968</v>
      </c>
      <c r="D22" s="211">
        <v>200.82138549026365</v>
      </c>
      <c r="E22" s="257">
        <v>176.60869718210736</v>
      </c>
      <c r="F22" s="211">
        <v>147.05058155844716</v>
      </c>
      <c r="H22" s="194">
        <v>93.290141615544769</v>
      </c>
    </row>
    <row r="23" spans="1:8" ht="20" customHeight="1" thickBot="1">
      <c r="A23" s="195" t="s">
        <v>2394</v>
      </c>
      <c r="B23" s="211">
        <v>60.719689059643649</v>
      </c>
      <c r="C23" s="257">
        <v>169.35064324174786</v>
      </c>
      <c r="D23" s="211">
        <v>233.55379107037004</v>
      </c>
      <c r="E23" s="257">
        <v>202.0587231206714</v>
      </c>
      <c r="F23" s="211">
        <v>172.36359188046018</v>
      </c>
      <c r="H23" s="194">
        <v>113.07027159885389</v>
      </c>
    </row>
    <row r="24" spans="1:8" ht="20" customHeight="1" thickBot="1">
      <c r="A24" s="195" t="s">
        <v>2395</v>
      </c>
      <c r="B24" s="211">
        <v>65.126858583873712</v>
      </c>
      <c r="C24" s="257">
        <v>173.04066313064985</v>
      </c>
      <c r="D24" s="211">
        <v>246.33135442506742</v>
      </c>
      <c r="E24" s="257">
        <v>210.09946192505188</v>
      </c>
      <c r="F24" s="211">
        <v>183.51673615579293</v>
      </c>
      <c r="H24" s="194">
        <v>112.93207174435962</v>
      </c>
    </row>
    <row r="25" spans="1:8" ht="20" customHeight="1" thickBot="1">
      <c r="A25" s="195" t="s">
        <v>2396</v>
      </c>
      <c r="B25" s="211">
        <v>65.06392673887855</v>
      </c>
      <c r="C25" s="257">
        <v>185.84398057505368</v>
      </c>
      <c r="D25" s="211">
        <v>256.08268907891141</v>
      </c>
      <c r="E25" s="257">
        <v>221.34324112699917</v>
      </c>
      <c r="F25" s="211">
        <v>189.96552972567417</v>
      </c>
      <c r="H25" s="194">
        <v>123.10137008461707</v>
      </c>
    </row>
    <row r="26" spans="1:8" ht="20" customHeight="1" thickBot="1">
      <c r="A26" s="195" t="s">
        <v>2397</v>
      </c>
      <c r="B26" s="211">
        <v>61.138827717472509</v>
      </c>
      <c r="C26" s="257">
        <v>180.77208742833741</v>
      </c>
      <c r="D26" s="211">
        <v>243.10095144391116</v>
      </c>
      <c r="E26" s="257">
        <v>212.20318510351589</v>
      </c>
      <c r="F26" s="211">
        <v>180.14317521634413</v>
      </c>
      <c r="H26" s="194">
        <v>124.89094208425395</v>
      </c>
    </row>
    <row r="27" spans="1:8" ht="20" customHeight="1" thickBot="1">
      <c r="A27" s="195" t="s">
        <v>2398</v>
      </c>
      <c r="B27" s="211">
        <v>69.096681464335887</v>
      </c>
      <c r="C27" s="257">
        <v>240.96941196407388</v>
      </c>
      <c r="D27" s="211">
        <v>307.07834578286867</v>
      </c>
      <c r="E27" s="257">
        <v>275.78408475545092</v>
      </c>
      <c r="F27" s="211">
        <v>238.83171407100872</v>
      </c>
      <c r="H27" s="194">
        <v>168.72622344599318</v>
      </c>
    </row>
    <row r="28" spans="1:8" ht="20" customHeight="1" thickBot="1">
      <c r="A28" s="195" t="s">
        <v>2399</v>
      </c>
      <c r="B28" s="211">
        <v>82.30076261002759</v>
      </c>
      <c r="C28" s="257">
        <v>232.10698894416362</v>
      </c>
      <c r="D28" s="211">
        <v>327.14388631483786</v>
      </c>
      <c r="E28" s="257">
        <v>281.82391049527507</v>
      </c>
      <c r="F28" s="211">
        <v>238.97522364681325</v>
      </c>
      <c r="H28" s="194">
        <v>172.20627180427857</v>
      </c>
    </row>
    <row r="29" spans="1:8" ht="20" customHeight="1" thickBot="1">
      <c r="A29" s="195" t="s">
        <v>2400</v>
      </c>
      <c r="B29" s="211">
        <v>62.41051892330821</v>
      </c>
      <c r="C29" s="257">
        <v>192.32476764401056</v>
      </c>
      <c r="D29" s="211">
        <v>252.47989339721997</v>
      </c>
      <c r="E29" s="257">
        <v>222.98783346309881</v>
      </c>
      <c r="F29" s="211">
        <v>190.97859037244834</v>
      </c>
      <c r="H29" s="194">
        <v>121.13256050394979</v>
      </c>
    </row>
    <row r="30" spans="1:8" ht="20" customHeight="1" thickBot="1">
      <c r="A30" s="195" t="s">
        <v>2401</v>
      </c>
      <c r="B30" s="211">
        <v>68.433803470484008</v>
      </c>
      <c r="C30" s="257">
        <v>219.15194746376812</v>
      </c>
      <c r="D30" s="211">
        <v>307.92277612422089</v>
      </c>
      <c r="E30" s="257">
        <v>265.5808994775993</v>
      </c>
      <c r="F30" s="211">
        <v>224.29946390748822</v>
      </c>
      <c r="H30" s="194">
        <v>157.34667902077535</v>
      </c>
    </row>
    <row r="31" spans="1:8" ht="20" customHeight="1" thickBot="1">
      <c r="A31" s="195" t="s">
        <v>2402</v>
      </c>
      <c r="B31" s="211">
        <v>98.781921153280379</v>
      </c>
      <c r="C31" s="257">
        <v>273.53521658115397</v>
      </c>
      <c r="D31" s="211">
        <v>384.81149777331854</v>
      </c>
      <c r="E31" s="257">
        <v>332.27970766247682</v>
      </c>
      <c r="F31" s="211">
        <v>282.60521664455757</v>
      </c>
      <c r="H31" s="194">
        <v>209.96444334691634</v>
      </c>
    </row>
    <row r="32" spans="1:8" ht="20" customHeight="1" thickBot="1">
      <c r="A32" s="196" t="s">
        <v>2403</v>
      </c>
      <c r="B32" s="211">
        <v>69.464244976748276</v>
      </c>
      <c r="C32" s="257">
        <v>222.19753577106519</v>
      </c>
      <c r="D32" s="211">
        <v>301.8700853335227</v>
      </c>
      <c r="E32" s="257">
        <v>263.29846811031314</v>
      </c>
      <c r="F32" s="211">
        <v>221.09033161839523</v>
      </c>
      <c r="H32" s="194">
        <v>173.66487176423698</v>
      </c>
    </row>
    <row r="33" spans="1:8" ht="30" customHeight="1" thickBot="1">
      <c r="A33" s="197" t="s">
        <v>2404</v>
      </c>
      <c r="B33" s="258">
        <v>69.334949730831752</v>
      </c>
      <c r="C33" s="259">
        <v>207.19701475328029</v>
      </c>
      <c r="D33" s="258">
        <v>285.6208161951626</v>
      </c>
      <c r="E33" s="259">
        <v>247.55538374777515</v>
      </c>
      <c r="F33" s="258">
        <v>212.37180576680623</v>
      </c>
      <c r="H33" s="194">
        <v>142.67390401114693</v>
      </c>
    </row>
    <row r="34" spans="1:8" ht="20" customHeight="1">
      <c r="A34" s="201" t="s">
        <v>2367</v>
      </c>
      <c r="B34" s="219"/>
      <c r="C34" s="219"/>
      <c r="D34" s="219"/>
      <c r="E34" s="219"/>
      <c r="F34" s="219"/>
    </row>
    <row r="35" spans="1:8" ht="14.25" customHeight="1">
      <c r="A35" s="202"/>
      <c r="B35" s="221"/>
      <c r="C35" s="221"/>
      <c r="D35" s="221"/>
      <c r="E35" s="221"/>
      <c r="F35" s="221"/>
    </row>
    <row r="36" spans="1:8" ht="16.5" customHeight="1">
      <c r="A36" s="202" t="s">
        <v>1122</v>
      </c>
      <c r="B36" s="221"/>
      <c r="C36" s="221"/>
      <c r="D36" s="221"/>
      <c r="E36" s="221"/>
      <c r="F36" s="221"/>
    </row>
    <row r="37" spans="1:8" ht="12.75" customHeight="1">
      <c r="A37" s="202"/>
      <c r="B37" s="221"/>
      <c r="C37" s="221"/>
      <c r="D37" s="221"/>
      <c r="E37" s="221"/>
      <c r="F37" s="221"/>
    </row>
    <row r="38" spans="1:8" ht="15.75" customHeight="1">
      <c r="A38" s="202" t="s">
        <v>1124</v>
      </c>
    </row>
    <row r="39" spans="1:8" ht="12" customHeight="1"/>
    <row r="40" spans="1:8" ht="12" customHeight="1"/>
    <row r="41" spans="1:8">
      <c r="A41" s="202" t="s">
        <v>711</v>
      </c>
    </row>
  </sheetData>
  <mergeCells count="1">
    <mergeCell ref="A2:E2"/>
  </mergeCells>
  <phoneticPr fontId="0" type="noConversion"/>
  <pageMargins left="0.6" right="0.61" top="0.74" bottom="0.49" header="0.42" footer="0.4921259845"/>
  <pageSetup paperSize="9" scale="80" orientation="portrait" horizontalDpi="4294967292" verticalDpi="4294967292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44ED-1BDB-7748-90B6-8D63DFCDF228}">
  <sheetPr>
    <pageSetUpPr fitToPage="1"/>
  </sheetPr>
  <dimension ref="A1:J31"/>
  <sheetViews>
    <sheetView zoomScale="75" workbookViewId="0"/>
  </sheetViews>
  <sheetFormatPr baseColWidth="10" defaultColWidth="11.3984375" defaultRowHeight="13"/>
  <cols>
    <col min="1" max="1" width="14.796875" style="2" customWidth="1"/>
    <col min="2" max="2" width="14.796875" style="224" customWidth="1"/>
    <col min="3" max="3" width="14.796875" style="225" customWidth="1"/>
    <col min="4" max="4" width="14.796875" style="224" customWidth="1"/>
    <col min="5" max="5" width="14.796875" style="225" customWidth="1"/>
    <col min="6" max="6" width="14.796875" style="224" customWidth="1"/>
    <col min="7" max="7" width="14.796875" style="225" customWidth="1"/>
    <col min="8" max="8" width="7.59765625" style="2" customWidth="1"/>
    <col min="9" max="9" width="6.3984375" style="2" customWidth="1"/>
    <col min="10" max="10" width="8.796875" style="2" customWidth="1"/>
    <col min="11" max="16384" width="11.3984375" style="2"/>
  </cols>
  <sheetData>
    <row r="1" spans="1:10" s="1" customFormat="1" ht="18.75" customHeight="1">
      <c r="A1" s="203"/>
      <c r="B1" s="204"/>
      <c r="C1" s="260"/>
      <c r="D1" s="261"/>
      <c r="E1" s="260"/>
      <c r="F1" s="261"/>
      <c r="G1" s="260"/>
    </row>
    <row r="2" spans="1:10" s="1" customFormat="1" ht="40.5" customHeight="1">
      <c r="A2" s="2024" t="s">
        <v>1125</v>
      </c>
      <c r="B2" s="2021"/>
      <c r="C2" s="2021"/>
      <c r="D2" s="2021"/>
      <c r="E2" s="2021"/>
      <c r="F2" s="2021"/>
      <c r="G2" s="241">
        <v>2008</v>
      </c>
    </row>
    <row r="3" spans="1:10" ht="27" customHeight="1">
      <c r="A3" s="178" t="s">
        <v>1843</v>
      </c>
      <c r="B3" s="208" t="s">
        <v>1844</v>
      </c>
      <c r="C3" s="180" t="s">
        <v>2372</v>
      </c>
      <c r="D3" s="208" t="s">
        <v>1846</v>
      </c>
      <c r="E3" s="180" t="s">
        <v>2372</v>
      </c>
      <c r="F3" s="208" t="s">
        <v>164</v>
      </c>
      <c r="G3" s="180" t="s">
        <v>2372</v>
      </c>
    </row>
    <row r="4" spans="1:10" ht="15" customHeight="1">
      <c r="A4" s="181"/>
      <c r="B4" s="209"/>
      <c r="C4" s="183" t="s">
        <v>2373</v>
      </c>
      <c r="D4" s="209"/>
      <c r="E4" s="183" t="s">
        <v>2373</v>
      </c>
      <c r="F4" s="209"/>
      <c r="G4" s="183" t="s">
        <v>2373</v>
      </c>
    </row>
    <row r="5" spans="1:10" ht="15" customHeight="1">
      <c r="A5" s="181"/>
      <c r="B5" s="209"/>
      <c r="C5" s="183" t="s">
        <v>2377</v>
      </c>
      <c r="D5" s="209"/>
      <c r="E5" s="183" t="s">
        <v>2377</v>
      </c>
      <c r="F5" s="209"/>
      <c r="G5" s="183" t="s">
        <v>2377</v>
      </c>
    </row>
    <row r="6" spans="1:10" ht="23" customHeight="1">
      <c r="A6" s="185"/>
      <c r="B6" s="210"/>
      <c r="C6" s="187"/>
      <c r="D6" s="210"/>
      <c r="E6" s="187"/>
      <c r="F6" s="210"/>
      <c r="G6" s="187"/>
    </row>
    <row r="7" spans="1:10" ht="30" customHeight="1" thickBot="1">
      <c r="A7" s="190" t="s">
        <v>1849</v>
      </c>
      <c r="B7" s="211">
        <v>70.790260577077191</v>
      </c>
      <c r="C7" s="212">
        <v>3.6876246070780751E-2</v>
      </c>
      <c r="D7" s="211">
        <v>67.803644639865539</v>
      </c>
      <c r="E7" s="212">
        <v>3.9008822206551184E-2</v>
      </c>
      <c r="F7" s="211">
        <v>69.334857341021049</v>
      </c>
      <c r="G7" s="212">
        <v>3.7900357198907421E-2</v>
      </c>
      <c r="H7" s="262"/>
      <c r="I7" s="262"/>
      <c r="J7" s="262"/>
    </row>
    <row r="8" spans="1:10" ht="20" customHeight="1" thickBot="1">
      <c r="A8" s="195" t="s">
        <v>1850</v>
      </c>
      <c r="B8" s="213">
        <v>53.334721639567952</v>
      </c>
      <c r="C8" s="214">
        <v>2.5950445313915507E-2</v>
      </c>
      <c r="D8" s="213">
        <v>98.488482281733965</v>
      </c>
      <c r="E8" s="214">
        <v>5.4723081091627782E-2</v>
      </c>
      <c r="F8" s="213">
        <v>75.940409421876893</v>
      </c>
      <c r="G8" s="214">
        <v>4.400790105392683E-2</v>
      </c>
      <c r="H8" s="262"/>
      <c r="I8" s="262"/>
      <c r="J8" s="262"/>
    </row>
    <row r="9" spans="1:10" ht="20" customHeight="1" thickBot="1">
      <c r="A9" s="195" t="s">
        <v>1851</v>
      </c>
      <c r="B9" s="213">
        <v>59.594811404510061</v>
      </c>
      <c r="C9" s="214">
        <v>3.4621465434607521E-2</v>
      </c>
      <c r="D9" s="213">
        <v>143.19771362552419</v>
      </c>
      <c r="E9" s="214">
        <v>3.6442360084227139E-2</v>
      </c>
      <c r="F9" s="213">
        <v>101.22926547788271</v>
      </c>
      <c r="G9" s="214">
        <v>3.5167837518391545E-2</v>
      </c>
      <c r="H9" s="262"/>
      <c r="I9" s="262"/>
      <c r="J9" s="262"/>
    </row>
    <row r="10" spans="1:10" ht="20" customHeight="1" thickBot="1">
      <c r="A10" s="195" t="s">
        <v>1852</v>
      </c>
      <c r="B10" s="213">
        <v>70.802403894760587</v>
      </c>
      <c r="C10" s="214">
        <v>1.5858696674164084E-2</v>
      </c>
      <c r="D10" s="213">
        <v>173.17165748992895</v>
      </c>
      <c r="E10" s="214">
        <v>5.0784477139718232E-2</v>
      </c>
      <c r="F10" s="213">
        <v>121.98762778561959</v>
      </c>
      <c r="G10" s="214">
        <v>3.9715878966325585E-2</v>
      </c>
      <c r="H10" s="262"/>
      <c r="I10" s="262"/>
      <c r="J10" s="262"/>
    </row>
    <row r="11" spans="1:10" ht="20" customHeight="1" thickBot="1">
      <c r="A11" s="195" t="s">
        <v>1853</v>
      </c>
      <c r="B11" s="213">
        <v>87.347234545740932</v>
      </c>
      <c r="C11" s="214">
        <v>3.0043900571174099E-2</v>
      </c>
      <c r="D11" s="213">
        <v>161.54071006333649</v>
      </c>
      <c r="E11" s="214">
        <v>5.0286435532580685E-2</v>
      </c>
      <c r="F11" s="213">
        <v>124.41014299811151</v>
      </c>
      <c r="G11" s="214">
        <v>4.2553538960802655E-2</v>
      </c>
      <c r="H11" s="262"/>
      <c r="I11" s="262"/>
      <c r="J11" s="262"/>
    </row>
    <row r="12" spans="1:10" ht="20" customHeight="1" thickBot="1">
      <c r="A12" s="195" t="s">
        <v>1854</v>
      </c>
      <c r="B12" s="213">
        <v>108.03099808353359</v>
      </c>
      <c r="C12" s="214">
        <v>3.1158057085974685E-2</v>
      </c>
      <c r="D12" s="213">
        <v>158.53028754142744</v>
      </c>
      <c r="E12" s="214">
        <v>4.0784646535057673E-2</v>
      </c>
      <c r="F12" s="213">
        <v>132.99380109987308</v>
      </c>
      <c r="G12" s="214">
        <v>3.6985222821182766E-2</v>
      </c>
      <c r="H12" s="262"/>
      <c r="I12" s="262"/>
      <c r="J12" s="262"/>
    </row>
    <row r="13" spans="1:10" ht="20" customHeight="1" thickBot="1">
      <c r="A13" s="195" t="s">
        <v>1855</v>
      </c>
      <c r="B13" s="213">
        <v>136.47212395810456</v>
      </c>
      <c r="C13" s="214">
        <v>3.2603552265003853E-2</v>
      </c>
      <c r="D13" s="213">
        <v>184.19359792471997</v>
      </c>
      <c r="E13" s="214">
        <v>5.0596969218270858E-2</v>
      </c>
      <c r="F13" s="213">
        <v>160.04613930182381</v>
      </c>
      <c r="G13" s="214">
        <v>4.2654128037040974E-2</v>
      </c>
      <c r="H13" s="262"/>
      <c r="I13" s="262"/>
      <c r="J13" s="262"/>
    </row>
    <row r="14" spans="1:10" ht="20" customHeight="1" thickBot="1">
      <c r="A14" s="195" t="s">
        <v>1856</v>
      </c>
      <c r="B14" s="213">
        <v>181.04344068902017</v>
      </c>
      <c r="C14" s="214">
        <v>3.8940041761382195E-2</v>
      </c>
      <c r="D14" s="213">
        <v>223.16726112490792</v>
      </c>
      <c r="E14" s="214">
        <v>3.5081783977051119E-2</v>
      </c>
      <c r="F14" s="213">
        <v>201.9028305784457</v>
      </c>
      <c r="G14" s="214">
        <v>3.6534110270888112E-2</v>
      </c>
      <c r="H14" s="262"/>
      <c r="I14" s="262"/>
      <c r="J14" s="262"/>
    </row>
    <row r="15" spans="1:10" ht="20" customHeight="1" thickBot="1">
      <c r="A15" s="195" t="s">
        <v>1857</v>
      </c>
      <c r="B15" s="213">
        <v>239.63058803776298</v>
      </c>
      <c r="C15" s="214">
        <v>3.7838389483474018E-2</v>
      </c>
      <c r="D15" s="213">
        <v>261.21355992282116</v>
      </c>
      <c r="E15" s="214">
        <v>4.4890682381513461E-2</v>
      </c>
      <c r="F15" s="213">
        <v>250.45066742410754</v>
      </c>
      <c r="G15" s="214">
        <v>4.1508810950698874E-2</v>
      </c>
      <c r="H15" s="262"/>
      <c r="I15" s="262"/>
      <c r="J15" s="262"/>
    </row>
    <row r="16" spans="1:10" ht="20" customHeight="1" thickBot="1">
      <c r="A16" s="195" t="s">
        <v>1858</v>
      </c>
      <c r="B16" s="213">
        <v>317.19436585590989</v>
      </c>
      <c r="C16" s="214">
        <v>3.0551049531160532E-2</v>
      </c>
      <c r="D16" s="213">
        <v>318.51896196604804</v>
      </c>
      <c r="E16" s="214">
        <v>3.3854631033191779E-2</v>
      </c>
      <c r="F16" s="213">
        <v>317.86573409171433</v>
      </c>
      <c r="G16" s="214">
        <v>3.2226202807129407E-2</v>
      </c>
      <c r="H16" s="262"/>
      <c r="I16" s="262"/>
      <c r="J16" s="262"/>
    </row>
    <row r="17" spans="1:10" ht="20" customHeight="1" thickBot="1">
      <c r="A17" s="195" t="s">
        <v>1859</v>
      </c>
      <c r="B17" s="213">
        <v>406.68889089691282</v>
      </c>
      <c r="C17" s="214">
        <v>4.2850854863288108E-2</v>
      </c>
      <c r="D17" s="213">
        <v>390.31576951086299</v>
      </c>
      <c r="E17" s="214">
        <v>4.9003007829203894E-2</v>
      </c>
      <c r="F17" s="213">
        <v>398.07400510510161</v>
      </c>
      <c r="G17" s="214">
        <v>4.6153124446710048E-2</v>
      </c>
      <c r="H17" s="262"/>
      <c r="I17" s="262"/>
      <c r="J17" s="262"/>
    </row>
    <row r="18" spans="1:10" ht="20" customHeight="1" thickBot="1">
      <c r="A18" s="195" t="s">
        <v>1860</v>
      </c>
      <c r="B18" s="213">
        <v>511.07955809121705</v>
      </c>
      <c r="C18" s="214">
        <v>2.7849143222421328E-2</v>
      </c>
      <c r="D18" s="213">
        <v>484.26318084582948</v>
      </c>
      <c r="E18" s="214">
        <v>3.4589086706142025E-2</v>
      </c>
      <c r="F18" s="213">
        <v>496.36356275045608</v>
      </c>
      <c r="G18" s="214">
        <v>3.1604447834341014E-2</v>
      </c>
      <c r="H18" s="262"/>
      <c r="I18" s="262"/>
      <c r="J18" s="262"/>
    </row>
    <row r="19" spans="1:10" ht="20" customHeight="1" thickBot="1">
      <c r="A19" s="195" t="s">
        <v>1861</v>
      </c>
      <c r="B19" s="213">
        <v>634.00902468656329</v>
      </c>
      <c r="C19" s="214">
        <v>4.4778143757356677E-2</v>
      </c>
      <c r="D19" s="213">
        <v>607.76467703193589</v>
      </c>
      <c r="E19" s="214">
        <v>4.3328675680657465E-2</v>
      </c>
      <c r="F19" s="213">
        <v>618.68765732459076</v>
      </c>
      <c r="G19" s="214">
        <v>4.4130370709276084E-2</v>
      </c>
      <c r="H19" s="262"/>
      <c r="I19" s="262"/>
      <c r="J19" s="262"/>
    </row>
    <row r="20" spans="1:10" ht="20" customHeight="1" thickBot="1">
      <c r="A20" s="195" t="s">
        <v>1862</v>
      </c>
      <c r="B20" s="213">
        <v>748.83049212249955</v>
      </c>
      <c r="C20" s="214">
        <v>4.2416530354294595E-2</v>
      </c>
      <c r="D20" s="213">
        <v>782.83182986447309</v>
      </c>
      <c r="E20" s="214">
        <v>4.1509514887344473E-2</v>
      </c>
      <c r="F20" s="213">
        <v>770.27645517468068</v>
      </c>
      <c r="G20" s="214">
        <v>4.1711798583111033E-2</v>
      </c>
      <c r="H20" s="262"/>
      <c r="I20" s="262"/>
      <c r="J20" s="262"/>
    </row>
    <row r="21" spans="1:10" ht="20" customHeight="1" thickBot="1">
      <c r="A21" s="195" t="s">
        <v>1863</v>
      </c>
      <c r="B21" s="213">
        <v>893.40229492780009</v>
      </c>
      <c r="C21" s="214">
        <v>3.4691735097246414E-2</v>
      </c>
      <c r="D21" s="213">
        <v>1037.0235725803318</v>
      </c>
      <c r="E21" s="214">
        <v>3.4843176706175309E-2</v>
      </c>
      <c r="F21" s="213">
        <v>990.42398404792834</v>
      </c>
      <c r="G21" s="214">
        <v>3.4688776396734212E-2</v>
      </c>
      <c r="H21" s="262"/>
      <c r="I21" s="262"/>
      <c r="J21" s="262"/>
    </row>
    <row r="22" spans="1:10" ht="20" customHeight="1" thickBot="1">
      <c r="A22" s="195" t="s">
        <v>1864</v>
      </c>
      <c r="B22" s="213">
        <v>1174.9983480481981</v>
      </c>
      <c r="C22" s="214">
        <v>4.6778711116092386E-2</v>
      </c>
      <c r="D22" s="213">
        <v>1453.4102594827264</v>
      </c>
      <c r="E22" s="214">
        <v>2.5970999817564611E-2</v>
      </c>
      <c r="F22" s="213">
        <v>1383.0009110249821</v>
      </c>
      <c r="G22" s="214">
        <v>3.0004540514622573E-2</v>
      </c>
      <c r="H22" s="262"/>
      <c r="I22" s="262"/>
      <c r="J22" s="262"/>
    </row>
    <row r="23" spans="1:10" ht="30" customHeight="1" thickBot="1">
      <c r="A23" s="197" t="s">
        <v>164</v>
      </c>
      <c r="B23" s="215">
        <v>179.0656432588676</v>
      </c>
      <c r="C23" s="216">
        <v>4.2529542484157003E-2</v>
      </c>
      <c r="D23" s="215">
        <v>244.47114146797068</v>
      </c>
      <c r="E23" s="216">
        <v>4.4712506001947365E-2</v>
      </c>
      <c r="F23" s="215">
        <v>212.37180576680626</v>
      </c>
      <c r="G23" s="216">
        <v>4.3596249381313817E-2</v>
      </c>
      <c r="H23" s="262"/>
      <c r="I23" s="262"/>
      <c r="J23" s="262"/>
    </row>
    <row r="24" spans="1:10" ht="20" customHeight="1">
      <c r="A24" s="201" t="s">
        <v>2367</v>
      </c>
      <c r="B24" s="219"/>
      <c r="C24" s="220"/>
      <c r="D24" s="219"/>
      <c r="E24" s="220"/>
      <c r="F24" s="219"/>
      <c r="G24" s="220"/>
    </row>
    <row r="25" spans="1:10" ht="11.25" customHeight="1">
      <c r="A25" s="202"/>
      <c r="B25" s="221"/>
      <c r="C25" s="222"/>
      <c r="D25" s="221"/>
      <c r="E25" s="222"/>
      <c r="F25" s="221"/>
      <c r="G25" s="222"/>
    </row>
    <row r="26" spans="1:10" ht="16.5" customHeight="1">
      <c r="A26" s="202" t="s">
        <v>2405</v>
      </c>
      <c r="B26" s="221"/>
      <c r="C26" s="222"/>
      <c r="D26" s="221"/>
      <c r="E26" s="222"/>
      <c r="F26" s="221"/>
      <c r="G26" s="222"/>
    </row>
    <row r="27" spans="1:10" ht="14.25" customHeight="1">
      <c r="A27" s="202"/>
      <c r="B27" s="221"/>
      <c r="C27" s="222"/>
      <c r="D27" s="221"/>
      <c r="E27" s="222"/>
      <c r="F27" s="221"/>
      <c r="G27" s="222"/>
    </row>
    <row r="28" spans="1:10">
      <c r="A28" s="255" t="s">
        <v>1124</v>
      </c>
      <c r="B28" s="221"/>
      <c r="C28" s="222"/>
      <c r="D28" s="221"/>
      <c r="E28" s="222"/>
      <c r="F28" s="221"/>
      <c r="G28" s="222"/>
    </row>
    <row r="29" spans="1:10">
      <c r="A29" s="255"/>
      <c r="B29" s="221"/>
      <c r="C29" s="222"/>
      <c r="D29" s="221"/>
      <c r="E29" s="222"/>
      <c r="F29" s="221"/>
      <c r="G29" s="222"/>
    </row>
    <row r="30" spans="1:10">
      <c r="A30" s="255"/>
      <c r="B30" s="221"/>
      <c r="C30" s="222"/>
      <c r="D30" s="221"/>
      <c r="E30" s="222"/>
      <c r="F30" s="221"/>
      <c r="G30" s="222"/>
    </row>
    <row r="31" spans="1:10">
      <c r="A31" s="202" t="s">
        <v>711</v>
      </c>
    </row>
  </sheetData>
  <mergeCells count="1">
    <mergeCell ref="A2:F2"/>
  </mergeCells>
  <phoneticPr fontId="0" type="noConversion"/>
  <pageMargins left="0.62" right="0.54" top="0.74" bottom="0.65" header="0.4" footer="0.38"/>
  <pageSetup paperSize="9" scale="87" orientation="portrait" horizontalDpi="1200" verticalDpi="12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C4DB-3214-6646-9741-F9E3963E9D7B}">
  <dimension ref="A1:I42"/>
  <sheetViews>
    <sheetView zoomScale="75" workbookViewId="0">
      <selection activeCell="C7" sqref="C7"/>
    </sheetView>
  </sheetViews>
  <sheetFormatPr baseColWidth="10" defaultColWidth="11.3984375" defaultRowHeight="13"/>
  <cols>
    <col min="1" max="1" width="14.796875" style="2" customWidth="1"/>
    <col min="2" max="4" width="14.796875" style="224" customWidth="1"/>
    <col min="5" max="5" width="15.59765625" style="224" customWidth="1"/>
    <col min="6" max="6" width="16.19921875" style="224" customWidth="1"/>
    <col min="7" max="7" width="12.796875" style="225" customWidth="1"/>
    <col min="8" max="8" width="11.3984375" style="2"/>
    <col min="9" max="9" width="15.19921875" style="2" hidden="1" customWidth="1"/>
    <col min="10" max="16384" width="11.3984375" style="2"/>
  </cols>
  <sheetData>
    <row r="1" spans="1:9" s="1" customFormat="1" ht="14" customHeight="1">
      <c r="B1" s="206"/>
      <c r="C1" s="206"/>
      <c r="D1" s="206"/>
      <c r="E1" s="206"/>
      <c r="F1" s="206"/>
      <c r="G1" s="205"/>
    </row>
    <row r="2" spans="1:9" s="1" customFormat="1" ht="40.5" customHeight="1">
      <c r="A2" s="2017" t="s">
        <v>1128</v>
      </c>
      <c r="B2" s="2021"/>
      <c r="C2" s="2021"/>
      <c r="D2" s="2021"/>
      <c r="E2" s="2021"/>
      <c r="F2" s="241">
        <v>2008</v>
      </c>
    </row>
    <row r="3" spans="1:9" ht="27" customHeight="1">
      <c r="A3" s="178" t="s">
        <v>2368</v>
      </c>
      <c r="B3" s="208" t="s">
        <v>2369</v>
      </c>
      <c r="C3" s="242" t="s">
        <v>1867</v>
      </c>
      <c r="D3" s="208" t="s">
        <v>1868</v>
      </c>
      <c r="E3" s="242" t="s">
        <v>164</v>
      </c>
      <c r="F3" s="208" t="s">
        <v>164</v>
      </c>
      <c r="G3"/>
    </row>
    <row r="4" spans="1:9" ht="15" customHeight="1">
      <c r="A4" s="181"/>
      <c r="B4" s="209"/>
      <c r="C4" s="245"/>
      <c r="D4" s="209"/>
      <c r="E4" s="245" t="s">
        <v>1646</v>
      </c>
      <c r="F4" s="209" t="s">
        <v>1869</v>
      </c>
      <c r="G4"/>
    </row>
    <row r="5" spans="1:9" ht="15" customHeight="1">
      <c r="A5" s="181"/>
      <c r="B5" s="209"/>
      <c r="C5" s="245"/>
      <c r="D5" s="209"/>
      <c r="E5" s="245" t="s">
        <v>1647</v>
      </c>
      <c r="F5" s="209" t="s">
        <v>2371</v>
      </c>
      <c r="G5"/>
    </row>
    <row r="6" spans="1:9" ht="24" customHeight="1">
      <c r="A6" s="185"/>
      <c r="B6" s="210"/>
      <c r="C6" s="248"/>
      <c r="D6" s="210"/>
      <c r="E6" s="248"/>
      <c r="F6" s="210"/>
      <c r="G6"/>
    </row>
    <row r="7" spans="1:9" ht="30" customHeight="1" thickBot="1">
      <c r="A7" s="190" t="s">
        <v>2378</v>
      </c>
      <c r="B7" s="211">
        <v>95.619866280695362</v>
      </c>
      <c r="C7" s="257">
        <v>455.91582770034222</v>
      </c>
      <c r="D7" s="211">
        <v>582.8292761306484</v>
      </c>
      <c r="E7" s="257">
        <v>521.05262216258529</v>
      </c>
      <c r="F7" s="211">
        <v>442.45383357250375</v>
      </c>
      <c r="G7"/>
      <c r="I7" s="7">
        <v>2156035045</v>
      </c>
    </row>
    <row r="8" spans="1:9" ht="20" customHeight="1" thickBot="1">
      <c r="A8" s="195" t="s">
        <v>2379</v>
      </c>
      <c r="B8" s="213">
        <v>83.054601056435956</v>
      </c>
      <c r="C8" s="263">
        <v>466.82521544249073</v>
      </c>
      <c r="D8" s="213">
        <v>581.09471638098626</v>
      </c>
      <c r="E8" s="263">
        <v>526.34176956284409</v>
      </c>
      <c r="F8" s="213">
        <v>443.47736641340418</v>
      </c>
      <c r="G8"/>
      <c r="I8" s="7">
        <v>1563935884</v>
      </c>
    </row>
    <row r="9" spans="1:9" ht="20" customHeight="1" thickBot="1">
      <c r="A9" s="195" t="s">
        <v>2380</v>
      </c>
      <c r="B9" s="213">
        <v>75.342553135865785</v>
      </c>
      <c r="C9" s="263">
        <v>390.83590586509047</v>
      </c>
      <c r="D9" s="213">
        <v>490.17085386650194</v>
      </c>
      <c r="E9" s="263">
        <v>441.73368673438847</v>
      </c>
      <c r="F9" s="213">
        <v>365.40041285290624</v>
      </c>
      <c r="G9"/>
      <c r="I9" s="7">
        <v>464604355</v>
      </c>
    </row>
    <row r="10" spans="1:9" ht="20" customHeight="1" thickBot="1">
      <c r="A10" s="195" t="s">
        <v>2381</v>
      </c>
      <c r="B10" s="213">
        <v>79.382785645538263</v>
      </c>
      <c r="C10" s="263">
        <v>411.84690131721038</v>
      </c>
      <c r="D10" s="213">
        <v>502.51098704459253</v>
      </c>
      <c r="E10" s="263">
        <v>457.28943118607538</v>
      </c>
      <c r="F10" s="213">
        <v>379.0580551523949</v>
      </c>
      <c r="G10"/>
      <c r="I10" s="7">
        <v>45901795</v>
      </c>
    </row>
    <row r="11" spans="1:9" ht="20" customHeight="1" thickBot="1">
      <c r="A11" s="195" t="s">
        <v>2382</v>
      </c>
      <c r="B11" s="213">
        <v>89.162421782513064</v>
      </c>
      <c r="C11" s="263">
        <v>436.19480724114965</v>
      </c>
      <c r="D11" s="213">
        <v>532.69120705730484</v>
      </c>
      <c r="E11" s="263">
        <v>483.85916628281893</v>
      </c>
      <c r="F11" s="213">
        <v>401.94526067515119</v>
      </c>
      <c r="G11"/>
      <c r="I11" s="7">
        <v>171549320</v>
      </c>
    </row>
    <row r="12" spans="1:9" ht="20" customHeight="1" thickBot="1">
      <c r="A12" s="195" t="s">
        <v>2383</v>
      </c>
      <c r="B12" s="213">
        <v>75.388791119534346</v>
      </c>
      <c r="C12" s="263">
        <v>401.8341142020497</v>
      </c>
      <c r="D12" s="213">
        <v>495.38776700444691</v>
      </c>
      <c r="E12" s="263">
        <v>448.75750712354773</v>
      </c>
      <c r="F12" s="213">
        <v>369.4135669284542</v>
      </c>
      <c r="G12"/>
      <c r="I12" s="7">
        <v>41764939</v>
      </c>
    </row>
    <row r="13" spans="1:9" ht="20" customHeight="1" thickBot="1">
      <c r="A13" s="195" t="s">
        <v>2384</v>
      </c>
      <c r="B13" s="213">
        <v>76.482829318298343</v>
      </c>
      <c r="C13" s="263">
        <v>387.99796094908561</v>
      </c>
      <c r="D13" s="213">
        <v>497.06474370980811</v>
      </c>
      <c r="E13" s="263">
        <v>442.23479908080242</v>
      </c>
      <c r="F13" s="213">
        <v>370.87802134626463</v>
      </c>
      <c r="G13"/>
      <c r="I13" s="7">
        <v>44323506</v>
      </c>
    </row>
    <row r="14" spans="1:9" ht="20" customHeight="1" thickBot="1">
      <c r="A14" s="195" t="s">
        <v>2385</v>
      </c>
      <c r="B14" s="213">
        <v>87.1880431919937</v>
      </c>
      <c r="C14" s="263">
        <v>423.2207216153588</v>
      </c>
      <c r="D14" s="213">
        <v>527.58513158737276</v>
      </c>
      <c r="E14" s="263">
        <v>476.27257340016934</v>
      </c>
      <c r="F14" s="213">
        <v>399.15836726171813</v>
      </c>
      <c r="G14"/>
      <c r="I14" s="7">
        <v>55927154</v>
      </c>
    </row>
    <row r="15" spans="1:9" ht="20" customHeight="1" thickBot="1">
      <c r="A15" s="195" t="s">
        <v>2386</v>
      </c>
      <c r="B15" s="213">
        <v>78.287251385718918</v>
      </c>
      <c r="C15" s="263">
        <v>402.13827759880178</v>
      </c>
      <c r="D15" s="213">
        <v>519.90429193353509</v>
      </c>
      <c r="E15" s="263">
        <v>460.88403770281184</v>
      </c>
      <c r="F15" s="213">
        <v>385.8157649424237</v>
      </c>
      <c r="G15"/>
      <c r="I15" s="7">
        <v>128772453</v>
      </c>
    </row>
    <row r="16" spans="1:9" ht="20" customHeight="1" thickBot="1">
      <c r="A16" s="195" t="s">
        <v>2387</v>
      </c>
      <c r="B16" s="213">
        <v>88.471168362323567</v>
      </c>
      <c r="C16" s="263">
        <v>444.39809691975665</v>
      </c>
      <c r="D16" s="213">
        <v>566.1828704146194</v>
      </c>
      <c r="E16" s="263">
        <v>506.08227394634184</v>
      </c>
      <c r="F16" s="213">
        <v>410.94713389606227</v>
      </c>
      <c r="G16"/>
      <c r="I16" s="7">
        <v>391250033</v>
      </c>
    </row>
    <row r="17" spans="1:9" ht="20" customHeight="1" thickBot="1">
      <c r="A17" s="195" t="s">
        <v>2388</v>
      </c>
      <c r="B17" s="213">
        <v>87.627443315089863</v>
      </c>
      <c r="C17" s="263">
        <v>454.32509427321668</v>
      </c>
      <c r="D17" s="213">
        <v>567.79169023401164</v>
      </c>
      <c r="E17" s="263">
        <v>512.40823918570084</v>
      </c>
      <c r="F17" s="213">
        <v>430.59972658107461</v>
      </c>
      <c r="G17"/>
      <c r="I17" s="7">
        <v>393696828</v>
      </c>
    </row>
    <row r="18" spans="1:9" ht="20" customHeight="1" thickBot="1">
      <c r="A18" s="195" t="s">
        <v>2389</v>
      </c>
      <c r="B18" s="213">
        <v>117.68189448869526</v>
      </c>
      <c r="C18" s="263">
        <v>525.61191218130307</v>
      </c>
      <c r="D18" s="213">
        <v>667.64518936662307</v>
      </c>
      <c r="E18" s="263">
        <v>601.25299122661818</v>
      </c>
      <c r="F18" s="213">
        <v>525.62798427009034</v>
      </c>
      <c r="G18"/>
      <c r="I18" s="7">
        <v>473520714</v>
      </c>
    </row>
    <row r="19" spans="1:9" ht="20" customHeight="1" thickBot="1">
      <c r="A19" s="195" t="s">
        <v>2390</v>
      </c>
      <c r="B19" s="213">
        <v>110.32337798157755</v>
      </c>
      <c r="C19" s="263">
        <v>516.63236908526198</v>
      </c>
      <c r="D19" s="213">
        <v>635.39730633802765</v>
      </c>
      <c r="E19" s="263">
        <v>577.91158891068994</v>
      </c>
      <c r="F19" s="213">
        <v>491.77007980792735</v>
      </c>
      <c r="G19"/>
      <c r="I19" s="7">
        <v>469771093</v>
      </c>
    </row>
    <row r="20" spans="1:9" ht="20" customHeight="1" thickBot="1">
      <c r="A20" s="195" t="s">
        <v>2391</v>
      </c>
      <c r="B20" s="213">
        <v>78.135493583769488</v>
      </c>
      <c r="C20" s="263">
        <v>428.87324083578937</v>
      </c>
      <c r="D20" s="213">
        <v>563.5243141558235</v>
      </c>
      <c r="E20" s="263">
        <v>498.04568953022078</v>
      </c>
      <c r="F20" s="213">
        <v>421.01816101628049</v>
      </c>
      <c r="G20"/>
      <c r="I20" s="7">
        <v>127694959</v>
      </c>
    </row>
    <row r="21" spans="1:9" ht="20" customHeight="1" thickBot="1">
      <c r="A21" s="195" t="s">
        <v>2392</v>
      </c>
      <c r="B21" s="213">
        <v>70.164078815944805</v>
      </c>
      <c r="C21" s="263">
        <v>390.24542704882629</v>
      </c>
      <c r="D21" s="213">
        <v>495.79187935034793</v>
      </c>
      <c r="E21" s="263">
        <v>443.94791863318858</v>
      </c>
      <c r="F21" s="213">
        <v>366.83749765873768</v>
      </c>
      <c r="G21"/>
      <c r="I21" s="7">
        <v>69489100</v>
      </c>
    </row>
    <row r="22" spans="1:9" ht="20" customHeight="1" thickBot="1">
      <c r="A22" s="195" t="s">
        <v>2393</v>
      </c>
      <c r="B22" s="213">
        <v>62.113699389905662</v>
      </c>
      <c r="C22" s="263">
        <v>379.05631936392263</v>
      </c>
      <c r="D22" s="213">
        <v>472.03739445114616</v>
      </c>
      <c r="E22" s="263">
        <v>424.59217971455132</v>
      </c>
      <c r="F22" s="213">
        <v>339.97397552922905</v>
      </c>
      <c r="G22"/>
      <c r="I22" s="7">
        <v>16712649</v>
      </c>
    </row>
    <row r="23" spans="1:9" ht="20" customHeight="1" thickBot="1">
      <c r="A23" s="195" t="s">
        <v>2394</v>
      </c>
      <c r="B23" s="213">
        <v>81.8276886271249</v>
      </c>
      <c r="C23" s="263">
        <v>416.21696355451991</v>
      </c>
      <c r="D23" s="213">
        <v>520.15637966804979</v>
      </c>
      <c r="E23" s="263">
        <v>469.16893600729043</v>
      </c>
      <c r="F23" s="213">
        <v>387.78926765686867</v>
      </c>
      <c r="G23"/>
      <c r="I23" s="7">
        <v>615853738</v>
      </c>
    </row>
    <row r="24" spans="1:9" ht="20" customHeight="1" thickBot="1">
      <c r="A24" s="195" t="s">
        <v>2395</v>
      </c>
      <c r="B24" s="213">
        <v>80.505600314403694</v>
      </c>
      <c r="C24" s="263">
        <v>397.55942165725332</v>
      </c>
      <c r="D24" s="213">
        <v>499.68888445668847</v>
      </c>
      <c r="E24" s="263">
        <v>449.20029372463046</v>
      </c>
      <c r="F24" s="213">
        <v>381.59503796165188</v>
      </c>
      <c r="G24"/>
      <c r="I24" s="7">
        <v>264690646</v>
      </c>
    </row>
    <row r="25" spans="1:9" ht="20" customHeight="1" thickBot="1">
      <c r="A25" s="195" t="s">
        <v>2396</v>
      </c>
      <c r="B25" s="213">
        <v>82.997550855517488</v>
      </c>
      <c r="C25" s="263">
        <v>425.21433701255887</v>
      </c>
      <c r="D25" s="213">
        <v>536.25964708244783</v>
      </c>
      <c r="E25" s="263">
        <v>481.33789043916966</v>
      </c>
      <c r="F25" s="213">
        <v>401.3592428241667</v>
      </c>
      <c r="G25"/>
      <c r="I25" s="7">
        <v>819222625</v>
      </c>
    </row>
    <row r="26" spans="1:9" ht="20" customHeight="1" thickBot="1">
      <c r="A26" s="195" t="s">
        <v>2397</v>
      </c>
      <c r="B26" s="213">
        <v>83.571356186541379</v>
      </c>
      <c r="C26" s="263">
        <v>415.59267770905728</v>
      </c>
      <c r="D26" s="213">
        <v>528.15651712182591</v>
      </c>
      <c r="E26" s="263">
        <v>472.35665459127381</v>
      </c>
      <c r="F26" s="213">
        <v>389.84572529913191</v>
      </c>
      <c r="G26"/>
      <c r="I26" s="7">
        <v>344655658</v>
      </c>
    </row>
    <row r="27" spans="1:9" ht="20" customHeight="1" thickBot="1">
      <c r="A27" s="195" t="s">
        <v>2398</v>
      </c>
      <c r="B27" s="213">
        <v>105.29841774338416</v>
      </c>
      <c r="C27" s="263">
        <v>497.82497934672062</v>
      </c>
      <c r="D27" s="213">
        <v>607.35538305530213</v>
      </c>
      <c r="E27" s="263">
        <v>555.50726163704576</v>
      </c>
      <c r="F27" s="213">
        <v>475.01718909236911</v>
      </c>
      <c r="G27"/>
      <c r="I27" s="7">
        <v>627641817</v>
      </c>
    </row>
    <row r="28" spans="1:9" ht="20" customHeight="1" thickBot="1">
      <c r="A28" s="195" t="s">
        <v>2399</v>
      </c>
      <c r="B28" s="213">
        <v>130.41231844140259</v>
      </c>
      <c r="C28" s="263">
        <v>493.0630238658905</v>
      </c>
      <c r="D28" s="213">
        <v>639.50202136928147</v>
      </c>
      <c r="E28" s="263">
        <v>569.67033002658377</v>
      </c>
      <c r="F28" s="213">
        <v>475.33734654698912</v>
      </c>
      <c r="G28"/>
      <c r="I28" s="7">
        <v>1280335377</v>
      </c>
    </row>
    <row r="29" spans="1:9" ht="20" customHeight="1" thickBot="1">
      <c r="A29" s="195" t="s">
        <v>2400</v>
      </c>
      <c r="B29" s="213">
        <v>85.633670211014902</v>
      </c>
      <c r="C29" s="263">
        <v>414.68333556216749</v>
      </c>
      <c r="D29" s="213">
        <v>522.16127087235816</v>
      </c>
      <c r="E29" s="263">
        <v>469.46870056960165</v>
      </c>
      <c r="F29" s="213">
        <v>392.9558049116589</v>
      </c>
      <c r="G29"/>
      <c r="I29" s="7">
        <v>410743307</v>
      </c>
    </row>
    <row r="30" spans="1:9" ht="20" customHeight="1" thickBot="1">
      <c r="A30" s="195" t="s">
        <v>2401</v>
      </c>
      <c r="B30" s="213">
        <v>99.804848553027568</v>
      </c>
      <c r="C30" s="263">
        <v>443.11308408295804</v>
      </c>
      <c r="D30" s="213">
        <v>570.68119739671556</v>
      </c>
      <c r="E30" s="263">
        <v>509.83285165211737</v>
      </c>
      <c r="F30" s="213">
        <v>423.97541355287456</v>
      </c>
      <c r="G30"/>
      <c r="I30" s="7">
        <v>318756043</v>
      </c>
    </row>
    <row r="31" spans="1:9" ht="20" customHeight="1" thickBot="1">
      <c r="A31" s="195" t="s">
        <v>2402</v>
      </c>
      <c r="B31" s="213">
        <v>129.58974564711536</v>
      </c>
      <c r="C31" s="263">
        <v>519.90739039720756</v>
      </c>
      <c r="D31" s="213">
        <v>681.33253536580423</v>
      </c>
      <c r="E31" s="263">
        <v>605.126633131586</v>
      </c>
      <c r="F31" s="213">
        <v>503.96074013382554</v>
      </c>
      <c r="G31"/>
      <c r="I31" s="7">
        <v>966736347</v>
      </c>
    </row>
    <row r="32" spans="1:9" ht="20" customHeight="1" thickBot="1">
      <c r="A32" s="196" t="s">
        <v>2403</v>
      </c>
      <c r="B32" s="213">
        <v>104.63878652276901</v>
      </c>
      <c r="C32" s="263">
        <v>461.6436899083958</v>
      </c>
      <c r="D32" s="213">
        <v>577.79299815367131</v>
      </c>
      <c r="E32" s="263">
        <v>521.55695808295536</v>
      </c>
      <c r="F32" s="213">
        <v>430.77080496997655</v>
      </c>
      <c r="G32"/>
      <c r="I32" s="7">
        <v>146808815</v>
      </c>
    </row>
    <row r="33" spans="1:9" ht="30" customHeight="1" thickBot="1">
      <c r="A33" s="197" t="s">
        <v>2404</v>
      </c>
      <c r="B33" s="215">
        <v>95.087019294832658</v>
      </c>
      <c r="C33" s="264">
        <v>453.13397846296584</v>
      </c>
      <c r="D33" s="215">
        <v>574.56835948695698</v>
      </c>
      <c r="E33" s="264">
        <v>515.62649055005761</v>
      </c>
      <c r="F33" s="215">
        <v>432.60529421265812</v>
      </c>
      <c r="G33" s="265"/>
      <c r="I33" s="7">
        <v>12410394200</v>
      </c>
    </row>
    <row r="34" spans="1:9" ht="20" customHeight="1">
      <c r="A34" s="201" t="s">
        <v>2367</v>
      </c>
      <c r="B34" s="219"/>
      <c r="C34" s="219"/>
      <c r="D34" s="219"/>
      <c r="E34" s="219"/>
      <c r="F34" s="219"/>
      <c r="G34" s="222"/>
    </row>
    <row r="35" spans="1:9" ht="14.25" customHeight="1">
      <c r="A35" s="202"/>
      <c r="B35" s="221"/>
      <c r="C35" s="221"/>
      <c r="D35" s="221"/>
      <c r="E35" s="221"/>
      <c r="F35" s="221"/>
      <c r="G35" s="222"/>
    </row>
    <row r="36" spans="1:9" ht="15.75" customHeight="1">
      <c r="A36" s="202" t="s">
        <v>1126</v>
      </c>
      <c r="B36" s="221"/>
      <c r="C36" s="221"/>
      <c r="D36" s="221"/>
      <c r="E36" s="221"/>
      <c r="F36" s="221"/>
      <c r="G36" s="222"/>
    </row>
    <row r="37" spans="1:9" ht="13.5" customHeight="1">
      <c r="A37" s="202"/>
      <c r="B37" s="221"/>
      <c r="C37" s="221"/>
      <c r="D37" s="221"/>
      <c r="E37" s="221"/>
      <c r="F37" s="221"/>
      <c r="G37" s="222"/>
    </row>
    <row r="38" spans="1:9" ht="11.25" customHeight="1">
      <c r="A38" s="266" t="s">
        <v>1127</v>
      </c>
      <c r="B38" s="267"/>
      <c r="C38" s="221"/>
      <c r="D38" s="221"/>
      <c r="E38" s="221"/>
      <c r="F38" s="221"/>
      <c r="G38" s="222"/>
    </row>
    <row r="39" spans="1:9" ht="12" customHeight="1"/>
    <row r="40" spans="1:9" ht="12" customHeight="1"/>
    <row r="41" spans="1:9" ht="12" customHeight="1">
      <c r="A41" s="202" t="s">
        <v>711</v>
      </c>
    </row>
    <row r="42" spans="1:9" ht="12" customHeight="1"/>
  </sheetData>
  <mergeCells count="1">
    <mergeCell ref="A2:E2"/>
  </mergeCells>
  <phoneticPr fontId="0" type="noConversion"/>
  <pageMargins left="0.62" right="0.56000000000000005" top="0.78" bottom="0.49" header="0.4" footer="0.4921259845"/>
  <pageSetup paperSize="9" scale="80" orientation="portrait" horizontalDpi="4294967292" verticalDpi="4294967292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8420-FCCD-9741-AE2B-96DCB75BF342}">
  <dimension ref="A1:K31"/>
  <sheetViews>
    <sheetView topLeftCell="A10" zoomScale="75" workbookViewId="0">
      <selection activeCell="C46" sqref="C46"/>
    </sheetView>
  </sheetViews>
  <sheetFormatPr baseColWidth="10" defaultColWidth="11.3984375" defaultRowHeight="13"/>
  <cols>
    <col min="1" max="1" width="14.796875" style="2" customWidth="1"/>
    <col min="2" max="2" width="14.796875" style="224" customWidth="1"/>
    <col min="3" max="3" width="14.796875" style="225" customWidth="1"/>
    <col min="4" max="4" width="14.796875" style="224" customWidth="1"/>
    <col min="5" max="5" width="14.796875" style="225" customWidth="1"/>
    <col min="6" max="6" width="14.796875" style="224" customWidth="1"/>
    <col min="7" max="7" width="14.796875" style="225" customWidth="1"/>
    <col min="8" max="8" width="11.3984375" style="2"/>
    <col min="9" max="9" width="7.59765625" style="2" customWidth="1"/>
    <col min="10" max="10" width="6.3984375" style="2" customWidth="1"/>
    <col min="11" max="11" width="8.796875" style="2" customWidth="1"/>
    <col min="12" max="16384" width="11.3984375" style="2"/>
  </cols>
  <sheetData>
    <row r="1" spans="1:11" s="1" customFormat="1" ht="15" customHeight="1">
      <c r="A1" s="203"/>
      <c r="B1" s="204"/>
      <c r="C1" s="260"/>
      <c r="D1" s="261"/>
      <c r="E1" s="260"/>
      <c r="F1" s="261"/>
      <c r="G1" s="260"/>
      <c r="H1" s="268"/>
    </row>
    <row r="2" spans="1:11" s="1" customFormat="1" ht="43.5" customHeight="1">
      <c r="A2" s="2024" t="s">
        <v>1273</v>
      </c>
      <c r="B2" s="2025"/>
      <c r="C2" s="2025"/>
      <c r="D2" s="2025"/>
      <c r="E2" s="2025"/>
      <c r="F2" s="2025"/>
      <c r="G2" s="241">
        <v>2008</v>
      </c>
      <c r="H2" s="268"/>
    </row>
    <row r="3" spans="1:11" ht="27" customHeight="1">
      <c r="A3" s="178" t="s">
        <v>1843</v>
      </c>
      <c r="B3" s="208" t="s">
        <v>1844</v>
      </c>
      <c r="C3" s="180" t="s">
        <v>2372</v>
      </c>
      <c r="D3" s="208" t="s">
        <v>1846</v>
      </c>
      <c r="E3" s="180" t="s">
        <v>2372</v>
      </c>
      <c r="F3" s="208" t="s">
        <v>164</v>
      </c>
      <c r="G3" s="180" t="s">
        <v>2372</v>
      </c>
    </row>
    <row r="4" spans="1:11" ht="15" customHeight="1">
      <c r="A4" s="181"/>
      <c r="B4" s="209"/>
      <c r="C4" s="183" t="s">
        <v>2373</v>
      </c>
      <c r="D4" s="209"/>
      <c r="E4" s="183" t="s">
        <v>2373</v>
      </c>
      <c r="F4" s="209"/>
      <c r="G4" s="183" t="s">
        <v>2373</v>
      </c>
    </row>
    <row r="5" spans="1:11" ht="15" customHeight="1">
      <c r="A5" s="181"/>
      <c r="B5" s="209"/>
      <c r="C5" s="183" t="s">
        <v>2377</v>
      </c>
      <c r="D5" s="209"/>
      <c r="E5" s="183" t="s">
        <v>2377</v>
      </c>
      <c r="F5" s="209"/>
      <c r="G5" s="183" t="s">
        <v>2377</v>
      </c>
    </row>
    <row r="6" spans="1:11" ht="23" customHeight="1">
      <c r="A6" s="185"/>
      <c r="B6" s="210"/>
      <c r="C6" s="187"/>
      <c r="D6" s="210"/>
      <c r="E6" s="187"/>
      <c r="F6" s="210"/>
      <c r="G6" s="187"/>
    </row>
    <row r="7" spans="1:11" ht="30" customHeight="1" thickBot="1">
      <c r="A7" s="190" t="s">
        <v>1849</v>
      </c>
      <c r="B7" s="211">
        <v>96.546104664006918</v>
      </c>
      <c r="C7" s="212">
        <v>1.5112090259097773E-2</v>
      </c>
      <c r="D7" s="211">
        <v>93.551672655083507</v>
      </c>
      <c r="E7" s="212">
        <v>2.2040110544770102E-2</v>
      </c>
      <c r="F7" s="211">
        <v>95.086892590021364</v>
      </c>
      <c r="G7" s="212">
        <v>1.8429341735694427E-2</v>
      </c>
      <c r="I7" s="262"/>
      <c r="J7" s="262"/>
      <c r="K7" s="262"/>
    </row>
    <row r="8" spans="1:11" ht="20" customHeight="1" thickBot="1">
      <c r="A8" s="195" t="s">
        <v>1850</v>
      </c>
      <c r="B8" s="213">
        <v>257.0028348778967</v>
      </c>
      <c r="C8" s="214">
        <v>3.9953055723480846E-2</v>
      </c>
      <c r="D8" s="213">
        <v>384.43389252383844</v>
      </c>
      <c r="E8" s="214">
        <v>4.1862948012910975E-2</v>
      </c>
      <c r="F8" s="213">
        <v>320.79966291492877</v>
      </c>
      <c r="G8" s="214">
        <v>4.0791767132746959E-2</v>
      </c>
      <c r="I8" s="262"/>
      <c r="J8" s="262"/>
      <c r="K8" s="262"/>
    </row>
    <row r="9" spans="1:11" ht="20" customHeight="1" thickBot="1">
      <c r="A9" s="195" t="s">
        <v>1851</v>
      </c>
      <c r="B9" s="213">
        <v>261.10835112284167</v>
      </c>
      <c r="C9" s="214">
        <v>3.2270644288966505E-2</v>
      </c>
      <c r="D9" s="213">
        <v>443.70169403937143</v>
      </c>
      <c r="E9" s="214">
        <v>3.7928867797668402E-2</v>
      </c>
      <c r="F9" s="213">
        <v>352.04029185457114</v>
      </c>
      <c r="G9" s="214">
        <v>3.5356504372990594E-2</v>
      </c>
      <c r="I9" s="262"/>
      <c r="J9" s="262"/>
      <c r="K9" s="262"/>
    </row>
    <row r="10" spans="1:11" ht="20" customHeight="1" thickBot="1">
      <c r="A10" s="195" t="s">
        <v>1852</v>
      </c>
      <c r="B10" s="213">
        <v>300.22381652317955</v>
      </c>
      <c r="C10" s="214">
        <v>3.0125414205921255E-2</v>
      </c>
      <c r="D10" s="213">
        <v>493.57698349742554</v>
      </c>
      <c r="E10" s="214">
        <v>3.7780292000014586E-2</v>
      </c>
      <c r="F10" s="213">
        <v>396.90152778911931</v>
      </c>
      <c r="G10" s="214">
        <v>3.4466456270510787E-2</v>
      </c>
      <c r="I10" s="262"/>
      <c r="J10" s="262"/>
      <c r="K10" s="262"/>
    </row>
    <row r="11" spans="1:11" ht="20" customHeight="1" thickBot="1">
      <c r="A11" s="195" t="s">
        <v>1853</v>
      </c>
      <c r="B11" s="213">
        <v>334.9069803809582</v>
      </c>
      <c r="C11" s="214">
        <v>3.4586225731839018E-2</v>
      </c>
      <c r="D11" s="213">
        <v>499.95731854763153</v>
      </c>
      <c r="E11" s="214">
        <v>4.300354301068518E-2</v>
      </c>
      <c r="F11" s="213">
        <v>417.35689300236476</v>
      </c>
      <c r="G11" s="214">
        <v>3.9252613219254752E-2</v>
      </c>
      <c r="I11" s="262"/>
      <c r="J11" s="262"/>
      <c r="K11" s="262"/>
    </row>
    <row r="12" spans="1:11" ht="20" customHeight="1" thickBot="1">
      <c r="A12" s="195" t="s">
        <v>1854</v>
      </c>
      <c r="B12" s="213">
        <v>365.09230979831483</v>
      </c>
      <c r="C12" s="214">
        <v>3.4519547658019921E-2</v>
      </c>
      <c r="D12" s="213">
        <v>502.98606793321824</v>
      </c>
      <c r="E12" s="214">
        <v>3.8871966061252566E-2</v>
      </c>
      <c r="F12" s="213">
        <v>433.25593662269762</v>
      </c>
      <c r="G12" s="214">
        <v>3.7162444748939719E-2</v>
      </c>
      <c r="I12" s="262"/>
      <c r="J12" s="262"/>
      <c r="K12" s="262"/>
    </row>
    <row r="13" spans="1:11" ht="20" customHeight="1" thickBot="1">
      <c r="A13" s="195" t="s">
        <v>1855</v>
      </c>
      <c r="B13" s="213">
        <v>409.3420401072899</v>
      </c>
      <c r="C13" s="214">
        <v>3.344828968542999E-2</v>
      </c>
      <c r="D13" s="213">
        <v>531.1204773689484</v>
      </c>
      <c r="E13" s="214">
        <v>3.700634096991471E-2</v>
      </c>
      <c r="F13" s="213">
        <v>469.49958575537335</v>
      </c>
      <c r="G13" s="214">
        <v>3.5340701040068159E-2</v>
      </c>
      <c r="I13" s="262"/>
      <c r="J13" s="262"/>
      <c r="K13" s="262"/>
    </row>
    <row r="14" spans="1:11" ht="20" customHeight="1" thickBot="1">
      <c r="A14" s="195" t="s">
        <v>1856</v>
      </c>
      <c r="B14" s="213">
        <v>472.01777411187015</v>
      </c>
      <c r="C14" s="214">
        <v>2.716199371649573E-2</v>
      </c>
      <c r="D14" s="213">
        <v>572.12359647235951</v>
      </c>
      <c r="E14" s="214">
        <v>2.7912873869310198E-2</v>
      </c>
      <c r="F14" s="213">
        <v>521.58940263965678</v>
      </c>
      <c r="G14" s="214">
        <v>2.7310373581849286E-2</v>
      </c>
      <c r="I14" s="262"/>
      <c r="J14" s="262"/>
      <c r="K14" s="262"/>
    </row>
    <row r="15" spans="1:11" ht="20" customHeight="1" thickBot="1">
      <c r="A15" s="195" t="s">
        <v>1857</v>
      </c>
      <c r="B15" s="213">
        <v>545.72344712378356</v>
      </c>
      <c r="C15" s="214">
        <v>2.8283013307678261E-2</v>
      </c>
      <c r="D15" s="213">
        <v>597.6958398694328</v>
      </c>
      <c r="E15" s="214">
        <v>2.2637054511822959E-2</v>
      </c>
      <c r="F15" s="213">
        <v>571.77849729949696</v>
      </c>
      <c r="G15" s="214">
        <v>2.5310427262080333E-2</v>
      </c>
      <c r="I15" s="262"/>
      <c r="J15" s="262"/>
      <c r="K15" s="262"/>
    </row>
    <row r="16" spans="1:11" ht="20" customHeight="1" thickBot="1">
      <c r="A16" s="195" t="s">
        <v>1858</v>
      </c>
      <c r="B16" s="213">
        <v>626.79807541422474</v>
      </c>
      <c r="C16" s="214">
        <v>2.6345611105805064E-2</v>
      </c>
      <c r="D16" s="213">
        <v>641.17557827803148</v>
      </c>
      <c r="E16" s="214">
        <v>1.9455937870349344E-2</v>
      </c>
      <c r="F16" s="213">
        <v>634.08527689327843</v>
      </c>
      <c r="G16" s="214">
        <v>2.2801237145253006E-2</v>
      </c>
      <c r="I16" s="262"/>
      <c r="J16" s="262"/>
      <c r="K16" s="262"/>
    </row>
    <row r="17" spans="1:11" ht="20" customHeight="1" thickBot="1">
      <c r="A17" s="195" t="s">
        <v>1859</v>
      </c>
      <c r="B17" s="213">
        <v>691.88285528750066</v>
      </c>
      <c r="C17" s="214">
        <v>2.8204120691157041E-2</v>
      </c>
      <c r="D17" s="213">
        <v>685.65726754129469</v>
      </c>
      <c r="E17" s="214">
        <v>2.3442403027859292E-2</v>
      </c>
      <c r="F17" s="213">
        <v>688.60719842550725</v>
      </c>
      <c r="G17" s="214">
        <v>2.5716510416526943E-2</v>
      </c>
      <c r="I17" s="262"/>
      <c r="J17" s="262"/>
      <c r="K17" s="262"/>
    </row>
    <row r="18" spans="1:11" ht="20" customHeight="1" thickBot="1">
      <c r="A18" s="195" t="s">
        <v>1860</v>
      </c>
      <c r="B18" s="213">
        <v>742.77734546547185</v>
      </c>
      <c r="C18" s="214">
        <v>1.7541529420195271E-2</v>
      </c>
      <c r="D18" s="213">
        <v>730.95652807429883</v>
      </c>
      <c r="E18" s="214">
        <v>1.8354226714707236E-2</v>
      </c>
      <c r="F18" s="213">
        <v>736.29044784836765</v>
      </c>
      <c r="G18" s="214">
        <v>1.8027424694500294E-2</v>
      </c>
      <c r="I18" s="262"/>
      <c r="J18" s="262"/>
      <c r="K18" s="262"/>
    </row>
    <row r="19" spans="1:11" ht="20" customHeight="1" thickBot="1">
      <c r="A19" s="195" t="s">
        <v>1861</v>
      </c>
      <c r="B19" s="213">
        <v>799.46624642746883</v>
      </c>
      <c r="C19" s="214">
        <v>1.7044652217608765E-2</v>
      </c>
      <c r="D19" s="213">
        <v>789.52595222036825</v>
      </c>
      <c r="E19" s="214">
        <v>1.4801362112774004E-2</v>
      </c>
      <c r="F19" s="213">
        <v>793.66313403019012</v>
      </c>
      <c r="G19" s="214">
        <v>1.5785640296225076E-2</v>
      </c>
      <c r="I19" s="262"/>
      <c r="J19" s="262"/>
      <c r="K19" s="262"/>
    </row>
    <row r="20" spans="1:11" ht="20" customHeight="1" thickBot="1">
      <c r="A20" s="195" t="s">
        <v>1862</v>
      </c>
      <c r="B20" s="213">
        <v>861.66139139670759</v>
      </c>
      <c r="C20" s="214">
        <v>1.6432421049281238E-2</v>
      </c>
      <c r="D20" s="213">
        <v>863.8002540573666</v>
      </c>
      <c r="E20" s="214">
        <v>1.5582825648306327E-2</v>
      </c>
      <c r="F20" s="213">
        <v>863.01045507009349</v>
      </c>
      <c r="G20" s="214">
        <v>1.5887049551812034E-2</v>
      </c>
      <c r="I20" s="262"/>
      <c r="J20" s="262"/>
      <c r="K20" s="262"/>
    </row>
    <row r="21" spans="1:11" ht="20" customHeight="1" thickBot="1">
      <c r="A21" s="195" t="s">
        <v>1863</v>
      </c>
      <c r="B21" s="213">
        <v>934.59355660720757</v>
      </c>
      <c r="C21" s="214">
        <v>1.2041172598898765E-2</v>
      </c>
      <c r="D21" s="213">
        <v>949.77954889847297</v>
      </c>
      <c r="E21" s="214">
        <v>8.6523242415917634E-3</v>
      </c>
      <c r="F21" s="213">
        <v>944.85227764872798</v>
      </c>
      <c r="G21" s="214">
        <v>9.7230730091010902E-3</v>
      </c>
      <c r="I21" s="262"/>
      <c r="J21" s="262"/>
      <c r="K21" s="262"/>
    </row>
    <row r="22" spans="1:11" ht="20" customHeight="1" thickBot="1">
      <c r="A22" s="195" t="s">
        <v>1864</v>
      </c>
      <c r="B22" s="213">
        <v>1068.4877561219391</v>
      </c>
      <c r="C22" s="214">
        <v>2.4261550163259881E-2</v>
      </c>
      <c r="D22" s="213">
        <v>1076.1497124168245</v>
      </c>
      <c r="E22" s="214">
        <v>8.4360076855125518E-3</v>
      </c>
      <c r="F22" s="213">
        <v>1074.2120318490106</v>
      </c>
      <c r="G22" s="214">
        <v>1.2333490028270196E-2</v>
      </c>
      <c r="I22" s="262"/>
      <c r="J22" s="262"/>
      <c r="K22" s="262"/>
    </row>
    <row r="23" spans="1:11" ht="30" customHeight="1" thickBot="1">
      <c r="A23" s="197" t="s">
        <v>164</v>
      </c>
      <c r="B23" s="215">
        <v>379.59432121635132</v>
      </c>
      <c r="C23" s="216">
        <v>3.2143865485486436E-2</v>
      </c>
      <c r="D23" s="215">
        <v>483.6954496050181</v>
      </c>
      <c r="E23" s="216">
        <v>3.0964391923843485E-2</v>
      </c>
      <c r="F23" s="215">
        <v>432.60529421265778</v>
      </c>
      <c r="G23" s="216">
        <v>3.1306570984981498E-2</v>
      </c>
      <c r="I23" s="262"/>
      <c r="J23" s="262"/>
      <c r="K23" s="262"/>
    </row>
    <row r="24" spans="1:11" ht="20" customHeight="1">
      <c r="A24" s="201" t="s">
        <v>2367</v>
      </c>
      <c r="B24" s="219"/>
      <c r="C24" s="220"/>
      <c r="D24" s="219"/>
      <c r="E24" s="220"/>
      <c r="F24" s="219"/>
      <c r="G24" s="220"/>
    </row>
    <row r="25" spans="1:11" ht="14.25" customHeight="1">
      <c r="A25" s="202"/>
      <c r="B25" s="221"/>
      <c r="C25" s="222"/>
      <c r="D25" s="221"/>
      <c r="E25" s="222"/>
      <c r="F25" s="221"/>
      <c r="G25" s="222"/>
    </row>
    <row r="26" spans="1:11" ht="12.75" customHeight="1">
      <c r="A26" s="202" t="s">
        <v>1129</v>
      </c>
      <c r="B26" s="221"/>
      <c r="C26" s="222"/>
      <c r="D26" s="221"/>
      <c r="E26" s="222"/>
      <c r="F26" s="221"/>
      <c r="G26" s="222"/>
    </row>
    <row r="28" spans="1:11">
      <c r="A28" s="239" t="s">
        <v>1116</v>
      </c>
      <c r="B28" s="221"/>
      <c r="C28" s="222"/>
      <c r="D28" s="221"/>
      <c r="E28" s="222"/>
      <c r="F28" s="221"/>
      <c r="G28" s="222"/>
    </row>
    <row r="29" spans="1:11">
      <c r="A29" s="239"/>
      <c r="B29" s="221"/>
      <c r="C29" s="222"/>
      <c r="D29" s="221"/>
      <c r="E29" s="222"/>
      <c r="F29" s="221"/>
      <c r="G29" s="222"/>
    </row>
    <row r="30" spans="1:11">
      <c r="A30" s="239"/>
      <c r="B30" s="221"/>
      <c r="C30" s="222"/>
      <c r="D30" s="221"/>
      <c r="E30" s="222"/>
      <c r="F30" s="221"/>
      <c r="G30" s="222"/>
    </row>
    <row r="31" spans="1:11">
      <c r="A31" s="202" t="s">
        <v>711</v>
      </c>
    </row>
  </sheetData>
  <mergeCells count="1">
    <mergeCell ref="A2:F2"/>
  </mergeCells>
  <phoneticPr fontId="0" type="noConversion"/>
  <pageMargins left="0.62" right="0.66" top="0.83" bottom="0.86614173228346458" header="0.44" footer="0.51181102362204722"/>
  <pageSetup paperSize="9" scale="80" orientation="portrait" horizontalDpi="1200" verticalDpi="12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30E4-55B8-2342-9DEC-4EE49BC7F874}">
  <sheetPr>
    <pageSetUpPr fitToPage="1"/>
  </sheetPr>
  <dimension ref="A1:H39"/>
  <sheetViews>
    <sheetView zoomScale="75" workbookViewId="0">
      <selection activeCell="A3" sqref="A3"/>
    </sheetView>
  </sheetViews>
  <sheetFormatPr baseColWidth="10" defaultColWidth="11.3984375" defaultRowHeight="13"/>
  <cols>
    <col min="1" max="2" width="14.796875" style="2" customWidth="1"/>
    <col min="3" max="3" width="15.796875" style="2" customWidth="1"/>
    <col min="4" max="5" width="16" style="2" customWidth="1"/>
    <col min="6" max="6" width="16.59765625" style="2" customWidth="1"/>
    <col min="7" max="7" width="16.7968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39" customHeight="1">
      <c r="A2" s="2017" t="s">
        <v>1274</v>
      </c>
      <c r="B2" s="2021"/>
      <c r="C2" s="2021"/>
      <c r="D2" s="2021"/>
      <c r="E2" s="2021"/>
      <c r="F2" s="177">
        <v>2008</v>
      </c>
    </row>
    <row r="3" spans="1:8" ht="27" customHeight="1">
      <c r="A3" s="178" t="s">
        <v>2368</v>
      </c>
      <c r="B3" s="179" t="s">
        <v>2369</v>
      </c>
      <c r="C3" s="180" t="s">
        <v>2370</v>
      </c>
      <c r="D3" s="179" t="s">
        <v>2371</v>
      </c>
      <c r="E3" s="180" t="s">
        <v>164</v>
      </c>
      <c r="F3" s="179" t="s">
        <v>2372</v>
      </c>
    </row>
    <row r="4" spans="1:8" ht="15" customHeight="1">
      <c r="A4" s="181"/>
      <c r="B4" s="182"/>
      <c r="C4" s="183" t="s">
        <v>2371</v>
      </c>
      <c r="D4" s="184"/>
      <c r="E4" s="183"/>
      <c r="F4" s="182" t="s">
        <v>2373</v>
      </c>
    </row>
    <row r="5" spans="1:8" ht="15" customHeight="1">
      <c r="A5" s="181"/>
      <c r="B5" s="182" t="s">
        <v>2374</v>
      </c>
      <c r="C5" s="183" t="s">
        <v>2375</v>
      </c>
      <c r="D5" s="182" t="s">
        <v>2376</v>
      </c>
      <c r="E5" s="183"/>
      <c r="F5" s="182" t="s">
        <v>2377</v>
      </c>
    </row>
    <row r="6" spans="1:8" ht="24" customHeight="1">
      <c r="A6" s="185"/>
      <c r="B6" s="186"/>
      <c r="C6" s="185"/>
      <c r="D6" s="186"/>
      <c r="E6" s="187"/>
      <c r="F6" s="188"/>
      <c r="H6" s="189"/>
    </row>
    <row r="7" spans="1:8" ht="30" customHeight="1" thickBot="1">
      <c r="A7" s="190" t="s">
        <v>2378</v>
      </c>
      <c r="B7" s="191">
        <v>74.365407942564843</v>
      </c>
      <c r="C7" s="192">
        <v>81.355201277305184</v>
      </c>
      <c r="D7" s="191">
        <v>254.22150572993698</v>
      </c>
      <c r="E7" s="192">
        <v>207.6551347772679</v>
      </c>
      <c r="F7" s="193">
        <v>4.7041989929676259E-2</v>
      </c>
      <c r="H7" s="194"/>
    </row>
    <row r="8" spans="1:8" ht="20" customHeight="1" thickBot="1">
      <c r="A8" s="195" t="s">
        <v>2379</v>
      </c>
      <c r="B8" s="191">
        <v>60.602274580669075</v>
      </c>
      <c r="C8" s="192">
        <v>77.48492607766299</v>
      </c>
      <c r="D8" s="191">
        <v>294.07163291002524</v>
      </c>
      <c r="E8" s="192">
        <v>232.73528581277955</v>
      </c>
      <c r="F8" s="193">
        <v>4.4154674778806101E-2</v>
      </c>
      <c r="H8" s="194"/>
    </row>
    <row r="9" spans="1:8" ht="20" customHeight="1" thickBot="1">
      <c r="A9" s="195" t="s">
        <v>2380</v>
      </c>
      <c r="B9" s="191">
        <v>51.914925971434293</v>
      </c>
      <c r="C9" s="192">
        <v>59.961321871673185</v>
      </c>
      <c r="D9" s="191">
        <v>228.4217500142563</v>
      </c>
      <c r="E9" s="192">
        <v>176.27849665442088</v>
      </c>
      <c r="F9" s="193">
        <v>4.2268768975448567E-2</v>
      </c>
      <c r="H9" s="194"/>
    </row>
    <row r="10" spans="1:8" ht="20" customHeight="1" thickBot="1">
      <c r="A10" s="195" t="s">
        <v>2381</v>
      </c>
      <c r="B10" s="191">
        <v>50.246459507768456</v>
      </c>
      <c r="C10" s="192">
        <v>55.887750238322212</v>
      </c>
      <c r="D10" s="191">
        <v>221.70765066008605</v>
      </c>
      <c r="E10" s="192">
        <v>171.36835614749043</v>
      </c>
      <c r="F10" s="193">
        <v>2.7596271654969896E-2</v>
      </c>
      <c r="H10" s="194"/>
    </row>
    <row r="11" spans="1:8" ht="20" customHeight="1" thickBot="1">
      <c r="A11" s="195" t="s">
        <v>2382</v>
      </c>
      <c r="B11" s="191">
        <v>62.625813179998879</v>
      </c>
      <c r="C11" s="192">
        <v>64.188709764747287</v>
      </c>
      <c r="D11" s="191">
        <v>219.17240925043996</v>
      </c>
      <c r="E11" s="192">
        <v>173.28758502565688</v>
      </c>
      <c r="F11" s="193">
        <v>3.2470720622915346E-2</v>
      </c>
      <c r="H11" s="194"/>
    </row>
    <row r="12" spans="1:8" ht="20" customHeight="1" thickBot="1">
      <c r="A12" s="195" t="s">
        <v>2383</v>
      </c>
      <c r="B12" s="191">
        <v>55.971628085375215</v>
      </c>
      <c r="C12" s="192">
        <v>64.837090267271819</v>
      </c>
      <c r="D12" s="191">
        <v>216.64127785394768</v>
      </c>
      <c r="E12" s="192">
        <v>168.06443763604807</v>
      </c>
      <c r="F12" s="193">
        <v>3.649112410606966E-2</v>
      </c>
      <c r="H12" s="194"/>
    </row>
    <row r="13" spans="1:8" ht="20" customHeight="1" thickBot="1">
      <c r="A13" s="195" t="s">
        <v>2384</v>
      </c>
      <c r="B13" s="191">
        <v>51.457788740816682</v>
      </c>
      <c r="C13" s="192">
        <v>57.554664067186565</v>
      </c>
      <c r="D13" s="191">
        <v>200.86705173946677</v>
      </c>
      <c r="E13" s="192">
        <v>159.77940735371311</v>
      </c>
      <c r="F13" s="193">
        <v>3.8062827002144688E-2</v>
      </c>
      <c r="H13" s="194"/>
    </row>
    <row r="14" spans="1:8" ht="20" customHeight="1" thickBot="1">
      <c r="A14" s="195" t="s">
        <v>2385</v>
      </c>
      <c r="B14" s="191">
        <v>65.540283996137305</v>
      </c>
      <c r="C14" s="192">
        <v>74.056184629376986</v>
      </c>
      <c r="D14" s="191">
        <v>228.07015436547536</v>
      </c>
      <c r="E14" s="192">
        <v>181.12597870341369</v>
      </c>
      <c r="F14" s="193">
        <v>7.290821477487168E-2</v>
      </c>
      <c r="H14" s="194"/>
    </row>
    <row r="15" spans="1:8" ht="20" customHeight="1" thickBot="1">
      <c r="A15" s="195" t="s">
        <v>2386</v>
      </c>
      <c r="B15" s="191">
        <v>58.673051842191065</v>
      </c>
      <c r="C15" s="192">
        <v>68.02220449801095</v>
      </c>
      <c r="D15" s="191">
        <v>214.10355651167473</v>
      </c>
      <c r="E15" s="192">
        <v>172.30841863157252</v>
      </c>
      <c r="F15" s="193">
        <v>3.5551403673392316E-2</v>
      </c>
      <c r="H15" s="194"/>
    </row>
    <row r="16" spans="1:8" ht="20" customHeight="1" thickBot="1">
      <c r="A16" s="195" t="s">
        <v>2387</v>
      </c>
      <c r="B16" s="191">
        <v>65.081874247894106</v>
      </c>
      <c r="C16" s="192">
        <v>79.832758820043651</v>
      </c>
      <c r="D16" s="191">
        <v>253.44858031385499</v>
      </c>
      <c r="E16" s="192">
        <v>195.56887384457423</v>
      </c>
      <c r="F16" s="193">
        <v>3.3797985003051027E-2</v>
      </c>
      <c r="H16" s="194"/>
    </row>
    <row r="17" spans="1:8" ht="20" customHeight="1" thickBot="1">
      <c r="A17" s="195" t="s">
        <v>2388</v>
      </c>
      <c r="B17" s="191">
        <v>66.153049257232212</v>
      </c>
      <c r="C17" s="192">
        <v>73.988161823776394</v>
      </c>
      <c r="D17" s="191">
        <v>260.94748267470624</v>
      </c>
      <c r="E17" s="192">
        <v>207.14013809637026</v>
      </c>
      <c r="F17" s="193">
        <v>5.1616097992015469E-2</v>
      </c>
      <c r="H17" s="194"/>
    </row>
    <row r="18" spans="1:8" ht="20" customHeight="1" thickBot="1">
      <c r="A18" s="195" t="s">
        <v>2389</v>
      </c>
      <c r="B18" s="191">
        <v>96.15203117000631</v>
      </c>
      <c r="C18" s="192">
        <v>101.35518265366204</v>
      </c>
      <c r="D18" s="191">
        <v>371.0343788344299</v>
      </c>
      <c r="E18" s="192">
        <v>308.43104571877575</v>
      </c>
      <c r="F18" s="193">
        <v>6.2167000936466592E-2</v>
      </c>
      <c r="H18" s="194"/>
    </row>
    <row r="19" spans="1:8" ht="20" customHeight="1" thickBot="1">
      <c r="A19" s="195" t="s">
        <v>2390</v>
      </c>
      <c r="B19" s="191">
        <v>79.588294249359777</v>
      </c>
      <c r="C19" s="192">
        <v>87.774524001709324</v>
      </c>
      <c r="D19" s="191">
        <v>277.27585566130125</v>
      </c>
      <c r="E19" s="192">
        <v>226.06944259189277</v>
      </c>
      <c r="F19" s="193">
        <v>6.6452041942065651E-2</v>
      </c>
      <c r="H19" s="194"/>
    </row>
    <row r="20" spans="1:8" ht="20" customHeight="1" thickBot="1">
      <c r="A20" s="195" t="s">
        <v>2391</v>
      </c>
      <c r="B20" s="191">
        <v>59.717500657155831</v>
      </c>
      <c r="C20" s="192">
        <v>69.666679213088429</v>
      </c>
      <c r="D20" s="191">
        <v>248.57976261323813</v>
      </c>
      <c r="E20" s="192">
        <v>198.30780248634528</v>
      </c>
      <c r="F20" s="193">
        <v>4.0518154364810863E-2</v>
      </c>
      <c r="H20" s="194"/>
    </row>
    <row r="21" spans="1:8" ht="20" customHeight="1" thickBot="1">
      <c r="A21" s="195" t="s">
        <v>2392</v>
      </c>
      <c r="B21" s="191">
        <v>54.266624292502797</v>
      </c>
      <c r="C21" s="192">
        <v>55.30596094190637</v>
      </c>
      <c r="D21" s="191">
        <v>206.58098267328924</v>
      </c>
      <c r="E21" s="192">
        <v>161.76610476368859</v>
      </c>
      <c r="F21" s="193">
        <v>5.5545175511672408E-2</v>
      </c>
      <c r="H21" s="194"/>
    </row>
    <row r="22" spans="1:8" ht="20" customHeight="1" thickBot="1">
      <c r="A22" s="195" t="s">
        <v>2393</v>
      </c>
      <c r="B22" s="191">
        <v>49.990779256794234</v>
      </c>
      <c r="C22" s="192">
        <v>44.023078597866316</v>
      </c>
      <c r="D22" s="191">
        <v>196.29721144519885</v>
      </c>
      <c r="E22" s="192">
        <v>147.05058155844719</v>
      </c>
      <c r="F22" s="193">
        <v>0.13734522618109182</v>
      </c>
      <c r="H22" s="194"/>
    </row>
    <row r="23" spans="1:8" ht="20" customHeight="1" thickBot="1">
      <c r="A23" s="195" t="s">
        <v>2394</v>
      </c>
      <c r="B23" s="191">
        <v>60.719689059643649</v>
      </c>
      <c r="C23" s="192">
        <v>65.444453740889486</v>
      </c>
      <c r="D23" s="191">
        <v>220.83661077835743</v>
      </c>
      <c r="E23" s="192">
        <v>172.36359188046023</v>
      </c>
      <c r="F23" s="193">
        <v>4.6858320388009522E-2</v>
      </c>
      <c r="H23" s="194"/>
    </row>
    <row r="24" spans="1:8" ht="20" customHeight="1" thickBot="1">
      <c r="A24" s="195" t="s">
        <v>2395</v>
      </c>
      <c r="B24" s="191">
        <v>65.126858583873712</v>
      </c>
      <c r="C24" s="192">
        <v>61.305379746835449</v>
      </c>
      <c r="D24" s="191">
        <v>229.53375640185095</v>
      </c>
      <c r="E24" s="192">
        <v>183.51673615579287</v>
      </c>
      <c r="F24" s="193">
        <v>3.6492067517497097E-2</v>
      </c>
      <c r="H24" s="194"/>
    </row>
    <row r="25" spans="1:8" ht="20" customHeight="1" thickBot="1">
      <c r="A25" s="195" t="s">
        <v>2396</v>
      </c>
      <c r="B25" s="191">
        <v>65.063926738878564</v>
      </c>
      <c r="C25" s="192">
        <v>73.50549284221627</v>
      </c>
      <c r="D25" s="191">
        <v>239.29129718148008</v>
      </c>
      <c r="E25" s="192">
        <v>189.96552972567414</v>
      </c>
      <c r="F25" s="193">
        <v>5.8128342965357599E-2</v>
      </c>
      <c r="H25" s="194"/>
    </row>
    <row r="26" spans="1:8" ht="20" customHeight="1" thickBot="1">
      <c r="A26" s="195" t="s">
        <v>2397</v>
      </c>
      <c r="B26" s="191">
        <v>61.138827717472509</v>
      </c>
      <c r="C26" s="192">
        <v>69.034077726218101</v>
      </c>
      <c r="D26" s="191">
        <v>231.2960342064446</v>
      </c>
      <c r="E26" s="192">
        <v>180.14317521634413</v>
      </c>
      <c r="F26" s="193">
        <v>5.4975012476376137E-2</v>
      </c>
      <c r="H26" s="194"/>
    </row>
    <row r="27" spans="1:8" ht="20" customHeight="1" thickBot="1">
      <c r="A27" s="195" t="s">
        <v>2398</v>
      </c>
      <c r="B27" s="191">
        <v>69.096681464335887</v>
      </c>
      <c r="C27" s="192">
        <v>64.396988683493305</v>
      </c>
      <c r="D27" s="191">
        <v>295.32714805502832</v>
      </c>
      <c r="E27" s="192">
        <v>238.83171407100872</v>
      </c>
      <c r="F27" s="193">
        <v>-5.7821998050462469E-4</v>
      </c>
      <c r="H27" s="194"/>
    </row>
    <row r="28" spans="1:8" ht="20" customHeight="1" thickBot="1">
      <c r="A28" s="195" t="s">
        <v>2399</v>
      </c>
      <c r="B28" s="191">
        <v>82.300762610027576</v>
      </c>
      <c r="C28" s="192">
        <v>84.682959034358888</v>
      </c>
      <c r="D28" s="191">
        <v>304.02470670152019</v>
      </c>
      <c r="E28" s="192">
        <v>238.97522364681325</v>
      </c>
      <c r="F28" s="193">
        <v>2.974904842468392E-2</v>
      </c>
      <c r="H28" s="194"/>
    </row>
    <row r="29" spans="1:8" ht="20" customHeight="1" thickBot="1">
      <c r="A29" s="195" t="s">
        <v>2400</v>
      </c>
      <c r="B29" s="191">
        <v>62.41051892330821</v>
      </c>
      <c r="C29" s="192">
        <v>65.952562916358247</v>
      </c>
      <c r="D29" s="191">
        <v>242.53923879434683</v>
      </c>
      <c r="E29" s="192">
        <v>190.97859037244834</v>
      </c>
      <c r="F29" s="193">
        <v>3.8018791322976711E-2</v>
      </c>
      <c r="H29" s="194"/>
    </row>
    <row r="30" spans="1:8" ht="20" customHeight="1" thickBot="1">
      <c r="A30" s="195" t="s">
        <v>2401</v>
      </c>
      <c r="B30" s="191">
        <v>68.433803470484008</v>
      </c>
      <c r="C30" s="192">
        <v>71.052955398383375</v>
      </c>
      <c r="D30" s="191">
        <v>287.96851362725232</v>
      </c>
      <c r="E30" s="192">
        <v>224.29946390748822</v>
      </c>
      <c r="F30" s="193">
        <v>4.3726043633309952E-2</v>
      </c>
      <c r="H30" s="194"/>
    </row>
    <row r="31" spans="1:8" ht="20" customHeight="1" thickBot="1">
      <c r="A31" s="195" t="s">
        <v>2402</v>
      </c>
      <c r="B31" s="191">
        <v>98.781921153280379</v>
      </c>
      <c r="C31" s="192">
        <v>109.70902203856748</v>
      </c>
      <c r="D31" s="191">
        <v>355.8997907751484</v>
      </c>
      <c r="E31" s="192">
        <v>282.60521664455763</v>
      </c>
      <c r="F31" s="193">
        <v>5.4820158896671765E-2</v>
      </c>
      <c r="H31" s="194"/>
    </row>
    <row r="32" spans="1:8" ht="20" customHeight="1" thickBot="1">
      <c r="A32" s="196" t="s">
        <v>2403</v>
      </c>
      <c r="B32" s="191">
        <v>69.464244976748276</v>
      </c>
      <c r="C32" s="192">
        <v>60.932034776793181</v>
      </c>
      <c r="D32" s="191">
        <v>288.20725656008671</v>
      </c>
      <c r="E32" s="192">
        <v>221.09033161839523</v>
      </c>
      <c r="F32" s="193">
        <v>3.9960812971358728E-2</v>
      </c>
      <c r="H32" s="194"/>
    </row>
    <row r="33" spans="1:8" ht="30" customHeight="1" thickBot="1">
      <c r="A33" s="197" t="s">
        <v>2404</v>
      </c>
      <c r="B33" s="198">
        <v>69.334949730831752</v>
      </c>
      <c r="C33" s="199">
        <v>75.940409421876879</v>
      </c>
      <c r="D33" s="198">
        <v>267.31738024442723</v>
      </c>
      <c r="E33" s="199">
        <v>212.37180576680626</v>
      </c>
      <c r="F33" s="200">
        <v>4.3596527041876942E-2</v>
      </c>
      <c r="H33" s="194"/>
    </row>
    <row r="34" spans="1:8" ht="20" customHeight="1">
      <c r="A34" s="201" t="s">
        <v>2367</v>
      </c>
      <c r="B34" s="201"/>
      <c r="C34" s="201"/>
      <c r="D34" s="201"/>
      <c r="E34" s="201"/>
      <c r="F34" s="201"/>
      <c r="H34" s="189"/>
    </row>
    <row r="35" spans="1:8" ht="11.25" customHeight="1">
      <c r="A35" s="202"/>
      <c r="B35" s="202"/>
      <c r="C35" s="202"/>
      <c r="D35" s="202"/>
      <c r="E35" s="202"/>
      <c r="F35" s="202"/>
      <c r="H35" s="189"/>
    </row>
    <row r="36" spans="1:8" ht="14.25" customHeight="1">
      <c r="A36" s="202" t="s">
        <v>2405</v>
      </c>
      <c r="B36" s="202"/>
      <c r="C36" s="202"/>
      <c r="D36" s="202"/>
      <c r="E36" s="202"/>
      <c r="F36" s="202"/>
      <c r="H36" s="189"/>
    </row>
    <row r="37" spans="1:8" ht="13.5" customHeight="1">
      <c r="A37" s="202"/>
      <c r="B37" s="202"/>
      <c r="C37" s="202"/>
      <c r="D37" s="202"/>
      <c r="E37" s="202"/>
      <c r="F37" s="202"/>
      <c r="H37" s="189"/>
    </row>
    <row r="38" spans="1:8" ht="12" customHeight="1"/>
    <row r="39" spans="1:8" ht="12" customHeight="1">
      <c r="A39" s="202" t="s">
        <v>711</v>
      </c>
    </row>
  </sheetData>
  <mergeCells count="1">
    <mergeCell ref="A2:E2"/>
  </mergeCells>
  <phoneticPr fontId="0" type="noConversion"/>
  <pageMargins left="0.65" right="0.5" top="0.87" bottom="0.49" header="0.51" footer="0.4921259845"/>
  <pageSetup paperSize="9" scale="83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3203-796A-F349-AE3A-12EA700E35C5}">
  <sheetPr>
    <pageSetUpPr fitToPage="1"/>
  </sheetPr>
  <dimension ref="A1:H41"/>
  <sheetViews>
    <sheetView zoomScale="75" workbookViewId="0">
      <selection activeCell="I40" sqref="I40"/>
    </sheetView>
  </sheetViews>
  <sheetFormatPr baseColWidth="10" defaultColWidth="11.3984375" defaultRowHeight="13"/>
  <cols>
    <col min="1" max="2" width="14.796875" style="2" customWidth="1"/>
    <col min="3" max="3" width="15.796875" style="2" customWidth="1"/>
    <col min="4" max="4" width="16" style="2" customWidth="1"/>
    <col min="5" max="5" width="15.3984375" style="2" customWidth="1"/>
    <col min="6" max="6" width="17.59765625" style="2" customWidth="1"/>
    <col min="7" max="7" width="16.7968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39" customHeight="1">
      <c r="A2" s="2017" t="s">
        <v>1117</v>
      </c>
      <c r="B2" s="2021"/>
      <c r="C2" s="2021"/>
      <c r="D2" s="2021"/>
      <c r="E2" s="2021"/>
      <c r="F2" s="177">
        <v>2008</v>
      </c>
    </row>
    <row r="3" spans="1:8" ht="27" customHeight="1">
      <c r="A3" s="178" t="s">
        <v>2368</v>
      </c>
      <c r="B3" s="179" t="s">
        <v>2369</v>
      </c>
      <c r="C3" s="180" t="s">
        <v>2370</v>
      </c>
      <c r="D3" s="179" t="s">
        <v>2371</v>
      </c>
      <c r="E3" s="180" t="s">
        <v>164</v>
      </c>
      <c r="F3" s="179" t="s">
        <v>2372</v>
      </c>
    </row>
    <row r="4" spans="1:8" ht="15" customHeight="1">
      <c r="A4" s="181"/>
      <c r="B4" s="182"/>
      <c r="C4" s="183" t="s">
        <v>2371</v>
      </c>
      <c r="D4" s="184"/>
      <c r="E4" s="183"/>
      <c r="F4" s="182" t="s">
        <v>2373</v>
      </c>
    </row>
    <row r="5" spans="1:8" ht="15" customHeight="1">
      <c r="A5" s="181"/>
      <c r="B5" s="182" t="s">
        <v>2374</v>
      </c>
      <c r="C5" s="183" t="s">
        <v>2375</v>
      </c>
      <c r="D5" s="182" t="s">
        <v>2376</v>
      </c>
      <c r="E5" s="183"/>
      <c r="F5" s="182" t="s">
        <v>2377</v>
      </c>
    </row>
    <row r="6" spans="1:8" ht="24" customHeight="1">
      <c r="A6" s="185"/>
      <c r="B6" s="186"/>
      <c r="C6" s="185"/>
      <c r="D6" s="186"/>
      <c r="E6" s="187"/>
      <c r="F6" s="188"/>
      <c r="H6" s="189"/>
    </row>
    <row r="7" spans="1:8" ht="30" customHeight="1" thickBot="1">
      <c r="A7" s="190" t="s">
        <v>2378</v>
      </c>
      <c r="B7" s="191">
        <v>95.619866280695405</v>
      </c>
      <c r="C7" s="192">
        <v>329.43291194076875</v>
      </c>
      <c r="D7" s="191">
        <v>541.08355041668688</v>
      </c>
      <c r="E7" s="192">
        <v>442.45383357250353</v>
      </c>
      <c r="F7" s="193">
        <v>3.4096682499055626E-2</v>
      </c>
      <c r="H7" s="194"/>
    </row>
    <row r="8" spans="1:8" ht="20" customHeight="1" thickBot="1">
      <c r="A8" s="195" t="s">
        <v>2379</v>
      </c>
      <c r="B8" s="191">
        <v>83.054601056435914</v>
      </c>
      <c r="C8" s="192">
        <v>316.00958064023615</v>
      </c>
      <c r="D8" s="191">
        <v>549.83564599013164</v>
      </c>
      <c r="E8" s="192">
        <v>443.4773664134039</v>
      </c>
      <c r="F8" s="193">
        <v>3.352940012857842E-2</v>
      </c>
      <c r="H8" s="194"/>
    </row>
    <row r="9" spans="1:8" ht="20" customHeight="1" thickBot="1">
      <c r="A9" s="195" t="s">
        <v>2380</v>
      </c>
      <c r="B9" s="191">
        <v>75.342553135865728</v>
      </c>
      <c r="C9" s="192">
        <v>270.97636032594096</v>
      </c>
      <c r="D9" s="191">
        <v>463.97696698237922</v>
      </c>
      <c r="E9" s="192">
        <v>365.40041285290619</v>
      </c>
      <c r="F9" s="193">
        <v>3.5912000927999031E-2</v>
      </c>
      <c r="H9" s="194"/>
    </row>
    <row r="10" spans="1:8" ht="20" customHeight="1" thickBot="1">
      <c r="A10" s="195" t="s">
        <v>2381</v>
      </c>
      <c r="B10" s="191">
        <v>79.382785645538291</v>
      </c>
      <c r="C10" s="192">
        <v>294.77883698760724</v>
      </c>
      <c r="D10" s="191">
        <v>477.96031392855696</v>
      </c>
      <c r="E10" s="192">
        <v>379.05805515239479</v>
      </c>
      <c r="F10" s="193">
        <v>4.8492927079191476E-3</v>
      </c>
      <c r="H10" s="194"/>
    </row>
    <row r="11" spans="1:8" ht="20" customHeight="1" thickBot="1">
      <c r="A11" s="195" t="s">
        <v>2382</v>
      </c>
      <c r="B11" s="191">
        <v>89.162421782513107</v>
      </c>
      <c r="C11" s="192">
        <v>318.77747096564605</v>
      </c>
      <c r="D11" s="191">
        <v>504.06866244444666</v>
      </c>
      <c r="E11" s="192">
        <v>401.94526067515108</v>
      </c>
      <c r="F11" s="193">
        <v>3.9683535464396458E-2</v>
      </c>
      <c r="H11" s="194"/>
    </row>
    <row r="12" spans="1:8" ht="20" customHeight="1" thickBot="1">
      <c r="A12" s="195" t="s">
        <v>2383</v>
      </c>
      <c r="B12" s="191">
        <v>75.388791119534318</v>
      </c>
      <c r="C12" s="192">
        <v>279.7836611195159</v>
      </c>
      <c r="D12" s="191">
        <v>471.95990693423073</v>
      </c>
      <c r="E12" s="192">
        <v>369.41356692845432</v>
      </c>
      <c r="F12" s="193">
        <v>4.1251615301079077E-2</v>
      </c>
      <c r="H12" s="194"/>
    </row>
    <row r="13" spans="1:8" ht="20" customHeight="1" thickBot="1">
      <c r="A13" s="195" t="s">
        <v>2384</v>
      </c>
      <c r="B13" s="191">
        <v>76.482829318298315</v>
      </c>
      <c r="C13" s="192">
        <v>268.46610677864425</v>
      </c>
      <c r="D13" s="191">
        <v>462.28754026810765</v>
      </c>
      <c r="E13" s="192">
        <v>370.8780213462644</v>
      </c>
      <c r="F13" s="193">
        <v>5.2680958388459244E-2</v>
      </c>
      <c r="H13" s="194"/>
    </row>
    <row r="14" spans="1:8" ht="20" customHeight="1" thickBot="1">
      <c r="A14" s="195" t="s">
        <v>2385</v>
      </c>
      <c r="B14" s="191">
        <v>87.188043191993685</v>
      </c>
      <c r="C14" s="192">
        <v>312.19126875852658</v>
      </c>
      <c r="D14" s="191">
        <v>498.49817052888346</v>
      </c>
      <c r="E14" s="192">
        <v>399.15836726171835</v>
      </c>
      <c r="F14" s="193">
        <v>5.0706517576337845E-2</v>
      </c>
      <c r="H14" s="194"/>
    </row>
    <row r="15" spans="1:8" ht="20" customHeight="1" thickBot="1">
      <c r="A15" s="195" t="s">
        <v>2386</v>
      </c>
      <c r="B15" s="191">
        <v>78.287251385718946</v>
      </c>
      <c r="C15" s="192">
        <v>300.83268344558667</v>
      </c>
      <c r="D15" s="191">
        <v>477.92452948872784</v>
      </c>
      <c r="E15" s="192">
        <v>385.8157649424237</v>
      </c>
      <c r="F15" s="193">
        <v>3.3242922694556983E-2</v>
      </c>
      <c r="H15" s="194"/>
    </row>
    <row r="16" spans="1:8" ht="20" customHeight="1" thickBot="1">
      <c r="A16" s="195" t="s">
        <v>2387</v>
      </c>
      <c r="B16" s="191">
        <v>88.471168362323596</v>
      </c>
      <c r="C16" s="192">
        <v>323.6221220136149</v>
      </c>
      <c r="D16" s="191">
        <v>529.0142068522041</v>
      </c>
      <c r="E16" s="192">
        <v>410.94713389606216</v>
      </c>
      <c r="F16" s="193">
        <v>2.0099373398057521E-2</v>
      </c>
      <c r="H16" s="194"/>
    </row>
    <row r="17" spans="1:8" ht="20" customHeight="1" thickBot="1">
      <c r="A17" s="195" t="s">
        <v>2388</v>
      </c>
      <c r="B17" s="191">
        <v>87.62744331508992</v>
      </c>
      <c r="C17" s="192">
        <v>313.25960620253738</v>
      </c>
      <c r="D17" s="191">
        <v>536.50214835476186</v>
      </c>
      <c r="E17" s="192">
        <v>430.59972658107466</v>
      </c>
      <c r="F17" s="193">
        <v>4.3570389331373083E-2</v>
      </c>
      <c r="H17" s="194"/>
    </row>
    <row r="18" spans="1:8" ht="20" customHeight="1" thickBot="1">
      <c r="A18" s="195" t="s">
        <v>2389</v>
      </c>
      <c r="B18" s="191">
        <v>117.68189448869522</v>
      </c>
      <c r="C18" s="192">
        <v>381.61277935642426</v>
      </c>
      <c r="D18" s="191">
        <v>621.97655865047386</v>
      </c>
      <c r="E18" s="192">
        <v>525.62798427008966</v>
      </c>
      <c r="F18" s="193">
        <v>3.2173036544918765E-2</v>
      </c>
      <c r="H18" s="194"/>
    </row>
    <row r="19" spans="1:8" ht="20" customHeight="1" thickBot="1">
      <c r="A19" s="195" t="s">
        <v>2390</v>
      </c>
      <c r="B19" s="191">
        <v>110.32337798157756</v>
      </c>
      <c r="C19" s="192">
        <v>375.84511656616496</v>
      </c>
      <c r="D19" s="191">
        <v>599.28477512995005</v>
      </c>
      <c r="E19" s="192">
        <v>491.77007980792746</v>
      </c>
      <c r="F19" s="193">
        <v>3.9522341073492555E-2</v>
      </c>
      <c r="H19" s="194"/>
    </row>
    <row r="20" spans="1:8" ht="20" customHeight="1" thickBot="1">
      <c r="A20" s="195" t="s">
        <v>2391</v>
      </c>
      <c r="B20" s="191">
        <v>78.135493583769446</v>
      </c>
      <c r="C20" s="192">
        <v>295.73140620295089</v>
      </c>
      <c r="D20" s="191">
        <v>522.27918342320243</v>
      </c>
      <c r="E20" s="192">
        <v>421.01816101628049</v>
      </c>
      <c r="F20" s="193">
        <v>1.8243574983504495E-2</v>
      </c>
      <c r="H20" s="194"/>
    </row>
    <row r="21" spans="1:8" ht="20" customHeight="1" thickBot="1">
      <c r="A21" s="195" t="s">
        <v>2392</v>
      </c>
      <c r="B21" s="191">
        <v>70.164078815944791</v>
      </c>
      <c r="C21" s="192">
        <v>270.32106598984774</v>
      </c>
      <c r="D21" s="191">
        <v>465.74036494993226</v>
      </c>
      <c r="E21" s="192">
        <v>366.83749765873762</v>
      </c>
      <c r="F21" s="193">
        <v>4.1272099527834401E-2</v>
      </c>
      <c r="H21" s="194"/>
    </row>
    <row r="22" spans="1:8" ht="20" customHeight="1" thickBot="1">
      <c r="A22" s="195" t="s">
        <v>2393</v>
      </c>
      <c r="B22" s="191">
        <v>62.113699389905712</v>
      </c>
      <c r="C22" s="192">
        <v>260.68386675375569</v>
      </c>
      <c r="D22" s="191">
        <v>448.93200775945684</v>
      </c>
      <c r="E22" s="192">
        <v>339.97397552922899</v>
      </c>
      <c r="F22" s="193">
        <v>9.5657061185444939E-2</v>
      </c>
      <c r="H22" s="194"/>
    </row>
    <row r="23" spans="1:8" ht="20" customHeight="1" thickBot="1">
      <c r="A23" s="195" t="s">
        <v>2394</v>
      </c>
      <c r="B23" s="191">
        <v>81.827688627124999</v>
      </c>
      <c r="C23" s="192">
        <v>302.31711289602856</v>
      </c>
      <c r="D23" s="191">
        <v>492.10235013049464</v>
      </c>
      <c r="E23" s="192">
        <v>387.78926765686828</v>
      </c>
      <c r="F23" s="193">
        <v>4.387195866974871E-2</v>
      </c>
      <c r="H23" s="194"/>
    </row>
    <row r="24" spans="1:8" ht="20" customHeight="1" thickBot="1">
      <c r="A24" s="195" t="s">
        <v>2395</v>
      </c>
      <c r="B24" s="191">
        <v>80.505600314403623</v>
      </c>
      <c r="C24" s="192">
        <v>279.03164556962025</v>
      </c>
      <c r="D24" s="191">
        <v>471.42636327356689</v>
      </c>
      <c r="E24" s="192">
        <v>381.59503796165228</v>
      </c>
      <c r="F24" s="193">
        <v>3.3972005134353306E-2</v>
      </c>
      <c r="H24" s="194"/>
    </row>
    <row r="25" spans="1:8" ht="20" customHeight="1" thickBot="1">
      <c r="A25" s="195" t="s">
        <v>2396</v>
      </c>
      <c r="B25" s="191">
        <v>82.997550855517304</v>
      </c>
      <c r="C25" s="192">
        <v>305.38837568111245</v>
      </c>
      <c r="D25" s="191">
        <v>502.69882017649934</v>
      </c>
      <c r="E25" s="192">
        <v>401.35924282416715</v>
      </c>
      <c r="F25" s="193">
        <v>3.9386306944878401E-2</v>
      </c>
      <c r="H25" s="194"/>
    </row>
    <row r="26" spans="1:8" ht="20" customHeight="1" thickBot="1">
      <c r="A26" s="195" t="s">
        <v>2397</v>
      </c>
      <c r="B26" s="191">
        <v>83.571356186541422</v>
      </c>
      <c r="C26" s="192">
        <v>300.8955024094235</v>
      </c>
      <c r="D26" s="191">
        <v>495.22249461495437</v>
      </c>
      <c r="E26" s="192">
        <v>389.84572529913186</v>
      </c>
      <c r="F26" s="193">
        <v>3.6583009527838391E-2</v>
      </c>
      <c r="H26" s="194"/>
    </row>
    <row r="27" spans="1:8" ht="20" customHeight="1" thickBot="1">
      <c r="A27" s="195" t="s">
        <v>2398</v>
      </c>
      <c r="B27" s="191">
        <v>105.29841774338423</v>
      </c>
      <c r="C27" s="192">
        <v>344.47093849982224</v>
      </c>
      <c r="D27" s="191">
        <v>575.0178954374029</v>
      </c>
      <c r="E27" s="192">
        <v>475.01718909236899</v>
      </c>
      <c r="F27" s="193">
        <v>5.903386713598948E-5</v>
      </c>
      <c r="H27" s="194"/>
    </row>
    <row r="28" spans="1:8" ht="20" customHeight="1" thickBot="1">
      <c r="A28" s="195" t="s">
        <v>2399</v>
      </c>
      <c r="B28" s="191">
        <v>130.41231844140268</v>
      </c>
      <c r="C28" s="192">
        <v>355.3860617593308</v>
      </c>
      <c r="D28" s="191">
        <v>593.80114193326631</v>
      </c>
      <c r="E28" s="192">
        <v>475.33734654698907</v>
      </c>
      <c r="F28" s="193">
        <v>1.84167617075198E-2</v>
      </c>
      <c r="H28" s="194"/>
    </row>
    <row r="29" spans="1:8" ht="20" customHeight="1" thickBot="1">
      <c r="A29" s="195" t="s">
        <v>2400</v>
      </c>
      <c r="B29" s="191">
        <v>85.633670211014916</v>
      </c>
      <c r="C29" s="192">
        <v>283.1703182827535</v>
      </c>
      <c r="D29" s="191">
        <v>492.66251480339707</v>
      </c>
      <c r="E29" s="192">
        <v>392.95580491165902</v>
      </c>
      <c r="F29" s="193">
        <v>2.9380089660786736E-2</v>
      </c>
      <c r="H29" s="194"/>
    </row>
    <row r="30" spans="1:8" ht="20" customHeight="1" thickBot="1">
      <c r="A30" s="195" t="s">
        <v>2401</v>
      </c>
      <c r="B30" s="191">
        <v>99.80484855302754</v>
      </c>
      <c r="C30" s="192">
        <v>304.52035219399539</v>
      </c>
      <c r="D30" s="191">
        <v>533.46162663211408</v>
      </c>
      <c r="E30" s="192">
        <v>423.9754135528741</v>
      </c>
      <c r="F30" s="193">
        <v>4.1890985307461687E-2</v>
      </c>
      <c r="H30" s="194"/>
    </row>
    <row r="31" spans="1:8" ht="20" customHeight="1" thickBot="1">
      <c r="A31" s="195" t="s">
        <v>2402</v>
      </c>
      <c r="B31" s="191">
        <v>129.58974564711545</v>
      </c>
      <c r="C31" s="192">
        <v>390.09068310950414</v>
      </c>
      <c r="D31" s="191">
        <v>627.94612688482243</v>
      </c>
      <c r="E31" s="192">
        <v>503.96074013382491</v>
      </c>
      <c r="F31" s="193">
        <v>2.5778760812876056E-2</v>
      </c>
      <c r="H31" s="194"/>
    </row>
    <row r="32" spans="1:8" ht="20" customHeight="1" thickBot="1">
      <c r="A32" s="196" t="s">
        <v>2403</v>
      </c>
      <c r="B32" s="191">
        <v>104.63878652276915</v>
      </c>
      <c r="C32" s="192">
        <v>319.05868583848854</v>
      </c>
      <c r="D32" s="191">
        <v>546.48728447388999</v>
      </c>
      <c r="E32" s="192">
        <v>430.77080496997667</v>
      </c>
      <c r="F32" s="193">
        <v>1.4398416385682277E-2</v>
      </c>
      <c r="H32" s="194"/>
    </row>
    <row r="33" spans="1:8" ht="30" customHeight="1" thickBot="1">
      <c r="A33" s="197" t="s">
        <v>2404</v>
      </c>
      <c r="B33" s="198">
        <v>95.087019294832501</v>
      </c>
      <c r="C33" s="199">
        <v>320.79966291492889</v>
      </c>
      <c r="D33" s="198">
        <v>538.06114670750605</v>
      </c>
      <c r="E33" s="199">
        <v>432.60529421265767</v>
      </c>
      <c r="F33" s="200">
        <v>3.1306845375734457E-2</v>
      </c>
      <c r="H33" s="194"/>
    </row>
    <row r="34" spans="1:8" ht="20" customHeight="1">
      <c r="A34" s="201" t="s">
        <v>2367</v>
      </c>
      <c r="B34" s="201"/>
      <c r="C34" s="201"/>
      <c r="D34" s="201"/>
      <c r="E34" s="201"/>
      <c r="F34" s="201"/>
      <c r="H34" s="189"/>
    </row>
    <row r="35" spans="1:8" ht="11.25" customHeight="1">
      <c r="A35" s="202"/>
      <c r="B35" s="202"/>
      <c r="C35" s="202"/>
      <c r="D35" s="202"/>
      <c r="E35" s="202"/>
      <c r="F35" s="202"/>
      <c r="H35" s="189"/>
    </row>
    <row r="36" spans="1:8" ht="14.25" customHeight="1">
      <c r="A36" s="202" t="s">
        <v>2405</v>
      </c>
      <c r="B36" s="202"/>
      <c r="C36" s="202"/>
      <c r="D36" s="202"/>
      <c r="E36" s="202"/>
      <c r="F36" s="202"/>
      <c r="H36" s="189"/>
    </row>
    <row r="37" spans="1:8" ht="13.5" customHeight="1">
      <c r="A37" s="202"/>
      <c r="B37" s="202"/>
      <c r="C37" s="202"/>
      <c r="D37" s="202"/>
      <c r="E37" s="202"/>
      <c r="F37" s="202"/>
      <c r="H37" s="189"/>
    </row>
    <row r="38" spans="1:8" ht="13.5" customHeight="1">
      <c r="A38" s="239" t="s">
        <v>1116</v>
      </c>
      <c r="B38" s="202"/>
      <c r="C38" s="202"/>
      <c r="D38" s="202"/>
      <c r="E38" s="202"/>
      <c r="F38" s="202"/>
      <c r="H38" s="189"/>
    </row>
    <row r="39" spans="1:8" ht="13.5" customHeight="1">
      <c r="A39" s="202"/>
      <c r="B39" s="202"/>
      <c r="C39" s="202"/>
      <c r="D39" s="202"/>
      <c r="E39" s="202"/>
      <c r="F39" s="202"/>
      <c r="H39" s="189"/>
    </row>
    <row r="40" spans="1:8" ht="12" customHeight="1"/>
    <row r="41" spans="1:8" ht="12" customHeight="1">
      <c r="A41" s="202" t="s">
        <v>711</v>
      </c>
    </row>
  </sheetData>
  <mergeCells count="1">
    <mergeCell ref="A2:E2"/>
  </mergeCells>
  <phoneticPr fontId="0" type="noConversion"/>
  <pageMargins left="0.65" right="0.5" top="0.87" bottom="0.49" header="0.51" footer="0.4921259845"/>
  <pageSetup paperSize="9" scale="83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2CBF-A537-2448-A99A-32903EA1A878}">
  <sheetPr>
    <pageSetUpPr fitToPage="1"/>
  </sheetPr>
  <dimension ref="A1:K27"/>
  <sheetViews>
    <sheetView topLeftCell="A5" zoomScale="75" workbookViewId="0">
      <selection activeCell="A18" sqref="A18:IV18"/>
    </sheetView>
  </sheetViews>
  <sheetFormatPr baseColWidth="10" defaultColWidth="11.3984375" defaultRowHeight="13"/>
  <cols>
    <col min="1" max="1" width="15.796875" style="2" customWidth="1"/>
    <col min="2" max="2" width="17.19921875" style="2" customWidth="1"/>
    <col min="3" max="4" width="16.19921875" style="2" customWidth="1"/>
    <col min="5" max="5" width="16.796875" style="2" customWidth="1"/>
    <col min="6" max="6" width="17.796875" style="2" customWidth="1"/>
    <col min="7" max="7" width="15.19921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77" t="s">
        <v>1762</v>
      </c>
      <c r="G2" s="428"/>
    </row>
    <row r="3" spans="1:11" ht="24" customHeight="1">
      <c r="A3" s="178" t="s">
        <v>2208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  <c r="G3" s="180" t="s">
        <v>2372</v>
      </c>
    </row>
    <row r="4" spans="1:11" ht="15" customHeight="1">
      <c r="A4" s="274"/>
      <c r="B4" s="182" t="s">
        <v>2255</v>
      </c>
      <c r="C4" s="183" t="s">
        <v>2256</v>
      </c>
      <c r="D4" s="182" t="s">
        <v>822</v>
      </c>
      <c r="E4" s="245" t="s">
        <v>823</v>
      </c>
      <c r="F4" s="182"/>
      <c r="G4" s="183" t="s">
        <v>2373</v>
      </c>
    </row>
    <row r="5" spans="1:11" ht="15" customHeight="1">
      <c r="A5" s="274"/>
      <c r="B5" s="182" t="s">
        <v>2259</v>
      </c>
      <c r="C5" s="183" t="s">
        <v>2260</v>
      </c>
      <c r="D5" s="182" t="s">
        <v>824</v>
      </c>
      <c r="E5" s="245" t="s">
        <v>825</v>
      </c>
      <c r="F5" s="182"/>
      <c r="G5" s="183" t="s">
        <v>2377</v>
      </c>
    </row>
    <row r="6" spans="1:11" ht="24" customHeight="1">
      <c r="A6" s="275"/>
      <c r="B6" s="188"/>
      <c r="C6" s="187"/>
      <c r="D6" s="188"/>
      <c r="E6" s="248" t="s">
        <v>2262</v>
      </c>
      <c r="F6" s="188"/>
      <c r="G6" s="187"/>
    </row>
    <row r="7" spans="1:11" ht="2.25" customHeight="1" thickBot="1">
      <c r="A7" s="276">
        <v>1996</v>
      </c>
      <c r="B7" s="497">
        <v>9158.0126325000001</v>
      </c>
      <c r="C7" s="277">
        <v>3158.8991608000001</v>
      </c>
      <c r="D7" s="497">
        <v>29.792276350000002</v>
      </c>
      <c r="E7" s="277">
        <v>112.31317695</v>
      </c>
      <c r="F7" s="497">
        <v>12459.0172466</v>
      </c>
      <c r="G7" s="212" t="s">
        <v>1060</v>
      </c>
    </row>
    <row r="8" spans="1:11" ht="0.75" customHeight="1" thickBot="1">
      <c r="A8" s="278">
        <v>1997</v>
      </c>
      <c r="B8" s="499">
        <v>8010.294124</v>
      </c>
      <c r="C8" s="501">
        <v>4715.0935929999996</v>
      </c>
      <c r="D8" s="499">
        <v>15.300134</v>
      </c>
      <c r="E8" s="501">
        <v>397.78968400000002</v>
      </c>
      <c r="F8" s="499">
        <v>13138.477535</v>
      </c>
      <c r="G8" s="214">
        <v>5.453562467661089E-2</v>
      </c>
      <c r="I8" s="8"/>
      <c r="J8" s="8"/>
      <c r="K8" s="8"/>
    </row>
    <row r="9" spans="1:11" ht="20" customHeight="1" thickBot="1">
      <c r="A9" s="278">
        <v>1998</v>
      </c>
      <c r="B9" s="499">
        <v>8034.9225379999998</v>
      </c>
      <c r="C9" s="501">
        <v>5294.4749119999997</v>
      </c>
      <c r="D9" s="499">
        <v>7.7133700000000003</v>
      </c>
      <c r="E9" s="501">
        <v>686.98183200000005</v>
      </c>
      <c r="F9" s="499">
        <v>14024.092651999999</v>
      </c>
      <c r="G9" s="214">
        <v>6.7406220746717538E-2</v>
      </c>
    </row>
    <row r="10" spans="1:11" ht="20" customHeight="1" thickBot="1">
      <c r="A10" s="278">
        <v>1999</v>
      </c>
      <c r="B10" s="499">
        <v>8789.075476</v>
      </c>
      <c r="C10" s="501">
        <v>4984.7508509999998</v>
      </c>
      <c r="D10" s="499">
        <v>7.2724950000000002</v>
      </c>
      <c r="E10" s="501">
        <v>839.41169600000001</v>
      </c>
      <c r="F10" s="499">
        <v>14620.510517999999</v>
      </c>
      <c r="G10" s="214">
        <v>4.2528089395854327E-2</v>
      </c>
    </row>
    <row r="11" spans="1:11" ht="20" customHeight="1" thickBot="1">
      <c r="A11" s="278">
        <v>2000</v>
      </c>
      <c r="B11" s="499">
        <v>9137.1621560000003</v>
      </c>
      <c r="C11" s="501">
        <v>5390.9432980000001</v>
      </c>
      <c r="D11" s="499">
        <v>7.5360680000000002</v>
      </c>
      <c r="E11" s="501">
        <v>942.68592000000001</v>
      </c>
      <c r="F11" s="499">
        <v>15478.327442</v>
      </c>
      <c r="G11" s="214">
        <v>5.8672159425890213E-2</v>
      </c>
    </row>
    <row r="12" spans="1:11" ht="20" customHeight="1" thickBot="1">
      <c r="A12" s="278">
        <v>2001</v>
      </c>
      <c r="B12" s="499">
        <v>9659.7746029999998</v>
      </c>
      <c r="C12" s="501">
        <v>5684.1019910000005</v>
      </c>
      <c r="D12" s="499">
        <v>8.3615560000000002</v>
      </c>
      <c r="E12" s="501">
        <v>1034.2226659999999</v>
      </c>
      <c r="F12" s="499">
        <v>16386.460816999999</v>
      </c>
      <c r="G12" s="214">
        <v>5.867128592562304E-2</v>
      </c>
    </row>
    <row r="13" spans="1:11" ht="20" customHeight="1" thickBot="1">
      <c r="A13" s="278">
        <v>2002</v>
      </c>
      <c r="B13" s="499">
        <v>9980.4930999999997</v>
      </c>
      <c r="C13" s="501">
        <v>6029.9190769999996</v>
      </c>
      <c r="D13" s="499">
        <v>7.9602409999999999</v>
      </c>
      <c r="E13" s="501">
        <v>1077.2149870000001</v>
      </c>
      <c r="F13" s="499">
        <v>17095.58741</v>
      </c>
      <c r="G13" s="214">
        <v>4.3275152634809542E-2</v>
      </c>
    </row>
    <row r="14" spans="1:11" ht="20" customHeight="1" thickBot="1">
      <c r="A14" s="278">
        <v>2003</v>
      </c>
      <c r="B14" s="499">
        <v>10400.406953</v>
      </c>
      <c r="C14" s="501">
        <v>6474.0950759999996</v>
      </c>
      <c r="D14" s="499">
        <v>8.2890060000000005</v>
      </c>
      <c r="E14" s="501">
        <v>1041.3283280000001</v>
      </c>
      <c r="F14" s="499">
        <v>17924.119349000001</v>
      </c>
      <c r="G14" s="214">
        <v>4.8464666298354497E-2</v>
      </c>
    </row>
    <row r="15" spans="1:11" ht="20" customHeight="1" thickBot="1">
      <c r="A15" s="278">
        <v>2004</v>
      </c>
      <c r="B15" s="499">
        <v>11244.13615765</v>
      </c>
      <c r="C15" s="501">
        <v>6631.1356945500002</v>
      </c>
      <c r="D15" s="499">
        <v>8.6720649999999999</v>
      </c>
      <c r="E15" s="501">
        <v>1255.877035</v>
      </c>
      <c r="F15" s="499">
        <v>19139.820942999999</v>
      </c>
      <c r="G15" s="214">
        <v>6.7824899529461302E-2</v>
      </c>
    </row>
    <row r="16" spans="1:11" ht="20" customHeight="1" thickBot="1">
      <c r="A16" s="278">
        <v>2005</v>
      </c>
      <c r="B16" s="499">
        <v>12276.40351</v>
      </c>
      <c r="C16" s="501">
        <v>6478.0200850000001</v>
      </c>
      <c r="D16" s="499">
        <v>9.1072369999999996</v>
      </c>
      <c r="E16" s="501">
        <v>1584.1758170000001</v>
      </c>
      <c r="F16" s="499">
        <v>20347.706649</v>
      </c>
      <c r="G16" s="214">
        <v>6.3108516511057644E-2</v>
      </c>
    </row>
    <row r="17" spans="1:7" ht="20" customHeight="1" thickBot="1">
      <c r="A17" s="278">
        <v>2006</v>
      </c>
      <c r="B17" s="499">
        <v>12157.648692999999</v>
      </c>
      <c r="C17" s="501">
        <v>6151.3591749999996</v>
      </c>
      <c r="D17" s="499">
        <v>8.8529470000000003</v>
      </c>
      <c r="E17" s="501">
        <v>2284.7661029999999</v>
      </c>
      <c r="F17" s="499">
        <v>20602.626918999998</v>
      </c>
      <c r="G17" s="214">
        <v>1.2528206465593383E-2</v>
      </c>
    </row>
    <row r="18" spans="1:7" ht="20" customHeight="1" thickBot="1">
      <c r="A18" s="278">
        <v>2007</v>
      </c>
      <c r="B18" s="499">
        <v>12229.89782127</v>
      </c>
      <c r="C18" s="501">
        <v>6058.52217587</v>
      </c>
      <c r="D18" s="499">
        <v>9.0125824800000007</v>
      </c>
      <c r="E18" s="501">
        <v>3281.2562875499998</v>
      </c>
      <c r="F18" s="499">
        <v>21578.688867239998</v>
      </c>
      <c r="G18" s="214">
        <v>4.737560661936091E-2</v>
      </c>
    </row>
    <row r="19" spans="1:7" ht="30" customHeight="1" thickBot="1">
      <c r="A19" s="429">
        <v>2008</v>
      </c>
      <c r="B19" s="559">
        <v>12358.176374460001</v>
      </c>
      <c r="C19" s="560">
        <v>6003.8314850100005</v>
      </c>
      <c r="D19" s="559">
        <v>10.17656891</v>
      </c>
      <c r="E19" s="560">
        <v>4349.7270544200001</v>
      </c>
      <c r="F19" s="559">
        <v>22721.911482829997</v>
      </c>
      <c r="G19" s="216">
        <v>5.2979243670619791E-2</v>
      </c>
    </row>
    <row r="20" spans="1:7" ht="19.5" customHeight="1">
      <c r="A20" s="201" t="s">
        <v>764</v>
      </c>
      <c r="B20" s="201"/>
      <c r="C20" s="201"/>
      <c r="D20" s="201"/>
      <c r="E20" s="201"/>
      <c r="F20" s="201"/>
      <c r="G20" s="201"/>
    </row>
    <row r="21" spans="1:7" ht="14.25" customHeight="1">
      <c r="A21" s="202"/>
      <c r="B21" s="202"/>
      <c r="C21" s="202"/>
      <c r="D21" s="202"/>
      <c r="E21" s="202"/>
      <c r="F21" s="202"/>
      <c r="G21" s="202"/>
    </row>
    <row r="22" spans="1:7" ht="13.5" customHeight="1">
      <c r="A22" s="390" t="s">
        <v>1668</v>
      </c>
      <c r="B22" s="202"/>
      <c r="C22" s="202"/>
      <c r="D22" s="202"/>
      <c r="E22" s="202"/>
      <c r="F22" s="202"/>
      <c r="G22" s="202"/>
    </row>
    <row r="24" spans="1:7">
      <c r="A24" s="2" t="s">
        <v>1763</v>
      </c>
    </row>
    <row r="27" spans="1:7">
      <c r="A27" s="2" t="s">
        <v>711</v>
      </c>
      <c r="G27" s="3"/>
    </row>
  </sheetData>
  <phoneticPr fontId="0" type="noConversion"/>
  <pageMargins left="0.6" right="0.63" top="0.99" bottom="0.49" header="0.59" footer="0.4921259845"/>
  <pageSetup paperSize="9" scale="78" orientation="portrait" horizontalDpi="4294967292" verticalDpi="4294967292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2628-C51B-0D44-B1EB-C1DDF6B1434D}">
  <sheetPr>
    <pageSetUpPr fitToPage="1"/>
  </sheetPr>
  <dimension ref="A1:J52"/>
  <sheetViews>
    <sheetView topLeftCell="A27" zoomScale="75" workbookViewId="0">
      <selection activeCell="B46" sqref="B46"/>
    </sheetView>
  </sheetViews>
  <sheetFormatPr baseColWidth="10" defaultColWidth="11.3984375" defaultRowHeight="13"/>
  <cols>
    <col min="1" max="1" width="21.796875" style="2" customWidth="1"/>
    <col min="2" max="2" width="17.796875" style="2" customWidth="1"/>
    <col min="3" max="3" width="15.796875" style="2" customWidth="1"/>
    <col min="4" max="4" width="19.796875" style="2" customWidth="1"/>
    <col min="5" max="5" width="14.19921875" style="2" customWidth="1"/>
    <col min="6" max="6" width="20" style="2" customWidth="1"/>
    <col min="7" max="7" width="16.1992187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0.75" customHeight="1">
      <c r="A2" s="2017" t="s">
        <v>393</v>
      </c>
      <c r="B2" s="2021"/>
      <c r="C2" s="2021"/>
      <c r="D2" s="2021"/>
      <c r="E2" s="2021"/>
      <c r="F2" s="2021"/>
      <c r="G2" s="177"/>
    </row>
    <row r="3" spans="1:10" ht="24" customHeight="1">
      <c r="A3" s="394" t="s">
        <v>397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  <c r="G3" s="228" t="s">
        <v>2372</v>
      </c>
    </row>
    <row r="4" spans="1:10" ht="15" customHeight="1">
      <c r="A4" s="274"/>
      <c r="B4" s="182" t="s">
        <v>2255</v>
      </c>
      <c r="C4" s="183" t="s">
        <v>2256</v>
      </c>
      <c r="D4" s="182" t="s">
        <v>2257</v>
      </c>
      <c r="E4" s="245" t="s">
        <v>2258</v>
      </c>
      <c r="F4" s="182"/>
      <c r="G4" s="181" t="s">
        <v>2373</v>
      </c>
    </row>
    <row r="5" spans="1:10" ht="15" customHeight="1">
      <c r="A5" s="274"/>
      <c r="B5" s="182" t="s">
        <v>2259</v>
      </c>
      <c r="C5" s="183" t="s">
        <v>2260</v>
      </c>
      <c r="D5" s="182"/>
      <c r="E5" s="245" t="s">
        <v>2261</v>
      </c>
      <c r="F5" s="182"/>
      <c r="G5" s="181" t="s">
        <v>2377</v>
      </c>
    </row>
    <row r="6" spans="1:10" ht="24" customHeight="1">
      <c r="A6" s="378" t="s">
        <v>2250</v>
      </c>
      <c r="B6" s="188"/>
      <c r="C6" s="187"/>
      <c r="D6" s="188"/>
      <c r="E6" s="248" t="s">
        <v>2262</v>
      </c>
      <c r="F6" s="188"/>
      <c r="G6" s="247"/>
    </row>
    <row r="7" spans="1:10" ht="1.5" customHeight="1" thickBot="1">
      <c r="A7" s="276">
        <v>1996</v>
      </c>
      <c r="B7" s="211">
        <v>1922.0914738477522</v>
      </c>
      <c r="C7" s="257">
        <v>1362.8683192106039</v>
      </c>
      <c r="D7" s="211">
        <v>1064.9780620150216</v>
      </c>
      <c r="E7" s="257">
        <v>918.79836090338449</v>
      </c>
      <c r="F7" s="211">
        <v>1722.6026867710073</v>
      </c>
      <c r="G7" s="473" t="s">
        <v>1060</v>
      </c>
    </row>
    <row r="8" spans="1:10" ht="0.75" customHeight="1" thickBot="1">
      <c r="A8" s="278">
        <v>1997</v>
      </c>
      <c r="B8" s="213">
        <v>1955.5774171208591</v>
      </c>
      <c r="C8" s="263">
        <v>1717.9609773327356</v>
      </c>
      <c r="D8" s="213">
        <v>1327.1545657683146</v>
      </c>
      <c r="E8" s="263">
        <v>1035.2511493240283</v>
      </c>
      <c r="F8" s="213">
        <v>1815.5878047739013</v>
      </c>
      <c r="G8" s="477">
        <v>5.3979433979168621E-2</v>
      </c>
      <c r="H8" s="8"/>
      <c r="I8" s="8"/>
      <c r="J8" s="8"/>
    </row>
    <row r="9" spans="1:10" ht="20" customHeight="1" thickBot="1">
      <c r="A9" s="278">
        <v>1998</v>
      </c>
      <c r="B9" s="213">
        <v>2001.1385556748141</v>
      </c>
      <c r="C9" s="263">
        <v>1942.4124575719206</v>
      </c>
      <c r="D9" s="213">
        <v>652.30881205655157</v>
      </c>
      <c r="E9" s="263">
        <v>1390.9212818258898</v>
      </c>
      <c r="F9" s="213">
        <v>1935.2604970637331</v>
      </c>
      <c r="G9" s="477">
        <v>6.591402077892608E-2</v>
      </c>
    </row>
    <row r="10" spans="1:10" ht="20" customHeight="1" thickBot="1">
      <c r="A10" s="278">
        <v>1999</v>
      </c>
      <c r="B10" s="213">
        <v>2196.7543830608033</v>
      </c>
      <c r="C10" s="263">
        <v>1834.5631598914081</v>
      </c>
      <c r="D10" s="213">
        <v>708.57112386703454</v>
      </c>
      <c r="E10" s="263">
        <v>1548.1903262736841</v>
      </c>
      <c r="F10" s="213">
        <v>2010.9263687008995</v>
      </c>
      <c r="G10" s="477">
        <v>3.909854603655178E-2</v>
      </c>
    </row>
    <row r="11" spans="1:10" ht="20" customHeight="1" thickBot="1">
      <c r="A11" s="278">
        <v>2000</v>
      </c>
      <c r="B11" s="213">
        <v>2330.7313959837929</v>
      </c>
      <c r="C11" s="263">
        <v>1955.0764432666085</v>
      </c>
      <c r="D11" s="213">
        <v>768.43697012283224</v>
      </c>
      <c r="E11" s="263">
        <v>1632.0632045626817</v>
      </c>
      <c r="F11" s="213">
        <v>2130.4988026779488</v>
      </c>
      <c r="G11" s="477">
        <v>5.9461368570295083E-2</v>
      </c>
    </row>
    <row r="12" spans="1:10" ht="20" customHeight="1" thickBot="1">
      <c r="A12" s="278">
        <v>2001</v>
      </c>
      <c r="B12" s="213">
        <v>2495.1244025796968</v>
      </c>
      <c r="C12" s="263">
        <v>2011.3716436312093</v>
      </c>
      <c r="D12" s="213">
        <v>897.62686042302278</v>
      </c>
      <c r="E12" s="263">
        <v>1740.2608610070422</v>
      </c>
      <c r="F12" s="213">
        <v>2244.3978355168092</v>
      </c>
      <c r="G12" s="477">
        <v>5.3461204810673471E-2</v>
      </c>
    </row>
    <row r="13" spans="1:10" ht="20" customHeight="1" thickBot="1">
      <c r="A13" s="278">
        <v>2002</v>
      </c>
      <c r="B13" s="213">
        <v>2622.961008005575</v>
      </c>
      <c r="C13" s="263">
        <v>2026.9678660755228</v>
      </c>
      <c r="D13" s="213">
        <v>902.79734523799152</v>
      </c>
      <c r="E13" s="263">
        <v>1937.719195679239</v>
      </c>
      <c r="F13" s="213">
        <v>2327.6297728803838</v>
      </c>
      <c r="G13" s="477">
        <v>3.7084306554951346E-2</v>
      </c>
    </row>
    <row r="14" spans="1:10" ht="20" customHeight="1" thickBot="1">
      <c r="A14" s="278">
        <v>2003</v>
      </c>
      <c r="B14" s="213">
        <v>2838.5410322271737</v>
      </c>
      <c r="C14" s="263">
        <v>2089.4955210203316</v>
      </c>
      <c r="D14" s="213">
        <v>999.42596938760983</v>
      </c>
      <c r="E14" s="263">
        <v>1730.3106743718724</v>
      </c>
      <c r="F14" s="213">
        <v>2431.2114971885403</v>
      </c>
      <c r="G14" s="477">
        <v>4.4500944916156783E-2</v>
      </c>
    </row>
    <row r="15" spans="1:10" ht="20" customHeight="1" thickBot="1">
      <c r="A15" s="278">
        <v>2004</v>
      </c>
      <c r="B15" s="213">
        <v>3104.8815477572248</v>
      </c>
      <c r="C15" s="263">
        <v>2203.0474404075858</v>
      </c>
      <c r="D15" s="213">
        <v>1076.1693397885631</v>
      </c>
      <c r="E15" s="263">
        <v>1687.7897523259062</v>
      </c>
      <c r="F15" s="213">
        <v>2592.2165787191948</v>
      </c>
      <c r="G15" s="477">
        <v>6.6224218549822259E-2</v>
      </c>
    </row>
    <row r="16" spans="1:10" ht="20" customHeight="1" thickBot="1">
      <c r="A16" s="278">
        <v>2005</v>
      </c>
      <c r="B16" s="213">
        <v>3415.1929895176959</v>
      </c>
      <c r="C16" s="263">
        <v>2210.8019372998301</v>
      </c>
      <c r="D16" s="213">
        <v>1184.6612422697292</v>
      </c>
      <c r="E16" s="263">
        <v>1753.636061440061</v>
      </c>
      <c r="F16" s="213">
        <v>2736.4253387803569</v>
      </c>
      <c r="G16" s="477">
        <v>5.5631447327759709E-2</v>
      </c>
    </row>
    <row r="17" spans="1:7" ht="20" customHeight="1" thickBot="1">
      <c r="A17" s="278">
        <v>2006</v>
      </c>
      <c r="B17" s="213">
        <v>3636.67</v>
      </c>
      <c r="C17" s="263">
        <v>2215.41</v>
      </c>
      <c r="D17" s="213">
        <v>1230.94</v>
      </c>
      <c r="E17" s="263">
        <v>1690.49</v>
      </c>
      <c r="F17" s="213">
        <v>2754.94</v>
      </c>
      <c r="G17" s="477">
        <v>6.7660026960192354E-3</v>
      </c>
    </row>
    <row r="18" spans="1:7" ht="20" customHeight="1" thickBot="1">
      <c r="A18" s="278">
        <v>2007</v>
      </c>
      <c r="B18" s="213">
        <v>3903.58</v>
      </c>
      <c r="C18" s="263">
        <v>2360.81</v>
      </c>
      <c r="D18" s="213">
        <v>1312.45</v>
      </c>
      <c r="E18" s="263">
        <v>1791.63</v>
      </c>
      <c r="F18" s="213">
        <v>2862.81</v>
      </c>
      <c r="G18" s="477">
        <v>3.915511771581226E-2</v>
      </c>
    </row>
    <row r="19" spans="1:7" ht="30" customHeight="1" thickBot="1">
      <c r="A19" s="429">
        <v>2008</v>
      </c>
      <c r="B19" s="430">
        <v>4193.12</v>
      </c>
      <c r="C19" s="431">
        <v>2525.2199999999998</v>
      </c>
      <c r="D19" s="430">
        <v>1563.03</v>
      </c>
      <c r="E19" s="431">
        <v>1904.22</v>
      </c>
      <c r="F19" s="430">
        <v>2983.62</v>
      </c>
      <c r="G19" s="777">
        <v>4.2199796703239034E-2</v>
      </c>
    </row>
    <row r="20" spans="1:7" ht="20" customHeight="1">
      <c r="A20" s="201" t="s">
        <v>764</v>
      </c>
      <c r="B20" s="201"/>
      <c r="C20" s="201"/>
      <c r="D20" s="201"/>
      <c r="E20" s="201"/>
      <c r="F20" s="201"/>
      <c r="G20" s="466"/>
    </row>
    <row r="21" spans="1:7">
      <c r="G21" s="467"/>
    </row>
    <row r="22" spans="1:7">
      <c r="A22" s="2" t="s">
        <v>394</v>
      </c>
      <c r="G22" s="467"/>
    </row>
    <row r="23" spans="1:7">
      <c r="G23" s="467"/>
    </row>
    <row r="24" spans="1:7">
      <c r="G24" s="467"/>
    </row>
    <row r="25" spans="1:7" ht="18">
      <c r="A25" s="778" t="s">
        <v>398</v>
      </c>
      <c r="G25" s="467"/>
    </row>
    <row r="26" spans="1:7">
      <c r="G26" s="467"/>
    </row>
    <row r="27" spans="1:7" ht="18" customHeight="1">
      <c r="A27" s="394"/>
      <c r="B27" s="179" t="s">
        <v>2369</v>
      </c>
      <c r="C27" s="446" t="s">
        <v>2372</v>
      </c>
      <c r="D27" s="179" t="s">
        <v>2227</v>
      </c>
      <c r="E27" s="446" t="s">
        <v>2372</v>
      </c>
      <c r="F27" s="179" t="s">
        <v>870</v>
      </c>
      <c r="G27" s="446" t="s">
        <v>2372</v>
      </c>
    </row>
    <row r="28" spans="1:7" ht="18" customHeight="1">
      <c r="A28" s="766"/>
      <c r="B28" s="182" t="s">
        <v>2374</v>
      </c>
      <c r="C28" s="494" t="s">
        <v>2373</v>
      </c>
      <c r="D28" s="182" t="s">
        <v>2375</v>
      </c>
      <c r="E28" s="494" t="s">
        <v>2373</v>
      </c>
      <c r="F28" s="182" t="s">
        <v>871</v>
      </c>
      <c r="G28" s="494" t="s">
        <v>2373</v>
      </c>
    </row>
    <row r="29" spans="1:7" ht="18" customHeight="1">
      <c r="A29" s="274"/>
      <c r="B29" s="182"/>
      <c r="C29" s="494" t="s">
        <v>2377</v>
      </c>
      <c r="D29" s="182"/>
      <c r="E29" s="494" t="s">
        <v>2377</v>
      </c>
      <c r="F29" s="182"/>
      <c r="G29" s="494" t="s">
        <v>2377</v>
      </c>
    </row>
    <row r="30" spans="1:7" ht="18" customHeight="1">
      <c r="A30" s="275" t="s">
        <v>821</v>
      </c>
      <c r="B30" s="188"/>
      <c r="C30" s="187"/>
      <c r="D30" s="188"/>
      <c r="E30" s="248"/>
      <c r="F30" s="188"/>
      <c r="G30" s="447"/>
    </row>
    <row r="31" spans="1:7" ht="2.25" customHeight="1" thickBot="1">
      <c r="A31" s="276">
        <v>1996</v>
      </c>
      <c r="B31" s="211" t="s">
        <v>1060</v>
      </c>
      <c r="C31" s="257" t="s">
        <v>1060</v>
      </c>
      <c r="D31" s="211" t="s">
        <v>1060</v>
      </c>
      <c r="E31" s="257" t="s">
        <v>1060</v>
      </c>
      <c r="F31" s="211" t="s">
        <v>1060</v>
      </c>
      <c r="G31" s="473" t="s">
        <v>1060</v>
      </c>
    </row>
    <row r="32" spans="1:7" ht="1.5" customHeight="1" thickBot="1">
      <c r="A32" s="278">
        <v>1997</v>
      </c>
      <c r="B32" s="213">
        <v>578.16999999999996</v>
      </c>
      <c r="C32" s="782" t="s">
        <v>1060</v>
      </c>
      <c r="D32" s="213">
        <v>891.7</v>
      </c>
      <c r="E32" s="782" t="s">
        <v>1060</v>
      </c>
      <c r="F32" s="213">
        <v>2289.58</v>
      </c>
      <c r="G32" s="477" t="s">
        <v>1060</v>
      </c>
    </row>
    <row r="33" spans="1:7" ht="18" customHeight="1" thickBot="1">
      <c r="A33" s="278">
        <v>1998</v>
      </c>
      <c r="B33" s="213">
        <v>619.65</v>
      </c>
      <c r="C33" s="477">
        <v>7.1743604822110951E-2</v>
      </c>
      <c r="D33" s="213">
        <v>941.32</v>
      </c>
      <c r="E33" s="477">
        <v>5.564651788718189E-2</v>
      </c>
      <c r="F33" s="213">
        <v>2462.12</v>
      </c>
      <c r="G33" s="477">
        <v>7.5358799430463197E-2</v>
      </c>
    </row>
    <row r="34" spans="1:7" ht="18" customHeight="1" thickBot="1">
      <c r="A34" s="278">
        <v>1999</v>
      </c>
      <c r="B34" s="213">
        <v>634.95000000000005</v>
      </c>
      <c r="C34" s="477">
        <v>2.4691358024691246E-2</v>
      </c>
      <c r="D34" s="213">
        <v>971.45</v>
      </c>
      <c r="E34" s="477">
        <v>3.200824374282929E-2</v>
      </c>
      <c r="F34" s="213">
        <v>2570.02</v>
      </c>
      <c r="G34" s="477">
        <v>4.382402157490306E-2</v>
      </c>
    </row>
    <row r="35" spans="1:7" ht="18" customHeight="1" thickBot="1">
      <c r="A35" s="278">
        <v>2000</v>
      </c>
      <c r="B35" s="213">
        <v>669.86</v>
      </c>
      <c r="C35" s="477">
        <v>5.4980707142294749E-2</v>
      </c>
      <c r="D35" s="213">
        <v>1028.6199999999999</v>
      </c>
      <c r="E35" s="477">
        <v>5.885017242266688E-2</v>
      </c>
      <c r="F35" s="213">
        <v>2753.78</v>
      </c>
      <c r="G35" s="477">
        <v>7.1501389094248191E-2</v>
      </c>
    </row>
    <row r="36" spans="1:7" ht="18" customHeight="1" thickBot="1">
      <c r="A36" s="278">
        <v>2001</v>
      </c>
      <c r="B36" s="213">
        <v>702.31</v>
      </c>
      <c r="C36" s="477">
        <v>4.8442958230077826E-2</v>
      </c>
      <c r="D36" s="213">
        <v>1072.96</v>
      </c>
      <c r="E36" s="477">
        <v>4.3106297758161549E-2</v>
      </c>
      <c r="F36" s="213">
        <v>2898.13</v>
      </c>
      <c r="G36" s="477">
        <v>5.2418856989301821E-2</v>
      </c>
    </row>
    <row r="37" spans="1:7" ht="18" customHeight="1" thickBot="1">
      <c r="A37" s="278">
        <v>2002</v>
      </c>
      <c r="B37" s="213">
        <v>715.59</v>
      </c>
      <c r="C37" s="477">
        <v>1.8909028776466164E-2</v>
      </c>
      <c r="D37" s="213">
        <v>1090.74</v>
      </c>
      <c r="E37" s="477">
        <v>1.6570981210855873E-2</v>
      </c>
      <c r="F37" s="213">
        <v>2994.63</v>
      </c>
      <c r="G37" s="477">
        <v>3.3297333107900728E-2</v>
      </c>
    </row>
    <row r="38" spans="1:7" ht="18" customHeight="1" thickBot="1">
      <c r="A38" s="278">
        <v>2003</v>
      </c>
      <c r="B38" s="213">
        <v>741.79</v>
      </c>
      <c r="C38" s="477">
        <v>3.6613144398328634E-2</v>
      </c>
      <c r="D38" s="213">
        <v>1120.92</v>
      </c>
      <c r="E38" s="477">
        <v>2.7669288739754716E-2</v>
      </c>
      <c r="F38" s="213">
        <v>3118.37</v>
      </c>
      <c r="G38" s="477">
        <v>4.1320630595432339E-2</v>
      </c>
    </row>
    <row r="39" spans="1:7" ht="18" customHeight="1" thickBot="1">
      <c r="A39" s="278">
        <v>2004</v>
      </c>
      <c r="B39" s="213">
        <v>782.37</v>
      </c>
      <c r="C39" s="477">
        <v>5.4705509645587069E-2</v>
      </c>
      <c r="D39" s="213">
        <v>1166.3800000000001</v>
      </c>
      <c r="E39" s="477">
        <v>4.0555971880241071E-2</v>
      </c>
      <c r="F39" s="213">
        <v>3296.18</v>
      </c>
      <c r="G39" s="477">
        <v>5.7020174001160884E-2</v>
      </c>
    </row>
    <row r="40" spans="1:7" ht="18" customHeight="1" thickBot="1">
      <c r="A40" s="278">
        <v>2005</v>
      </c>
      <c r="B40" s="213">
        <v>842.26</v>
      </c>
      <c r="C40" s="477">
        <v>7.6549458696013373E-2</v>
      </c>
      <c r="D40" s="213">
        <v>1192.9100000000001</v>
      </c>
      <c r="E40" s="477">
        <v>2.2745588916133874E-2</v>
      </c>
      <c r="F40" s="213">
        <v>3456.92</v>
      </c>
      <c r="G40" s="477">
        <v>4.8765540716829703E-2</v>
      </c>
    </row>
    <row r="41" spans="1:7" ht="18" customHeight="1" thickBot="1">
      <c r="A41" s="278">
        <v>2006</v>
      </c>
      <c r="B41" s="213">
        <v>852.62</v>
      </c>
      <c r="C41" s="477">
        <v>1.2300239830931092E-2</v>
      </c>
      <c r="D41" s="213">
        <v>1171.6600000000001</v>
      </c>
      <c r="E41" s="477">
        <v>-1.7813581913136978E-2</v>
      </c>
      <c r="F41" s="213">
        <v>3483.89</v>
      </c>
      <c r="G41" s="477">
        <v>7.8017425916712124E-3</v>
      </c>
    </row>
    <row r="42" spans="1:7" ht="18" customHeight="1" thickBot="1">
      <c r="A42" s="278">
        <v>2007</v>
      </c>
      <c r="B42" s="213">
        <v>903.11</v>
      </c>
      <c r="C42" s="477">
        <v>5.9217470854542542E-2</v>
      </c>
      <c r="D42" s="213">
        <v>1190.6199999999999</v>
      </c>
      <c r="E42" s="477">
        <v>1.6182168888585702E-2</v>
      </c>
      <c r="F42" s="213">
        <v>3600.94</v>
      </c>
      <c r="G42" s="477">
        <v>3.3597501643277905E-2</v>
      </c>
    </row>
    <row r="43" spans="1:7" ht="21" customHeight="1" thickBot="1">
      <c r="A43" s="780">
        <v>2008</v>
      </c>
      <c r="B43" s="442">
        <v>927.10641606481363</v>
      </c>
      <c r="C43" s="777">
        <v>2.6570867407972099E-2</v>
      </c>
      <c r="D43" s="442">
        <v>1232.0845759774513</v>
      </c>
      <c r="E43" s="777">
        <v>3.4826036835809315E-2</v>
      </c>
      <c r="F43" s="442">
        <v>3745.8697096406327</v>
      </c>
      <c r="G43" s="777">
        <v>4.0247743544916892E-2</v>
      </c>
    </row>
    <row r="44" spans="1:7" ht="15" customHeight="1">
      <c r="A44" s="587" t="s">
        <v>367</v>
      </c>
    </row>
    <row r="46" spans="1:7">
      <c r="A46" s="202" t="s">
        <v>366</v>
      </c>
    </row>
    <row r="48" spans="1:7">
      <c r="A48" s="2" t="s">
        <v>395</v>
      </c>
    </row>
    <row r="49" spans="1:1">
      <c r="A49" s="2" t="s">
        <v>396</v>
      </c>
    </row>
    <row r="52" spans="1:1">
      <c r="A52" s="2" t="s">
        <v>711</v>
      </c>
    </row>
  </sheetData>
  <mergeCells count="1">
    <mergeCell ref="A2:F2"/>
  </mergeCells>
  <phoneticPr fontId="0" type="noConversion"/>
  <pageMargins left="0.55118110236220474" right="0.39370078740157483" top="0.47244094488188981" bottom="0.33" header="0.27559055118110237" footer="0.21"/>
  <pageSetup paperSize="9" scale="74" orientation="portrait" horizontalDpi="1200" verticalDpi="12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BD4A-6459-D84D-9DDC-83034895E165}">
  <sheetPr>
    <pageSetUpPr fitToPage="1"/>
  </sheetPr>
  <dimension ref="A1:V60"/>
  <sheetViews>
    <sheetView topLeftCell="A26" zoomScale="75" workbookViewId="0">
      <selection activeCell="B44" sqref="B44"/>
    </sheetView>
  </sheetViews>
  <sheetFormatPr baseColWidth="10" defaultColWidth="11.3984375" defaultRowHeight="13"/>
  <cols>
    <col min="1" max="1" width="11.796875" style="2" customWidth="1"/>
    <col min="2" max="2" width="17" style="2" customWidth="1"/>
    <col min="3" max="3" width="13" style="537" customWidth="1"/>
    <col min="4" max="4" width="13" style="2" customWidth="1"/>
    <col min="5" max="5" width="14" style="537" customWidth="1"/>
    <col min="6" max="6" width="13" style="2" customWidth="1"/>
    <col min="7" max="7" width="13" style="537" customWidth="1"/>
    <col min="8" max="8" width="13" style="2" customWidth="1"/>
    <col min="9" max="9" width="15.3984375" style="2" customWidth="1"/>
    <col min="10" max="12" width="13" style="2" customWidth="1"/>
    <col min="13" max="13" width="14.19921875" style="2" customWidth="1"/>
    <col min="14" max="14" width="13" style="2" customWidth="1"/>
    <col min="15" max="15" width="14.796875" style="2" customWidth="1"/>
    <col min="16" max="16" width="13" style="2" customWidth="1"/>
    <col min="17" max="16384" width="11.3984375" style="2"/>
  </cols>
  <sheetData>
    <row r="1" spans="1:22" s="1" customFormat="1" ht="14" customHeight="1">
      <c r="A1" s="360"/>
      <c r="B1" s="360"/>
      <c r="C1" s="594"/>
      <c r="D1" s="360"/>
      <c r="E1" s="594"/>
      <c r="F1" s="360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</row>
    <row r="2" spans="1:22" s="1" customFormat="1" ht="28" customHeight="1">
      <c r="A2" s="177" t="s">
        <v>1933</v>
      </c>
      <c r="B2" s="360"/>
      <c r="C2" s="594"/>
      <c r="D2" s="360"/>
      <c r="E2" s="594"/>
      <c r="F2" s="360"/>
      <c r="G2" s="594"/>
      <c r="N2" s="596"/>
    </row>
    <row r="3" spans="1:22" ht="24" customHeight="1">
      <c r="A3" s="178" t="s">
        <v>1931</v>
      </c>
      <c r="B3" s="513" t="s">
        <v>552</v>
      </c>
      <c r="C3" s="180" t="s">
        <v>2372</v>
      </c>
      <c r="D3" s="179"/>
      <c r="E3" s="515"/>
      <c r="F3" s="179"/>
      <c r="G3" s="515"/>
      <c r="H3" s="179"/>
      <c r="I3" s="515"/>
      <c r="J3" s="179"/>
      <c r="K3" s="515"/>
      <c r="L3" s="179"/>
      <c r="M3" s="515"/>
      <c r="N3" s="179"/>
      <c r="O3"/>
    </row>
    <row r="4" spans="1:22" ht="17.25" customHeight="1">
      <c r="A4" s="274"/>
      <c r="B4" s="302" t="s">
        <v>1932</v>
      </c>
      <c r="C4" s="183" t="s">
        <v>2373</v>
      </c>
      <c r="D4" s="597" t="s">
        <v>554</v>
      </c>
      <c r="E4" s="598" t="s">
        <v>554</v>
      </c>
      <c r="F4" s="597" t="s">
        <v>554</v>
      </c>
      <c r="G4" s="598" t="s">
        <v>554</v>
      </c>
      <c r="H4" s="597" t="s">
        <v>554</v>
      </c>
      <c r="I4" s="598" t="s">
        <v>554</v>
      </c>
      <c r="J4" s="597" t="s">
        <v>554</v>
      </c>
      <c r="K4" s="598" t="s">
        <v>554</v>
      </c>
      <c r="L4" s="597" t="s">
        <v>554</v>
      </c>
      <c r="M4" s="598" t="s">
        <v>554</v>
      </c>
      <c r="N4" s="597" t="s">
        <v>554</v>
      </c>
      <c r="O4"/>
    </row>
    <row r="5" spans="1:22" ht="15" customHeight="1">
      <c r="A5" s="274"/>
      <c r="B5" s="182"/>
      <c r="C5" s="183" t="s">
        <v>2377</v>
      </c>
      <c r="D5" s="597" t="s">
        <v>555</v>
      </c>
      <c r="E5" s="598" t="s">
        <v>556</v>
      </c>
      <c r="F5" s="597" t="s">
        <v>557</v>
      </c>
      <c r="G5" s="598" t="s">
        <v>557</v>
      </c>
      <c r="H5" s="597" t="s">
        <v>184</v>
      </c>
      <c r="I5" s="598" t="s">
        <v>185</v>
      </c>
      <c r="J5" s="597" t="s">
        <v>186</v>
      </c>
      <c r="K5" s="598" t="s">
        <v>187</v>
      </c>
      <c r="L5" s="597" t="s">
        <v>558</v>
      </c>
      <c r="M5" s="598" t="s">
        <v>559</v>
      </c>
      <c r="N5" s="597" t="s">
        <v>560</v>
      </c>
      <c r="O5"/>
    </row>
    <row r="6" spans="1:22" s="202" customFormat="1" ht="19.5" customHeight="1">
      <c r="A6" s="599"/>
      <c r="B6" s="436"/>
      <c r="C6" s="600"/>
      <c r="D6" s="601" t="s">
        <v>561</v>
      </c>
      <c r="E6" s="602" t="s">
        <v>561</v>
      </c>
      <c r="F6" s="601" t="s">
        <v>562</v>
      </c>
      <c r="G6" s="602" t="s">
        <v>563</v>
      </c>
      <c r="H6" s="601"/>
      <c r="I6" s="602"/>
      <c r="J6" s="601"/>
      <c r="K6" s="602"/>
      <c r="L6" s="601" t="s">
        <v>564</v>
      </c>
      <c r="M6" s="602" t="s">
        <v>565</v>
      </c>
      <c r="N6" s="601" t="s">
        <v>566</v>
      </c>
      <c r="O6"/>
    </row>
    <row r="7" spans="1:22" ht="19.5" customHeight="1">
      <c r="A7" s="275"/>
      <c r="B7" s="188"/>
      <c r="C7" s="517"/>
      <c r="D7" s="436"/>
      <c r="E7" s="600"/>
      <c r="F7" s="436"/>
      <c r="G7" s="600"/>
      <c r="H7" s="436"/>
      <c r="I7" s="600"/>
      <c r="J7" s="436"/>
      <c r="K7" s="517"/>
      <c r="L7" s="436"/>
      <c r="M7" s="600"/>
      <c r="N7" s="436"/>
      <c r="O7"/>
    </row>
    <row r="8" spans="1:22" ht="2.25" customHeight="1" thickBot="1">
      <c r="A8" s="276">
        <v>1996</v>
      </c>
      <c r="B8" s="211">
        <v>8214.622179967444</v>
      </c>
      <c r="C8" s="212">
        <v>0.11122052660984157</v>
      </c>
      <c r="D8" s="381" t="s">
        <v>1060</v>
      </c>
      <c r="E8" s="382" t="s">
        <v>1060</v>
      </c>
      <c r="F8" s="381" t="s">
        <v>1060</v>
      </c>
      <c r="G8" s="382" t="s">
        <v>1060</v>
      </c>
      <c r="H8" s="381" t="s">
        <v>1060</v>
      </c>
      <c r="I8" s="382" t="s">
        <v>1060</v>
      </c>
      <c r="J8" s="381" t="s">
        <v>1060</v>
      </c>
      <c r="K8" s="257">
        <v>56.88</v>
      </c>
      <c r="L8" s="381" t="s">
        <v>1060</v>
      </c>
      <c r="M8" s="382" t="s">
        <v>1060</v>
      </c>
      <c r="N8" s="381" t="s">
        <v>1060</v>
      </c>
      <c r="O8"/>
    </row>
    <row r="9" spans="1:22" ht="0.75" customHeight="1" thickBot="1">
      <c r="A9" s="278">
        <v>1997</v>
      </c>
      <c r="B9" s="213">
        <v>8735.6547899365542</v>
      </c>
      <c r="C9" s="214">
        <v>6.3427458811158022E-2</v>
      </c>
      <c r="D9" s="381" t="s">
        <v>1060</v>
      </c>
      <c r="E9" s="382" t="s">
        <v>1060</v>
      </c>
      <c r="F9" s="381" t="s">
        <v>1060</v>
      </c>
      <c r="G9" s="382" t="s">
        <v>1060</v>
      </c>
      <c r="H9" s="381" t="s">
        <v>1060</v>
      </c>
      <c r="I9" s="382" t="s">
        <v>1060</v>
      </c>
      <c r="J9" s="381" t="s">
        <v>1060</v>
      </c>
      <c r="K9" s="263">
        <v>56.26</v>
      </c>
      <c r="L9" s="381" t="s">
        <v>1060</v>
      </c>
      <c r="M9" s="382" t="s">
        <v>1060</v>
      </c>
      <c r="N9" s="381" t="s">
        <v>1060</v>
      </c>
      <c r="O9"/>
      <c r="T9" s="8"/>
      <c r="U9" s="8"/>
      <c r="V9" s="8"/>
    </row>
    <row r="10" spans="1:22" ht="20" customHeight="1" thickBot="1">
      <c r="A10" s="278">
        <v>1998</v>
      </c>
      <c r="B10" s="213">
        <v>9332.6868080000004</v>
      </c>
      <c r="C10" s="214">
        <v>6.8344277838362513E-2</v>
      </c>
      <c r="D10" s="213">
        <v>3748.16</v>
      </c>
      <c r="E10" s="263">
        <v>1302.8</v>
      </c>
      <c r="F10" s="213">
        <v>933.79</v>
      </c>
      <c r="G10" s="263">
        <v>1787.54</v>
      </c>
      <c r="H10" s="213">
        <v>223.97</v>
      </c>
      <c r="I10" s="263">
        <v>417.71</v>
      </c>
      <c r="J10" s="213">
        <v>397.5</v>
      </c>
      <c r="K10" s="263">
        <v>56.3</v>
      </c>
      <c r="L10" s="213">
        <v>104.38</v>
      </c>
      <c r="M10" s="263">
        <v>87.2</v>
      </c>
      <c r="N10" s="213" t="s">
        <v>1060</v>
      </c>
      <c r="O10"/>
    </row>
    <row r="11" spans="1:22" ht="20" customHeight="1" thickBot="1">
      <c r="A11" s="278">
        <v>1999</v>
      </c>
      <c r="B11" s="213">
        <v>9826.7075550000009</v>
      </c>
      <c r="C11" s="214">
        <v>5.2934461121798788E-2</v>
      </c>
      <c r="D11" s="213">
        <v>3764.53</v>
      </c>
      <c r="E11" s="263">
        <v>1484.57</v>
      </c>
      <c r="F11" s="213">
        <v>1031.77</v>
      </c>
      <c r="G11" s="263">
        <v>1873.03</v>
      </c>
      <c r="H11" s="213">
        <v>235.27</v>
      </c>
      <c r="I11" s="263">
        <v>437.19</v>
      </c>
      <c r="J11" s="213">
        <v>413.87</v>
      </c>
      <c r="K11" s="263">
        <v>60.6</v>
      </c>
      <c r="L11" s="213">
        <v>125.04</v>
      </c>
      <c r="M11" s="263">
        <v>87.9</v>
      </c>
      <c r="N11" s="213" t="s">
        <v>1060</v>
      </c>
      <c r="O11"/>
    </row>
    <row r="12" spans="1:22" ht="20" customHeight="1" thickBot="1">
      <c r="A12" s="278">
        <v>2000</v>
      </c>
      <c r="B12" s="213">
        <v>10542.816855999999</v>
      </c>
      <c r="C12" s="214">
        <v>7.2873777609839388E-2</v>
      </c>
      <c r="D12" s="213">
        <v>3846.3722419999999</v>
      </c>
      <c r="E12" s="263">
        <v>1665.8885190000001</v>
      </c>
      <c r="F12" s="213">
        <v>1143.2080209999999</v>
      </c>
      <c r="G12" s="263">
        <v>2097.7667449999999</v>
      </c>
      <c r="H12" s="213">
        <v>253.12159500000001</v>
      </c>
      <c r="I12" s="263">
        <v>446.74208700000003</v>
      </c>
      <c r="J12" s="213">
        <v>442.743357</v>
      </c>
      <c r="K12" s="263">
        <v>62.290866000000001</v>
      </c>
      <c r="L12" s="213">
        <v>179.87060299999999</v>
      </c>
      <c r="M12" s="263">
        <v>114.545208</v>
      </c>
      <c r="N12" s="213" t="s">
        <v>1060</v>
      </c>
      <c r="O12"/>
    </row>
    <row r="13" spans="1:22" ht="20" customHeight="1" thickBot="1">
      <c r="A13" s="278">
        <v>2001</v>
      </c>
      <c r="B13" s="213">
        <v>11308.048632</v>
      </c>
      <c r="C13" s="214">
        <v>7.2583237141646939E-2</v>
      </c>
      <c r="D13" s="213">
        <v>4011.5563699999998</v>
      </c>
      <c r="E13" s="263">
        <v>1925.523136</v>
      </c>
      <c r="F13" s="213">
        <v>1271.4507229999999</v>
      </c>
      <c r="G13" s="263">
        <v>2242.439856</v>
      </c>
      <c r="H13" s="213">
        <v>270.321618</v>
      </c>
      <c r="I13" s="263">
        <v>480.12928299999999</v>
      </c>
      <c r="J13" s="213">
        <v>462.70975499999997</v>
      </c>
      <c r="K13" s="263">
        <v>65.236801</v>
      </c>
      <c r="L13" s="213">
        <v>173.02369200000001</v>
      </c>
      <c r="M13" s="263">
        <v>106.32983400000001</v>
      </c>
      <c r="N13" s="213">
        <v>20.166156999999998</v>
      </c>
      <c r="O13"/>
    </row>
    <row r="14" spans="1:22" ht="20" customHeight="1" thickBot="1">
      <c r="A14" s="278">
        <v>2002</v>
      </c>
      <c r="B14" s="213">
        <v>11864.756498999999</v>
      </c>
      <c r="C14" s="214">
        <v>4.9231117155315675E-2</v>
      </c>
      <c r="D14" s="213">
        <v>4108.8234659999998</v>
      </c>
      <c r="E14" s="263">
        <v>1972.059045</v>
      </c>
      <c r="F14" s="213">
        <v>1260.789229</v>
      </c>
      <c r="G14" s="263">
        <v>2524.68426</v>
      </c>
      <c r="H14" s="213">
        <v>290.06557500000002</v>
      </c>
      <c r="I14" s="263">
        <v>506.24601999999999</v>
      </c>
      <c r="J14" s="213">
        <v>485.55174599999998</v>
      </c>
      <c r="K14" s="263">
        <v>65.211265999999995</v>
      </c>
      <c r="L14" s="213">
        <v>202.87558799999999</v>
      </c>
      <c r="M14" s="263">
        <v>112.82700800000001</v>
      </c>
      <c r="N14" s="213">
        <v>22.283301000000002</v>
      </c>
      <c r="O14"/>
    </row>
    <row r="15" spans="1:22" ht="20" customHeight="1" thickBot="1">
      <c r="A15" s="278">
        <v>2003</v>
      </c>
      <c r="B15" s="213">
        <v>12287.171129999999</v>
      </c>
      <c r="C15" s="214">
        <v>3.560246946792394E-2</v>
      </c>
      <c r="D15" s="213">
        <v>4172.0328019999997</v>
      </c>
      <c r="E15" s="263">
        <v>2141.3752909999998</v>
      </c>
      <c r="F15" s="213">
        <v>1347.924618</v>
      </c>
      <c r="G15" s="263">
        <v>2602.0570160000002</v>
      </c>
      <c r="H15" s="213">
        <v>320.12044100000003</v>
      </c>
      <c r="I15" s="263">
        <v>491.37185499999998</v>
      </c>
      <c r="J15" s="213">
        <v>480.48790700000001</v>
      </c>
      <c r="K15" s="263">
        <v>65.007204000000002</v>
      </c>
      <c r="L15" s="213">
        <v>214.51952800000001</v>
      </c>
      <c r="M15" s="263">
        <v>112.746364</v>
      </c>
      <c r="N15" s="213">
        <v>30.331126999999999</v>
      </c>
      <c r="O15"/>
    </row>
    <row r="16" spans="1:22" ht="20" customHeight="1" thickBot="1">
      <c r="A16" s="278">
        <v>2004</v>
      </c>
      <c r="B16" s="213">
        <v>12930.941864000002</v>
      </c>
      <c r="C16" s="214">
        <v>5.2393730598265333E-2</v>
      </c>
      <c r="D16" s="213">
        <v>4377.7035830000004</v>
      </c>
      <c r="E16" s="263">
        <v>2192.3005199999998</v>
      </c>
      <c r="F16" s="213">
        <v>1398.7252390000001</v>
      </c>
      <c r="G16" s="263">
        <v>2750.1970510000001</v>
      </c>
      <c r="H16" s="213">
        <v>365.15373399999999</v>
      </c>
      <c r="I16" s="263">
        <v>505.40384999999998</v>
      </c>
      <c r="J16" s="213">
        <v>591.27084500000001</v>
      </c>
      <c r="K16" s="263">
        <v>68.244215999999994</v>
      </c>
      <c r="L16" s="213">
        <v>259.95297099999999</v>
      </c>
      <c r="M16" s="263">
        <v>79.496533999999997</v>
      </c>
      <c r="N16" s="213">
        <v>25.676613</v>
      </c>
      <c r="O16"/>
    </row>
    <row r="17" spans="1:17" ht="20" customHeight="1" thickBot="1">
      <c r="A17" s="278">
        <v>2005</v>
      </c>
      <c r="B17" s="213">
        <v>13896.515273999998</v>
      </c>
      <c r="C17" s="214">
        <v>7.467154520956984E-2</v>
      </c>
      <c r="D17" s="213">
        <v>4526.5123919999996</v>
      </c>
      <c r="E17" s="263">
        <v>2671.1515180000001</v>
      </c>
      <c r="F17" s="213">
        <v>1472.471274</v>
      </c>
      <c r="G17" s="263">
        <v>2820.8304370000001</v>
      </c>
      <c r="H17" s="213">
        <v>388.382814</v>
      </c>
      <c r="I17" s="263">
        <v>531.73997799999995</v>
      </c>
      <c r="J17" s="213">
        <v>664.98868300000004</v>
      </c>
      <c r="K17" s="263">
        <v>69.204526000000001</v>
      </c>
      <c r="L17" s="213">
        <v>297.96774900000003</v>
      </c>
      <c r="M17" s="263">
        <v>52.688243999999997</v>
      </c>
      <c r="N17" s="213">
        <v>24.155256000000001</v>
      </c>
      <c r="O17"/>
    </row>
    <row r="18" spans="1:17" ht="20" customHeight="1" thickBot="1">
      <c r="A18" s="278">
        <v>2006</v>
      </c>
      <c r="B18" s="213">
        <v>14030.772541999999</v>
      </c>
      <c r="C18" s="214">
        <v>9.6612183236464248E-3</v>
      </c>
      <c r="D18" s="213">
        <v>4631.4300709999998</v>
      </c>
      <c r="E18" s="263">
        <v>2644.9903220000001</v>
      </c>
      <c r="F18" s="213">
        <v>1472.366248</v>
      </c>
      <c r="G18" s="263">
        <v>2826.9170079999999</v>
      </c>
      <c r="H18" s="213">
        <v>416.81203599999998</v>
      </c>
      <c r="I18" s="263">
        <v>539.40939700000001</v>
      </c>
      <c r="J18" s="213">
        <v>625.59989599999994</v>
      </c>
      <c r="K18" s="263">
        <v>68.417607000000004</v>
      </c>
      <c r="L18" s="213">
        <v>336.37458700000002</v>
      </c>
      <c r="M18" s="263">
        <v>61.767296000000002</v>
      </c>
      <c r="N18" s="213">
        <v>11.768563</v>
      </c>
      <c r="O18"/>
    </row>
    <row r="19" spans="1:17" ht="20" customHeight="1" thickBot="1">
      <c r="A19" s="278">
        <v>2007</v>
      </c>
      <c r="B19" s="213">
        <v>14675.691045</v>
      </c>
      <c r="C19" s="214">
        <v>4.5964575440838207E-2</v>
      </c>
      <c r="D19" s="213">
        <v>4835.7349899999999</v>
      </c>
      <c r="E19" s="263">
        <v>2824.687347</v>
      </c>
      <c r="F19" s="213">
        <v>1518.895055</v>
      </c>
      <c r="G19" s="263">
        <v>2887.694485</v>
      </c>
      <c r="H19" s="213">
        <v>456.109013</v>
      </c>
      <c r="I19" s="263">
        <v>553.92740000000003</v>
      </c>
      <c r="J19" s="213">
        <v>633.04220399999997</v>
      </c>
      <c r="K19" s="263">
        <v>71.228594000000001</v>
      </c>
      <c r="L19" s="213">
        <v>373.80373800000001</v>
      </c>
      <c r="M19" s="263">
        <v>64.120796999999996</v>
      </c>
      <c r="N19" s="213">
        <v>9.7957180000000008</v>
      </c>
      <c r="O19"/>
    </row>
    <row r="20" spans="1:17" s="251" customFormat="1" ht="30" customHeight="1" thickBot="1">
      <c r="A20" s="502">
        <v>2008</v>
      </c>
      <c r="B20" s="215">
        <v>15615.666009989998</v>
      </c>
      <c r="C20" s="216">
        <v>6.4049792415754592E-2</v>
      </c>
      <c r="D20" s="215">
        <v>5103.8810920400001</v>
      </c>
      <c r="E20" s="264">
        <v>3255.3153891399998</v>
      </c>
      <c r="F20" s="215">
        <v>1619.4145700199999</v>
      </c>
      <c r="G20" s="264">
        <v>3019.5684620500001</v>
      </c>
      <c r="H20" s="215">
        <v>496.14749419999998</v>
      </c>
      <c r="I20" s="264">
        <v>572.72103085000003</v>
      </c>
      <c r="J20" s="215">
        <v>686.59783748999996</v>
      </c>
      <c r="K20" s="264">
        <v>71.69690340999999</v>
      </c>
      <c r="L20" s="215">
        <v>374.54323960000005</v>
      </c>
      <c r="M20" s="264">
        <v>55.54561923</v>
      </c>
      <c r="N20" s="215">
        <v>10.82962706</v>
      </c>
      <c r="O20"/>
      <c r="P20" s="606"/>
      <c r="Q20" s="607"/>
    </row>
    <row r="21" spans="1:17" ht="17.25" customHeight="1" thickBot="1">
      <c r="A21" s="266"/>
      <c r="B21" s="608"/>
      <c r="C21" s="609"/>
      <c r="D21" s="608"/>
      <c r="E21" s="609"/>
      <c r="F21" s="608"/>
      <c r="G21" s="609"/>
      <c r="P21" s="3"/>
      <c r="Q21" s="3"/>
    </row>
    <row r="22" spans="1:17" s="354" customFormat="1" ht="51" customHeight="1" thickBot="1">
      <c r="A22" s="610" t="s">
        <v>567</v>
      </c>
      <c r="B22" s="572">
        <v>5.282304365817958E-2</v>
      </c>
      <c r="C22" s="612" t="s">
        <v>1060</v>
      </c>
      <c r="D22" s="572">
        <v>3.1355152558363075E-2</v>
      </c>
      <c r="E22" s="612">
        <v>9.5901527183698931E-2</v>
      </c>
      <c r="F22" s="572">
        <v>5.6600671506948697E-2</v>
      </c>
      <c r="G22" s="612">
        <v>5.3826004619631718E-2</v>
      </c>
      <c r="H22" s="572">
        <v>8.2784662026203382E-2</v>
      </c>
      <c r="I22" s="612">
        <v>3.2064466777732337E-2</v>
      </c>
      <c r="J22" s="572">
        <v>5.6176572098812994E-2</v>
      </c>
      <c r="K22" s="612">
        <v>2.4469894117975066E-2</v>
      </c>
      <c r="L22" s="572">
        <v>0.13628812234145737</v>
      </c>
      <c r="M22" s="612">
        <v>-4.4098082516304649E-2</v>
      </c>
      <c r="N22" s="572" t="s">
        <v>1060</v>
      </c>
      <c r="P22" s="606"/>
      <c r="Q22" s="606"/>
    </row>
    <row r="23" spans="1:17" ht="39" customHeight="1">
      <c r="A23" s="266"/>
      <c r="B23" s="613"/>
      <c r="C23" s="609"/>
      <c r="D23" s="608"/>
      <c r="E23" s="609"/>
      <c r="F23" s="608"/>
      <c r="G23" s="609"/>
    </row>
    <row r="24" spans="1:17" ht="16.5" customHeight="1">
      <c r="A24" s="178" t="s">
        <v>1931</v>
      </c>
      <c r="B24" s="302" t="s">
        <v>568</v>
      </c>
      <c r="C24" s="180" t="s">
        <v>2372</v>
      </c>
      <c r="D24" s="179"/>
      <c r="E24" s="515"/>
      <c r="F24"/>
      <c r="G24" s="2"/>
      <c r="H24" s="513" t="s">
        <v>164</v>
      </c>
      <c r="I24" s="180" t="s">
        <v>2372</v>
      </c>
    </row>
    <row r="25" spans="1:17" ht="15.75" customHeight="1">
      <c r="A25" s="274"/>
      <c r="B25" s="302" t="s">
        <v>1932</v>
      </c>
      <c r="C25" s="183" t="s">
        <v>2373</v>
      </c>
      <c r="D25" s="614" t="s">
        <v>554</v>
      </c>
      <c r="E25" s="615" t="s">
        <v>554</v>
      </c>
      <c r="F25"/>
      <c r="G25" s="2"/>
      <c r="H25" s="302" t="s">
        <v>177</v>
      </c>
      <c r="I25" s="183" t="s">
        <v>2373</v>
      </c>
    </row>
    <row r="26" spans="1:17" ht="12" customHeight="1">
      <c r="A26" s="274"/>
      <c r="B26" s="182"/>
      <c r="C26" s="183" t="s">
        <v>2377</v>
      </c>
      <c r="D26" s="614" t="s">
        <v>569</v>
      </c>
      <c r="E26" s="615" t="s">
        <v>570</v>
      </c>
      <c r="F26"/>
      <c r="G26" s="2"/>
      <c r="H26" s="182"/>
      <c r="I26" s="183" t="s">
        <v>2377</v>
      </c>
    </row>
    <row r="27" spans="1:17" ht="19.5" customHeight="1">
      <c r="A27" s="599"/>
      <c r="B27" s="436"/>
      <c r="C27" s="600"/>
      <c r="D27" s="614" t="s">
        <v>571</v>
      </c>
      <c r="E27" s="615"/>
      <c r="F27"/>
      <c r="G27" s="2"/>
      <c r="H27" s="436"/>
      <c r="I27" s="600"/>
    </row>
    <row r="28" spans="1:17" ht="19.5" customHeight="1">
      <c r="A28" s="275"/>
      <c r="B28" s="188"/>
      <c r="C28" s="517"/>
      <c r="D28" s="616"/>
      <c r="E28" s="617"/>
      <c r="F28"/>
      <c r="G28" s="2"/>
      <c r="H28" s="188"/>
      <c r="I28" s="517"/>
    </row>
    <row r="29" spans="1:17" ht="2.25" customHeight="1" thickBot="1">
      <c r="A29" s="276">
        <v>1996</v>
      </c>
      <c r="B29" s="211">
        <v>4244.395068032557</v>
      </c>
      <c r="C29" s="212">
        <v>8.4154117430895334E-2</v>
      </c>
      <c r="D29" s="381" t="s">
        <v>1060</v>
      </c>
      <c r="E29" s="382" t="s">
        <v>1060</v>
      </c>
      <c r="F29"/>
      <c r="G29" s="2"/>
      <c r="H29" s="211">
        <v>12459.017248</v>
      </c>
      <c r="I29" s="212">
        <v>0.10184935576083168</v>
      </c>
    </row>
    <row r="30" spans="1:17" ht="19.5" hidden="1" customHeight="1" thickBot="1">
      <c r="A30" s="278">
        <v>1997</v>
      </c>
      <c r="B30" s="213">
        <v>4402.8227450634458</v>
      </c>
      <c r="C30" s="214">
        <v>3.7326326718291628E-2</v>
      </c>
      <c r="D30" s="213" t="s">
        <v>1060</v>
      </c>
      <c r="E30" s="263" t="s">
        <v>1060</v>
      </c>
      <c r="F30"/>
      <c r="G30" s="2"/>
      <c r="H30" s="213">
        <v>13138.477535</v>
      </c>
      <c r="I30" s="214">
        <v>5.4535624558114414E-2</v>
      </c>
    </row>
    <row r="31" spans="1:17" ht="19.5" customHeight="1" thickBot="1">
      <c r="A31" s="278">
        <v>1998</v>
      </c>
      <c r="B31" s="213">
        <v>4691.4058439999999</v>
      </c>
      <c r="C31" s="214">
        <v>6.5545018649710712E-2</v>
      </c>
      <c r="D31" s="213">
        <v>3570.49</v>
      </c>
      <c r="E31" s="263">
        <v>1091.68</v>
      </c>
      <c r="F31"/>
      <c r="G31" s="2"/>
      <c r="H31" s="213">
        <v>14024.092651999999</v>
      </c>
      <c r="I31" s="214">
        <v>6.7406220746717538E-2</v>
      </c>
    </row>
    <row r="32" spans="1:17" ht="19.5" customHeight="1" thickBot="1">
      <c r="A32" s="278">
        <v>1999</v>
      </c>
      <c r="B32" s="213">
        <v>4793.8029630000001</v>
      </c>
      <c r="C32" s="214">
        <v>2.1826531833940437E-2</v>
      </c>
      <c r="D32" s="213">
        <v>3611.25</v>
      </c>
      <c r="E32" s="263">
        <v>1169.7</v>
      </c>
      <c r="F32"/>
      <c r="G32" s="2"/>
      <c r="H32" s="213">
        <v>14620.510517999999</v>
      </c>
      <c r="I32" s="214">
        <v>4.2528089395854327E-2</v>
      </c>
    </row>
    <row r="33" spans="1:9" ht="19.5" customHeight="1" thickBot="1">
      <c r="A33" s="278">
        <v>2000</v>
      </c>
      <c r="B33" s="213">
        <v>4935.5105860000003</v>
      </c>
      <c r="C33" s="214">
        <v>2.9560585633940716E-2</v>
      </c>
      <c r="D33" s="213">
        <v>3696.49064</v>
      </c>
      <c r="E33" s="263">
        <v>1214.941513</v>
      </c>
      <c r="F33"/>
      <c r="G33" s="2"/>
      <c r="H33" s="213">
        <v>15478.327442</v>
      </c>
      <c r="I33" s="214">
        <v>5.8672159425890213E-2</v>
      </c>
    </row>
    <row r="34" spans="1:9" ht="21.75" customHeight="1" thickBot="1">
      <c r="A34" s="278">
        <v>2001</v>
      </c>
      <c r="B34" s="213">
        <v>5078.4121850000001</v>
      </c>
      <c r="C34" s="214">
        <v>2.8953762029272606E-2</v>
      </c>
      <c r="D34" s="213">
        <v>3798.2139889999999</v>
      </c>
      <c r="E34" s="263">
        <v>1257.8527670000001</v>
      </c>
      <c r="F34"/>
      <c r="G34" s="2"/>
      <c r="H34" s="213">
        <v>16386.460816999999</v>
      </c>
      <c r="I34" s="214">
        <v>5.867128592562304E-2</v>
      </c>
    </row>
    <row r="35" spans="1:9" ht="19.5" customHeight="1" thickBot="1">
      <c r="A35" s="278">
        <v>2002</v>
      </c>
      <c r="B35" s="213">
        <v>5230.8309099999997</v>
      </c>
      <c r="C35" s="214">
        <v>3.0013066968095962E-2</v>
      </c>
      <c r="D35" s="213">
        <v>3783.9358269999998</v>
      </c>
      <c r="E35" s="263">
        <v>1392.356614</v>
      </c>
      <c r="F35"/>
      <c r="G35" s="2"/>
      <c r="H35" s="213">
        <v>17095.587409</v>
      </c>
      <c r="I35" s="214">
        <v>4.3275152573783532E-2</v>
      </c>
    </row>
    <row r="36" spans="1:9" ht="19.5" customHeight="1" thickBot="1">
      <c r="A36" s="278">
        <v>2003</v>
      </c>
      <c r="B36" s="213">
        <v>5636.9482250000001</v>
      </c>
      <c r="C36" s="214">
        <v>7.7639159435188176E-2</v>
      </c>
      <c r="D36" s="213">
        <v>4111.8764270000001</v>
      </c>
      <c r="E36" s="263">
        <v>1477.775099</v>
      </c>
      <c r="F36"/>
      <c r="G36" s="2"/>
      <c r="H36" s="213">
        <v>17924.119354999999</v>
      </c>
      <c r="I36" s="214">
        <v>4.8464666710651728E-2</v>
      </c>
    </row>
    <row r="37" spans="1:9" ht="19.5" customHeight="1" thickBot="1">
      <c r="A37" s="278">
        <v>2004</v>
      </c>
      <c r="B37" s="213">
        <v>6208.8790769999996</v>
      </c>
      <c r="C37" s="214">
        <v>0.10146107950104499</v>
      </c>
      <c r="D37" s="213">
        <v>4569.0303759999997</v>
      </c>
      <c r="E37" s="263">
        <v>1572.8925360000001</v>
      </c>
      <c r="F37"/>
      <c r="G37" s="2"/>
      <c r="H37" s="213">
        <v>19139.820941000002</v>
      </c>
      <c r="I37" s="214">
        <v>6.782489906043157E-2</v>
      </c>
    </row>
    <row r="38" spans="1:9" ht="19.5" customHeight="1" thickBot="1">
      <c r="A38" s="278">
        <v>2005</v>
      </c>
      <c r="B38" s="213">
        <v>6451.1913709999999</v>
      </c>
      <c r="C38" s="214">
        <v>3.902673751492685E-2</v>
      </c>
      <c r="D38" s="213">
        <v>4803.16752</v>
      </c>
      <c r="E38" s="263">
        <v>1587.1501499999999</v>
      </c>
      <c r="F38"/>
      <c r="G38" s="2"/>
      <c r="H38" s="213">
        <v>20347.706644999998</v>
      </c>
      <c r="I38" s="214">
        <v>6.3108516413157623E-2</v>
      </c>
    </row>
    <row r="39" spans="1:9" ht="19.5" customHeight="1" thickBot="1">
      <c r="A39" s="278">
        <v>2006</v>
      </c>
      <c r="B39" s="213">
        <v>6571.8543769999997</v>
      </c>
      <c r="C39" s="214">
        <v>1.8703988001722505E-2</v>
      </c>
      <c r="D39" s="213">
        <v>4893.0853630000001</v>
      </c>
      <c r="E39" s="263">
        <v>1627.1193760000001</v>
      </c>
      <c r="F39"/>
      <c r="G39" s="2"/>
      <c r="H39" s="213">
        <v>20602.626918999998</v>
      </c>
      <c r="I39" s="214">
        <v>1.2528206664638598E-2</v>
      </c>
    </row>
    <row r="40" spans="1:9" ht="19.5" customHeight="1" thickBot="1">
      <c r="A40" s="278">
        <v>2007</v>
      </c>
      <c r="B40" s="213">
        <v>6902.9978209999999</v>
      </c>
      <c r="C40" s="214">
        <v>5.0388128677794075E-2</v>
      </c>
      <c r="D40" s="213">
        <v>5137.1482340000002</v>
      </c>
      <c r="E40" s="263">
        <v>1706.5482260000001</v>
      </c>
      <c r="F40"/>
      <c r="G40" s="2"/>
      <c r="H40" s="213">
        <v>21578.688866</v>
      </c>
      <c r="I40" s="214">
        <v>4.737560655917461E-2</v>
      </c>
    </row>
    <row r="41" spans="1:9" ht="30" customHeight="1" thickBot="1">
      <c r="A41" s="502">
        <v>2008</v>
      </c>
      <c r="B41" s="215">
        <v>7106.2454728100001</v>
      </c>
      <c r="C41" s="216">
        <v>2.9443389246290863E-2</v>
      </c>
      <c r="D41" s="215">
        <v>5258.11061599</v>
      </c>
      <c r="E41" s="264">
        <v>1784.3509754700001</v>
      </c>
      <c r="F41"/>
      <c r="G41" s="2"/>
      <c r="H41" s="215">
        <v>22721.911482799998</v>
      </c>
      <c r="I41" s="216">
        <v>5.2979243729738057E-2</v>
      </c>
    </row>
    <row r="42" spans="1:9" ht="19.5" customHeight="1" thickBot="1">
      <c r="A42" s="202"/>
      <c r="B42" s="608"/>
      <c r="C42" s="609"/>
      <c r="D42" s="608"/>
      <c r="E42" s="609"/>
      <c r="F42" s="608"/>
      <c r="G42" s="609"/>
    </row>
    <row r="43" spans="1:9" ht="51.75" customHeight="1" thickBot="1">
      <c r="A43" s="610" t="s">
        <v>567</v>
      </c>
      <c r="B43" s="572">
        <v>4.2398361567467679E-2</v>
      </c>
      <c r="C43" s="612" t="s">
        <v>1060</v>
      </c>
      <c r="D43" s="572">
        <v>3.9465763519792141E-2</v>
      </c>
      <c r="E43" s="612">
        <v>5.0360769950908768E-2</v>
      </c>
      <c r="F43" s="542"/>
      <c r="G43" s="2"/>
      <c r="H43" s="572">
        <v>4.9438539450795016E-2</v>
      </c>
      <c r="I43" s="612" t="s">
        <v>1060</v>
      </c>
    </row>
    <row r="44" spans="1:9" ht="17.25" customHeight="1">
      <c r="A44" s="201" t="s">
        <v>764</v>
      </c>
      <c r="B44" s="608"/>
      <c r="C44" s="609"/>
      <c r="D44" s="608"/>
      <c r="E44" s="609"/>
      <c r="F44" s="608"/>
      <c r="G44" s="609"/>
    </row>
    <row r="45" spans="1:9" ht="14">
      <c r="A45" s="266"/>
      <c r="B45" s="608"/>
      <c r="C45" s="609"/>
      <c r="D45" s="608"/>
      <c r="E45" s="609"/>
      <c r="F45" s="608"/>
      <c r="G45" s="609"/>
    </row>
    <row r="46" spans="1:9" ht="14">
      <c r="A46" s="202" t="s">
        <v>1705</v>
      </c>
      <c r="B46" s="608"/>
      <c r="C46" s="609"/>
      <c r="D46" s="608"/>
      <c r="E46" s="609"/>
      <c r="F46" s="608"/>
      <c r="G46" s="609"/>
    </row>
    <row r="47" spans="1:9" ht="14">
      <c r="A47" s="2" t="s">
        <v>1920</v>
      </c>
      <c r="B47" s="608"/>
      <c r="C47" s="609"/>
      <c r="D47" s="608"/>
      <c r="E47" s="609"/>
      <c r="F47" s="608"/>
      <c r="G47" s="609"/>
    </row>
    <row r="48" spans="1:9">
      <c r="A48" s="2" t="s">
        <v>1929</v>
      </c>
      <c r="B48" s="3"/>
      <c r="C48" s="618"/>
      <c r="D48" s="3"/>
      <c r="E48" s="618"/>
      <c r="F48" s="3"/>
      <c r="G48" s="618"/>
    </row>
    <row r="49" spans="1:7">
      <c r="A49" s="3"/>
      <c r="B49" s="3"/>
      <c r="C49" s="618"/>
      <c r="D49" s="3"/>
      <c r="E49" s="618"/>
      <c r="F49" s="3"/>
      <c r="G49" s="618"/>
    </row>
    <row r="50" spans="1:7">
      <c r="A50" s="3" t="s">
        <v>1930</v>
      </c>
      <c r="B50" s="3"/>
      <c r="C50" s="618"/>
      <c r="D50" s="3"/>
      <c r="E50" s="618"/>
      <c r="F50" s="3"/>
      <c r="G50" s="618"/>
    </row>
    <row r="51" spans="1:7">
      <c r="A51" s="3"/>
      <c r="B51" s="3"/>
      <c r="C51" s="618"/>
      <c r="D51" s="3"/>
      <c r="E51" s="618"/>
      <c r="F51" s="3"/>
      <c r="G51" s="618"/>
    </row>
    <row r="53" spans="1:7">
      <c r="A53" s="2" t="s">
        <v>711</v>
      </c>
    </row>
    <row r="56" spans="1:7">
      <c r="B56"/>
      <c r="C56"/>
      <c r="D56"/>
      <c r="E56"/>
    </row>
    <row r="57" spans="1:7">
      <c r="B57"/>
      <c r="C57"/>
      <c r="D57"/>
      <c r="E57"/>
    </row>
    <row r="58" spans="1:7">
      <c r="B58"/>
      <c r="C58"/>
      <c r="D58"/>
      <c r="E58"/>
    </row>
    <row r="59" spans="1:7">
      <c r="B59"/>
      <c r="C59"/>
      <c r="D59"/>
      <c r="E59"/>
    </row>
    <row r="60" spans="1:7">
      <c r="B60"/>
      <c r="C60"/>
      <c r="D60"/>
      <c r="E60"/>
    </row>
  </sheetData>
  <phoneticPr fontId="0" type="noConversion"/>
  <pageMargins left="0.52" right="0.37" top="0.5" bottom="0.49" header="0.3" footer="0.4921259845"/>
  <pageSetup paperSize="9" scale="54" orientation="landscape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B28E-0326-B541-9207-200DBD817CA2}">
  <sheetPr>
    <pageSetUpPr fitToPage="1"/>
  </sheetPr>
  <dimension ref="A1:H39"/>
  <sheetViews>
    <sheetView topLeftCell="A16" zoomScale="75" workbookViewId="0">
      <selection activeCell="C34" sqref="C34"/>
    </sheetView>
  </sheetViews>
  <sheetFormatPr baseColWidth="10" defaultColWidth="11.3984375" defaultRowHeight="13"/>
  <cols>
    <col min="1" max="1" width="33.796875" style="2" customWidth="1"/>
    <col min="2" max="4" width="16" style="2" customWidth="1"/>
    <col min="5" max="5" width="18.19921875" style="2" customWidth="1"/>
    <col min="6" max="7" width="15.19921875" style="2" customWidth="1"/>
    <col min="8" max="8" width="14.796875" style="159" customWidth="1"/>
    <col min="9" max="16384" width="11.3984375" style="2"/>
  </cols>
  <sheetData>
    <row r="1" spans="1:8" s="1" customFormat="1" ht="14" customHeight="1">
      <c r="H1" s="564"/>
    </row>
    <row r="2" spans="1:8" s="1" customFormat="1" ht="28" customHeight="1">
      <c r="A2" s="177" t="s">
        <v>1099</v>
      </c>
      <c r="H2" s="177">
        <v>2008</v>
      </c>
    </row>
    <row r="3" spans="1:8" ht="24" customHeight="1">
      <c r="A3" s="178" t="s">
        <v>1100</v>
      </c>
      <c r="B3" s="179" t="s">
        <v>1867</v>
      </c>
      <c r="C3" s="180" t="s">
        <v>1868</v>
      </c>
      <c r="D3" s="179" t="s">
        <v>2369</v>
      </c>
      <c r="E3" s="514" t="s">
        <v>164</v>
      </c>
      <c r="F3" s="179" t="s">
        <v>1035</v>
      </c>
      <c r="G3" s="180" t="s">
        <v>2372</v>
      </c>
      <c r="H3" s="179" t="s">
        <v>2372</v>
      </c>
    </row>
    <row r="4" spans="1:8" ht="15" customHeight="1">
      <c r="A4" s="274"/>
      <c r="B4" s="182"/>
      <c r="C4" s="183"/>
      <c r="D4" s="182"/>
      <c r="E4" s="245"/>
      <c r="F4" s="182" t="s">
        <v>1036</v>
      </c>
      <c r="G4" s="183" t="s">
        <v>2373</v>
      </c>
      <c r="H4" s="182" t="s">
        <v>2373</v>
      </c>
    </row>
    <row r="5" spans="1:8" ht="15" customHeight="1">
      <c r="A5" s="274"/>
      <c r="B5" s="182"/>
      <c r="C5" s="183"/>
      <c r="D5" s="182"/>
      <c r="E5" s="245"/>
      <c r="F5" s="182" t="s">
        <v>1037</v>
      </c>
      <c r="G5" s="183" t="s">
        <v>2377</v>
      </c>
      <c r="H5" s="182" t="s">
        <v>2377</v>
      </c>
    </row>
    <row r="6" spans="1:8" ht="24" customHeight="1">
      <c r="A6" s="275"/>
      <c r="B6" s="188"/>
      <c r="C6" s="187"/>
      <c r="D6" s="188"/>
      <c r="E6" s="248"/>
      <c r="F6" s="188"/>
      <c r="G6" s="187" t="s">
        <v>1101</v>
      </c>
      <c r="H6" s="188" t="s">
        <v>1845</v>
      </c>
    </row>
    <row r="7" spans="1:8" ht="30" customHeight="1" thickBot="1">
      <c r="A7" s="565" t="s">
        <v>1102</v>
      </c>
      <c r="B7" s="191">
        <v>1734350167.04</v>
      </c>
      <c r="C7" s="382">
        <v>2809660817.1999998</v>
      </c>
      <c r="D7" s="381">
        <v>559870107.80999994</v>
      </c>
      <c r="E7" s="462">
        <v>5103881092.04</v>
      </c>
      <c r="F7" s="566">
        <v>0.22462375561596254</v>
      </c>
      <c r="G7" s="382">
        <v>268146.10200000001</v>
      </c>
      <c r="H7" s="566">
        <v>5.5450950590198111E-2</v>
      </c>
    </row>
    <row r="8" spans="1:8" ht="20" customHeight="1" thickBot="1">
      <c r="A8" s="278" t="s">
        <v>1688</v>
      </c>
      <c r="B8" s="235">
        <v>2264655982.2399998</v>
      </c>
      <c r="C8" s="263">
        <v>2763746032.0799999</v>
      </c>
      <c r="D8" s="213">
        <v>229708601.65000001</v>
      </c>
      <c r="E8" s="567">
        <v>5258110615.9899998</v>
      </c>
      <c r="F8" s="566">
        <v>0.2314114558526591</v>
      </c>
      <c r="G8" s="263">
        <v>120962.38176000022</v>
      </c>
      <c r="H8" s="556">
        <v>2.3546601391410071E-2</v>
      </c>
    </row>
    <row r="9" spans="1:8" ht="20" customHeight="1" thickBot="1">
      <c r="A9" s="278" t="s">
        <v>181</v>
      </c>
      <c r="B9" s="213">
        <v>1363391651.24</v>
      </c>
      <c r="C9" s="263">
        <v>1619640609.0599999</v>
      </c>
      <c r="D9" s="213">
        <v>272283128.81999999</v>
      </c>
      <c r="E9" s="567">
        <v>3255315389.1399999</v>
      </c>
      <c r="F9" s="566">
        <v>0.14326767321509037</v>
      </c>
      <c r="G9" s="263">
        <v>430628.04192999983</v>
      </c>
      <c r="H9" s="556">
        <v>0.15245157746585281</v>
      </c>
    </row>
    <row r="10" spans="1:8" ht="20" customHeight="1" thickBot="1">
      <c r="A10" s="278" t="s">
        <v>182</v>
      </c>
      <c r="B10" s="213">
        <v>674266846.01999998</v>
      </c>
      <c r="C10" s="263">
        <v>868481048.52999997</v>
      </c>
      <c r="D10" s="213">
        <v>76666675.5</v>
      </c>
      <c r="E10" s="567">
        <v>1619414570.02</v>
      </c>
      <c r="F10" s="566">
        <v>7.1271053548723762E-2</v>
      </c>
      <c r="G10" s="263">
        <v>100519.51499000001</v>
      </c>
      <c r="H10" s="556">
        <v>6.6179368124952287E-2</v>
      </c>
    </row>
    <row r="11" spans="1:8" ht="20" customHeight="1" thickBot="1">
      <c r="A11" s="278" t="s">
        <v>183</v>
      </c>
      <c r="B11" s="213">
        <v>1273979330.6199999</v>
      </c>
      <c r="C11" s="263">
        <v>1646438473.05</v>
      </c>
      <c r="D11" s="213">
        <v>99150658.379999995</v>
      </c>
      <c r="E11" s="567">
        <v>3019568462.0500002</v>
      </c>
      <c r="F11" s="566">
        <v>0.13289236094136486</v>
      </c>
      <c r="G11" s="263">
        <v>131873.9769000001</v>
      </c>
      <c r="H11" s="556">
        <v>4.5667565449933667E-2</v>
      </c>
    </row>
    <row r="12" spans="1:8" ht="20" customHeight="1" thickBot="1">
      <c r="A12" s="278" t="s">
        <v>1689</v>
      </c>
      <c r="B12" s="213">
        <v>459368743.54000002</v>
      </c>
      <c r="C12" s="263">
        <v>1324720033.28</v>
      </c>
      <c r="D12" s="213">
        <v>262198.65999999997</v>
      </c>
      <c r="E12" s="567">
        <v>1784350975.47</v>
      </c>
      <c r="F12" s="566">
        <v>7.8529967728318786E-2</v>
      </c>
      <c r="G12" s="263">
        <v>77802.749430000069</v>
      </c>
      <c r="H12" s="556">
        <v>4.5590712435088498E-2</v>
      </c>
    </row>
    <row r="13" spans="1:8" ht="20" customHeight="1" thickBot="1">
      <c r="A13" s="278" t="s">
        <v>184</v>
      </c>
      <c r="B13" s="213">
        <v>162820958.13</v>
      </c>
      <c r="C13" s="263">
        <v>330911502.5</v>
      </c>
      <c r="D13" s="213">
        <v>2415033.56</v>
      </c>
      <c r="E13" s="567">
        <v>496147494.19999999</v>
      </c>
      <c r="F13" s="566">
        <v>2.1835640657942579E-2</v>
      </c>
      <c r="G13" s="263">
        <v>40038.48118000001</v>
      </c>
      <c r="H13" s="556">
        <v>8.7782701146149833E-2</v>
      </c>
    </row>
    <row r="14" spans="1:8" ht="20" customHeight="1" thickBot="1">
      <c r="A14" s="278" t="s">
        <v>185</v>
      </c>
      <c r="B14" s="213">
        <v>189818948.05000001</v>
      </c>
      <c r="C14" s="263">
        <v>354057686.82999998</v>
      </c>
      <c r="D14" s="213">
        <v>28844396.02</v>
      </c>
      <c r="E14" s="567">
        <v>572721030.85000002</v>
      </c>
      <c r="F14" s="566">
        <v>2.5205671243087872E-2</v>
      </c>
      <c r="G14" s="263">
        <v>18793.630570000052</v>
      </c>
      <c r="H14" s="556">
        <v>3.3927967023296146E-2</v>
      </c>
    </row>
    <row r="15" spans="1:8" ht="20" customHeight="1" thickBot="1">
      <c r="A15" s="278" t="s">
        <v>186</v>
      </c>
      <c r="B15" s="213">
        <v>228909072.62</v>
      </c>
      <c r="C15" s="263">
        <v>415812013.64999998</v>
      </c>
      <c r="D15" s="213">
        <v>41876751.229999997</v>
      </c>
      <c r="E15" s="567">
        <v>686597837.49000001</v>
      </c>
      <c r="F15" s="566">
        <v>3.0217432983564781E-2</v>
      </c>
      <c r="G15" s="263">
        <v>53555.633340000037</v>
      </c>
      <c r="H15" s="556">
        <v>8.460041524705364E-2</v>
      </c>
    </row>
    <row r="16" spans="1:8" ht="20" customHeight="1" thickBot="1">
      <c r="A16" s="278" t="s">
        <v>187</v>
      </c>
      <c r="B16" s="213">
        <v>26995682.77</v>
      </c>
      <c r="C16" s="263">
        <v>41282713.490000002</v>
      </c>
      <c r="D16" s="213">
        <v>3418507.15</v>
      </c>
      <c r="E16" s="567">
        <v>71696903.409999996</v>
      </c>
      <c r="F16" s="566">
        <v>3.1554080942650014E-3</v>
      </c>
      <c r="G16" s="263">
        <v>468.30956999999285</v>
      </c>
      <c r="H16" s="556">
        <v>6.5747411924479415E-3</v>
      </c>
    </row>
    <row r="17" spans="1:8" ht="20" customHeight="1" thickBot="1">
      <c r="A17" s="278" t="s">
        <v>188</v>
      </c>
      <c r="B17" s="213">
        <v>173147270.83000001</v>
      </c>
      <c r="C17" s="263">
        <v>174963472.08000001</v>
      </c>
      <c r="D17" s="213">
        <v>26432496.690000001</v>
      </c>
      <c r="E17" s="567">
        <v>374543239.60000002</v>
      </c>
      <c r="F17" s="566">
        <v>1.6483790982264906E-2</v>
      </c>
      <c r="G17" s="263">
        <v>739.50180000001194</v>
      </c>
      <c r="H17" s="556">
        <v>1.978315691416821E-3</v>
      </c>
    </row>
    <row r="18" spans="1:8" ht="20" customHeight="1" thickBot="1">
      <c r="A18" s="278" t="s">
        <v>1690</v>
      </c>
      <c r="B18" s="213">
        <v>20105064.010000002</v>
      </c>
      <c r="C18" s="263">
        <v>32307645.82</v>
      </c>
      <c r="D18" s="213">
        <v>3132909.39</v>
      </c>
      <c r="E18" s="567">
        <v>55545619.229999997</v>
      </c>
      <c r="F18" s="566">
        <v>2.4445839106470792E-3</v>
      </c>
      <c r="G18" s="263">
        <v>-8575.1781200000041</v>
      </c>
      <c r="H18" s="556">
        <v>-0.13373473934194624</v>
      </c>
    </row>
    <row r="19" spans="1:8" ht="20" customHeight="1" thickBot="1">
      <c r="A19" s="195" t="s">
        <v>189</v>
      </c>
      <c r="B19" s="213">
        <v>2857303.61</v>
      </c>
      <c r="C19" s="263">
        <v>7544740.3499999996</v>
      </c>
      <c r="D19" s="213">
        <v>427583.12</v>
      </c>
      <c r="E19" s="567">
        <v>10829627.060000001</v>
      </c>
      <c r="F19" s="566">
        <v>4.7661602186056383E-4</v>
      </c>
      <c r="G19" s="263">
        <v>1033.9087000000011</v>
      </c>
      <c r="H19" s="556">
        <v>0.10554700145544005</v>
      </c>
    </row>
    <row r="20" spans="1:8" ht="20" customHeight="1" thickBot="1">
      <c r="A20" s="278" t="s">
        <v>1359</v>
      </c>
      <c r="B20" s="213">
        <v>121581981.11</v>
      </c>
      <c r="C20" s="263">
        <v>173068957.96000001</v>
      </c>
      <c r="D20" s="213">
        <v>54753805.810000002</v>
      </c>
      <c r="E20" s="567">
        <v>349404744.89999998</v>
      </c>
      <c r="F20" s="566">
        <v>1.5377436232180196E-2</v>
      </c>
      <c r="G20" s="263">
        <v>-97246.958150000035</v>
      </c>
      <c r="H20" s="556">
        <v>-0.21772436438939047</v>
      </c>
    </row>
    <row r="21" spans="1:8" ht="20" customHeight="1" thickBot="1">
      <c r="A21" s="278" t="s">
        <v>1360</v>
      </c>
      <c r="B21" s="213">
        <v>29733690.300000001</v>
      </c>
      <c r="C21" s="263">
        <v>29269850.539999999</v>
      </c>
      <c r="D21" s="213">
        <v>4780340.5</v>
      </c>
      <c r="E21" s="567">
        <v>63783881.350000001</v>
      </c>
      <c r="F21" s="566">
        <v>2.8071529720676463E-3</v>
      </c>
      <c r="G21" s="263">
        <v>4482.5207100000007</v>
      </c>
      <c r="H21" s="556">
        <v>7.5588834077719991E-2</v>
      </c>
    </row>
    <row r="22" spans="1:8" ht="30" customHeight="1" thickBot="1">
      <c r="A22" s="568" t="s">
        <v>1841</v>
      </c>
      <c r="B22" s="569">
        <v>8725982692.1299992</v>
      </c>
      <c r="C22" s="570">
        <v>12591905596.389999</v>
      </c>
      <c r="D22" s="569">
        <v>1404023194.29</v>
      </c>
      <c r="E22" s="571">
        <v>22721911482.799999</v>
      </c>
      <c r="F22" s="572">
        <v>1</v>
      </c>
      <c r="G22" s="570">
        <v>1143222.6167000008</v>
      </c>
      <c r="H22" s="572">
        <v>5.2979243724858405E-2</v>
      </c>
    </row>
    <row r="23" spans="1:8" ht="14.25" customHeight="1">
      <c r="A23" s="573"/>
      <c r="B23" s="402"/>
      <c r="C23" s="402"/>
      <c r="D23" s="402"/>
      <c r="E23" s="403"/>
      <c r="F23" s="574"/>
      <c r="G23" s="402"/>
      <c r="H23" s="574"/>
    </row>
    <row r="24" spans="1:8" ht="30" customHeight="1" thickBot="1">
      <c r="A24" s="575" t="s">
        <v>1842</v>
      </c>
      <c r="B24" s="576" t="s">
        <v>1694</v>
      </c>
      <c r="C24" s="577">
        <v>553479332.59000003</v>
      </c>
      <c r="D24" s="576">
        <v>2620515.81</v>
      </c>
      <c r="E24" s="578">
        <v>555652725.39999998</v>
      </c>
      <c r="F24" s="579">
        <v>2.4454488603241731E-2</v>
      </c>
      <c r="G24" s="577">
        <v>52300.236819999991</v>
      </c>
      <c r="H24" s="579">
        <v>0.10390380102727503</v>
      </c>
    </row>
    <row r="25" spans="1:8" ht="33" customHeight="1" thickBot="1">
      <c r="A25" s="580" t="s">
        <v>1691</v>
      </c>
      <c r="B25" s="581">
        <v>235289301.84</v>
      </c>
      <c r="C25" s="582">
        <v>247387005.52000001</v>
      </c>
      <c r="D25" s="581">
        <v>9961274.5399999991</v>
      </c>
      <c r="E25" s="583">
        <v>492637581.91000003</v>
      </c>
      <c r="F25" s="584">
        <v>2.168116807791088E-2</v>
      </c>
      <c r="G25" s="582">
        <v>95034.982749999996</v>
      </c>
      <c r="H25" s="584">
        <v>0.23902002389012744</v>
      </c>
    </row>
    <row r="26" spans="1:8" ht="20" customHeight="1">
      <c r="A26" s="201" t="s">
        <v>764</v>
      </c>
      <c r="B26" s="585"/>
      <c r="C26" s="585"/>
      <c r="D26" s="585"/>
      <c r="E26" s="585"/>
      <c r="F26" s="585"/>
    </row>
    <row r="27" spans="1:8" ht="12" customHeight="1">
      <c r="A27" s="202"/>
      <c r="B27" s="586"/>
      <c r="C27" s="586"/>
      <c r="D27" s="586"/>
      <c r="E27" s="586"/>
      <c r="F27" s="586"/>
    </row>
    <row r="28" spans="1:8">
      <c r="A28" s="202" t="s">
        <v>827</v>
      </c>
    </row>
    <row r="29" spans="1:8">
      <c r="A29" s="202" t="s">
        <v>828</v>
      </c>
    </row>
    <row r="30" spans="1:8">
      <c r="A30" s="587" t="s">
        <v>1686</v>
      </c>
    </row>
    <row r="31" spans="1:8">
      <c r="A31" s="1986" t="s">
        <v>1361</v>
      </c>
    </row>
    <row r="32" spans="1:8">
      <c r="A32" s="1986" t="s">
        <v>1362</v>
      </c>
    </row>
    <row r="34" spans="1:2">
      <c r="A34" s="202" t="s">
        <v>1687</v>
      </c>
      <c r="B34" s="202"/>
    </row>
    <row r="35" spans="1:2" ht="14">
      <c r="A35" s="588"/>
      <c r="B35" s="202"/>
    </row>
    <row r="36" spans="1:2">
      <c r="A36" s="202"/>
      <c r="B36" s="202"/>
    </row>
    <row r="37" spans="1:2">
      <c r="A37" s="202" t="s">
        <v>711</v>
      </c>
      <c r="B37" s="202"/>
    </row>
    <row r="38" spans="1:2">
      <c r="A38" s="202"/>
      <c r="B38" s="202"/>
    </row>
    <row r="39" spans="1:2">
      <c r="A39" s="202"/>
      <c r="B39" s="202"/>
    </row>
  </sheetData>
  <phoneticPr fontId="0" type="noConversion"/>
  <pageMargins left="0.49" right="0.5" top="0.49" bottom="0.46" header="0.35" footer="0.2"/>
  <pageSetup paperSize="9" scale="76" orientation="landscape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9A65-4C8D-B146-A8C0-CBE43F4D3B70}">
  <sheetPr>
    <pageSetUpPr fitToPage="1"/>
  </sheetPr>
  <dimension ref="A1:V59"/>
  <sheetViews>
    <sheetView topLeftCell="A31" zoomScale="75" workbookViewId="0">
      <selection activeCell="A47" sqref="A47"/>
    </sheetView>
  </sheetViews>
  <sheetFormatPr baseColWidth="10" defaultColWidth="11.3984375" defaultRowHeight="13"/>
  <cols>
    <col min="1" max="1" width="11.796875" style="2" customWidth="1"/>
    <col min="2" max="2" width="17" style="2" customWidth="1"/>
    <col min="3" max="3" width="13" style="537" customWidth="1"/>
    <col min="4" max="4" width="13" style="2" customWidth="1"/>
    <col min="5" max="5" width="14" style="537" customWidth="1"/>
    <col min="6" max="6" width="13" style="2" customWidth="1"/>
    <col min="7" max="7" width="13" style="537" customWidth="1"/>
    <col min="8" max="8" width="13" style="2" customWidth="1"/>
    <col min="9" max="9" width="15.3984375" style="2" customWidth="1"/>
    <col min="10" max="12" width="13" style="2" customWidth="1"/>
    <col min="13" max="14" width="14.19921875" style="2" customWidth="1"/>
    <col min="15" max="15" width="14.796875" style="2" customWidth="1"/>
    <col min="16" max="16" width="13" style="2" customWidth="1"/>
    <col min="17" max="16384" width="11.3984375" style="2"/>
  </cols>
  <sheetData>
    <row r="1" spans="1:22" s="1" customFormat="1" ht="14" customHeight="1">
      <c r="A1" s="360"/>
      <c r="B1" s="360"/>
      <c r="C1" s="594"/>
      <c r="D1" s="360"/>
      <c r="E1" s="594"/>
      <c r="F1" s="360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</row>
    <row r="2" spans="1:22" s="1" customFormat="1" ht="28" customHeight="1">
      <c r="A2" s="177" t="s">
        <v>574</v>
      </c>
      <c r="B2" s="360"/>
      <c r="C2" s="594"/>
      <c r="D2" s="360"/>
      <c r="E2" s="594"/>
      <c r="F2" s="360"/>
      <c r="G2" s="594"/>
      <c r="N2" s="596"/>
    </row>
    <row r="3" spans="1:22" ht="24" customHeight="1">
      <c r="A3" s="178" t="s">
        <v>2250</v>
      </c>
      <c r="B3" s="513" t="s">
        <v>552</v>
      </c>
      <c r="C3" s="180" t="s">
        <v>2372</v>
      </c>
      <c r="D3" s="179"/>
      <c r="E3" s="515"/>
      <c r="F3" s="179"/>
      <c r="G3" s="515"/>
      <c r="H3" s="179"/>
      <c r="I3" s="515"/>
      <c r="J3" s="179"/>
      <c r="K3" s="515"/>
      <c r="L3" s="179"/>
      <c r="M3" s="515"/>
      <c r="N3" s="179"/>
      <c r="O3"/>
    </row>
    <row r="4" spans="1:22" ht="15" customHeight="1">
      <c r="A4" s="274"/>
      <c r="B4" s="302" t="s">
        <v>553</v>
      </c>
      <c r="C4" s="183" t="s">
        <v>2373</v>
      </c>
      <c r="D4" s="597" t="s">
        <v>554</v>
      </c>
      <c r="E4" s="598" t="s">
        <v>554</v>
      </c>
      <c r="F4" s="597" t="s">
        <v>554</v>
      </c>
      <c r="G4" s="598" t="s">
        <v>554</v>
      </c>
      <c r="H4" s="597" t="s">
        <v>554</v>
      </c>
      <c r="I4" s="598" t="s">
        <v>554</v>
      </c>
      <c r="J4" s="597" t="s">
        <v>554</v>
      </c>
      <c r="K4" s="598" t="s">
        <v>554</v>
      </c>
      <c r="L4" s="597" t="s">
        <v>554</v>
      </c>
      <c r="M4" s="598" t="s">
        <v>554</v>
      </c>
      <c r="N4" s="597" t="s">
        <v>554</v>
      </c>
      <c r="O4"/>
    </row>
    <row r="5" spans="1:22" ht="15" customHeight="1">
      <c r="A5" s="274"/>
      <c r="B5" s="182"/>
      <c r="C5" s="183" t="s">
        <v>2377</v>
      </c>
      <c r="D5" s="597" t="s">
        <v>555</v>
      </c>
      <c r="E5" s="598" t="s">
        <v>556</v>
      </c>
      <c r="F5" s="597" t="s">
        <v>557</v>
      </c>
      <c r="G5" s="598" t="s">
        <v>557</v>
      </c>
      <c r="H5" s="597" t="s">
        <v>184</v>
      </c>
      <c r="I5" s="598" t="s">
        <v>185</v>
      </c>
      <c r="J5" s="597" t="s">
        <v>186</v>
      </c>
      <c r="K5" s="598" t="s">
        <v>187</v>
      </c>
      <c r="L5" s="597" t="s">
        <v>558</v>
      </c>
      <c r="M5" s="598" t="s">
        <v>559</v>
      </c>
      <c r="N5" s="597" t="s">
        <v>560</v>
      </c>
      <c r="O5"/>
    </row>
    <row r="6" spans="1:22" s="202" customFormat="1" ht="19.5" customHeight="1">
      <c r="A6" s="599"/>
      <c r="B6" s="436"/>
      <c r="C6" s="600"/>
      <c r="D6" s="601" t="s">
        <v>561</v>
      </c>
      <c r="E6" s="602" t="s">
        <v>561</v>
      </c>
      <c r="F6" s="601" t="s">
        <v>562</v>
      </c>
      <c r="G6" s="602" t="s">
        <v>563</v>
      </c>
      <c r="H6" s="601"/>
      <c r="I6" s="602"/>
      <c r="J6" s="601"/>
      <c r="K6" s="602"/>
      <c r="L6" s="601" t="s">
        <v>564</v>
      </c>
      <c r="M6" s="602" t="s">
        <v>565</v>
      </c>
      <c r="N6" s="601" t="s">
        <v>566</v>
      </c>
      <c r="O6"/>
    </row>
    <row r="7" spans="1:22" ht="19.5" customHeight="1">
      <c r="A7" s="275"/>
      <c r="B7" s="188"/>
      <c r="C7" s="517"/>
      <c r="D7" s="436"/>
      <c r="E7" s="600"/>
      <c r="F7" s="436"/>
      <c r="G7" s="600"/>
      <c r="H7" s="436"/>
      <c r="I7" s="600"/>
      <c r="J7" s="436"/>
      <c r="K7" s="517"/>
      <c r="L7" s="436"/>
      <c r="M7" s="600"/>
      <c r="N7" s="436"/>
      <c r="O7"/>
    </row>
    <row r="8" spans="1:22" ht="2.25" customHeight="1" thickBot="1">
      <c r="A8" s="276">
        <v>1996</v>
      </c>
      <c r="B8" s="211">
        <v>1135.7666791471866</v>
      </c>
      <c r="C8" s="212">
        <v>0.10634844182252187</v>
      </c>
      <c r="D8" s="381" t="s">
        <v>1060</v>
      </c>
      <c r="E8" s="382" t="s">
        <v>1060</v>
      </c>
      <c r="F8" s="381" t="s">
        <v>1060</v>
      </c>
      <c r="G8" s="382" t="s">
        <v>1060</v>
      </c>
      <c r="H8" s="381" t="s">
        <v>1060</v>
      </c>
      <c r="I8" s="382" t="s">
        <v>1060</v>
      </c>
      <c r="J8" s="381" t="s">
        <v>1060</v>
      </c>
      <c r="K8" s="257">
        <v>7.8643189296562399</v>
      </c>
      <c r="L8" s="381" t="s">
        <v>1060</v>
      </c>
      <c r="M8" s="382" t="s">
        <v>1060</v>
      </c>
      <c r="N8" s="381" t="s">
        <v>1060</v>
      </c>
      <c r="O8"/>
    </row>
    <row r="9" spans="1:22" ht="0.75" customHeight="1" thickBot="1">
      <c r="A9" s="278">
        <v>1997</v>
      </c>
      <c r="B9" s="213">
        <v>1207.1705655887454</v>
      </c>
      <c r="C9" s="214">
        <v>6.2868446268536313E-2</v>
      </c>
      <c r="D9" s="381" t="s">
        <v>1060</v>
      </c>
      <c r="E9" s="382" t="s">
        <v>1060</v>
      </c>
      <c r="F9" s="381" t="s">
        <v>1060</v>
      </c>
      <c r="G9" s="382" t="s">
        <v>1060</v>
      </c>
      <c r="H9" s="381" t="s">
        <v>1060</v>
      </c>
      <c r="I9" s="382" t="s">
        <v>1060</v>
      </c>
      <c r="J9" s="381" t="s">
        <v>1060</v>
      </c>
      <c r="K9" s="263">
        <v>7.7745077676674157</v>
      </c>
      <c r="L9" s="381" t="s">
        <v>1060</v>
      </c>
      <c r="M9" s="382" t="s">
        <v>1060</v>
      </c>
      <c r="N9" s="381" t="s">
        <v>1060</v>
      </c>
      <c r="O9"/>
      <c r="T9" s="8"/>
      <c r="U9" s="8"/>
      <c r="V9" s="8"/>
    </row>
    <row r="10" spans="1:22" ht="20" customHeight="1" thickBot="1">
      <c r="A10" s="278">
        <v>1998</v>
      </c>
      <c r="B10" s="213">
        <v>1287.8682695481587</v>
      </c>
      <c r="C10" s="214">
        <v>6.6848634534140125E-2</v>
      </c>
      <c r="D10" s="213">
        <v>517.22900730492677</v>
      </c>
      <c r="E10" s="263">
        <v>179.78046580638465</v>
      </c>
      <c r="F10" s="213">
        <v>128.85876662983108</v>
      </c>
      <c r="G10" s="263">
        <v>246.67237783815233</v>
      </c>
      <c r="H10" s="213">
        <v>30.906839827030989</v>
      </c>
      <c r="I10" s="263">
        <v>57.642077350310821</v>
      </c>
      <c r="J10" s="213">
        <v>54.853189405924091</v>
      </c>
      <c r="K10" s="263">
        <v>7.7691435561095004</v>
      </c>
      <c r="L10" s="213">
        <v>14.403964553938003</v>
      </c>
      <c r="M10" s="263">
        <v>12.033202808041713</v>
      </c>
      <c r="N10" s="381" t="s">
        <v>1060</v>
      </c>
      <c r="O10"/>
    </row>
    <row r="11" spans="1:22" ht="20" customHeight="1" thickBot="1">
      <c r="A11" s="278">
        <v>1999</v>
      </c>
      <c r="B11" s="213">
        <v>1351.582122301535</v>
      </c>
      <c r="C11" s="214">
        <v>4.9472336775352059E-2</v>
      </c>
      <c r="D11" s="213">
        <v>517.77987880375031</v>
      </c>
      <c r="E11" s="263">
        <v>204.19029060086746</v>
      </c>
      <c r="F11" s="213">
        <v>141.91140608611047</v>
      </c>
      <c r="G11" s="263">
        <v>257.61974174619098</v>
      </c>
      <c r="H11" s="213">
        <v>32.359437190342035</v>
      </c>
      <c r="I11" s="263">
        <v>60.131858482788445</v>
      </c>
      <c r="J11" s="213">
        <v>56.924385896913591</v>
      </c>
      <c r="K11" s="263">
        <v>8.3350273886799329</v>
      </c>
      <c r="L11" s="213">
        <v>17.198214928721761</v>
      </c>
      <c r="M11" s="263">
        <v>12.089915964768418</v>
      </c>
      <c r="N11" s="381" t="s">
        <v>1060</v>
      </c>
      <c r="O11"/>
    </row>
    <row r="12" spans="1:22" ht="20" customHeight="1" thickBot="1">
      <c r="A12" s="278">
        <v>2000</v>
      </c>
      <c r="B12" s="213">
        <v>1451.1566242672343</v>
      </c>
      <c r="C12" s="214">
        <v>7.3672550356125827E-2</v>
      </c>
      <c r="D12" s="213">
        <v>529.43047713091312</v>
      </c>
      <c r="E12" s="263">
        <v>229.29973959111166</v>
      </c>
      <c r="F12" s="213">
        <v>157.35584856009811</v>
      </c>
      <c r="G12" s="263">
        <v>288.745232868367</v>
      </c>
      <c r="H12" s="213">
        <v>34.840696214910899</v>
      </c>
      <c r="I12" s="263">
        <v>61.491416169301154</v>
      </c>
      <c r="J12" s="213">
        <v>60.94101454443998</v>
      </c>
      <c r="K12" s="263">
        <v>8.5739707007998369</v>
      </c>
      <c r="L12" s="213">
        <v>24.758128744866045</v>
      </c>
      <c r="M12" s="263">
        <v>15.766473005994538</v>
      </c>
      <c r="N12" s="381" t="s">
        <v>1060</v>
      </c>
      <c r="O12"/>
    </row>
    <row r="13" spans="1:22" ht="20" customHeight="1" thickBot="1">
      <c r="A13" s="278">
        <v>2001</v>
      </c>
      <c r="B13" s="213">
        <v>1548.8249816122338</v>
      </c>
      <c r="C13" s="214">
        <v>6.7303801472372055E-2</v>
      </c>
      <c r="D13" s="213">
        <v>549.44923949294969</v>
      </c>
      <c r="E13" s="263">
        <v>263.7323584963807</v>
      </c>
      <c r="F13" s="213">
        <v>174.14628347977344</v>
      </c>
      <c r="G13" s="263">
        <v>307.1393643380062</v>
      </c>
      <c r="H13" s="213">
        <v>37.025033111675718</v>
      </c>
      <c r="I13" s="263">
        <v>65.76167578635949</v>
      </c>
      <c r="J13" s="213">
        <v>63.375782250498219</v>
      </c>
      <c r="K13" s="263">
        <v>8.9352628731483819</v>
      </c>
      <c r="L13" s="213">
        <v>23.698466932838429</v>
      </c>
      <c r="M13" s="263">
        <v>14.563635915382035</v>
      </c>
      <c r="N13" s="213">
        <v>2.7620899733599962</v>
      </c>
      <c r="O13"/>
    </row>
    <row r="14" spans="1:22" ht="20" customHeight="1" thickBot="1">
      <c r="A14" s="278">
        <v>2002</v>
      </c>
      <c r="B14" s="213">
        <v>1615.432400016774</v>
      </c>
      <c r="C14" s="214">
        <v>4.3005129175541695E-2</v>
      </c>
      <c r="D14" s="213">
        <v>559.43217658828928</v>
      </c>
      <c r="E14" s="263">
        <v>268.50345190882268</v>
      </c>
      <c r="F14" s="213">
        <v>171.66132067610738</v>
      </c>
      <c r="G14" s="263">
        <v>343.7455082841455</v>
      </c>
      <c r="H14" s="213">
        <v>39.493547804709614</v>
      </c>
      <c r="I14" s="263">
        <v>68.92734993393816</v>
      </c>
      <c r="J14" s="213">
        <v>66.109744640711739</v>
      </c>
      <c r="K14" s="263">
        <v>8.8787656073170158</v>
      </c>
      <c r="L14" s="213">
        <v>27.622294486640037</v>
      </c>
      <c r="M14" s="263">
        <v>15.361832696314805</v>
      </c>
      <c r="N14" s="213">
        <v>3.033957453552472</v>
      </c>
      <c r="O14"/>
    </row>
    <row r="15" spans="1:22" ht="20" customHeight="1" thickBot="1">
      <c r="A15" s="278">
        <v>2003</v>
      </c>
      <c r="B15" s="213">
        <v>1666.6209287074066</v>
      </c>
      <c r="C15" s="214">
        <v>3.1687199470619223E-2</v>
      </c>
      <c r="D15" s="213">
        <v>565.89080672037517</v>
      </c>
      <c r="E15" s="263">
        <v>290.45423380519912</v>
      </c>
      <c r="F15" s="213">
        <v>182.83129248471178</v>
      </c>
      <c r="G15" s="263">
        <v>352.94069193578031</v>
      </c>
      <c r="H15" s="213">
        <v>43.42085098619804</v>
      </c>
      <c r="I15" s="263">
        <v>66.649239980169568</v>
      </c>
      <c r="J15" s="213">
        <v>65.17295098477382</v>
      </c>
      <c r="K15" s="263">
        <v>8.8175191471555454</v>
      </c>
      <c r="L15" s="213">
        <v>29.097237370473131</v>
      </c>
      <c r="M15" s="263">
        <v>15.292816213756383</v>
      </c>
      <c r="N15" s="213">
        <v>4.1140870029928776</v>
      </c>
      <c r="O15"/>
    </row>
    <row r="16" spans="1:22" ht="20" customHeight="1" thickBot="1">
      <c r="A16" s="278">
        <v>2004</v>
      </c>
      <c r="B16" s="213">
        <v>1751.312015563195</v>
      </c>
      <c r="C16" s="214">
        <v>5.0816046646835811E-2</v>
      </c>
      <c r="D16" s="213">
        <v>592.89763778354495</v>
      </c>
      <c r="E16" s="263">
        <v>296.91590007765888</v>
      </c>
      <c r="F16" s="213">
        <v>189.43742407132373</v>
      </c>
      <c r="G16" s="263">
        <v>372.47504406402646</v>
      </c>
      <c r="H16" s="213">
        <v>49.454875646942796</v>
      </c>
      <c r="I16" s="263">
        <v>68.449757529348247</v>
      </c>
      <c r="J16" s="213">
        <v>80.079219765387336</v>
      </c>
      <c r="K16" s="263">
        <v>9.2427076643370807</v>
      </c>
      <c r="L16" s="213">
        <v>35.206929733486795</v>
      </c>
      <c r="M16" s="263">
        <v>10.766673971168975</v>
      </c>
      <c r="N16" s="213">
        <v>3.4775317481750707</v>
      </c>
      <c r="O16"/>
    </row>
    <row r="17" spans="1:17" ht="20" customHeight="1" thickBot="1">
      <c r="A17" s="278">
        <v>2005</v>
      </c>
      <c r="B17" s="213">
        <v>1868.8453126166223</v>
      </c>
      <c r="C17" s="214">
        <v>6.7111568931724833E-2</v>
      </c>
      <c r="D17" s="213">
        <v>608.74538167382002</v>
      </c>
      <c r="E17" s="263">
        <v>359.22898499367591</v>
      </c>
      <c r="F17" s="213">
        <v>198.02028876263893</v>
      </c>
      <c r="G17" s="263">
        <v>379.34998080250244</v>
      </c>
      <c r="H17" s="213">
        <v>52.228327605463519</v>
      </c>
      <c r="I17" s="263">
        <v>71.506769252803821</v>
      </c>
      <c r="J17" s="213">
        <v>89.431105997755466</v>
      </c>
      <c r="K17" s="263">
        <v>9.3082174030862586</v>
      </c>
      <c r="L17" s="213">
        <v>40.071474704018968</v>
      </c>
      <c r="M17" s="263">
        <v>7.0814671191582956</v>
      </c>
      <c r="N17" s="213">
        <v>3.2498517657327022</v>
      </c>
      <c r="O17"/>
    </row>
    <row r="18" spans="1:17" ht="20" customHeight="1" thickBot="1">
      <c r="A18" s="278">
        <v>2006</v>
      </c>
      <c r="B18" s="213">
        <v>1876.16</v>
      </c>
      <c r="C18" s="214">
        <v>3.9140143563494156E-3</v>
      </c>
      <c r="D18" s="213">
        <v>619.30999999999995</v>
      </c>
      <c r="E18" s="263">
        <v>353.68</v>
      </c>
      <c r="F18" s="213">
        <v>196.88</v>
      </c>
      <c r="G18" s="263">
        <v>378.01</v>
      </c>
      <c r="H18" s="213">
        <v>55.74</v>
      </c>
      <c r="I18" s="263">
        <v>72.13</v>
      </c>
      <c r="J18" s="213">
        <v>83.65</v>
      </c>
      <c r="K18" s="263">
        <v>9.15</v>
      </c>
      <c r="L18" s="213">
        <v>44.98</v>
      </c>
      <c r="M18" s="263">
        <v>8.26</v>
      </c>
      <c r="N18" s="213">
        <v>1.57</v>
      </c>
      <c r="O18"/>
    </row>
    <row r="19" spans="1:17" ht="20" customHeight="1" thickBot="1">
      <c r="A19" s="278">
        <v>2007</v>
      </c>
      <c r="B19" s="213">
        <v>1946.99</v>
      </c>
      <c r="C19" s="214">
        <v>3.7752643697765542E-2</v>
      </c>
      <c r="D19" s="213">
        <v>641.54999999999995</v>
      </c>
      <c r="E19" s="263">
        <v>374.75</v>
      </c>
      <c r="F19" s="213">
        <v>201.51</v>
      </c>
      <c r="G19" s="263">
        <v>383.11</v>
      </c>
      <c r="H19" s="213">
        <v>60.51</v>
      </c>
      <c r="I19" s="263">
        <v>73.489999999999995</v>
      </c>
      <c r="J19" s="213">
        <v>83.98</v>
      </c>
      <c r="K19" s="263">
        <v>9.4499999999999993</v>
      </c>
      <c r="L19" s="213">
        <v>49.59</v>
      </c>
      <c r="M19" s="263">
        <v>8.51</v>
      </c>
      <c r="N19" s="213">
        <v>1.3</v>
      </c>
      <c r="O19"/>
    </row>
    <row r="20" spans="1:17" s="251" customFormat="1" ht="27" customHeight="1">
      <c r="A20" s="429">
        <v>2008</v>
      </c>
      <c r="B20" s="430">
        <v>2050.5</v>
      </c>
      <c r="C20" s="603">
        <v>5.3164114864483025E-2</v>
      </c>
      <c r="D20" s="430">
        <v>670.19</v>
      </c>
      <c r="E20" s="604">
        <v>427.46</v>
      </c>
      <c r="F20" s="430">
        <v>212.65</v>
      </c>
      <c r="G20" s="604">
        <v>396.5</v>
      </c>
      <c r="H20" s="605">
        <v>65.150000000000006</v>
      </c>
      <c r="I20" s="604">
        <v>75.2</v>
      </c>
      <c r="J20" s="605">
        <v>90.16</v>
      </c>
      <c r="K20" s="604">
        <v>9.41</v>
      </c>
      <c r="L20" s="605">
        <v>49.18</v>
      </c>
      <c r="M20" s="604">
        <v>7.29</v>
      </c>
      <c r="N20" s="605">
        <v>1.42</v>
      </c>
      <c r="O20"/>
      <c r="P20" s="606"/>
      <c r="Q20" s="607"/>
    </row>
    <row r="21" spans="1:17" ht="19.5" customHeight="1" thickBot="1">
      <c r="A21" s="266"/>
      <c r="B21" s="608"/>
      <c r="C21" s="609"/>
      <c r="D21" s="608"/>
      <c r="E21" s="609"/>
      <c r="F21" s="608"/>
      <c r="G21" s="609"/>
      <c r="P21" s="3"/>
      <c r="Q21" s="3"/>
    </row>
    <row r="22" spans="1:17" ht="54" customHeight="1" thickBot="1">
      <c r="A22" s="610" t="s">
        <v>567</v>
      </c>
      <c r="B22" s="611">
        <v>4.7608064673701822E-2</v>
      </c>
      <c r="C22" s="612" t="s">
        <v>1060</v>
      </c>
      <c r="D22" s="611">
        <v>2.6246070067961647E-2</v>
      </c>
      <c r="E22" s="612">
        <v>9.0473956775190212E-2</v>
      </c>
      <c r="F22" s="611">
        <v>5.1368937413566185E-2</v>
      </c>
      <c r="G22" s="612">
        <v>4.8605828014612662E-2</v>
      </c>
      <c r="H22" s="572">
        <v>7.742235390016261E-2</v>
      </c>
      <c r="I22" s="612">
        <v>2.6946506085533395E-2</v>
      </c>
      <c r="J22" s="572">
        <v>5.0947936638133573E-2</v>
      </c>
      <c r="K22" s="612">
        <v>1.9346057887774659E-2</v>
      </c>
      <c r="L22" s="572">
        <v>0.13065640695766767</v>
      </c>
      <c r="M22" s="612">
        <v>-4.8881499848070886E-2</v>
      </c>
      <c r="N22" s="572" t="s">
        <v>1060</v>
      </c>
    </row>
    <row r="23" spans="1:17" ht="39.75" customHeight="1">
      <c r="A23" s="266"/>
      <c r="B23" s="613"/>
      <c r="C23" s="609"/>
      <c r="D23" s="608"/>
      <c r="E23" s="609"/>
      <c r="F23" s="608"/>
      <c r="G23" s="609"/>
      <c r="P23" s="3"/>
      <c r="Q23" s="3"/>
    </row>
    <row r="24" spans="1:17" ht="19.5" customHeight="1">
      <c r="A24" s="178" t="s">
        <v>821</v>
      </c>
      <c r="B24" s="302" t="s">
        <v>568</v>
      </c>
      <c r="C24" s="180" t="s">
        <v>2372</v>
      </c>
      <c r="D24" s="179"/>
      <c r="E24" s="515"/>
      <c r="F24"/>
      <c r="G24" s="2"/>
      <c r="H24" s="513" t="s">
        <v>164</v>
      </c>
      <c r="I24" s="180" t="s">
        <v>2372</v>
      </c>
    </row>
    <row r="25" spans="1:17" ht="16.5" customHeight="1">
      <c r="A25" s="274"/>
      <c r="B25" s="302" t="s">
        <v>553</v>
      </c>
      <c r="C25" s="183" t="s">
        <v>2373</v>
      </c>
      <c r="D25" s="614" t="s">
        <v>554</v>
      </c>
      <c r="E25" s="615" t="s">
        <v>554</v>
      </c>
      <c r="F25"/>
      <c r="G25" s="2"/>
      <c r="H25" s="302" t="s">
        <v>177</v>
      </c>
      <c r="I25" s="183" t="s">
        <v>2373</v>
      </c>
    </row>
    <row r="26" spans="1:17" ht="16.5" customHeight="1">
      <c r="A26" s="274"/>
      <c r="B26" s="182"/>
      <c r="C26" s="183" t="s">
        <v>2377</v>
      </c>
      <c r="D26" s="614" t="s">
        <v>569</v>
      </c>
      <c r="E26" s="615" t="s">
        <v>570</v>
      </c>
      <c r="F26"/>
      <c r="G26" s="2"/>
      <c r="H26" s="182"/>
      <c r="I26" s="183" t="s">
        <v>2377</v>
      </c>
    </row>
    <row r="27" spans="1:17" ht="15.75" customHeight="1">
      <c r="A27" s="599"/>
      <c r="B27" s="436"/>
      <c r="C27" s="600"/>
      <c r="D27" s="614" t="s">
        <v>571</v>
      </c>
      <c r="E27" s="615"/>
      <c r="F27"/>
      <c r="G27" s="2"/>
      <c r="H27" s="436"/>
      <c r="I27" s="600"/>
    </row>
    <row r="28" spans="1:17" ht="12" customHeight="1">
      <c r="A28" s="275"/>
      <c r="B28" s="188"/>
      <c r="C28" s="517"/>
      <c r="D28" s="616"/>
      <c r="E28" s="617"/>
      <c r="F28"/>
      <c r="G28" s="2"/>
      <c r="H28" s="188"/>
      <c r="I28" s="517"/>
    </row>
    <row r="29" spans="1:17" ht="2.25" customHeight="1" thickBot="1">
      <c r="A29" s="276">
        <v>1996</v>
      </c>
      <c r="B29" s="211">
        <v>586.83678759613247</v>
      </c>
      <c r="C29" s="212">
        <v>7.9400703813924001E-2</v>
      </c>
      <c r="D29" s="381" t="s">
        <v>1060</v>
      </c>
      <c r="E29" s="382" t="s">
        <v>1060</v>
      </c>
      <c r="F29"/>
      <c r="G29" s="2"/>
      <c r="H29" s="211">
        <v>1722.6034667433191</v>
      </c>
      <c r="I29" s="212">
        <v>9.7018358352515099E-2</v>
      </c>
    </row>
    <row r="30" spans="1:17" ht="0.75" hidden="1" customHeight="1" thickBot="1">
      <c r="A30" s="278">
        <v>1997</v>
      </c>
      <c r="B30" s="213">
        <v>608.42125188692751</v>
      </c>
      <c r="C30" s="214">
        <v>3.678103477324892E-2</v>
      </c>
      <c r="D30" s="213" t="s">
        <v>1060</v>
      </c>
      <c r="E30" s="263" t="s">
        <v>1060</v>
      </c>
      <c r="F30"/>
      <c r="G30" s="2"/>
      <c r="H30" s="213">
        <v>1815.5918174756728</v>
      </c>
      <c r="I30" s="214">
        <v>5.3981286191275034E-2</v>
      </c>
    </row>
    <row r="31" spans="1:17" ht="19.5" customHeight="1" thickBot="1">
      <c r="A31" s="278">
        <v>1998</v>
      </c>
      <c r="B31" s="213">
        <v>647.39263733582663</v>
      </c>
      <c r="C31" s="214">
        <v>6.4053294206990977E-2</v>
      </c>
      <c r="D31" s="213">
        <v>492.71135658354189</v>
      </c>
      <c r="E31" s="263">
        <v>150.64686744819926</v>
      </c>
      <c r="F31"/>
      <c r="G31" s="2"/>
      <c r="H31" s="213">
        <v>1935.2609068839854</v>
      </c>
      <c r="I31" s="214">
        <v>6.5911890688456515E-2</v>
      </c>
    </row>
    <row r="32" spans="1:17" ht="19.5" customHeight="1" thickBot="1">
      <c r="A32" s="278">
        <v>1999</v>
      </c>
      <c r="B32" s="213">
        <v>659.34783816072627</v>
      </c>
      <c r="C32" s="214">
        <v>1.8466692599560762E-2</v>
      </c>
      <c r="D32" s="213">
        <v>496.69748609522117</v>
      </c>
      <c r="E32" s="263">
        <v>160.88253360625276</v>
      </c>
      <c r="F32"/>
      <c r="G32" s="2"/>
      <c r="H32" s="213">
        <v>2010.9299604622606</v>
      </c>
      <c r="I32" s="214">
        <v>3.9100181949167756E-2</v>
      </c>
    </row>
    <row r="33" spans="1:9" ht="19.5" customHeight="1" thickBot="1">
      <c r="A33" s="278">
        <v>2000</v>
      </c>
      <c r="B33" s="213">
        <v>679.34395321862166</v>
      </c>
      <c r="C33" s="214">
        <v>3.0327110973284228E-2</v>
      </c>
      <c r="D33" s="213">
        <v>508.80015768509037</v>
      </c>
      <c r="E33" s="263">
        <v>167.22954109591964</v>
      </c>
      <c r="F33"/>
      <c r="G33" s="2"/>
      <c r="H33" s="213">
        <v>2130.500577485856</v>
      </c>
      <c r="I33" s="214">
        <v>5.946035882627615E-2</v>
      </c>
    </row>
    <row r="34" spans="1:9" ht="19.5" customHeight="1" thickBot="1">
      <c r="A34" s="278">
        <v>2001</v>
      </c>
      <c r="B34" s="213">
        <v>695.57285390457537</v>
      </c>
      <c r="C34" s="214">
        <v>2.388907799806534E-2</v>
      </c>
      <c r="D34" s="213">
        <v>520.22845878332566</v>
      </c>
      <c r="E34" s="263">
        <v>172.28381767006115</v>
      </c>
      <c r="F34"/>
      <c r="G34" s="2"/>
      <c r="H34" s="213">
        <v>2244.3978355168092</v>
      </c>
      <c r="I34" s="214">
        <v>5.3460327227585272E-2</v>
      </c>
    </row>
    <row r="35" spans="1:9" ht="19.5" customHeight="1" thickBot="1">
      <c r="A35" s="278">
        <v>2002</v>
      </c>
      <c r="B35" s="213">
        <v>712.19782148377215</v>
      </c>
      <c r="C35" s="214">
        <v>2.3901116160403715E-2</v>
      </c>
      <c r="D35" s="213">
        <v>515.19747034296608</v>
      </c>
      <c r="E35" s="263">
        <v>189.57472804627923</v>
      </c>
      <c r="F35"/>
      <c r="G35" s="2"/>
      <c r="H35" s="213">
        <v>2327.6302215005462</v>
      </c>
      <c r="I35" s="214">
        <v>3.7084506439372583E-2</v>
      </c>
    </row>
    <row r="36" spans="1:9" ht="19.5" customHeight="1" thickBot="1">
      <c r="A36" s="278">
        <v>2003</v>
      </c>
      <c r="B36" s="213">
        <v>764.59062760893357</v>
      </c>
      <c r="C36" s="214">
        <v>7.3564962633566877E-2</v>
      </c>
      <c r="D36" s="213">
        <v>557.73124969057335</v>
      </c>
      <c r="E36" s="263">
        <v>200.44409586700854</v>
      </c>
      <c r="F36"/>
      <c r="G36" s="2"/>
      <c r="H36" s="213">
        <v>2431.2115563163402</v>
      </c>
      <c r="I36" s="214">
        <v>4.4500769004888807E-2</v>
      </c>
    </row>
    <row r="37" spans="1:9" ht="19.5" customHeight="1" thickBot="1">
      <c r="A37" s="278">
        <v>2004</v>
      </c>
      <c r="B37" s="213">
        <v>840.90429336795432</v>
      </c>
      <c r="C37" s="214">
        <v>9.9809836798121235E-2</v>
      </c>
      <c r="D37" s="213">
        <v>618.810128536668</v>
      </c>
      <c r="E37" s="263">
        <v>213.02590534069273</v>
      </c>
      <c r="F37"/>
      <c r="G37" s="2"/>
      <c r="H37" s="213">
        <v>2592.2163089311489</v>
      </c>
      <c r="I37" s="214">
        <v>6.622408165036682E-2</v>
      </c>
    </row>
    <row r="38" spans="1:9" ht="19.5" customHeight="1" thickBot="1">
      <c r="A38" s="278">
        <v>2005</v>
      </c>
      <c r="B38" s="213">
        <v>867.58002616373483</v>
      </c>
      <c r="C38" s="214">
        <v>3.1722674038135765E-2</v>
      </c>
      <c r="D38" s="213">
        <v>645.948160066112</v>
      </c>
      <c r="E38" s="263">
        <v>213.44705424318488</v>
      </c>
      <c r="F38"/>
      <c r="G38" s="2"/>
      <c r="H38" s="213">
        <v>2736.4253387803569</v>
      </c>
      <c r="I38" s="214">
        <v>5.5631557193878578E-2</v>
      </c>
    </row>
    <row r="39" spans="1:9" ht="19.5" customHeight="1" thickBot="1">
      <c r="A39" s="278">
        <v>2006</v>
      </c>
      <c r="B39" s="213">
        <v>878.78</v>
      </c>
      <c r="C39" s="214">
        <v>1.2909441778862885E-2</v>
      </c>
      <c r="D39" s="213">
        <v>654.29</v>
      </c>
      <c r="E39" s="263">
        <v>217.58</v>
      </c>
      <c r="F39"/>
      <c r="G39" s="2"/>
      <c r="H39" s="213">
        <v>2754.94</v>
      </c>
      <c r="I39" s="214">
        <v>6.7660026960192354E-3</v>
      </c>
    </row>
    <row r="40" spans="1:9" ht="19.5" customHeight="1" thickBot="1">
      <c r="A40" s="278">
        <v>2007</v>
      </c>
      <c r="B40" s="213">
        <v>915.82</v>
      </c>
      <c r="C40" s="214">
        <v>4.2149343407906548E-2</v>
      </c>
      <c r="D40" s="213">
        <v>681.54</v>
      </c>
      <c r="E40" s="263">
        <v>226.41</v>
      </c>
      <c r="F40"/>
      <c r="G40" s="2"/>
      <c r="H40" s="213">
        <v>2862.81</v>
      </c>
      <c r="I40" s="214">
        <v>3.915511771581226E-2</v>
      </c>
    </row>
    <row r="41" spans="1:9" ht="27" customHeight="1">
      <c r="A41" s="429">
        <v>2008</v>
      </c>
      <c r="B41" s="605">
        <v>933.12</v>
      </c>
      <c r="C41" s="603">
        <v>1.8890174925203507E-2</v>
      </c>
      <c r="D41" s="605">
        <v>690.44</v>
      </c>
      <c r="E41" s="604">
        <v>234.3</v>
      </c>
      <c r="F41" s="265"/>
      <c r="G41" s="202"/>
      <c r="H41" s="605">
        <v>2983.62</v>
      </c>
      <c r="I41" s="603">
        <v>4.2199796703239034E-2</v>
      </c>
    </row>
    <row r="42" spans="1:9" ht="19.5" customHeight="1" thickBot="1">
      <c r="A42" s="202"/>
      <c r="B42" s="608"/>
      <c r="C42" s="609"/>
      <c r="D42" s="608"/>
      <c r="E42" s="609"/>
      <c r="F42" s="608"/>
      <c r="G42" s="609"/>
    </row>
    <row r="43" spans="1:9" ht="51" customHeight="1" thickBot="1">
      <c r="A43" s="610" t="s">
        <v>567</v>
      </c>
      <c r="B43" s="572">
        <v>3.7234549121934801E-2</v>
      </c>
      <c r="C43" s="612" t="s">
        <v>1060</v>
      </c>
      <c r="D43" s="572">
        <v>3.4316224418252661E-2</v>
      </c>
      <c r="E43" s="612">
        <v>4.5156241222816362E-2</v>
      </c>
      <c r="F43" s="542"/>
      <c r="G43" s="2"/>
      <c r="H43" s="572">
        <v>4.424017693736304E-2</v>
      </c>
      <c r="I43" s="612" t="s">
        <v>1060</v>
      </c>
    </row>
    <row r="44" spans="1:9" ht="17.25" customHeight="1">
      <c r="A44" s="201" t="s">
        <v>764</v>
      </c>
      <c r="B44" s="608"/>
      <c r="C44" s="609"/>
      <c r="D44" s="608"/>
      <c r="E44" s="609"/>
      <c r="F44" s="608"/>
      <c r="G44" s="609"/>
    </row>
    <row r="45" spans="1:9" ht="14">
      <c r="A45" s="266"/>
      <c r="B45" s="608"/>
      <c r="C45" s="609"/>
      <c r="D45" s="608"/>
      <c r="E45" s="609"/>
      <c r="F45" s="608"/>
      <c r="G45" s="609"/>
    </row>
    <row r="46" spans="1:9" ht="14">
      <c r="A46" s="202" t="s">
        <v>1494</v>
      </c>
      <c r="B46" s="608"/>
      <c r="C46" s="609"/>
      <c r="D46" s="608"/>
      <c r="E46" s="609"/>
      <c r="F46" s="608"/>
      <c r="G46" s="609"/>
    </row>
    <row r="47" spans="1:9" ht="14">
      <c r="A47" s="202" t="s">
        <v>572</v>
      </c>
      <c r="B47" s="608"/>
      <c r="C47" s="609"/>
      <c r="D47" s="608"/>
      <c r="E47" s="609"/>
      <c r="F47" s="608"/>
      <c r="G47" s="609"/>
    </row>
    <row r="48" spans="1:9" ht="14">
      <c r="B48" s="608"/>
      <c r="C48" s="609"/>
      <c r="D48" s="608"/>
      <c r="E48" s="609"/>
      <c r="F48" s="608"/>
      <c r="G48" s="609"/>
    </row>
    <row r="49" spans="1:7">
      <c r="A49" s="2" t="s">
        <v>573</v>
      </c>
      <c r="B49" s="3"/>
      <c r="C49" s="618"/>
      <c r="D49" s="3"/>
      <c r="E49" s="618"/>
      <c r="F49" s="3"/>
      <c r="G49" s="618"/>
    </row>
    <row r="50" spans="1:7">
      <c r="A50" s="3"/>
      <c r="B50" s="3"/>
      <c r="C50" s="618"/>
      <c r="D50" s="3"/>
      <c r="E50" s="618"/>
      <c r="F50" s="3"/>
      <c r="G50" s="618"/>
    </row>
    <row r="52" spans="1:7">
      <c r="A52" s="2" t="s">
        <v>711</v>
      </c>
    </row>
    <row r="55" spans="1:7">
      <c r="B55"/>
      <c r="C55"/>
      <c r="D55"/>
      <c r="E55"/>
    </row>
    <row r="56" spans="1:7">
      <c r="B56"/>
      <c r="C56"/>
      <c r="D56"/>
      <c r="E56"/>
    </row>
    <row r="57" spans="1:7">
      <c r="B57"/>
      <c r="C57"/>
      <c r="D57"/>
      <c r="E57"/>
    </row>
    <row r="58" spans="1:7">
      <c r="B58"/>
      <c r="C58"/>
      <c r="D58"/>
      <c r="E58"/>
    </row>
    <row r="59" spans="1:7">
      <c r="B59"/>
      <c r="C59"/>
      <c r="D59"/>
      <c r="E59"/>
    </row>
  </sheetData>
  <phoneticPr fontId="0" type="noConversion"/>
  <pageMargins left="0.52" right="0.37" top="0.55000000000000004" bottom="0.49" header="0.42" footer="0.4921259845"/>
  <pageSetup paperSize="9" scale="54" orientation="landscape" horizontalDpi="4294967292" verticalDpi="4294967292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E0FF-2283-4D4A-B0E3-FC1D529443C8}">
  <sheetPr>
    <pageSetUpPr fitToPage="1"/>
  </sheetPr>
  <dimension ref="A1:H37"/>
  <sheetViews>
    <sheetView topLeftCell="A16" zoomScale="75" workbookViewId="0">
      <selection activeCell="A31" sqref="A31:A32"/>
    </sheetView>
  </sheetViews>
  <sheetFormatPr baseColWidth="10" defaultColWidth="11.3984375" defaultRowHeight="13"/>
  <cols>
    <col min="1" max="1" width="38.19921875" style="2" customWidth="1"/>
    <col min="2" max="4" width="15.19921875" style="2" customWidth="1"/>
    <col min="5" max="5" width="15.19921875" style="217" customWidth="1"/>
    <col min="6" max="7" width="15.19921875" style="2" customWidth="1"/>
    <col min="8" max="8" width="15.59765625" style="2" customWidth="1"/>
    <col min="9" max="16384" width="11.3984375" style="2"/>
  </cols>
  <sheetData>
    <row r="1" spans="1:8" s="1" customFormat="1" ht="14" customHeight="1">
      <c r="E1" s="16"/>
    </row>
    <row r="2" spans="1:8" s="1" customFormat="1" ht="30.75" customHeight="1">
      <c r="A2" s="298" t="s">
        <v>1692</v>
      </c>
      <c r="B2" s="589"/>
      <c r="C2" s="589"/>
      <c r="D2" s="589"/>
      <c r="E2" s="589"/>
      <c r="H2" s="177">
        <v>2008</v>
      </c>
    </row>
    <row r="3" spans="1:8" ht="24" customHeight="1">
      <c r="A3" s="178" t="s">
        <v>1100</v>
      </c>
      <c r="B3" s="179" t="s">
        <v>1867</v>
      </c>
      <c r="C3" s="180" t="s">
        <v>1868</v>
      </c>
      <c r="D3" s="179" t="s">
        <v>2369</v>
      </c>
      <c r="E3" s="514" t="s">
        <v>164</v>
      </c>
      <c r="F3" s="179" t="s">
        <v>1035</v>
      </c>
      <c r="G3" s="180" t="s">
        <v>2372</v>
      </c>
      <c r="H3" s="179" t="s">
        <v>2372</v>
      </c>
    </row>
    <row r="4" spans="1:8" ht="15" customHeight="1">
      <c r="A4" s="274"/>
      <c r="B4" s="182"/>
      <c r="C4" s="183"/>
      <c r="D4" s="182"/>
      <c r="E4" s="590"/>
      <c r="F4" s="182" t="s">
        <v>1036</v>
      </c>
      <c r="G4" s="183" t="s">
        <v>2373</v>
      </c>
      <c r="H4" s="182" t="s">
        <v>2373</v>
      </c>
    </row>
    <row r="5" spans="1:8" ht="15" customHeight="1">
      <c r="A5" s="274"/>
      <c r="B5" s="182"/>
      <c r="C5" s="183"/>
      <c r="D5" s="182"/>
      <c r="E5" s="590"/>
      <c r="F5" s="182" t="s">
        <v>1037</v>
      </c>
      <c r="G5" s="183" t="s">
        <v>2377</v>
      </c>
      <c r="H5" s="182" t="s">
        <v>2377</v>
      </c>
    </row>
    <row r="6" spans="1:8" ht="24" customHeight="1">
      <c r="A6" s="275"/>
      <c r="B6" s="188"/>
      <c r="C6" s="187"/>
      <c r="D6" s="188"/>
      <c r="E6" s="591"/>
      <c r="F6" s="188"/>
      <c r="G6" s="187" t="s">
        <v>768</v>
      </c>
      <c r="H6" s="188" t="s">
        <v>1845</v>
      </c>
    </row>
    <row r="7" spans="1:8" ht="30" customHeight="1" thickBot="1">
      <c r="A7" s="565" t="s">
        <v>1102</v>
      </c>
      <c r="B7" s="191">
        <v>584.71</v>
      </c>
      <c r="C7" s="382">
        <v>894.3</v>
      </c>
      <c r="D7" s="381">
        <v>371.35</v>
      </c>
      <c r="E7" s="462">
        <v>670.19</v>
      </c>
      <c r="F7" s="566">
        <v>0.22462310884093822</v>
      </c>
      <c r="G7" s="382">
        <v>28.6400000000001</v>
      </c>
      <c r="H7" s="566">
        <v>4.4641882939755462E-2</v>
      </c>
    </row>
    <row r="8" spans="1:8" ht="20" customHeight="1" thickBot="1">
      <c r="A8" s="278" t="s">
        <v>1688</v>
      </c>
      <c r="B8" s="235">
        <v>763.49</v>
      </c>
      <c r="C8" s="263">
        <v>879.69</v>
      </c>
      <c r="D8" s="213">
        <v>152.36000000000001</v>
      </c>
      <c r="E8" s="567">
        <v>690.44</v>
      </c>
      <c r="F8" s="566">
        <v>0.23141016617397661</v>
      </c>
      <c r="G8" s="263">
        <v>8.9000000000000909</v>
      </c>
      <c r="H8" s="566">
        <v>1.30586612671304E-2</v>
      </c>
    </row>
    <row r="9" spans="1:8" ht="20" customHeight="1" thickBot="1">
      <c r="A9" s="278" t="s">
        <v>181</v>
      </c>
      <c r="B9" s="213">
        <v>459.65</v>
      </c>
      <c r="C9" s="263">
        <v>515.52</v>
      </c>
      <c r="D9" s="213">
        <v>180.6</v>
      </c>
      <c r="E9" s="567">
        <v>427.46</v>
      </c>
      <c r="F9" s="566">
        <v>0.14326891494225136</v>
      </c>
      <c r="G9" s="263">
        <v>52.71</v>
      </c>
      <c r="H9" s="566">
        <v>0.14065376917945294</v>
      </c>
    </row>
    <row r="10" spans="1:8" ht="20" customHeight="1" thickBot="1">
      <c r="A10" s="278" t="s">
        <v>182</v>
      </c>
      <c r="B10" s="213">
        <v>227.32</v>
      </c>
      <c r="C10" s="263">
        <v>276.43</v>
      </c>
      <c r="D10" s="213">
        <v>50.85</v>
      </c>
      <c r="E10" s="567">
        <v>212.65</v>
      </c>
      <c r="F10" s="566">
        <v>7.12724810800303E-2</v>
      </c>
      <c r="G10" s="263">
        <v>11.14</v>
      </c>
      <c r="H10" s="566">
        <v>5.5282616247332772E-2</v>
      </c>
    </row>
    <row r="11" spans="1:8" ht="20" customHeight="1" thickBot="1">
      <c r="A11" s="278" t="s">
        <v>183</v>
      </c>
      <c r="B11" s="213">
        <v>429.5</v>
      </c>
      <c r="C11" s="263">
        <v>524.04999999999995</v>
      </c>
      <c r="D11" s="213">
        <v>65.760000000000005</v>
      </c>
      <c r="E11" s="567">
        <v>396.5</v>
      </c>
      <c r="F11" s="566">
        <v>0.13289225839751712</v>
      </c>
      <c r="G11" s="263">
        <v>13.39</v>
      </c>
      <c r="H11" s="566">
        <v>3.4950797421106072E-2</v>
      </c>
    </row>
    <row r="12" spans="1:8" ht="20" customHeight="1" thickBot="1">
      <c r="A12" s="278" t="s">
        <v>1689</v>
      </c>
      <c r="B12" s="213">
        <v>154.87</v>
      </c>
      <c r="C12" s="263">
        <v>421.65</v>
      </c>
      <c r="D12" s="213">
        <v>0.17</v>
      </c>
      <c r="E12" s="567">
        <v>234.3</v>
      </c>
      <c r="F12" s="566">
        <v>7.852876706819234E-2</v>
      </c>
      <c r="G12" s="263">
        <v>7.8900000000000148</v>
      </c>
      <c r="H12" s="566">
        <v>3.4848284086391956E-2</v>
      </c>
    </row>
    <row r="13" spans="1:8" ht="20" customHeight="1" thickBot="1">
      <c r="A13" s="278" t="s">
        <v>184</v>
      </c>
      <c r="B13" s="213">
        <v>54.89</v>
      </c>
      <c r="C13" s="263">
        <v>105.33</v>
      </c>
      <c r="D13" s="213">
        <v>1.6</v>
      </c>
      <c r="E13" s="567">
        <v>65.150000000000006</v>
      </c>
      <c r="F13" s="566">
        <v>2.1835890629503758E-2</v>
      </c>
      <c r="G13" s="263">
        <v>4.6400000000000077</v>
      </c>
      <c r="H13" s="566">
        <v>7.6681540241282597E-2</v>
      </c>
    </row>
    <row r="14" spans="1:8" ht="20" customHeight="1" thickBot="1">
      <c r="A14" s="278" t="s">
        <v>185</v>
      </c>
      <c r="B14" s="213">
        <v>63.99</v>
      </c>
      <c r="C14" s="263">
        <v>112.69</v>
      </c>
      <c r="D14" s="213">
        <v>19.13</v>
      </c>
      <c r="E14" s="567">
        <v>75.2</v>
      </c>
      <c r="F14" s="566">
        <v>2.5204282046641331E-2</v>
      </c>
      <c r="G14" s="263">
        <v>1.710000000000008</v>
      </c>
      <c r="H14" s="566">
        <v>2.3268471900939058E-2</v>
      </c>
    </row>
    <row r="15" spans="1:8" ht="20" customHeight="1" thickBot="1">
      <c r="A15" s="278" t="s">
        <v>186</v>
      </c>
      <c r="B15" s="213">
        <v>77.17</v>
      </c>
      <c r="C15" s="263">
        <v>132.35</v>
      </c>
      <c r="D15" s="213">
        <v>27.78</v>
      </c>
      <c r="E15" s="567">
        <v>90.16</v>
      </c>
      <c r="F15" s="566">
        <v>3.0218325389962528E-2</v>
      </c>
      <c r="G15" s="263">
        <v>6.1799999999999926</v>
      </c>
      <c r="H15" s="566">
        <v>7.3588949749940458E-2</v>
      </c>
    </row>
    <row r="16" spans="1:8" ht="20" customHeight="1" thickBot="1">
      <c r="A16" s="278" t="s">
        <v>187</v>
      </c>
      <c r="B16" s="213">
        <v>9.1</v>
      </c>
      <c r="C16" s="263">
        <v>13.14</v>
      </c>
      <c r="D16" s="213">
        <v>2.27</v>
      </c>
      <c r="E16" s="567">
        <v>9.41</v>
      </c>
      <c r="F16" s="566">
        <v>3.1538868890810495E-3</v>
      </c>
      <c r="G16" s="263">
        <v>-3.9999999999999147E-2</v>
      </c>
      <c r="H16" s="566">
        <v>-4.2328042328041438E-3</v>
      </c>
    </row>
    <row r="17" spans="1:8" ht="20" customHeight="1" thickBot="1">
      <c r="A17" s="278" t="s">
        <v>188</v>
      </c>
      <c r="B17" s="213">
        <v>58.37</v>
      </c>
      <c r="C17" s="263">
        <v>55.69</v>
      </c>
      <c r="D17" s="213">
        <v>17.53</v>
      </c>
      <c r="E17" s="567">
        <v>49.18</v>
      </c>
      <c r="F17" s="566">
        <v>1.648333232784336E-2</v>
      </c>
      <c r="G17" s="263">
        <v>-0.41000000000000369</v>
      </c>
      <c r="H17" s="566">
        <v>-8.2677959265982093E-3</v>
      </c>
    </row>
    <row r="18" spans="1:8" ht="20" customHeight="1" thickBot="1">
      <c r="A18" s="278" t="s">
        <v>1690</v>
      </c>
      <c r="B18" s="213">
        <v>6.78</v>
      </c>
      <c r="C18" s="263">
        <v>10.28</v>
      </c>
      <c r="D18" s="213">
        <v>2.08</v>
      </c>
      <c r="E18" s="567">
        <v>7.29</v>
      </c>
      <c r="F18" s="566">
        <v>2.4433406398938202E-3</v>
      </c>
      <c r="G18" s="263">
        <v>-1.22</v>
      </c>
      <c r="H18" s="566">
        <v>-0.14336075205640419</v>
      </c>
    </row>
    <row r="19" spans="1:8" ht="20" customHeight="1" thickBot="1">
      <c r="A19" s="195" t="s">
        <v>189</v>
      </c>
      <c r="B19" s="213">
        <v>0.96</v>
      </c>
      <c r="C19" s="263">
        <v>2.4</v>
      </c>
      <c r="D19" s="213">
        <v>0.28000000000000003</v>
      </c>
      <c r="E19" s="567">
        <v>1.42</v>
      </c>
      <c r="F19" s="566">
        <v>4.7593192162540806E-4</v>
      </c>
      <c r="G19" s="263">
        <v>0.12</v>
      </c>
      <c r="H19" s="566">
        <v>9.2307692307692202E-2</v>
      </c>
    </row>
    <row r="20" spans="1:8" ht="20" customHeight="1" thickBot="1">
      <c r="A20" s="278" t="s">
        <v>1359</v>
      </c>
      <c r="B20" s="213">
        <v>40.99</v>
      </c>
      <c r="C20" s="263">
        <v>55.09</v>
      </c>
      <c r="D20" s="213">
        <v>36.32</v>
      </c>
      <c r="E20" s="567">
        <v>45.88</v>
      </c>
      <c r="F20" s="566">
        <v>1.5377293355051919E-2</v>
      </c>
      <c r="G20" s="263">
        <v>-13.38</v>
      </c>
      <c r="H20" s="566">
        <v>-0.22578467769152877</v>
      </c>
    </row>
    <row r="21" spans="1:8" ht="20" customHeight="1" thickBot="1">
      <c r="A21" s="278" t="s">
        <v>1360</v>
      </c>
      <c r="B21" s="213">
        <v>10.02</v>
      </c>
      <c r="C21" s="263">
        <v>9.32</v>
      </c>
      <c r="D21" s="213">
        <v>3.17</v>
      </c>
      <c r="E21" s="567">
        <v>8.3800000000000008</v>
      </c>
      <c r="F21" s="566">
        <v>2.8086686642400847E-3</v>
      </c>
      <c r="G21" s="263">
        <v>0.51000000000000068</v>
      </c>
      <c r="H21" s="566">
        <v>6.4803049555273384E-2</v>
      </c>
    </row>
    <row r="22" spans="1:8" ht="30" customHeight="1" thickBot="1">
      <c r="A22" s="568" t="s">
        <v>1841</v>
      </c>
      <c r="B22" s="569">
        <v>2941.83</v>
      </c>
      <c r="C22" s="570">
        <v>4007.95</v>
      </c>
      <c r="D22" s="569">
        <v>931.27</v>
      </c>
      <c r="E22" s="571">
        <v>2983.62</v>
      </c>
      <c r="F22" s="572">
        <v>1</v>
      </c>
      <c r="G22" s="570">
        <v>120.81</v>
      </c>
      <c r="H22" s="572">
        <v>4.2199796703239034E-2</v>
      </c>
    </row>
    <row r="23" spans="1:8" ht="15" customHeight="1">
      <c r="A23" s="573"/>
      <c r="B23" s="402"/>
      <c r="C23" s="402"/>
      <c r="D23" s="402"/>
      <c r="E23" s="403"/>
      <c r="F23" s="574"/>
      <c r="G23" s="402"/>
      <c r="H23" s="574"/>
    </row>
    <row r="24" spans="1:8" ht="30" customHeight="1" thickBot="1">
      <c r="A24" s="575" t="s">
        <v>1842</v>
      </c>
      <c r="B24" s="576" t="s">
        <v>1694</v>
      </c>
      <c r="C24" s="577">
        <v>176.17</v>
      </c>
      <c r="D24" s="576">
        <v>1.74</v>
      </c>
      <c r="E24" s="578" t="s">
        <v>1060</v>
      </c>
      <c r="F24" s="579" t="s">
        <v>1060</v>
      </c>
      <c r="G24" s="577" t="s">
        <v>1060</v>
      </c>
      <c r="H24" s="579" t="s">
        <v>1060</v>
      </c>
    </row>
    <row r="25" spans="1:8" ht="30.75" customHeight="1" thickBot="1">
      <c r="A25" s="580" t="s">
        <v>1691</v>
      </c>
      <c r="B25" s="652">
        <v>79.319999999999993</v>
      </c>
      <c r="C25" s="582">
        <v>78.739999999999995</v>
      </c>
      <c r="D25" s="581">
        <v>6.61</v>
      </c>
      <c r="E25" s="583">
        <v>64.69</v>
      </c>
      <c r="F25" s="584">
        <v>2.1681715499963131E-2</v>
      </c>
      <c r="G25" s="582">
        <v>11.94</v>
      </c>
      <c r="H25" s="584">
        <v>0.22635071090047387</v>
      </c>
    </row>
    <row r="26" spans="1:8" ht="20" customHeight="1">
      <c r="A26" s="201" t="s">
        <v>764</v>
      </c>
      <c r="B26" s="585"/>
      <c r="C26" s="585"/>
      <c r="D26" s="585"/>
      <c r="E26" s="592"/>
      <c r="F26" s="585"/>
    </row>
    <row r="27" spans="1:8" ht="12.75" customHeight="1">
      <c r="A27" s="202"/>
      <c r="B27" s="586"/>
      <c r="C27" s="586"/>
      <c r="D27" s="586"/>
      <c r="E27" s="593"/>
      <c r="F27" s="586"/>
    </row>
    <row r="28" spans="1:8">
      <c r="A28" s="202" t="s">
        <v>827</v>
      </c>
    </row>
    <row r="29" spans="1:8">
      <c r="A29" s="202" t="s">
        <v>828</v>
      </c>
    </row>
    <row r="30" spans="1:8">
      <c r="A30" s="587" t="s">
        <v>1686</v>
      </c>
    </row>
    <row r="31" spans="1:8">
      <c r="A31" s="1986" t="s">
        <v>1361</v>
      </c>
    </row>
    <row r="32" spans="1:8">
      <c r="A32" s="1986" t="s">
        <v>1362</v>
      </c>
    </row>
    <row r="34" spans="1:1">
      <c r="A34" s="2" t="s">
        <v>1693</v>
      </c>
    </row>
    <row r="37" spans="1:1">
      <c r="A37" s="2" t="s">
        <v>711</v>
      </c>
    </row>
  </sheetData>
  <phoneticPr fontId="0" type="noConversion"/>
  <pageMargins left="0.6" right="0.5" top="0.69" bottom="0.49" header="0.43" footer="0.4921259845"/>
  <pageSetup paperSize="9" scale="74" orientation="landscape" horizontalDpi="1200" verticalDpi="12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BDF1-F4A8-4843-8EF1-3D3EFA6A04B5}">
  <sheetPr>
    <pageSetUpPr fitToPage="1"/>
  </sheetPr>
  <dimension ref="A1:J30"/>
  <sheetViews>
    <sheetView zoomScale="75" workbookViewId="0">
      <selection activeCell="B18" sqref="B18"/>
    </sheetView>
  </sheetViews>
  <sheetFormatPr baseColWidth="10" defaultColWidth="11.3984375" defaultRowHeight="13"/>
  <cols>
    <col min="1" max="1" width="15.19921875" style="2" customWidth="1"/>
    <col min="2" max="2" width="16.796875" style="2" customWidth="1"/>
    <col min="3" max="3" width="17.19921875" style="2" customWidth="1"/>
    <col min="4" max="4" width="15.3984375" style="2" customWidth="1"/>
    <col min="5" max="5" width="15.19921875" style="2" customWidth="1"/>
    <col min="6" max="6" width="16.796875" style="2" customWidth="1"/>
    <col min="7" max="7" width="15.796875" style="2" customWidth="1"/>
    <col min="8" max="16384" width="11.3984375" style="2"/>
  </cols>
  <sheetData>
    <row r="1" spans="1:10" s="1" customFormat="1" ht="14" customHeight="1"/>
    <row r="2" spans="1:10" s="1" customFormat="1" ht="28" customHeight="1">
      <c r="A2" s="177" t="s">
        <v>113</v>
      </c>
      <c r="G2" s="428"/>
    </row>
    <row r="3" spans="1:10" ht="24" customHeight="1">
      <c r="A3" s="178" t="s">
        <v>821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  <c r="G3" s="228" t="s">
        <v>2372</v>
      </c>
    </row>
    <row r="4" spans="1:10" ht="15" customHeight="1">
      <c r="A4" s="274"/>
      <c r="B4" s="182" t="s">
        <v>2255</v>
      </c>
      <c r="C4" s="183" t="s">
        <v>2256</v>
      </c>
      <c r="D4" s="182" t="s">
        <v>822</v>
      </c>
      <c r="E4" s="245" t="s">
        <v>823</v>
      </c>
      <c r="F4" s="182"/>
      <c r="G4" s="181" t="s">
        <v>2373</v>
      </c>
    </row>
    <row r="5" spans="1:10" ht="15" customHeight="1">
      <c r="A5" s="274"/>
      <c r="B5" s="182" t="s">
        <v>2259</v>
      </c>
      <c r="C5" s="183" t="s">
        <v>2260</v>
      </c>
      <c r="D5" s="182" t="s">
        <v>824</v>
      </c>
      <c r="E5" s="245" t="s">
        <v>825</v>
      </c>
      <c r="F5" s="182"/>
      <c r="G5" s="181" t="s">
        <v>2377</v>
      </c>
    </row>
    <row r="6" spans="1:10" ht="24" customHeight="1">
      <c r="A6" s="275"/>
      <c r="B6" s="188"/>
      <c r="C6" s="187"/>
      <c r="D6" s="188"/>
      <c r="E6" s="248" t="s">
        <v>2262</v>
      </c>
      <c r="F6" s="188"/>
      <c r="G6" s="185"/>
    </row>
    <row r="7" spans="1:10" ht="1.5" customHeight="1" thickBot="1">
      <c r="A7" s="276">
        <v>1996</v>
      </c>
      <c r="B7" s="497">
        <v>8068.747832</v>
      </c>
      <c r="C7" s="277">
        <v>2578.7974989999998</v>
      </c>
      <c r="D7" s="497">
        <v>25.416930000000001</v>
      </c>
      <c r="E7" s="277">
        <v>107.523248</v>
      </c>
      <c r="F7" s="497">
        <v>10780.485509</v>
      </c>
      <c r="G7" s="473" t="s">
        <v>1060</v>
      </c>
    </row>
    <row r="8" spans="1:10" ht="0.75" customHeight="1" thickBot="1">
      <c r="A8" s="278">
        <v>1997</v>
      </c>
      <c r="B8" s="499">
        <v>7130.3436650000003</v>
      </c>
      <c r="C8" s="501">
        <v>3864.390214</v>
      </c>
      <c r="D8" s="499">
        <v>13.596114</v>
      </c>
      <c r="E8" s="501">
        <v>352.16520000000003</v>
      </c>
      <c r="F8" s="499">
        <v>11360.495192</v>
      </c>
      <c r="G8" s="477">
        <v>5.3801814632168828E-2</v>
      </c>
      <c r="H8" s="8"/>
      <c r="I8" s="8"/>
      <c r="J8" s="8"/>
    </row>
    <row r="9" spans="1:10" ht="20" customHeight="1" thickBot="1">
      <c r="A9" s="278">
        <v>1998</v>
      </c>
      <c r="B9" s="499">
        <v>7021.0225700000001</v>
      </c>
      <c r="C9" s="501">
        <v>4312.7338319999999</v>
      </c>
      <c r="D9" s="499">
        <v>6.4190870000000002</v>
      </c>
      <c r="E9" s="501">
        <v>586.68436299999996</v>
      </c>
      <c r="F9" s="499">
        <v>11926.859852</v>
      </c>
      <c r="G9" s="477">
        <v>4.9853870841724421E-2</v>
      </c>
    </row>
    <row r="10" spans="1:10" ht="20" customHeight="1" thickBot="1">
      <c r="A10" s="278">
        <v>1999</v>
      </c>
      <c r="B10" s="499">
        <v>7777.7143260000003</v>
      </c>
      <c r="C10" s="501">
        <v>3929.1822109999998</v>
      </c>
      <c r="D10" s="499">
        <v>6.4800399999999998</v>
      </c>
      <c r="E10" s="501">
        <v>717.23275599999999</v>
      </c>
      <c r="F10" s="499">
        <v>12430.609334000001</v>
      </c>
      <c r="G10" s="477">
        <v>4.2236555828693498E-2</v>
      </c>
    </row>
    <row r="11" spans="1:10" ht="20" customHeight="1" thickBot="1">
      <c r="A11" s="278">
        <v>2000</v>
      </c>
      <c r="B11" s="499">
        <v>8082.7115553000003</v>
      </c>
      <c r="C11" s="501">
        <v>4300.2223146999995</v>
      </c>
      <c r="D11" s="499">
        <v>6.28484658</v>
      </c>
      <c r="E11" s="501">
        <v>801.09118021000006</v>
      </c>
      <c r="F11" s="499">
        <v>13190.30989679</v>
      </c>
      <c r="G11" s="477">
        <v>6.111531159716195E-2</v>
      </c>
    </row>
    <row r="12" spans="1:10" ht="20" customHeight="1" thickBot="1">
      <c r="A12" s="278">
        <v>2001</v>
      </c>
      <c r="B12" s="499">
        <v>8576.2604756000001</v>
      </c>
      <c r="C12" s="501">
        <v>4525.6886304</v>
      </c>
      <c r="D12" s="499">
        <v>7.0934559400000001</v>
      </c>
      <c r="E12" s="501">
        <v>877.22872129999996</v>
      </c>
      <c r="F12" s="499">
        <v>13986.271283239999</v>
      </c>
      <c r="G12" s="477">
        <v>6.0344403784152512E-2</v>
      </c>
    </row>
    <row r="13" spans="1:10" ht="20" customHeight="1" thickBot="1">
      <c r="A13" s="278">
        <v>2002</v>
      </c>
      <c r="B13" s="499">
        <v>8890.6642347999987</v>
      </c>
      <c r="C13" s="501">
        <v>4785.7639721999994</v>
      </c>
      <c r="D13" s="499">
        <v>6.6999405400000001</v>
      </c>
      <c r="E13" s="501">
        <v>909.62889640999992</v>
      </c>
      <c r="F13" s="499">
        <v>14592.757043950001</v>
      </c>
      <c r="G13" s="477">
        <v>4.3362934153634278E-2</v>
      </c>
    </row>
    <row r="14" spans="1:10" ht="20" customHeight="1" thickBot="1">
      <c r="A14" s="278">
        <v>2003</v>
      </c>
      <c r="B14" s="499">
        <v>9320.4810839999991</v>
      </c>
      <c r="C14" s="501">
        <v>5132.6037123000006</v>
      </c>
      <c r="D14" s="499">
        <v>7.0683550799999999</v>
      </c>
      <c r="E14" s="501">
        <v>875.46655299999998</v>
      </c>
      <c r="F14" s="499">
        <v>15335.619704379998</v>
      </c>
      <c r="G14" s="477">
        <v>5.0906258371373338E-2</v>
      </c>
    </row>
    <row r="15" spans="1:10" ht="20" customHeight="1" thickBot="1">
      <c r="A15" s="278">
        <v>2004</v>
      </c>
      <c r="B15" s="499">
        <v>9988.6658920000009</v>
      </c>
      <c r="C15" s="501">
        <v>5289.8342951999994</v>
      </c>
      <c r="D15" s="499">
        <v>7.2944575399999998</v>
      </c>
      <c r="E15" s="501">
        <v>1021.7139006</v>
      </c>
      <c r="F15" s="499">
        <v>16307.508545340002</v>
      </c>
      <c r="G15" s="477">
        <v>6.3374604984656954E-2</v>
      </c>
    </row>
    <row r="16" spans="1:10" ht="20" customHeight="1" thickBot="1">
      <c r="A16" s="278">
        <v>2005</v>
      </c>
      <c r="B16" s="499">
        <v>10948.37887789</v>
      </c>
      <c r="C16" s="501">
        <v>5106.1971250400002</v>
      </c>
      <c r="D16" s="499">
        <v>7.7069186199999997</v>
      </c>
      <c r="E16" s="501">
        <v>1290.43711553</v>
      </c>
      <c r="F16" s="499">
        <v>17352.720037080002</v>
      </c>
      <c r="G16" s="477">
        <v>6.4093879750789812E-2</v>
      </c>
    </row>
    <row r="17" spans="1:7" ht="20" customHeight="1" thickBot="1">
      <c r="A17" s="278">
        <v>2006</v>
      </c>
      <c r="B17" s="499">
        <v>10882.30509285</v>
      </c>
      <c r="C17" s="501">
        <v>4819.3397623999999</v>
      </c>
      <c r="D17" s="499">
        <v>7.6050231300000002</v>
      </c>
      <c r="E17" s="501">
        <v>1854.6657244100002</v>
      </c>
      <c r="F17" s="499">
        <v>17563.915602789999</v>
      </c>
      <c r="G17" s="477">
        <v>1.2170747021717962E-2</v>
      </c>
    </row>
    <row r="18" spans="1:7" ht="20" customHeight="1" thickBot="1">
      <c r="A18" s="278">
        <v>2007</v>
      </c>
      <c r="B18" s="499">
        <v>10974.96309465</v>
      </c>
      <c r="C18" s="501">
        <v>4774.9719946599998</v>
      </c>
      <c r="D18" s="499">
        <v>7.66488031</v>
      </c>
      <c r="E18" s="501">
        <v>2666.0220249899999</v>
      </c>
      <c r="F18" s="499">
        <v>18423.621994609999</v>
      </c>
      <c r="G18" s="477">
        <v>4.8947308291747725E-2</v>
      </c>
    </row>
    <row r="19" spans="1:7" ht="30" customHeight="1" thickBot="1">
      <c r="A19" s="429">
        <v>2008</v>
      </c>
      <c r="B19" s="559">
        <v>11138.471106950001</v>
      </c>
      <c r="C19" s="560">
        <v>4743.4199530100004</v>
      </c>
      <c r="D19" s="559">
        <v>8.7684434000000007</v>
      </c>
      <c r="E19" s="560">
        <v>3540.7977514200002</v>
      </c>
      <c r="F19" s="559">
        <v>19431.457254780002</v>
      </c>
      <c r="G19" s="479">
        <v>5.470342696267072E-2</v>
      </c>
    </row>
    <row r="20" spans="1:7" ht="20" customHeight="1">
      <c r="A20" s="201" t="s">
        <v>764</v>
      </c>
      <c r="B20" s="201"/>
      <c r="C20" s="201"/>
      <c r="D20" s="201"/>
      <c r="E20" s="201"/>
      <c r="F20" s="201"/>
      <c r="G20" s="201"/>
    </row>
    <row r="21" spans="1:7" ht="16.5" customHeight="1">
      <c r="A21" s="202"/>
      <c r="B21" s="202"/>
      <c r="C21" s="202"/>
      <c r="D21" s="202"/>
      <c r="E21" s="202"/>
      <c r="F21" s="202"/>
      <c r="G21" s="202"/>
    </row>
    <row r="22" spans="1:7">
      <c r="A22" s="202" t="s">
        <v>111</v>
      </c>
    </row>
    <row r="24" spans="1:7">
      <c r="A24" s="2" t="s">
        <v>112</v>
      </c>
    </row>
    <row r="27" spans="1:7">
      <c r="A27" s="2" t="s">
        <v>711</v>
      </c>
    </row>
    <row r="29" spans="1:7" ht="14">
      <c r="F29" s="561"/>
    </row>
    <row r="30" spans="1:7" ht="14">
      <c r="F30" s="562"/>
    </row>
  </sheetData>
  <phoneticPr fontId="0" type="noConversion"/>
  <pageMargins left="0.57999999999999996" right="0.61" top="1.01" bottom="0.49" header="0.57999999999999996" footer="0.4921259845"/>
  <pageSetup paperSize="9" scale="80" orientation="portrait" horizontalDpi="4294967292" verticalDpi="4294967292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75C2-8F63-2F46-B783-D8AAB4FC596F}">
  <sheetPr>
    <pageSetUpPr fitToPage="1"/>
  </sheetPr>
  <dimension ref="A1:J53"/>
  <sheetViews>
    <sheetView topLeftCell="A24" zoomScale="75" workbookViewId="0">
      <selection activeCell="H50" sqref="H50"/>
    </sheetView>
  </sheetViews>
  <sheetFormatPr baseColWidth="10" defaultColWidth="11.3984375" defaultRowHeight="13"/>
  <cols>
    <col min="1" max="1" width="23.3984375" style="2" customWidth="1"/>
    <col min="2" max="3" width="15.796875" style="2" customWidth="1"/>
    <col min="4" max="4" width="19.19921875" style="2" customWidth="1"/>
    <col min="5" max="5" width="15.796875" style="2" customWidth="1"/>
    <col min="6" max="6" width="20" style="2" customWidth="1"/>
    <col min="7" max="7" width="16.1992187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0.75" customHeight="1">
      <c r="A2" s="2017" t="s">
        <v>387</v>
      </c>
      <c r="B2" s="2021"/>
      <c r="C2" s="2021"/>
      <c r="D2" s="2021"/>
      <c r="E2" s="2021"/>
      <c r="F2" s="2021"/>
      <c r="G2" s="177"/>
    </row>
    <row r="3" spans="1:10" ht="24" customHeight="1">
      <c r="A3" s="394" t="s">
        <v>388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979</v>
      </c>
      <c r="G3" s="228" t="s">
        <v>2372</v>
      </c>
    </row>
    <row r="4" spans="1:10" ht="15" customHeight="1">
      <c r="A4" s="274"/>
      <c r="B4" s="182" t="s">
        <v>2255</v>
      </c>
      <c r="C4" s="183" t="s">
        <v>2256</v>
      </c>
      <c r="D4" s="182" t="s">
        <v>2257</v>
      </c>
      <c r="E4" s="245" t="s">
        <v>2258</v>
      </c>
      <c r="F4" s="182"/>
      <c r="G4" s="181" t="s">
        <v>2373</v>
      </c>
    </row>
    <row r="5" spans="1:10" ht="15" customHeight="1">
      <c r="A5" s="274"/>
      <c r="B5" s="182" t="s">
        <v>2259</v>
      </c>
      <c r="C5" s="183" t="s">
        <v>2260</v>
      </c>
      <c r="D5" s="182"/>
      <c r="E5" s="245" t="s">
        <v>2261</v>
      </c>
      <c r="F5" s="182"/>
      <c r="G5" s="181" t="s">
        <v>2377</v>
      </c>
    </row>
    <row r="6" spans="1:10" ht="24" customHeight="1">
      <c r="A6" s="378" t="s">
        <v>2250</v>
      </c>
      <c r="B6" s="188"/>
      <c r="C6" s="187"/>
      <c r="D6" s="188"/>
      <c r="E6" s="248" t="s">
        <v>2262</v>
      </c>
      <c r="F6" s="188"/>
      <c r="G6" s="247"/>
    </row>
    <row r="7" spans="1:10" ht="2.25" customHeight="1" thickBot="1">
      <c r="A7" s="276">
        <v>1996</v>
      </c>
      <c r="B7" s="211">
        <v>1693.472957927004</v>
      </c>
      <c r="C7" s="257">
        <v>1112.5875100399426</v>
      </c>
      <c r="D7" s="211">
        <v>908.57038606702895</v>
      </c>
      <c r="E7" s="257">
        <v>879.61661091952851</v>
      </c>
      <c r="F7" s="211">
        <v>1490.5270087783663</v>
      </c>
      <c r="G7" s="473" t="s">
        <v>1060</v>
      </c>
    </row>
    <row r="8" spans="1:10" ht="0.75" customHeight="1" thickBot="1">
      <c r="A8" s="278">
        <v>1997</v>
      </c>
      <c r="B8" s="213">
        <v>1740.7565036180117</v>
      </c>
      <c r="C8" s="263">
        <v>1408.0072046657929</v>
      </c>
      <c r="D8" s="213">
        <v>1179.3463740854293</v>
      </c>
      <c r="E8" s="263">
        <v>916.51587762677957</v>
      </c>
      <c r="F8" s="213">
        <v>1569.8943852604398</v>
      </c>
      <c r="G8" s="477">
        <v>5.3247862007628349E-2</v>
      </c>
      <c r="H8" s="8"/>
      <c r="I8" s="8"/>
      <c r="J8" s="8"/>
    </row>
    <row r="9" spans="1:10" ht="20" customHeight="1" thickBot="1">
      <c r="A9" s="278">
        <v>1998</v>
      </c>
      <c r="B9" s="213">
        <v>1748.6257046580097</v>
      </c>
      <c r="C9" s="263">
        <v>1582.236200997007</v>
      </c>
      <c r="D9" s="213">
        <v>542.85146212992356</v>
      </c>
      <c r="E9" s="263">
        <v>1187.8496276871122</v>
      </c>
      <c r="F9" s="213">
        <v>1645.8523332821831</v>
      </c>
      <c r="G9" s="477">
        <v>4.8384113437759779E-2</v>
      </c>
    </row>
    <row r="10" spans="1:10" ht="20" customHeight="1" thickBot="1">
      <c r="A10" s="278">
        <v>1999</v>
      </c>
      <c r="B10" s="213">
        <v>1943.9724380280036</v>
      </c>
      <c r="C10" s="263">
        <v>1446.076835760324</v>
      </c>
      <c r="D10" s="213">
        <v>631.35948452726836</v>
      </c>
      <c r="E10" s="263">
        <v>1322.850287189882</v>
      </c>
      <c r="F10" s="213">
        <v>1709.7272154599079</v>
      </c>
      <c r="G10" s="477">
        <v>3.880960696537377E-2</v>
      </c>
    </row>
    <row r="11" spans="1:10" ht="20" customHeight="1" thickBot="1">
      <c r="A11" s="278">
        <v>2000</v>
      </c>
      <c r="B11" s="213">
        <v>2061.7572370412531</v>
      </c>
      <c r="C11" s="263">
        <v>1559.5200327769257</v>
      </c>
      <c r="D11" s="213">
        <v>640.85618858059308</v>
      </c>
      <c r="E11" s="263">
        <v>1386.9243548352326</v>
      </c>
      <c r="F11" s="213">
        <v>1815.5684428845086</v>
      </c>
      <c r="G11" s="477">
        <v>6.1905329965827281E-2</v>
      </c>
    </row>
    <row r="12" spans="1:10" ht="20" customHeight="1" thickBot="1">
      <c r="A12" s="278">
        <v>2001</v>
      </c>
      <c r="B12" s="213">
        <v>2215.2521849633595</v>
      </c>
      <c r="C12" s="263">
        <v>1601.456447034876</v>
      </c>
      <c r="D12" s="213">
        <v>761.4942224833801</v>
      </c>
      <c r="E12" s="263">
        <v>1476.0910392091953</v>
      </c>
      <c r="F12" s="213">
        <v>1915.6520340553755</v>
      </c>
      <c r="G12" s="477">
        <v>5.5125209717711163E-2</v>
      </c>
    </row>
    <row r="13" spans="1:10" ht="20" customHeight="1" thickBot="1">
      <c r="A13" s="278">
        <v>2002</v>
      </c>
      <c r="B13" s="213">
        <v>2336.5480943488155</v>
      </c>
      <c r="C13" s="263">
        <v>1608.7398764542932</v>
      </c>
      <c r="D13" s="213">
        <v>759.86194884606937</v>
      </c>
      <c r="E13" s="263">
        <v>1636.2590696884934</v>
      </c>
      <c r="F13" s="213">
        <v>1986.8602053785678</v>
      </c>
      <c r="G13" s="477">
        <v>3.7171767135833575E-2</v>
      </c>
    </row>
    <row r="14" spans="1:10" ht="20" customHeight="1" thickBot="1">
      <c r="A14" s="278">
        <v>2003</v>
      </c>
      <c r="B14" s="213">
        <v>2543.8057035018146</v>
      </c>
      <c r="C14" s="263">
        <v>1656.5311093343439</v>
      </c>
      <c r="D14" s="213">
        <v>852.25259235500948</v>
      </c>
      <c r="E14" s="263">
        <v>1454.7088463142236</v>
      </c>
      <c r="F14" s="213">
        <v>2080.1097733239922</v>
      </c>
      <c r="G14" s="477">
        <v>4.6933129816074295E-2</v>
      </c>
    </row>
    <row r="15" spans="1:10" ht="20" customHeight="1" thickBot="1">
      <c r="A15" s="278">
        <v>2004</v>
      </c>
      <c r="B15" s="213">
        <v>2758.2074827327442</v>
      </c>
      <c r="C15" s="263">
        <v>1757.4292603708973</v>
      </c>
      <c r="D15" s="213">
        <v>905.21341172647249</v>
      </c>
      <c r="E15" s="263">
        <v>1373.0910592494565</v>
      </c>
      <c r="F15" s="213">
        <v>2208.6199102683881</v>
      </c>
      <c r="G15" s="477">
        <v>6.1780459181747037E-2</v>
      </c>
    </row>
    <row r="16" spans="1:10" ht="20" customHeight="1" thickBot="1">
      <c r="A16" s="278">
        <v>2005</v>
      </c>
      <c r="B16" s="213">
        <v>3045.7444736931438</v>
      </c>
      <c r="C16" s="263">
        <v>1742.6322440668202</v>
      </c>
      <c r="D16" s="213">
        <v>1002.5097658133579</v>
      </c>
      <c r="E16" s="263">
        <v>1428.4762573055013</v>
      </c>
      <c r="F16" s="213">
        <v>2333.6518397093009</v>
      </c>
      <c r="G16" s="477">
        <v>5.6610885766088748E-2</v>
      </c>
    </row>
    <row r="17" spans="1:7" ht="20" customHeight="1" thickBot="1">
      <c r="A17" s="278">
        <v>2006</v>
      </c>
      <c r="B17" s="213">
        <v>3255.1789461574645</v>
      </c>
      <c r="C17" s="263">
        <v>1735.686558346925</v>
      </c>
      <c r="D17" s="213">
        <v>1057.4282552437587</v>
      </c>
      <c r="E17" s="263">
        <v>1372.2570154496282</v>
      </c>
      <c r="F17" s="213">
        <v>2348.6103301629255</v>
      </c>
      <c r="G17" s="477">
        <v>6.409906653208397E-3</v>
      </c>
    </row>
    <row r="18" spans="1:7" ht="20" customHeight="1" thickBot="1">
      <c r="A18" s="278">
        <v>2007</v>
      </c>
      <c r="B18" s="213">
        <v>3503.0279381745177</v>
      </c>
      <c r="C18" s="263">
        <v>1860.6542092302925</v>
      </c>
      <c r="D18" s="213">
        <v>1116.1951590251049</v>
      </c>
      <c r="E18" s="263">
        <v>1455.6986782891856</v>
      </c>
      <c r="F18" s="213">
        <v>2444.2340609903572</v>
      </c>
      <c r="G18" s="477">
        <v>4.071502607280042E-2</v>
      </c>
    </row>
    <row r="19" spans="1:7" ht="24" customHeight="1" thickBot="1">
      <c r="A19" s="429">
        <v>2008</v>
      </c>
      <c r="B19" s="430">
        <v>3779.2804890017851</v>
      </c>
      <c r="C19" s="431">
        <v>1995.0917014086594</v>
      </c>
      <c r="D19" s="430">
        <v>1346.7554924819322</v>
      </c>
      <c r="E19" s="431">
        <v>1550.0860006459327</v>
      </c>
      <c r="F19" s="430">
        <v>2551.5464001640853</v>
      </c>
      <c r="G19" s="777">
        <v>4.3904281053283034E-2</v>
      </c>
    </row>
    <row r="20" spans="1:7" ht="20" customHeight="1">
      <c r="A20" s="201" t="s">
        <v>764</v>
      </c>
      <c r="B20" s="201"/>
      <c r="C20" s="201"/>
      <c r="D20" s="201"/>
      <c r="E20" s="201"/>
      <c r="F20" s="201"/>
      <c r="G20" s="466"/>
    </row>
    <row r="21" spans="1:7">
      <c r="G21" s="467"/>
    </row>
    <row r="22" spans="1:7">
      <c r="A22" s="2" t="s">
        <v>869</v>
      </c>
      <c r="G22" s="467"/>
    </row>
    <row r="23" spans="1:7">
      <c r="G23" s="467"/>
    </row>
    <row r="24" spans="1:7">
      <c r="G24" s="467"/>
    </row>
    <row r="25" spans="1:7" ht="18">
      <c r="A25" s="778" t="s">
        <v>389</v>
      </c>
      <c r="G25" s="467"/>
    </row>
    <row r="26" spans="1:7">
      <c r="G26" s="467"/>
    </row>
    <row r="27" spans="1:7" ht="18" customHeight="1">
      <c r="A27" s="394"/>
      <c r="B27" s="179" t="s">
        <v>2369</v>
      </c>
      <c r="C27" s="446" t="s">
        <v>2372</v>
      </c>
      <c r="D27" s="179" t="s">
        <v>2227</v>
      </c>
      <c r="E27" s="446" t="s">
        <v>2372</v>
      </c>
      <c r="F27" s="179" t="s">
        <v>870</v>
      </c>
      <c r="G27" s="446" t="s">
        <v>2372</v>
      </c>
    </row>
    <row r="28" spans="1:7" ht="18" customHeight="1">
      <c r="A28" s="766"/>
      <c r="B28" s="182" t="s">
        <v>2374</v>
      </c>
      <c r="C28" s="494" t="s">
        <v>2373</v>
      </c>
      <c r="D28" s="182" t="s">
        <v>2375</v>
      </c>
      <c r="E28" s="494" t="s">
        <v>2373</v>
      </c>
      <c r="F28" s="182" t="s">
        <v>871</v>
      </c>
      <c r="G28" s="494" t="s">
        <v>2373</v>
      </c>
    </row>
    <row r="29" spans="1:7" ht="18" customHeight="1">
      <c r="A29" s="274"/>
      <c r="B29" s="182"/>
      <c r="C29" s="494" t="s">
        <v>2377</v>
      </c>
      <c r="D29" s="182"/>
      <c r="E29" s="494" t="s">
        <v>2377</v>
      </c>
      <c r="F29" s="182"/>
      <c r="G29" s="494" t="s">
        <v>2377</v>
      </c>
    </row>
    <row r="30" spans="1:7" ht="18" customHeight="1">
      <c r="A30" s="275" t="s">
        <v>821</v>
      </c>
      <c r="B30" s="188"/>
      <c r="C30" s="187"/>
      <c r="D30" s="188"/>
      <c r="E30" s="248"/>
      <c r="F30" s="188"/>
      <c r="G30" s="447"/>
    </row>
    <row r="31" spans="1:7" ht="1.5" customHeight="1" thickBot="1">
      <c r="A31" s="276">
        <v>1996</v>
      </c>
      <c r="B31" s="211" t="s">
        <v>1060</v>
      </c>
      <c r="C31" s="779" t="s">
        <v>1060</v>
      </c>
      <c r="D31" s="211" t="s">
        <v>1060</v>
      </c>
      <c r="E31" s="779" t="s">
        <v>1060</v>
      </c>
      <c r="F31" s="211" t="s">
        <v>1060</v>
      </c>
      <c r="G31" s="473" t="s">
        <v>1060</v>
      </c>
    </row>
    <row r="32" spans="1:7" ht="0.75" customHeight="1" thickBot="1">
      <c r="A32" s="278">
        <v>1997</v>
      </c>
      <c r="B32" s="213">
        <v>514.44000000000005</v>
      </c>
      <c r="C32" s="477" t="s">
        <v>1060</v>
      </c>
      <c r="D32" s="213">
        <v>710.67</v>
      </c>
      <c r="E32" s="477" t="s">
        <v>1060</v>
      </c>
      <c r="F32" s="213">
        <v>1974.25</v>
      </c>
      <c r="G32" s="477" t="s">
        <v>1060</v>
      </c>
    </row>
    <row r="33" spans="1:7" ht="18" customHeight="1" thickBot="1">
      <c r="A33" s="278">
        <v>1998</v>
      </c>
      <c r="B33" s="213">
        <v>551.9</v>
      </c>
      <c r="C33" s="477">
        <v>7.2817043775756041E-2</v>
      </c>
      <c r="D33" s="213">
        <v>720.82</v>
      </c>
      <c r="E33" s="477">
        <v>1.4282296987350174E-2</v>
      </c>
      <c r="F33" s="213">
        <v>2092.48</v>
      </c>
      <c r="G33" s="477">
        <v>5.9886032670634526E-2</v>
      </c>
    </row>
    <row r="34" spans="1:7" ht="18" customHeight="1" thickBot="1">
      <c r="A34" s="278">
        <v>1999</v>
      </c>
      <c r="B34" s="213">
        <v>566.42999999999995</v>
      </c>
      <c r="C34" s="477">
        <v>2.6327233194419319E-2</v>
      </c>
      <c r="D34" s="213">
        <v>737.62</v>
      </c>
      <c r="E34" s="477">
        <v>2.3306789489747626E-2</v>
      </c>
      <c r="F34" s="213">
        <v>2185.0300000000002</v>
      </c>
      <c r="G34" s="477">
        <v>4.4229813427129727E-2</v>
      </c>
    </row>
    <row r="35" spans="1:7" ht="18" customHeight="1" thickBot="1">
      <c r="A35" s="278">
        <v>2000</v>
      </c>
      <c r="B35" s="213">
        <v>597.91</v>
      </c>
      <c r="C35" s="477">
        <v>5.5576152393058242E-2</v>
      </c>
      <c r="D35" s="213">
        <v>787.29</v>
      </c>
      <c r="E35" s="477">
        <v>6.7338195818985369E-2</v>
      </c>
      <c r="F35" s="213">
        <v>2348.13</v>
      </c>
      <c r="G35" s="477">
        <v>7.4644284060173094E-2</v>
      </c>
    </row>
    <row r="36" spans="1:7" ht="18" customHeight="1" thickBot="1">
      <c r="A36" s="278">
        <v>2001</v>
      </c>
      <c r="B36" s="213">
        <v>627.16</v>
      </c>
      <c r="C36" s="477">
        <v>4.8920406081182755E-2</v>
      </c>
      <c r="D36" s="213">
        <v>820.79</v>
      </c>
      <c r="E36" s="477">
        <v>4.2551029480877522E-2</v>
      </c>
      <c r="F36" s="213">
        <v>2475.4499999999998</v>
      </c>
      <c r="G36" s="477">
        <v>5.4221870169028019E-2</v>
      </c>
    </row>
    <row r="37" spans="1:7" ht="18" customHeight="1" thickBot="1">
      <c r="A37" s="278">
        <v>2002</v>
      </c>
      <c r="B37" s="213">
        <v>640.42999999999995</v>
      </c>
      <c r="C37" s="477">
        <v>2.1158874928247862E-2</v>
      </c>
      <c r="D37" s="213">
        <v>831.97</v>
      </c>
      <c r="E37" s="477">
        <v>1.3621023647949038E-2</v>
      </c>
      <c r="F37" s="213">
        <v>2560.0700000000002</v>
      </c>
      <c r="G37" s="477">
        <v>3.4183683774667406E-2</v>
      </c>
    </row>
    <row r="38" spans="1:7" ht="18" customHeight="1" thickBot="1">
      <c r="A38" s="278">
        <v>2003</v>
      </c>
      <c r="B38" s="213">
        <v>664.36</v>
      </c>
      <c r="C38" s="477">
        <v>3.73655200412224E-2</v>
      </c>
      <c r="D38" s="213">
        <v>853.64</v>
      </c>
      <c r="E38" s="477">
        <v>2.6046612257653479E-2</v>
      </c>
      <c r="F38" s="213">
        <v>2673.16</v>
      </c>
      <c r="G38" s="477">
        <v>4.417457335150976E-2</v>
      </c>
    </row>
    <row r="39" spans="1:7" ht="18" customHeight="1" thickBot="1">
      <c r="A39" s="278">
        <v>2004</v>
      </c>
      <c r="B39" s="213">
        <v>701.54</v>
      </c>
      <c r="C39" s="477">
        <v>5.5963634174242882E-2</v>
      </c>
      <c r="D39" s="213">
        <v>876.55</v>
      </c>
      <c r="E39" s="477">
        <v>2.6838011339674672E-2</v>
      </c>
      <c r="F39" s="213">
        <v>2810.53</v>
      </c>
      <c r="G39" s="477">
        <v>5.1388618713432921E-2</v>
      </c>
    </row>
    <row r="40" spans="1:7" ht="18" customHeight="1" thickBot="1">
      <c r="A40" s="278">
        <v>2005</v>
      </c>
      <c r="B40" s="213">
        <v>754.24</v>
      </c>
      <c r="C40" s="477">
        <v>7.5120449297260361E-2</v>
      </c>
      <c r="D40" s="213">
        <v>890.22</v>
      </c>
      <c r="E40" s="477">
        <v>1.5595231304546209E-2</v>
      </c>
      <c r="F40" s="213">
        <v>2951.91</v>
      </c>
      <c r="G40" s="477">
        <v>5.0303679377199151E-2</v>
      </c>
    </row>
    <row r="41" spans="1:7" ht="18" customHeight="1" thickBot="1">
      <c r="A41" s="278">
        <v>2006</v>
      </c>
      <c r="B41" s="213">
        <v>763.04</v>
      </c>
      <c r="C41" s="477">
        <v>1.1667373780229084E-2</v>
      </c>
      <c r="D41" s="213">
        <v>867.53</v>
      </c>
      <c r="E41" s="477">
        <v>-2.5488081597807355E-2</v>
      </c>
      <c r="F41" s="213">
        <v>2973.8</v>
      </c>
      <c r="G41" s="477">
        <v>7.4155377365843211E-3</v>
      </c>
    </row>
    <row r="42" spans="1:7" ht="18" customHeight="1" thickBot="1">
      <c r="A42" s="278">
        <v>2007</v>
      </c>
      <c r="B42" s="213">
        <v>810.32</v>
      </c>
      <c r="C42" s="477">
        <v>6.1962675613336238E-2</v>
      </c>
      <c r="D42" s="213">
        <v>881.08</v>
      </c>
      <c r="E42" s="477">
        <v>1.5619056401507736E-2</v>
      </c>
      <c r="F42" s="213">
        <v>3078.72</v>
      </c>
      <c r="G42" s="477">
        <v>3.5281458067119464E-2</v>
      </c>
    </row>
    <row r="43" spans="1:7" ht="21" customHeight="1" thickBot="1">
      <c r="A43" s="780">
        <v>2008</v>
      </c>
      <c r="B43" s="442">
        <v>832.01939676998109</v>
      </c>
      <c r="C43" s="777">
        <v>2.6778799449576729E-2</v>
      </c>
      <c r="D43" s="442">
        <v>911.28491306252249</v>
      </c>
      <c r="E43" s="777">
        <v>3.428169185831309E-2</v>
      </c>
      <c r="F43" s="442">
        <v>3207.8085629331267</v>
      </c>
      <c r="G43" s="777">
        <v>4.1929296244259673E-2</v>
      </c>
    </row>
    <row r="44" spans="1:7" ht="15" customHeight="1">
      <c r="A44" s="587" t="s">
        <v>367</v>
      </c>
    </row>
    <row r="46" spans="1:7">
      <c r="A46" s="202" t="s">
        <v>365</v>
      </c>
    </row>
    <row r="48" spans="1:7">
      <c r="A48" s="202" t="s">
        <v>111</v>
      </c>
    </row>
    <row r="49" spans="1:1">
      <c r="A49" s="2" t="s">
        <v>385</v>
      </c>
    </row>
    <row r="50" spans="1:1">
      <c r="A50" s="2" t="s">
        <v>386</v>
      </c>
    </row>
    <row r="53" spans="1:1">
      <c r="A53" s="2" t="s">
        <v>711</v>
      </c>
    </row>
  </sheetData>
  <mergeCells count="1">
    <mergeCell ref="A2:F2"/>
  </mergeCells>
  <phoneticPr fontId="0" type="noConversion"/>
  <pageMargins left="0.56000000000000005" right="0.38" top="0.48" bottom="0.49" header="0.36" footer="0.4921259845"/>
  <pageSetup paperSize="9" scale="67" orientation="portrait" horizontalDpi="1200" verticalDpi="12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77F6-A3EF-E043-94B1-9796CC543BFE}">
  <sheetPr>
    <pageSetUpPr fitToPage="1"/>
  </sheetPr>
  <dimension ref="A1:I17"/>
  <sheetViews>
    <sheetView zoomScale="75" workbookViewId="0">
      <selection activeCell="A13" sqref="A13"/>
    </sheetView>
  </sheetViews>
  <sheetFormatPr baseColWidth="10" defaultColWidth="11.3984375" defaultRowHeight="13"/>
  <cols>
    <col min="1" max="1" width="19.3984375" style="2" customWidth="1"/>
    <col min="2" max="2" width="16.3984375" style="2" customWidth="1"/>
    <col min="3" max="4" width="17.19921875" style="2" customWidth="1"/>
    <col min="5" max="5" width="18.19921875" style="2" customWidth="1"/>
    <col min="6" max="7" width="13.3984375" style="2" customWidth="1"/>
    <col min="8" max="8" width="11.3984375" style="2"/>
    <col min="9" max="9" width="15.796875" style="2" hidden="1" customWidth="1"/>
    <col min="10" max="16384" width="11.3984375" style="2"/>
  </cols>
  <sheetData>
    <row r="1" spans="1:9" ht="14" customHeight="1">
      <c r="A1" s="364"/>
      <c r="B1" s="202"/>
      <c r="C1" s="202"/>
      <c r="D1" s="202"/>
      <c r="E1" s="202"/>
      <c r="F1" s="202"/>
      <c r="G1" s="202"/>
      <c r="I1" s="202"/>
    </row>
    <row r="2" spans="1:9" ht="27.75" customHeight="1">
      <c r="A2" s="298" t="s">
        <v>1472</v>
      </c>
      <c r="B2" s="589"/>
      <c r="C2" s="589"/>
      <c r="D2" s="589"/>
      <c r="E2" s="589"/>
      <c r="F2" s="589"/>
      <c r="G2" s="428">
        <v>2008</v>
      </c>
      <c r="I2" s="202"/>
    </row>
    <row r="3" spans="1:9" ht="24" customHeight="1">
      <c r="A3" s="178" t="s">
        <v>1034</v>
      </c>
      <c r="B3" s="179" t="s">
        <v>1867</v>
      </c>
      <c r="C3" s="180" t="s">
        <v>1868</v>
      </c>
      <c r="D3" s="179" t="s">
        <v>2369</v>
      </c>
      <c r="E3" s="180" t="s">
        <v>164</v>
      </c>
      <c r="F3" s="179" t="s">
        <v>1035</v>
      </c>
      <c r="G3" s="180" t="s">
        <v>2372</v>
      </c>
      <c r="I3" s="180" t="s">
        <v>164</v>
      </c>
    </row>
    <row r="4" spans="1:9" ht="15" customHeight="1">
      <c r="A4" s="274"/>
      <c r="B4" s="182"/>
      <c r="C4" s="183"/>
      <c r="D4" s="182"/>
      <c r="E4" s="245"/>
      <c r="F4" s="182" t="s">
        <v>1036</v>
      </c>
      <c r="G4" s="183" t="s">
        <v>2373</v>
      </c>
      <c r="I4" s="245">
        <v>1999</v>
      </c>
    </row>
    <row r="5" spans="1:9" ht="15" customHeight="1">
      <c r="A5" s="181"/>
      <c r="B5" s="182"/>
      <c r="C5" s="183"/>
      <c r="D5" s="182"/>
      <c r="E5" s="183"/>
      <c r="F5" s="182" t="s">
        <v>1037</v>
      </c>
      <c r="G5" s="183" t="s">
        <v>2377</v>
      </c>
      <c r="I5" s="183"/>
    </row>
    <row r="6" spans="1:9" ht="24" customHeight="1">
      <c r="A6" s="379"/>
      <c r="B6" s="412"/>
      <c r="C6" s="413"/>
      <c r="D6" s="412"/>
      <c r="E6" s="413"/>
      <c r="F6" s="188"/>
      <c r="G6" s="187"/>
      <c r="I6" s="413"/>
    </row>
    <row r="7" spans="1:9" ht="36" customHeight="1" thickBot="1">
      <c r="A7" s="518" t="s">
        <v>1038</v>
      </c>
      <c r="B7" s="233">
        <v>4561382545.6800003</v>
      </c>
      <c r="C7" s="234">
        <v>6866149551.8299999</v>
      </c>
      <c r="D7" s="233">
        <v>930644276.95000005</v>
      </c>
      <c r="E7" s="234">
        <v>12358176374.460001</v>
      </c>
      <c r="F7" s="415">
        <v>0.54388806081735508</v>
      </c>
      <c r="G7" s="416">
        <v>1.0488930902341716E-2</v>
      </c>
      <c r="I7" s="544">
        <v>6794064715</v>
      </c>
    </row>
    <row r="8" spans="1:9" ht="31.5" customHeight="1" thickBot="1">
      <c r="A8" s="518" t="s">
        <v>2242</v>
      </c>
      <c r="B8" s="233">
        <v>2528907487.0500002</v>
      </c>
      <c r="C8" s="234">
        <v>3381177052.9899998</v>
      </c>
      <c r="D8" s="233">
        <v>93746944.969999999</v>
      </c>
      <c r="E8" s="234">
        <v>6003831485.0100002</v>
      </c>
      <c r="F8" s="415">
        <v>0.26423091602776666</v>
      </c>
      <c r="G8" s="416">
        <v>-9.0270678677752143E-3</v>
      </c>
      <c r="I8" s="544">
        <v>5396193285</v>
      </c>
    </row>
    <row r="9" spans="1:9" ht="33" customHeight="1" thickBot="1">
      <c r="A9" s="518" t="s">
        <v>2243</v>
      </c>
      <c r="B9" s="233">
        <v>5695714.9900000002</v>
      </c>
      <c r="C9" s="234">
        <v>4415807.46</v>
      </c>
      <c r="D9" s="233">
        <v>65046.46</v>
      </c>
      <c r="E9" s="234">
        <v>10176568.91</v>
      </c>
      <c r="F9" s="415">
        <v>4.4787468332890958E-4</v>
      </c>
      <c r="G9" s="416">
        <v>0.12915126519874021</v>
      </c>
      <c r="I9" s="544">
        <v>15330070</v>
      </c>
    </row>
    <row r="10" spans="1:9" ht="34.5" customHeight="1" thickBot="1">
      <c r="A10" s="518" t="s">
        <v>94</v>
      </c>
      <c r="B10" s="233">
        <v>1629996944.4100001</v>
      </c>
      <c r="C10" s="234">
        <v>2340163183.0799999</v>
      </c>
      <c r="D10" s="233">
        <v>379566926.93000001</v>
      </c>
      <c r="E10" s="234">
        <v>4349727054.4200001</v>
      </c>
      <c r="F10" s="415">
        <v>0.19143314847022916</v>
      </c>
      <c r="G10" s="416">
        <v>0.32562856212240293</v>
      </c>
      <c r="I10" s="544">
        <v>828254703</v>
      </c>
    </row>
    <row r="11" spans="1:9" s="354" customFormat="1" ht="38.25" customHeight="1" thickBot="1">
      <c r="A11" s="423" t="s">
        <v>164</v>
      </c>
      <c r="B11" s="424">
        <v>8725982692.1399994</v>
      </c>
      <c r="C11" s="425">
        <v>12591905595.389999</v>
      </c>
      <c r="D11" s="424">
        <v>1404023195.3</v>
      </c>
      <c r="E11" s="425">
        <v>22721911482.829998</v>
      </c>
      <c r="F11" s="545">
        <v>1</v>
      </c>
      <c r="G11" s="523">
        <v>5.2979243670619874E-2</v>
      </c>
      <c r="I11" s="546">
        <v>13033842773</v>
      </c>
    </row>
    <row r="12" spans="1:9" ht="19.5" customHeight="1">
      <c r="A12" s="201" t="s">
        <v>764</v>
      </c>
      <c r="B12" s="201"/>
      <c r="C12" s="201"/>
      <c r="D12" s="201"/>
      <c r="E12" s="201"/>
      <c r="F12" s="201"/>
      <c r="G12" s="201"/>
      <c r="I12" s="201"/>
    </row>
    <row r="14" spans="1:9">
      <c r="A14" s="2" t="s">
        <v>1473</v>
      </c>
    </row>
    <row r="17" spans="1:1">
      <c r="A17" s="2" t="s">
        <v>711</v>
      </c>
    </row>
  </sheetData>
  <phoneticPr fontId="0" type="noConversion"/>
  <pageMargins left="0.57999999999999996" right="0.63" top="1.01" bottom="0.49" header="0.59" footer="0.4921259845"/>
  <pageSetup paperSize="9" scale="78" orientation="portrait" horizontalDpi="4294967292" verticalDpi="4294967292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8649-F83E-7F4A-8E9F-DA905E2BCF7A}">
  <sheetPr>
    <pageSetUpPr fitToPage="1"/>
  </sheetPr>
  <dimension ref="A1:G20"/>
  <sheetViews>
    <sheetView topLeftCell="A3" zoomScale="75" workbookViewId="0">
      <selection activeCell="A20" sqref="A20"/>
    </sheetView>
  </sheetViews>
  <sheetFormatPr baseColWidth="10" defaultColWidth="11.3984375" defaultRowHeight="13"/>
  <cols>
    <col min="1" max="1" width="20.59765625" style="2" customWidth="1"/>
    <col min="2" max="6" width="14.796875" style="2" customWidth="1"/>
    <col min="7" max="7" width="14.59765625" style="2" customWidth="1"/>
    <col min="8" max="8" width="10.3984375" style="2" customWidth="1"/>
    <col min="9" max="16384" width="11.3984375" style="2"/>
  </cols>
  <sheetData>
    <row r="1" spans="1:7" ht="14" customHeight="1">
      <c r="A1" s="364"/>
      <c r="B1" s="202"/>
      <c r="C1" s="202"/>
      <c r="D1" s="202"/>
      <c r="E1" s="202"/>
      <c r="F1" s="202"/>
      <c r="G1" s="202"/>
    </row>
    <row r="2" spans="1:7" ht="28.5" customHeight="1">
      <c r="A2" s="2017" t="s">
        <v>1474</v>
      </c>
      <c r="B2" s="2021"/>
      <c r="C2" s="2021"/>
      <c r="D2" s="2021"/>
      <c r="E2" s="2021"/>
      <c r="F2" s="2021"/>
      <c r="G2" s="428">
        <v>2008</v>
      </c>
    </row>
    <row r="3" spans="1:7" ht="24" customHeight="1">
      <c r="A3" s="178" t="s">
        <v>1478</v>
      </c>
      <c r="B3" s="179" t="s">
        <v>1867</v>
      </c>
      <c r="C3" s="180" t="s">
        <v>1868</v>
      </c>
      <c r="D3" s="179" t="s">
        <v>2369</v>
      </c>
      <c r="E3" s="180" t="s">
        <v>164</v>
      </c>
      <c r="F3" s="179" t="s">
        <v>91</v>
      </c>
      <c r="G3" s="180" t="s">
        <v>2372</v>
      </c>
    </row>
    <row r="4" spans="1:7" ht="15" customHeight="1">
      <c r="A4" s="274"/>
      <c r="B4" s="182"/>
      <c r="C4" s="183"/>
      <c r="D4" s="182"/>
      <c r="E4" s="245"/>
      <c r="F4" s="182" t="s">
        <v>92</v>
      </c>
      <c r="G4" s="183" t="s">
        <v>2373</v>
      </c>
    </row>
    <row r="5" spans="1:7" ht="15" customHeight="1">
      <c r="A5" s="181"/>
      <c r="B5" s="182"/>
      <c r="C5" s="183"/>
      <c r="D5" s="182"/>
      <c r="E5" s="183"/>
      <c r="F5" s="182" t="s">
        <v>93</v>
      </c>
      <c r="G5" s="183" t="s">
        <v>2377</v>
      </c>
    </row>
    <row r="6" spans="1:7" ht="24" customHeight="1">
      <c r="A6" s="379"/>
      <c r="B6" s="412"/>
      <c r="C6" s="413"/>
      <c r="D6" s="412"/>
      <c r="E6" s="413"/>
      <c r="F6" s="188"/>
      <c r="G6" s="187"/>
    </row>
    <row r="7" spans="1:7" ht="37.5" customHeight="1" thickBot="1">
      <c r="A7" s="518" t="s">
        <v>1038</v>
      </c>
      <c r="B7" s="233">
        <v>5163.8999999999996</v>
      </c>
      <c r="C7" s="234">
        <v>5951.53</v>
      </c>
      <c r="D7" s="233">
        <v>1030.8800000000001</v>
      </c>
      <c r="E7" s="234">
        <v>4193.12</v>
      </c>
      <c r="F7" s="233">
        <v>1209.5</v>
      </c>
      <c r="G7" s="416">
        <v>7.4172938687051368E-2</v>
      </c>
    </row>
    <row r="8" spans="1:7" ht="34.5" customHeight="1" thickBot="1">
      <c r="A8" s="518" t="s">
        <v>2242</v>
      </c>
      <c r="B8" s="233">
        <v>2124.25</v>
      </c>
      <c r="C8" s="234">
        <v>3139.33</v>
      </c>
      <c r="D8" s="233">
        <v>792.08</v>
      </c>
      <c r="E8" s="234">
        <v>2525.2199999999998</v>
      </c>
      <c r="F8" s="233">
        <v>-458.4</v>
      </c>
      <c r="G8" s="416">
        <v>6.9641351908878671E-2</v>
      </c>
    </row>
    <row r="9" spans="1:7" ht="35.25" customHeight="1" thickBot="1">
      <c r="A9" s="518" t="s">
        <v>2243</v>
      </c>
      <c r="B9" s="233">
        <v>1352.74</v>
      </c>
      <c r="C9" s="234">
        <v>1962.97</v>
      </c>
      <c r="D9" s="233">
        <v>845.44</v>
      </c>
      <c r="E9" s="234">
        <v>1563.03</v>
      </c>
      <c r="F9" s="233">
        <v>-1420.59</v>
      </c>
      <c r="G9" s="416">
        <v>0.19092536858546985</v>
      </c>
    </row>
    <row r="10" spans="1:7" ht="34.5" customHeight="1" thickBot="1">
      <c r="A10" s="518" t="s">
        <v>94</v>
      </c>
      <c r="B10" s="233">
        <v>1835.27</v>
      </c>
      <c r="C10" s="234">
        <v>2575.09</v>
      </c>
      <c r="D10" s="233">
        <v>780.28</v>
      </c>
      <c r="E10" s="234">
        <v>1904.22</v>
      </c>
      <c r="F10" s="233">
        <v>-1079.4000000000001</v>
      </c>
      <c r="G10" s="416">
        <v>6.2842216305822027E-2</v>
      </c>
    </row>
    <row r="11" spans="1:7" ht="36" customHeight="1" thickBot="1">
      <c r="A11" s="423" t="s">
        <v>164</v>
      </c>
      <c r="B11" s="424">
        <v>2941.83</v>
      </c>
      <c r="C11" s="425">
        <v>4007.95</v>
      </c>
      <c r="D11" s="424">
        <v>931.27</v>
      </c>
      <c r="E11" s="425">
        <v>2983.62</v>
      </c>
      <c r="F11" s="424">
        <v>0</v>
      </c>
      <c r="G11" s="523">
        <v>4.2199796703239104E-2</v>
      </c>
    </row>
    <row r="12" spans="1:7" ht="19.5" customHeight="1">
      <c r="A12" s="201" t="s">
        <v>764</v>
      </c>
      <c r="B12" s="201"/>
      <c r="C12" s="201"/>
      <c r="D12" s="201"/>
      <c r="E12" s="201"/>
      <c r="F12" s="201"/>
      <c r="G12" s="201"/>
    </row>
    <row r="14" spans="1:7">
      <c r="A14" s="2" t="s">
        <v>1475</v>
      </c>
    </row>
    <row r="16" spans="1:7">
      <c r="A16" s="2" t="s">
        <v>1476</v>
      </c>
    </row>
    <row r="17" spans="1:1">
      <c r="A17" s="2" t="s">
        <v>1477</v>
      </c>
    </row>
    <row r="20" spans="1:1">
      <c r="A20" s="2" t="s">
        <v>711</v>
      </c>
    </row>
  </sheetData>
  <mergeCells count="1">
    <mergeCell ref="A2:F2"/>
  </mergeCells>
  <phoneticPr fontId="0" type="noConversion"/>
  <pageMargins left="0.57999999999999996" right="0.53" top="1.01" bottom="0.49" header="0.59" footer="0.4921259845"/>
  <pageSetup paperSize="9" scale="76" orientation="portrait" horizontalDpi="4294967292" verticalDpi="4294967292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820E-4E35-2847-AC96-B54977FC08AD}">
  <sheetPr>
    <pageSetUpPr fitToPage="1"/>
  </sheetPr>
  <dimension ref="A1:B18"/>
  <sheetViews>
    <sheetView workbookViewId="0">
      <selection activeCell="B11" sqref="B11"/>
    </sheetView>
  </sheetViews>
  <sheetFormatPr baseColWidth="10" defaultColWidth="11.3984375" defaultRowHeight="13"/>
  <cols>
    <col min="1" max="1" width="5.59765625" style="135" customWidth="1"/>
    <col min="2" max="16384" width="11.3984375" style="135"/>
  </cols>
  <sheetData>
    <row r="1" spans="1:2" ht="16">
      <c r="A1" s="134" t="s">
        <v>1452</v>
      </c>
    </row>
    <row r="2" spans="1:2" ht="16">
      <c r="A2" s="134"/>
    </row>
    <row r="3" spans="1:2">
      <c r="A3" s="136">
        <v>3.01</v>
      </c>
      <c r="B3" s="137" t="s">
        <v>149</v>
      </c>
    </row>
    <row r="4" spans="1:2">
      <c r="A4" s="136">
        <v>3.02</v>
      </c>
      <c r="B4" s="776" t="s">
        <v>1005</v>
      </c>
    </row>
    <row r="5" spans="1:2">
      <c r="A5" s="136">
        <v>3.03</v>
      </c>
      <c r="B5" s="776" t="s">
        <v>1010</v>
      </c>
    </row>
    <row r="6" spans="1:2">
      <c r="A6" s="136">
        <v>3.04</v>
      </c>
      <c r="B6" s="776" t="s">
        <v>1006</v>
      </c>
    </row>
    <row r="7" spans="1:2">
      <c r="A7" s="136">
        <v>3.05</v>
      </c>
      <c r="B7" s="376" t="s">
        <v>1007</v>
      </c>
    </row>
    <row r="8" spans="1:2">
      <c r="A8" s="136">
        <v>3.06</v>
      </c>
      <c r="B8" s="376" t="s">
        <v>1008</v>
      </c>
    </row>
    <row r="9" spans="1:2">
      <c r="A9" s="136">
        <v>3.07</v>
      </c>
      <c r="B9" s="376" t="s">
        <v>1009</v>
      </c>
    </row>
    <row r="10" spans="1:2">
      <c r="A10" s="136">
        <v>3.08</v>
      </c>
      <c r="B10" s="136" t="s">
        <v>146</v>
      </c>
    </row>
    <row r="11" spans="1:2">
      <c r="A11" s="136">
        <v>3.09</v>
      </c>
      <c r="B11" s="136" t="s">
        <v>147</v>
      </c>
    </row>
    <row r="12" spans="1:2">
      <c r="A12" s="138" t="s">
        <v>1414</v>
      </c>
      <c r="B12" s="136" t="s">
        <v>1459</v>
      </c>
    </row>
    <row r="13" spans="1:2">
      <c r="A13" s="136">
        <v>3.11</v>
      </c>
      <c r="B13" s="136" t="s">
        <v>1460</v>
      </c>
    </row>
    <row r="14" spans="1:2">
      <c r="A14" s="136">
        <v>3.12</v>
      </c>
      <c r="B14" s="136" t="s">
        <v>148</v>
      </c>
    </row>
    <row r="15" spans="1:2">
      <c r="A15" s="376">
        <v>3.13</v>
      </c>
      <c r="B15" s="376" t="s">
        <v>856</v>
      </c>
    </row>
    <row r="16" spans="1:2">
      <c r="A16" s="136"/>
      <c r="B16" s="136"/>
    </row>
    <row r="17" spans="1:2">
      <c r="A17" s="136"/>
      <c r="B17" s="136"/>
    </row>
    <row r="18" spans="1:2">
      <c r="A18" s="139" t="s">
        <v>711</v>
      </c>
    </row>
  </sheetData>
  <phoneticPr fontId="30" type="noConversion"/>
  <pageMargins left="0.57999999999999996" right="0.6" top="0.65" bottom="0.984251969" header="0.34" footer="0.4921259845"/>
  <pageSetup paperSize="9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260D-465C-A54F-B7B7-BFF5ACC9B352}">
  <sheetPr>
    <pageSetUpPr fitToPage="1"/>
  </sheetPr>
  <dimension ref="A1:L41"/>
  <sheetViews>
    <sheetView topLeftCell="A16" zoomScale="75" workbookViewId="0">
      <selection activeCell="A20" sqref="A20:IV20"/>
    </sheetView>
  </sheetViews>
  <sheetFormatPr baseColWidth="10" defaultColWidth="11.3984375" defaultRowHeight="13"/>
  <cols>
    <col min="1" max="1" width="14.3984375" style="2" customWidth="1"/>
    <col min="2" max="2" width="16.796875" style="2" customWidth="1"/>
    <col min="3" max="5" width="15.3984375" style="2" customWidth="1"/>
    <col min="6" max="6" width="15.3984375" style="537" customWidth="1"/>
    <col min="7" max="7" width="15.3984375" style="2" customWidth="1"/>
    <col min="8" max="16384" width="11.3984375" style="2"/>
  </cols>
  <sheetData>
    <row r="1" spans="1:11" s="1" customFormat="1" ht="14" customHeight="1">
      <c r="F1" s="547"/>
    </row>
    <row r="2" spans="1:11" s="1" customFormat="1" ht="30" customHeight="1">
      <c r="A2" s="177" t="s">
        <v>1808</v>
      </c>
      <c r="F2" s="547"/>
      <c r="G2" s="428"/>
    </row>
    <row r="3" spans="1:11" ht="24" customHeight="1">
      <c r="A3" s="178" t="s">
        <v>821</v>
      </c>
      <c r="B3" s="179" t="s">
        <v>2371</v>
      </c>
      <c r="C3" s="180" t="s">
        <v>2372</v>
      </c>
      <c r="D3" s="179" t="s">
        <v>2370</v>
      </c>
      <c r="E3" s="180" t="s">
        <v>2372</v>
      </c>
      <c r="F3" s="179" t="s">
        <v>2369</v>
      </c>
      <c r="G3" s="180" t="s">
        <v>2372</v>
      </c>
    </row>
    <row r="4" spans="1:11" ht="15" customHeight="1">
      <c r="A4" s="274"/>
      <c r="B4" s="209" t="s">
        <v>1809</v>
      </c>
      <c r="C4" s="183" t="s">
        <v>2373</v>
      </c>
      <c r="D4" s="209" t="s">
        <v>2371</v>
      </c>
      <c r="E4" s="183" t="s">
        <v>2373</v>
      </c>
      <c r="F4" s="209" t="s">
        <v>1810</v>
      </c>
      <c r="G4" s="183" t="s">
        <v>2373</v>
      </c>
    </row>
    <row r="5" spans="1:11" ht="15" customHeight="1">
      <c r="A5" s="274"/>
      <c r="B5" s="182"/>
      <c r="C5" s="183" t="s">
        <v>2377</v>
      </c>
      <c r="D5" s="209" t="s">
        <v>1811</v>
      </c>
      <c r="E5" s="183" t="s">
        <v>2377</v>
      </c>
      <c r="F5" s="551"/>
      <c r="G5" s="183" t="s">
        <v>2377</v>
      </c>
    </row>
    <row r="6" spans="1:11" ht="24" customHeight="1">
      <c r="A6" s="275"/>
      <c r="B6" s="188"/>
      <c r="C6" s="187"/>
      <c r="D6" s="188"/>
      <c r="E6" s="187"/>
      <c r="F6" s="552"/>
      <c r="G6" s="187"/>
    </row>
    <row r="7" spans="1:11" ht="23.25" customHeight="1" thickBot="1">
      <c r="A7" s="276">
        <v>1996</v>
      </c>
      <c r="B7" s="907">
        <v>173.08</v>
      </c>
      <c r="C7" s="212" t="s">
        <v>1301</v>
      </c>
      <c r="D7" s="907">
        <v>114.73041951160255</v>
      </c>
      <c r="E7" s="212" t="s">
        <v>1301</v>
      </c>
      <c r="F7" s="907">
        <v>47.723529089864961</v>
      </c>
      <c r="G7" s="212" t="s">
        <v>1301</v>
      </c>
    </row>
    <row r="8" spans="1:11" ht="20" customHeight="1" thickBot="1">
      <c r="A8" s="278">
        <v>1997</v>
      </c>
      <c r="B8" s="852">
        <v>188.06152293360134</v>
      </c>
      <c r="C8" s="214">
        <v>8.6558371467537087E-2</v>
      </c>
      <c r="D8" s="852">
        <v>124.66129778231421</v>
      </c>
      <c r="E8" s="214">
        <v>8.6558371467537087E-2</v>
      </c>
      <c r="F8" s="852">
        <v>51.854400048567307</v>
      </c>
      <c r="G8" s="214">
        <v>8.6558371467537087E-2</v>
      </c>
      <c r="I8" s="8"/>
      <c r="J8" s="8"/>
      <c r="K8" s="8"/>
    </row>
    <row r="9" spans="1:11" ht="20" customHeight="1" thickBot="1">
      <c r="A9" s="278">
        <v>1998</v>
      </c>
      <c r="B9" s="852">
        <v>197.28646689698576</v>
      </c>
      <c r="C9" s="214">
        <v>4.9052798358128147E-2</v>
      </c>
      <c r="D9" s="852">
        <v>125.29607374124997</v>
      </c>
      <c r="E9" s="214">
        <v>5.0920050587330845E-3</v>
      </c>
      <c r="F9" s="852">
        <v>51.799576777497641</v>
      </c>
      <c r="G9" s="214">
        <v>-1.0572539845860041E-3</v>
      </c>
    </row>
    <row r="10" spans="1:11" ht="20" customHeight="1" thickBot="1">
      <c r="A10" s="278">
        <v>1999</v>
      </c>
      <c r="B10" s="852">
        <v>203.88952141156713</v>
      </c>
      <c r="C10" s="214">
        <v>3.3469373842196726E-2</v>
      </c>
      <c r="D10" s="852">
        <v>130.21886901362492</v>
      </c>
      <c r="E10" s="214">
        <v>3.9289301934081866E-2</v>
      </c>
      <c r="F10" s="852">
        <v>53.348085764350309</v>
      </c>
      <c r="G10" s="214">
        <v>2.9894240130652117E-2</v>
      </c>
    </row>
    <row r="11" spans="1:11" ht="20" customHeight="1" thickBot="1">
      <c r="A11" s="278">
        <v>2000</v>
      </c>
      <c r="B11" s="852">
        <v>211.67614847185897</v>
      </c>
      <c r="C11" s="214">
        <v>3.8190422962315562E-2</v>
      </c>
      <c r="D11" s="852">
        <v>134.7191420153035</v>
      </c>
      <c r="E11" s="214">
        <v>3.4559300320813779E-2</v>
      </c>
      <c r="F11" s="852">
        <v>55.173206027906794</v>
      </c>
      <c r="G11" s="214">
        <v>3.4211541752752428E-2</v>
      </c>
    </row>
    <row r="12" spans="1:11" ht="20" customHeight="1" thickBot="1">
      <c r="A12" s="278">
        <v>2001</v>
      </c>
      <c r="B12" s="852">
        <v>223.27</v>
      </c>
      <c r="C12" s="214">
        <v>5.4771648160833575E-2</v>
      </c>
      <c r="D12" s="852">
        <v>149.77000000000001</v>
      </c>
      <c r="E12" s="214">
        <v>0.11172026305650617</v>
      </c>
      <c r="F12" s="852">
        <v>57.65</v>
      </c>
      <c r="G12" s="214">
        <v>4.4891246139302288E-2</v>
      </c>
    </row>
    <row r="13" spans="1:11" ht="20" customHeight="1" thickBot="1">
      <c r="A13" s="278">
        <v>2002</v>
      </c>
      <c r="B13" s="852">
        <v>245.01247000000001</v>
      </c>
      <c r="C13" s="214">
        <v>9.7381959063017831E-2</v>
      </c>
      <c r="D13" s="852">
        <v>172.20867000000001</v>
      </c>
      <c r="E13" s="214">
        <v>0.14982085864992989</v>
      </c>
      <c r="F13" s="852">
        <v>63.127989999999997</v>
      </c>
      <c r="G13" s="214">
        <v>9.502150910667817E-2</v>
      </c>
    </row>
    <row r="14" spans="1:11" ht="20" customHeight="1" thickBot="1">
      <c r="A14" s="278">
        <v>2003</v>
      </c>
      <c r="B14" s="852">
        <v>268.54743999999999</v>
      </c>
      <c r="C14" s="214">
        <v>9.6056212975608846E-2</v>
      </c>
      <c r="D14" s="852">
        <v>198.72591</v>
      </c>
      <c r="E14" s="214">
        <v>0.15398318795447397</v>
      </c>
      <c r="F14" s="852">
        <v>68.990499999999997</v>
      </c>
      <c r="G14" s="214">
        <v>9.2867046772754813E-2</v>
      </c>
    </row>
    <row r="15" spans="1:11" ht="20" customHeight="1" thickBot="1">
      <c r="A15" s="278">
        <v>2004</v>
      </c>
      <c r="B15" s="852">
        <v>279.98</v>
      </c>
      <c r="C15" s="214">
        <v>4.2571845034158562E-2</v>
      </c>
      <c r="D15" s="852">
        <v>213.29</v>
      </c>
      <c r="E15" s="214">
        <v>7.3287323228259371E-2</v>
      </c>
      <c r="F15" s="852">
        <v>71.84</v>
      </c>
      <c r="G15" s="214">
        <v>4.1302788065023632E-2</v>
      </c>
    </row>
    <row r="16" spans="1:11" ht="20" customHeight="1" thickBot="1">
      <c r="A16" s="278">
        <v>2005</v>
      </c>
      <c r="B16" s="852">
        <v>290.21806622890591</v>
      </c>
      <c r="C16" s="214">
        <v>3.6567134184248395E-2</v>
      </c>
      <c r="D16" s="852">
        <v>225.09346768269774</v>
      </c>
      <c r="E16" s="214">
        <v>5.5339995699272171E-2</v>
      </c>
      <c r="F16" s="852">
        <v>71.95510451056029</v>
      </c>
      <c r="G16" s="214">
        <v>1.6022342784003385E-3</v>
      </c>
    </row>
    <row r="17" spans="1:12" ht="20" customHeight="1" thickBot="1">
      <c r="A17" s="278">
        <v>2006</v>
      </c>
      <c r="B17" s="852">
        <v>306.40836181971781</v>
      </c>
      <c r="C17" s="214">
        <v>5.5786656568933335E-2</v>
      </c>
      <c r="D17" s="852">
        <v>241.17388660184943</v>
      </c>
      <c r="E17" s="214">
        <v>7.1438851978678608E-2</v>
      </c>
      <c r="F17" s="852">
        <v>74.466353915536445</v>
      </c>
      <c r="G17" s="214">
        <v>3.4900225940295959E-2</v>
      </c>
    </row>
    <row r="18" spans="1:12" ht="20" customHeight="1" thickBot="1">
      <c r="A18" s="278">
        <v>2007</v>
      </c>
      <c r="B18" s="852">
        <v>313.01044236889447</v>
      </c>
      <c r="C18" s="214">
        <v>2.1546672257792832E-2</v>
      </c>
      <c r="D18" s="852">
        <v>246.30400307180668</v>
      </c>
      <c r="E18" s="214">
        <v>2.1271442535677476E-2</v>
      </c>
      <c r="F18" s="852">
        <v>75.718485025980357</v>
      </c>
      <c r="G18" s="214">
        <v>1.6814722953458094E-2</v>
      </c>
    </row>
    <row r="19" spans="1:12" ht="20" customHeight="1" thickBot="1">
      <c r="A19" s="278">
        <v>2008</v>
      </c>
      <c r="B19" s="852">
        <v>314.60604194243149</v>
      </c>
      <c r="C19" s="214">
        <v>5.097592148879615E-3</v>
      </c>
      <c r="D19" s="852">
        <v>248.01478980217522</v>
      </c>
      <c r="E19" s="214">
        <v>6.9458340466752588E-3</v>
      </c>
      <c r="F19" s="852">
        <v>75.260357578802569</v>
      </c>
      <c r="G19" s="214">
        <v>-6.0504042971883942E-3</v>
      </c>
    </row>
    <row r="20" spans="1:12" ht="20" customHeight="1" thickBot="1">
      <c r="A20" s="278">
        <v>2009</v>
      </c>
      <c r="B20" s="852">
        <v>322.86486279268746</v>
      </c>
      <c r="C20" s="214">
        <v>2.6251310366655956E-2</v>
      </c>
      <c r="D20" s="852">
        <v>258.51834876494348</v>
      </c>
      <c r="E20" s="214">
        <v>4.2350534704588494E-2</v>
      </c>
      <c r="F20" s="852">
        <v>76.359591370012836</v>
      </c>
      <c r="G20" s="214">
        <v>1.4605747654856671E-2</v>
      </c>
    </row>
    <row r="21" spans="1:12" ht="30" customHeight="1" thickBot="1">
      <c r="A21" s="429">
        <v>2010</v>
      </c>
      <c r="B21" s="908">
        <v>351.05082991253505</v>
      </c>
      <c r="C21" s="216">
        <v>8.7299580623444673E-2</v>
      </c>
      <c r="D21" s="908">
        <v>293.85185032818998</v>
      </c>
      <c r="E21" s="216">
        <v>0.13667695825867021</v>
      </c>
      <c r="F21" s="908">
        <v>84.027090196386368</v>
      </c>
      <c r="G21" s="216">
        <v>0.10041304162065789</v>
      </c>
    </row>
    <row r="22" spans="1:12" ht="20" customHeight="1">
      <c r="A22" s="201" t="s">
        <v>1870</v>
      </c>
      <c r="B22" s="201"/>
      <c r="C22" s="201"/>
      <c r="D22" s="201"/>
      <c r="E22" s="201"/>
      <c r="F22" s="524"/>
      <c r="G22" s="201"/>
    </row>
    <row r="23" spans="1:12" ht="14.25" customHeight="1">
      <c r="A23" s="202"/>
      <c r="B23" s="202"/>
      <c r="C23" s="202"/>
      <c r="D23" s="202"/>
      <c r="E23" s="202"/>
      <c r="F23" s="525"/>
      <c r="G23" s="202"/>
    </row>
    <row r="24" spans="1:12" ht="14.25" customHeight="1">
      <c r="A24" s="202" t="s">
        <v>2412</v>
      </c>
      <c r="B24" s="586"/>
      <c r="C24" s="586"/>
      <c r="D24" s="586"/>
      <c r="E24" s="586"/>
      <c r="F24" s="586"/>
      <c r="G24" s="586"/>
      <c r="H24" s="586"/>
      <c r="I24" s="651"/>
    </row>
    <row r="25" spans="1:12" ht="20" customHeight="1">
      <c r="A25" s="202"/>
      <c r="B25" s="586"/>
      <c r="C25" s="586"/>
      <c r="D25" s="586"/>
      <c r="E25" s="586"/>
      <c r="F25" s="586"/>
      <c r="G25" s="586"/>
      <c r="H25" s="586"/>
      <c r="I25" s="651"/>
    </row>
    <row r="26" spans="1:12" ht="20" customHeight="1">
      <c r="A26" s="2" t="s">
        <v>2413</v>
      </c>
      <c r="B26" s="586"/>
      <c r="C26" s="586"/>
      <c r="D26" s="586"/>
      <c r="E26" s="586"/>
      <c r="F26" s="586"/>
      <c r="G26" s="586"/>
      <c r="H26" s="586"/>
      <c r="I26" s="651"/>
      <c r="J26" s="909" t="s">
        <v>2414</v>
      </c>
      <c r="K26" s="909"/>
      <c r="L26" s="909"/>
    </row>
    <row r="27" spans="1:12" ht="12.75" customHeight="1">
      <c r="A27" s="202" t="s">
        <v>1812</v>
      </c>
      <c r="B27" s="586"/>
      <c r="C27" s="586"/>
      <c r="D27" s="586"/>
      <c r="E27" s="586"/>
      <c r="F27" s="586"/>
      <c r="G27" s="586"/>
      <c r="H27" s="586"/>
      <c r="I27" s="651"/>
    </row>
    <row r="28" spans="1:12">
      <c r="A28" s="2" t="s">
        <v>1813</v>
      </c>
      <c r="F28" s="2"/>
    </row>
    <row r="29" spans="1:12">
      <c r="A29" s="2" t="s">
        <v>2415</v>
      </c>
      <c r="F29" s="2"/>
    </row>
    <row r="30" spans="1:12">
      <c r="A30" s="2" t="s">
        <v>2416</v>
      </c>
      <c r="F30" s="2"/>
    </row>
    <row r="31" spans="1:12">
      <c r="A31" s="2" t="s">
        <v>2417</v>
      </c>
      <c r="F31" s="2"/>
    </row>
    <row r="32" spans="1:12">
      <c r="A32" s="202" t="s">
        <v>2418</v>
      </c>
      <c r="F32" s="2"/>
    </row>
    <row r="33" spans="1:6">
      <c r="A33" s="202" t="s">
        <v>2419</v>
      </c>
      <c r="F33" s="2"/>
    </row>
    <row r="34" spans="1:6">
      <c r="A34" s="910" t="s">
        <v>2420</v>
      </c>
      <c r="F34" s="2"/>
    </row>
    <row r="35" spans="1:6">
      <c r="A35" s="2" t="s">
        <v>2421</v>
      </c>
      <c r="F35" s="2"/>
    </row>
    <row r="36" spans="1:6">
      <c r="A36" s="2" t="s">
        <v>2422</v>
      </c>
      <c r="F36" s="2"/>
    </row>
    <row r="37" spans="1:6">
      <c r="A37" s="2" t="s">
        <v>1806</v>
      </c>
      <c r="F37" s="2"/>
    </row>
    <row r="38" spans="1:6">
      <c r="A38" s="910" t="s">
        <v>1807</v>
      </c>
      <c r="F38" s="2"/>
    </row>
    <row r="41" spans="1:6">
      <c r="A41" s="2" t="s">
        <v>711</v>
      </c>
    </row>
  </sheetData>
  <phoneticPr fontId="0" type="noConversion"/>
  <pageMargins left="0.57999999999999996" right="0.69" top="0.94" bottom="0.49" header="0.53" footer="0.4921259845"/>
  <pageSetup paperSize="9" scale="74" orientation="portrait" horizontalDpi="4294967292" verticalDpi="4294967292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86DA-E7D7-6846-A186-36B05EEF49F3}">
  <sheetPr>
    <pageSetUpPr fitToPage="1"/>
  </sheetPr>
  <dimension ref="A1:L45"/>
  <sheetViews>
    <sheetView topLeftCell="A24" zoomScale="75" workbookViewId="0">
      <selection activeCell="J42" sqref="J42:L42"/>
    </sheetView>
  </sheetViews>
  <sheetFormatPr baseColWidth="10" defaultColWidth="11.3984375" defaultRowHeight="13"/>
  <cols>
    <col min="1" max="1" width="15.19921875" style="2" customWidth="1"/>
    <col min="2" max="6" width="15.796875" style="2" customWidth="1"/>
    <col min="7" max="7" width="14.3984375" style="2" customWidth="1"/>
    <col min="8" max="8" width="14.19921875" style="2" customWidth="1"/>
    <col min="9" max="16384" width="11.3984375" style="2"/>
  </cols>
  <sheetData>
    <row r="1" spans="1:8" s="1" customFormat="1" ht="14" customHeight="1">
      <c r="A1" s="360"/>
      <c r="B1" s="360"/>
      <c r="C1" s="360"/>
      <c r="D1" s="360"/>
      <c r="E1" s="360"/>
      <c r="F1" s="360"/>
    </row>
    <row r="2" spans="1:8" s="1" customFormat="1" ht="23.25" customHeight="1">
      <c r="A2" s="596" t="s">
        <v>1824</v>
      </c>
      <c r="B2" s="360"/>
      <c r="C2" s="360"/>
      <c r="D2" s="360"/>
      <c r="E2" s="360"/>
      <c r="F2" s="360"/>
    </row>
    <row r="3" spans="1:8" s="1" customFormat="1" ht="27.75" customHeight="1">
      <c r="A3" s="596" t="s">
        <v>2512</v>
      </c>
      <c r="B3" s="360"/>
      <c r="C3" s="360"/>
      <c r="D3" s="360"/>
      <c r="E3" s="360"/>
      <c r="F3" s="360"/>
    </row>
    <row r="4" spans="1:8" ht="16.5" customHeight="1">
      <c r="A4" s="178" t="s">
        <v>2368</v>
      </c>
      <c r="B4" s="880" t="s">
        <v>1814</v>
      </c>
      <c r="C4" s="881" t="s">
        <v>1815</v>
      </c>
      <c r="D4" s="880" t="s">
        <v>1816</v>
      </c>
      <c r="E4" s="881" t="s">
        <v>1817</v>
      </c>
      <c r="F4" s="880" t="s">
        <v>1825</v>
      </c>
      <c r="G4" s="911" t="s">
        <v>2372</v>
      </c>
      <c r="H4" s="912" t="s">
        <v>1818</v>
      </c>
    </row>
    <row r="5" spans="1:8" ht="16.5" customHeight="1">
      <c r="A5" s="274"/>
      <c r="B5" s="882"/>
      <c r="C5" s="883"/>
      <c r="D5" s="882"/>
      <c r="E5" s="883"/>
      <c r="F5" s="882"/>
      <c r="G5" s="913" t="s">
        <v>2373</v>
      </c>
      <c r="H5" s="914" t="s">
        <v>1819</v>
      </c>
    </row>
    <row r="6" spans="1:8" ht="16.5" customHeight="1">
      <c r="A6" s="599"/>
      <c r="B6" s="436"/>
      <c r="C6" s="920"/>
      <c r="D6" s="436"/>
      <c r="E6" s="920"/>
      <c r="F6" s="921"/>
      <c r="G6" s="922" t="s">
        <v>2377</v>
      </c>
      <c r="H6" s="923" t="s">
        <v>1820</v>
      </c>
    </row>
    <row r="7" spans="1:8" ht="16.5" customHeight="1">
      <c r="A7" s="275"/>
      <c r="B7" s="188"/>
      <c r="C7" s="187"/>
      <c r="D7" s="188"/>
      <c r="E7" s="187"/>
      <c r="F7" s="210"/>
      <c r="G7" s="924"/>
      <c r="H7" s="925" t="s">
        <v>1829</v>
      </c>
    </row>
    <row r="8" spans="1:8" ht="30" customHeight="1" thickBot="1">
      <c r="A8" s="884" t="s">
        <v>2378</v>
      </c>
      <c r="B8" s="497">
        <v>378.61440800000003</v>
      </c>
      <c r="C8" s="277">
        <v>335.56083100000001</v>
      </c>
      <c r="D8" s="497">
        <v>310.47841399999999</v>
      </c>
      <c r="E8" s="277" t="s">
        <v>1491</v>
      </c>
      <c r="F8" s="926">
        <v>339.60286763005672</v>
      </c>
      <c r="G8" s="473">
        <v>8.9492024629480138E-2</v>
      </c>
      <c r="H8" s="498">
        <v>4.6965536571004884E-2</v>
      </c>
    </row>
    <row r="9" spans="1:8" ht="20" customHeight="1" thickBot="1">
      <c r="A9" s="896" t="s">
        <v>2379</v>
      </c>
      <c r="B9" s="499">
        <v>425.76948099999998</v>
      </c>
      <c r="C9" s="501">
        <v>377.50863299999997</v>
      </c>
      <c r="D9" s="499">
        <v>350.34921100000003</v>
      </c>
      <c r="E9" s="501" t="s">
        <v>1491</v>
      </c>
      <c r="F9" s="850">
        <v>385.71629437770764</v>
      </c>
      <c r="G9" s="477">
        <v>0.1151002652381421</v>
      </c>
      <c r="H9" s="500">
        <v>6.4589745887468464E-2</v>
      </c>
    </row>
    <row r="10" spans="1:8" ht="20" customHeight="1" thickBot="1">
      <c r="A10" s="896" t="s">
        <v>2380</v>
      </c>
      <c r="B10" s="499">
        <v>326.28385200000002</v>
      </c>
      <c r="C10" s="501">
        <v>303.435609</v>
      </c>
      <c r="D10" s="499">
        <v>290.89473600000002</v>
      </c>
      <c r="E10" s="501" t="s">
        <v>1491</v>
      </c>
      <c r="F10" s="850">
        <v>309.15238236124236</v>
      </c>
      <c r="G10" s="477">
        <v>0.11132601592516411</v>
      </c>
      <c r="H10" s="500">
        <v>6.6368376805985729E-2</v>
      </c>
    </row>
    <row r="11" spans="1:8" ht="20" customHeight="1" thickBot="1">
      <c r="A11" s="896" t="s">
        <v>2381</v>
      </c>
      <c r="B11" s="499" t="s">
        <v>1491</v>
      </c>
      <c r="C11" s="501" t="s">
        <v>1491</v>
      </c>
      <c r="D11" s="499" t="s">
        <v>1491</v>
      </c>
      <c r="E11" s="501">
        <v>285.14606099999997</v>
      </c>
      <c r="F11" s="850">
        <v>285.14606078774887</v>
      </c>
      <c r="G11" s="477">
        <v>0.12888435982859137</v>
      </c>
      <c r="H11" s="500">
        <v>6.2185315273117103E-2</v>
      </c>
    </row>
    <row r="12" spans="1:8" ht="20" customHeight="1" thickBot="1">
      <c r="A12" s="896" t="s">
        <v>2382</v>
      </c>
      <c r="B12" s="499" t="s">
        <v>1491</v>
      </c>
      <c r="C12" s="501" t="s">
        <v>1491</v>
      </c>
      <c r="D12" s="499" t="s">
        <v>1491</v>
      </c>
      <c r="E12" s="501">
        <v>302.09696700000001</v>
      </c>
      <c r="F12" s="850">
        <v>302.09696756915952</v>
      </c>
      <c r="G12" s="477">
        <v>0.11711489341081083</v>
      </c>
      <c r="H12" s="500">
        <v>6.4933865864840179E-2</v>
      </c>
    </row>
    <row r="13" spans="1:8" ht="20" customHeight="1" thickBot="1">
      <c r="A13" s="896" t="s">
        <v>2383</v>
      </c>
      <c r="B13" s="499" t="s">
        <v>1491</v>
      </c>
      <c r="C13" s="501" t="s">
        <v>1491</v>
      </c>
      <c r="D13" s="499" t="s">
        <v>1491</v>
      </c>
      <c r="E13" s="501">
        <v>282.92577499999999</v>
      </c>
      <c r="F13" s="850">
        <v>282.92577488197088</v>
      </c>
      <c r="G13" s="477">
        <v>0.14561421331538904</v>
      </c>
      <c r="H13" s="500">
        <v>6.1730729797862649E-2</v>
      </c>
    </row>
    <row r="14" spans="1:8" ht="20" customHeight="1" thickBot="1">
      <c r="A14" s="896" t="s">
        <v>2384</v>
      </c>
      <c r="B14" s="499" t="s">
        <v>1491</v>
      </c>
      <c r="C14" s="501" t="s">
        <v>1491</v>
      </c>
      <c r="D14" s="499" t="s">
        <v>1491</v>
      </c>
      <c r="E14" s="501">
        <v>255.76603700000001</v>
      </c>
      <c r="F14" s="850">
        <v>255.76603667769308</v>
      </c>
      <c r="G14" s="477">
        <v>0.10985804332656923</v>
      </c>
      <c r="H14" s="500">
        <v>5.6920531953205566E-2</v>
      </c>
    </row>
    <row r="15" spans="1:8" ht="20" customHeight="1" thickBot="1">
      <c r="A15" s="896" t="s">
        <v>2385</v>
      </c>
      <c r="B15" s="499" t="s">
        <v>1491</v>
      </c>
      <c r="C15" s="501" t="s">
        <v>1491</v>
      </c>
      <c r="D15" s="499" t="s">
        <v>1491</v>
      </c>
      <c r="E15" s="501">
        <v>296.43409300000002</v>
      </c>
      <c r="F15" s="850">
        <v>296.43409316030517</v>
      </c>
      <c r="G15" s="477">
        <v>9.8867065999782788E-2</v>
      </c>
      <c r="H15" s="500">
        <v>6.531328143096915E-2</v>
      </c>
    </row>
    <row r="16" spans="1:8" ht="20" customHeight="1" thickBot="1">
      <c r="A16" s="896" t="s">
        <v>2386</v>
      </c>
      <c r="B16" s="499" t="s">
        <v>1491</v>
      </c>
      <c r="C16" s="501" t="s">
        <v>1491</v>
      </c>
      <c r="D16" s="499" t="s">
        <v>1491</v>
      </c>
      <c r="E16" s="501">
        <v>291.23616500000003</v>
      </c>
      <c r="F16" s="850">
        <v>291.2361653171144</v>
      </c>
      <c r="G16" s="477">
        <v>0.1048118830235536</v>
      </c>
      <c r="H16" s="500">
        <v>6.3751066738898077E-2</v>
      </c>
    </row>
    <row r="17" spans="1:8" ht="20" customHeight="1" thickBot="1">
      <c r="A17" s="896" t="s">
        <v>2387</v>
      </c>
      <c r="B17" s="499">
        <v>345.97138999999999</v>
      </c>
      <c r="C17" s="501">
        <v>313.87096100000002</v>
      </c>
      <c r="D17" s="499" t="s">
        <v>1491</v>
      </c>
      <c r="E17" s="501" t="s">
        <v>1491</v>
      </c>
      <c r="F17" s="850">
        <v>324.94640658361726</v>
      </c>
      <c r="G17" s="477">
        <v>8.9124723076494661E-2</v>
      </c>
      <c r="H17" s="500">
        <v>4.7271623495699799E-2</v>
      </c>
    </row>
    <row r="18" spans="1:8" ht="20" customHeight="1" thickBot="1">
      <c r="A18" s="896" t="s">
        <v>2388</v>
      </c>
      <c r="B18" s="499" t="s">
        <v>1491</v>
      </c>
      <c r="C18" s="501" t="s">
        <v>1491</v>
      </c>
      <c r="D18" s="499" t="s">
        <v>1491</v>
      </c>
      <c r="E18" s="501">
        <v>326.35949299999999</v>
      </c>
      <c r="F18" s="850">
        <v>326.35949333224539</v>
      </c>
      <c r="G18" s="477">
        <v>0.10172725570125407</v>
      </c>
      <c r="H18" s="500">
        <v>4.8475699179753473E-2</v>
      </c>
    </row>
    <row r="19" spans="1:8" ht="20" customHeight="1" thickBot="1">
      <c r="A19" s="896" t="s">
        <v>2389</v>
      </c>
      <c r="B19" s="499" t="s">
        <v>1491</v>
      </c>
      <c r="C19" s="501" t="s">
        <v>1491</v>
      </c>
      <c r="D19" s="499" t="s">
        <v>1491</v>
      </c>
      <c r="E19" s="501">
        <v>452.41935599999999</v>
      </c>
      <c r="F19" s="850">
        <v>452.41935643370334</v>
      </c>
      <c r="G19" s="477">
        <v>7.6521712222690663E-2</v>
      </c>
      <c r="H19" s="500">
        <v>4.7975430777442929E-2</v>
      </c>
    </row>
    <row r="20" spans="1:8" ht="20" customHeight="1" thickBot="1">
      <c r="A20" s="896" t="s">
        <v>2390</v>
      </c>
      <c r="B20" s="499">
        <v>376.515221</v>
      </c>
      <c r="C20" s="501">
        <v>347.11096600000002</v>
      </c>
      <c r="D20" s="499" t="s">
        <v>1491</v>
      </c>
      <c r="E20" s="501" t="s">
        <v>1491</v>
      </c>
      <c r="F20" s="850">
        <v>368.39173308994697</v>
      </c>
      <c r="G20" s="477">
        <v>0.11101024276118987</v>
      </c>
      <c r="H20" s="500">
        <v>5.5546105145080515E-2</v>
      </c>
    </row>
    <row r="21" spans="1:8" ht="20" customHeight="1" thickBot="1">
      <c r="A21" s="896" t="s">
        <v>2391</v>
      </c>
      <c r="B21" s="499">
        <v>344.59238199999999</v>
      </c>
      <c r="C21" s="501">
        <v>316.46748000000002</v>
      </c>
      <c r="D21" s="499" t="s">
        <v>1491</v>
      </c>
      <c r="E21" s="501" t="s">
        <v>1491</v>
      </c>
      <c r="F21" s="850">
        <v>333.09126442152439</v>
      </c>
      <c r="G21" s="477">
        <v>8.9049930891170082E-2</v>
      </c>
      <c r="H21" s="500">
        <v>5.646359455434391E-2</v>
      </c>
    </row>
    <row r="22" spans="1:8" ht="20" customHeight="1" thickBot="1">
      <c r="A22" s="896" t="s">
        <v>2392</v>
      </c>
      <c r="B22" s="499" t="s">
        <v>1491</v>
      </c>
      <c r="C22" s="501" t="s">
        <v>1491</v>
      </c>
      <c r="D22" s="499" t="s">
        <v>1491</v>
      </c>
      <c r="E22" s="501">
        <v>276.80391700000001</v>
      </c>
      <c r="F22" s="850">
        <v>276.80391740026954</v>
      </c>
      <c r="G22" s="477">
        <v>0.11713866775733828</v>
      </c>
      <c r="H22" s="500">
        <v>6.3406845592131056E-2</v>
      </c>
    </row>
    <row r="23" spans="1:8" ht="20" customHeight="1" thickBot="1">
      <c r="A23" s="896" t="s">
        <v>2393</v>
      </c>
      <c r="B23" s="499" t="s">
        <v>1491</v>
      </c>
      <c r="C23" s="501" t="s">
        <v>1491</v>
      </c>
      <c r="D23" s="499" t="s">
        <v>1491</v>
      </c>
      <c r="E23" s="501">
        <v>257.02643899999998</v>
      </c>
      <c r="F23" s="850">
        <v>257.02643899480302</v>
      </c>
      <c r="G23" s="477">
        <v>0.10478920079410226</v>
      </c>
      <c r="H23" s="500">
        <v>6.8184804301874458E-2</v>
      </c>
    </row>
    <row r="24" spans="1:8" ht="20" customHeight="1" thickBot="1">
      <c r="A24" s="896" t="s">
        <v>2394</v>
      </c>
      <c r="B24" s="499">
        <v>333.26648699999998</v>
      </c>
      <c r="C24" s="501">
        <v>305.35111000000001</v>
      </c>
      <c r="D24" s="499">
        <v>293.621531</v>
      </c>
      <c r="E24" s="501" t="s">
        <v>1491</v>
      </c>
      <c r="F24" s="850">
        <v>310.69397660725252</v>
      </c>
      <c r="G24" s="477">
        <v>0.10350201567185091</v>
      </c>
      <c r="H24" s="500">
        <v>6.5538621362054128E-2</v>
      </c>
    </row>
    <row r="25" spans="1:8" ht="20" customHeight="1" thickBot="1">
      <c r="A25" s="896" t="s">
        <v>2395</v>
      </c>
      <c r="B25" s="499">
        <v>317.53837399999998</v>
      </c>
      <c r="C25" s="501">
        <v>298.14065699999998</v>
      </c>
      <c r="D25" s="499">
        <v>279.40875</v>
      </c>
      <c r="E25" s="501" t="s">
        <v>1491</v>
      </c>
      <c r="F25" s="850">
        <v>298.83394092948419</v>
      </c>
      <c r="G25" s="477">
        <v>0.12322682005702346</v>
      </c>
      <c r="H25" s="500">
        <v>6.7759797602986671E-2</v>
      </c>
    </row>
    <row r="26" spans="1:8" ht="20" customHeight="1" thickBot="1">
      <c r="A26" s="896" t="s">
        <v>2396</v>
      </c>
      <c r="B26" s="499" t="s">
        <v>1491</v>
      </c>
      <c r="C26" s="501" t="s">
        <v>1491</v>
      </c>
      <c r="D26" s="499" t="s">
        <v>1491</v>
      </c>
      <c r="E26" s="501">
        <v>326.200715</v>
      </c>
      <c r="F26" s="850">
        <v>326.20071546169754</v>
      </c>
      <c r="G26" s="477">
        <v>0.1051232681504628</v>
      </c>
      <c r="H26" s="500">
        <v>6.4383696301818949E-2</v>
      </c>
    </row>
    <row r="27" spans="1:8" ht="20" customHeight="1" thickBot="1">
      <c r="A27" s="896" t="s">
        <v>2397</v>
      </c>
      <c r="B27" s="499" t="s">
        <v>1491</v>
      </c>
      <c r="C27" s="501" t="s">
        <v>1491</v>
      </c>
      <c r="D27" s="499" t="s">
        <v>1491</v>
      </c>
      <c r="E27" s="501">
        <v>321.94839999999999</v>
      </c>
      <c r="F27" s="850">
        <v>321.94839971594416</v>
      </c>
      <c r="G27" s="477">
        <v>8.5146248247511158E-2</v>
      </c>
      <c r="H27" s="500">
        <v>5.9734689377912042E-2</v>
      </c>
    </row>
    <row r="28" spans="1:8" ht="20" customHeight="1" thickBot="1">
      <c r="A28" s="896" t="s">
        <v>2398</v>
      </c>
      <c r="B28" s="499">
        <v>390.66593399999999</v>
      </c>
      <c r="C28" s="501">
        <v>364.70443899999998</v>
      </c>
      <c r="D28" s="499" t="s">
        <v>1491</v>
      </c>
      <c r="E28" s="501" t="s">
        <v>1491</v>
      </c>
      <c r="F28" s="850">
        <v>386.73412708430146</v>
      </c>
      <c r="G28" s="477">
        <v>3.917354023205899E-2</v>
      </c>
      <c r="H28" s="500">
        <v>4.5599643098529929E-2</v>
      </c>
    </row>
    <row r="29" spans="1:8" ht="20" customHeight="1" thickBot="1">
      <c r="A29" s="896" t="s">
        <v>2399</v>
      </c>
      <c r="B29" s="499">
        <v>403.76000099999999</v>
      </c>
      <c r="C29" s="501">
        <v>376.946077</v>
      </c>
      <c r="D29" s="499" t="s">
        <v>1491</v>
      </c>
      <c r="E29" s="501" t="s">
        <v>1491</v>
      </c>
      <c r="F29" s="850">
        <v>395.49190652528057</v>
      </c>
      <c r="G29" s="477">
        <v>5.4769088923943832E-2</v>
      </c>
      <c r="H29" s="500">
        <v>3.7065885061252857E-2</v>
      </c>
    </row>
    <row r="30" spans="1:8" ht="20" customHeight="1" thickBot="1">
      <c r="A30" s="896" t="s">
        <v>2400</v>
      </c>
      <c r="B30" s="499">
        <v>310.55368900000002</v>
      </c>
      <c r="C30" s="501">
        <v>275.99560700000001</v>
      </c>
      <c r="D30" s="499" t="s">
        <v>1491</v>
      </c>
      <c r="E30" s="501" t="s">
        <v>1491</v>
      </c>
      <c r="F30" s="850">
        <v>300.04323013732085</v>
      </c>
      <c r="G30" s="477">
        <v>0.10018547220309726</v>
      </c>
      <c r="H30" s="500">
        <v>5.7976125604272788E-2</v>
      </c>
    </row>
    <row r="31" spans="1:8" ht="20" customHeight="1" thickBot="1">
      <c r="A31" s="896" t="s">
        <v>2401</v>
      </c>
      <c r="B31" s="499" t="s">
        <v>1491</v>
      </c>
      <c r="C31" s="501" t="s">
        <v>1491</v>
      </c>
      <c r="D31" s="499" t="s">
        <v>1491</v>
      </c>
      <c r="E31" s="501">
        <v>381.85966000000002</v>
      </c>
      <c r="F31" s="850">
        <v>381.85965989722928</v>
      </c>
      <c r="G31" s="477">
        <v>3.6107250667227753E-2</v>
      </c>
      <c r="H31" s="500">
        <v>4.1573106724606346E-2</v>
      </c>
    </row>
    <row r="32" spans="1:8" ht="20" customHeight="1" thickBot="1">
      <c r="A32" s="896" t="s">
        <v>2402</v>
      </c>
      <c r="B32" s="499" t="s">
        <v>1491</v>
      </c>
      <c r="C32" s="501" t="s">
        <v>1491</v>
      </c>
      <c r="D32" s="499" t="s">
        <v>1491</v>
      </c>
      <c r="E32" s="501">
        <v>435.35772500000002</v>
      </c>
      <c r="F32" s="850">
        <v>435.35772387203821</v>
      </c>
      <c r="G32" s="477">
        <v>4.0614088445081853E-2</v>
      </c>
      <c r="H32" s="500">
        <v>3.112439784232679E-2</v>
      </c>
    </row>
    <row r="33" spans="1:12" ht="20" customHeight="1" thickBot="1">
      <c r="A33" s="896" t="s">
        <v>2403</v>
      </c>
      <c r="B33" s="499" t="s">
        <v>1491</v>
      </c>
      <c r="C33" s="501" t="s">
        <v>1491</v>
      </c>
      <c r="D33" s="499" t="s">
        <v>1491</v>
      </c>
      <c r="E33" s="501">
        <v>364.76462900000001</v>
      </c>
      <c r="F33" s="850">
        <v>364.76462814605026</v>
      </c>
      <c r="G33" s="477">
        <v>7.2519828883115256E-2</v>
      </c>
      <c r="H33" s="500">
        <v>4.3792149561922455E-2</v>
      </c>
    </row>
    <row r="34" spans="1:12" s="251" customFormat="1" ht="30" customHeight="1" thickBot="1">
      <c r="A34" s="197" t="s">
        <v>2404</v>
      </c>
      <c r="B34" s="503" t="s">
        <v>1060</v>
      </c>
      <c r="C34" s="505" t="s">
        <v>1060</v>
      </c>
      <c r="D34" s="503" t="s">
        <v>1060</v>
      </c>
      <c r="E34" s="505" t="s">
        <v>1060</v>
      </c>
      <c r="F34" s="503">
        <v>351.05082991253505</v>
      </c>
      <c r="G34" s="777">
        <v>8.7299580623444673E-2</v>
      </c>
      <c r="H34" s="506">
        <v>5.1888744179514834E-2</v>
      </c>
    </row>
    <row r="35" spans="1:12" ht="20" customHeight="1">
      <c r="A35" s="201" t="s">
        <v>1870</v>
      </c>
      <c r="B35" s="897"/>
      <c r="C35" s="897"/>
      <c r="D35" s="897"/>
      <c r="E35" s="897"/>
      <c r="F35" s="897"/>
    </row>
    <row r="36" spans="1:12" ht="12.75" customHeight="1">
      <c r="A36" s="202"/>
      <c r="B36" s="898"/>
      <c r="C36" s="898"/>
      <c r="D36" s="898"/>
      <c r="E36" s="898"/>
      <c r="F36" s="898"/>
    </row>
    <row r="37" spans="1:12" ht="15.75" customHeight="1">
      <c r="A37" s="202" t="s">
        <v>1924</v>
      </c>
      <c r="B37" s="898"/>
      <c r="C37" s="898"/>
      <c r="D37" s="898"/>
      <c r="E37" s="898"/>
      <c r="F37" s="898"/>
    </row>
    <row r="38" spans="1:12" ht="13.5" customHeight="1">
      <c r="A38" s="202"/>
      <c r="B38" s="898"/>
      <c r="C38" s="898"/>
      <c r="D38" s="898"/>
      <c r="E38" s="898"/>
      <c r="F38" s="898"/>
    </row>
    <row r="39" spans="1:12" ht="12.75" customHeight="1">
      <c r="A39" s="202" t="s">
        <v>1925</v>
      </c>
      <c r="B39" s="898"/>
      <c r="C39" s="898"/>
      <c r="D39" s="898"/>
      <c r="E39" s="898"/>
      <c r="F39" s="898"/>
    </row>
    <row r="40" spans="1:12">
      <c r="A40" s="2" t="s">
        <v>1821</v>
      </c>
      <c r="B40" s="290"/>
      <c r="C40" s="290"/>
      <c r="D40" s="290"/>
      <c r="E40" s="290"/>
      <c r="F40" s="290"/>
    </row>
    <row r="41" spans="1:12">
      <c r="A41" s="2" t="s">
        <v>1822</v>
      </c>
      <c r="B41" s="290"/>
      <c r="C41" s="290"/>
      <c r="D41" s="290"/>
      <c r="E41" s="290"/>
      <c r="F41" s="290"/>
    </row>
    <row r="42" spans="1:12">
      <c r="A42" s="2" t="s">
        <v>1823</v>
      </c>
      <c r="B42" s="290"/>
      <c r="C42" s="290"/>
      <c r="D42" s="290"/>
      <c r="E42" s="290"/>
      <c r="F42" s="290"/>
      <c r="J42" s="909" t="s">
        <v>2414</v>
      </c>
      <c r="K42" s="909"/>
      <c r="L42" s="909"/>
    </row>
    <row r="43" spans="1:12">
      <c r="B43" s="290"/>
      <c r="C43" s="290"/>
      <c r="D43" s="290"/>
      <c r="E43" s="290"/>
      <c r="F43" s="290"/>
    </row>
    <row r="44" spans="1:12">
      <c r="B44" s="290"/>
      <c r="C44" s="290"/>
      <c r="D44" s="290"/>
      <c r="E44" s="290"/>
      <c r="F44" s="290"/>
    </row>
    <row r="45" spans="1:12">
      <c r="A45" s="2" t="s">
        <v>711</v>
      </c>
    </row>
  </sheetData>
  <phoneticPr fontId="0" type="noConversion"/>
  <pageMargins left="0.57999999999999996" right="0.62" top="0.78" bottom="0.47244094488188981" header="0.44" footer="0.51181102362204722"/>
  <pageSetup paperSize="9" scale="74" orientation="portrait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FD2A-CD91-0044-B108-862A330CC542}">
  <sheetPr>
    <pageSetUpPr fitToPage="1"/>
  </sheetPr>
  <dimension ref="A1:L45"/>
  <sheetViews>
    <sheetView zoomScale="75" workbookViewId="0">
      <selection activeCell="A43" sqref="A43"/>
    </sheetView>
  </sheetViews>
  <sheetFormatPr baseColWidth="10" defaultColWidth="11.3984375" defaultRowHeight="13"/>
  <cols>
    <col min="1" max="6" width="16" style="2" customWidth="1"/>
    <col min="7" max="8" width="14.19921875" style="2" customWidth="1"/>
    <col min="9" max="16384" width="11.3984375" style="2"/>
  </cols>
  <sheetData>
    <row r="1" spans="1:8" s="1" customFormat="1" ht="14" customHeight="1">
      <c r="A1" s="360"/>
      <c r="B1" s="360"/>
      <c r="C1" s="360"/>
      <c r="D1" s="360"/>
      <c r="E1" s="360"/>
      <c r="F1" s="360"/>
    </row>
    <row r="2" spans="1:8" s="1" customFormat="1" ht="21" customHeight="1">
      <c r="A2" s="596" t="s">
        <v>1826</v>
      </c>
      <c r="B2" s="360"/>
      <c r="C2" s="360"/>
      <c r="D2" s="360"/>
      <c r="E2" s="360"/>
      <c r="F2" s="360"/>
    </row>
    <row r="3" spans="1:8" s="1" customFormat="1" ht="27" customHeight="1">
      <c r="A3" s="596" t="s">
        <v>1828</v>
      </c>
      <c r="B3" s="360"/>
      <c r="C3" s="360"/>
      <c r="D3" s="360"/>
      <c r="E3" s="360"/>
      <c r="F3" s="360"/>
    </row>
    <row r="4" spans="1:8" ht="24" customHeight="1">
      <c r="A4" s="178" t="s">
        <v>2368</v>
      </c>
      <c r="B4" s="880" t="s">
        <v>1814</v>
      </c>
      <c r="C4" s="881" t="s">
        <v>1815</v>
      </c>
      <c r="D4" s="880" t="s">
        <v>1816</v>
      </c>
      <c r="E4" s="881" t="s">
        <v>1817</v>
      </c>
      <c r="F4" s="880" t="s">
        <v>1825</v>
      </c>
      <c r="G4" s="911" t="s">
        <v>2372</v>
      </c>
      <c r="H4" s="912" t="s">
        <v>1818</v>
      </c>
    </row>
    <row r="5" spans="1:8" ht="24.75" customHeight="1">
      <c r="A5" s="274"/>
      <c r="B5" s="882"/>
      <c r="C5" s="883"/>
      <c r="D5" s="882"/>
      <c r="E5" s="883"/>
      <c r="F5" s="882"/>
      <c r="G5" s="913" t="s">
        <v>2373</v>
      </c>
      <c r="H5" s="914" t="s">
        <v>1819</v>
      </c>
    </row>
    <row r="6" spans="1:8" ht="24.75" customHeight="1">
      <c r="A6" s="274"/>
      <c r="B6" s="882"/>
      <c r="C6" s="883"/>
      <c r="D6" s="882"/>
      <c r="E6" s="883"/>
      <c r="F6" s="882"/>
      <c r="G6" s="922" t="s">
        <v>2377</v>
      </c>
      <c r="H6" s="923" t="s">
        <v>1820</v>
      </c>
    </row>
    <row r="7" spans="1:8" ht="16" customHeight="1">
      <c r="A7" s="275"/>
      <c r="B7" s="188"/>
      <c r="C7" s="187"/>
      <c r="D7" s="188"/>
      <c r="E7" s="187"/>
      <c r="F7" s="210"/>
      <c r="G7" s="924"/>
      <c r="H7" s="925" t="s">
        <v>1829</v>
      </c>
    </row>
    <row r="8" spans="1:8" ht="30" customHeight="1" thickBot="1">
      <c r="A8" s="884" t="s">
        <v>2378</v>
      </c>
      <c r="B8" s="497">
        <v>326.87732899999997</v>
      </c>
      <c r="C8" s="277">
        <v>284.92211200000003</v>
      </c>
      <c r="D8" s="497">
        <v>262.64888400000001</v>
      </c>
      <c r="E8" s="277" t="s">
        <v>1491</v>
      </c>
      <c r="F8" s="926">
        <v>286.83963586324148</v>
      </c>
      <c r="G8" s="473">
        <v>0.14924489476683456</v>
      </c>
      <c r="H8" s="498">
        <v>7.5146534528034215E-2</v>
      </c>
    </row>
    <row r="9" spans="1:8" ht="20" customHeight="1" thickBot="1">
      <c r="A9" s="896" t="s">
        <v>2379</v>
      </c>
      <c r="B9" s="499">
        <v>359.694818</v>
      </c>
      <c r="C9" s="501">
        <v>308.03057000000001</v>
      </c>
      <c r="D9" s="499">
        <v>283.72090600000001</v>
      </c>
      <c r="E9" s="501" t="s">
        <v>1491</v>
      </c>
      <c r="F9" s="850">
        <v>315.73552551734542</v>
      </c>
      <c r="G9" s="477">
        <v>0.15770060193572255</v>
      </c>
      <c r="H9" s="500">
        <v>9.082421237459859E-2</v>
      </c>
    </row>
    <row r="10" spans="1:8" ht="20" customHeight="1" thickBot="1">
      <c r="A10" s="896" t="s">
        <v>2380</v>
      </c>
      <c r="B10" s="499">
        <v>271.738471</v>
      </c>
      <c r="C10" s="501">
        <v>250.84618900000001</v>
      </c>
      <c r="D10" s="499">
        <v>238.697588</v>
      </c>
      <c r="E10" s="501" t="s">
        <v>1491</v>
      </c>
      <c r="F10" s="850">
        <v>254.18597576485578</v>
      </c>
      <c r="G10" s="477">
        <v>0.14828218843327967</v>
      </c>
      <c r="H10" s="500">
        <v>9.4210469510569439E-2</v>
      </c>
    </row>
    <row r="11" spans="1:8" ht="20" customHeight="1" thickBot="1">
      <c r="A11" s="896" t="s">
        <v>2381</v>
      </c>
      <c r="B11" s="499" t="s">
        <v>1491</v>
      </c>
      <c r="C11" s="501" t="s">
        <v>1491</v>
      </c>
      <c r="D11" s="499" t="s">
        <v>1491</v>
      </c>
      <c r="E11" s="501">
        <v>234.11667399999999</v>
      </c>
      <c r="F11" s="850">
        <v>234.11667416668095</v>
      </c>
      <c r="G11" s="477">
        <v>0.16683045908446226</v>
      </c>
      <c r="H11" s="500">
        <v>8.713103069189887E-2</v>
      </c>
    </row>
    <row r="12" spans="1:8" ht="20" customHeight="1" thickBot="1">
      <c r="A12" s="896" t="s">
        <v>2382</v>
      </c>
      <c r="B12" s="499" t="s">
        <v>1491</v>
      </c>
      <c r="C12" s="501" t="s">
        <v>1491</v>
      </c>
      <c r="D12" s="499" t="s">
        <v>1491</v>
      </c>
      <c r="E12" s="501">
        <v>248.68440100000001</v>
      </c>
      <c r="F12" s="850">
        <v>248.6844005629392</v>
      </c>
      <c r="G12" s="477">
        <v>0.15649225801951872</v>
      </c>
      <c r="H12" s="500">
        <v>9.2495382117381064E-2</v>
      </c>
    </row>
    <row r="13" spans="1:8" ht="20" customHeight="1" thickBot="1">
      <c r="A13" s="896" t="s">
        <v>2383</v>
      </c>
      <c r="B13" s="499" t="s">
        <v>1491</v>
      </c>
      <c r="C13" s="501" t="s">
        <v>1491</v>
      </c>
      <c r="D13" s="499" t="s">
        <v>1491</v>
      </c>
      <c r="E13" s="501">
        <v>232.46570399999999</v>
      </c>
      <c r="F13" s="850">
        <v>232.46570460176477</v>
      </c>
      <c r="G13" s="477">
        <v>0.17464754921563896</v>
      </c>
      <c r="H13" s="500">
        <v>8.6573310201697451E-2</v>
      </c>
    </row>
    <row r="14" spans="1:8" ht="20" customHeight="1" thickBot="1">
      <c r="A14" s="896" t="s">
        <v>2384</v>
      </c>
      <c r="B14" s="499" t="s">
        <v>1491</v>
      </c>
      <c r="C14" s="501" t="s">
        <v>1491</v>
      </c>
      <c r="D14" s="499" t="s">
        <v>1491</v>
      </c>
      <c r="E14" s="501">
        <v>211.31296699999999</v>
      </c>
      <c r="F14" s="850">
        <v>211.31296655207836</v>
      </c>
      <c r="G14" s="477">
        <v>0.13999071553829912</v>
      </c>
      <c r="H14" s="500">
        <v>8.3305607834993634E-2</v>
      </c>
    </row>
    <row r="15" spans="1:8" ht="20" customHeight="1" thickBot="1">
      <c r="A15" s="896" t="s">
        <v>2385</v>
      </c>
      <c r="B15" s="499" t="s">
        <v>1491</v>
      </c>
      <c r="C15" s="501" t="s">
        <v>1491</v>
      </c>
      <c r="D15" s="499" t="s">
        <v>1491</v>
      </c>
      <c r="E15" s="501">
        <v>244.65067199999999</v>
      </c>
      <c r="F15" s="850">
        <v>244.65067176672025</v>
      </c>
      <c r="G15" s="477">
        <v>0.14965286031501646</v>
      </c>
      <c r="H15" s="500">
        <v>8.9337890583413238E-2</v>
      </c>
    </row>
    <row r="16" spans="1:8" ht="20" customHeight="1" thickBot="1">
      <c r="A16" s="896" t="s">
        <v>2386</v>
      </c>
      <c r="B16" s="499" t="s">
        <v>1491</v>
      </c>
      <c r="C16" s="501" t="s">
        <v>1491</v>
      </c>
      <c r="D16" s="499" t="s">
        <v>1491</v>
      </c>
      <c r="E16" s="501">
        <v>243.724784</v>
      </c>
      <c r="F16" s="850">
        <v>243.72478411076509</v>
      </c>
      <c r="G16" s="477">
        <v>0.1470711126076969</v>
      </c>
      <c r="H16" s="500">
        <v>8.9569090919113581E-2</v>
      </c>
    </row>
    <row r="17" spans="1:8" ht="20" customHeight="1" thickBot="1">
      <c r="A17" s="896" t="s">
        <v>2387</v>
      </c>
      <c r="B17" s="499">
        <v>294.26778899999999</v>
      </c>
      <c r="C17" s="501">
        <v>262.29803600000002</v>
      </c>
      <c r="D17" s="499" t="s">
        <v>1491</v>
      </c>
      <c r="E17" s="501" t="s">
        <v>1491</v>
      </c>
      <c r="F17" s="850">
        <v>273.5118918631112</v>
      </c>
      <c r="G17" s="477">
        <v>0.11276800748075622</v>
      </c>
      <c r="H17" s="500">
        <v>7.3519212518477151E-2</v>
      </c>
    </row>
    <row r="18" spans="1:8" ht="20" customHeight="1" thickBot="1">
      <c r="A18" s="896" t="s">
        <v>2388</v>
      </c>
      <c r="B18" s="499" t="s">
        <v>1491</v>
      </c>
      <c r="C18" s="501" t="s">
        <v>1491</v>
      </c>
      <c r="D18" s="499" t="s">
        <v>1491</v>
      </c>
      <c r="E18" s="501">
        <v>275.17281100000002</v>
      </c>
      <c r="F18" s="850">
        <v>275.17281130711808</v>
      </c>
      <c r="G18" s="477">
        <v>0.15669041773166392</v>
      </c>
      <c r="H18" s="500">
        <v>7.7321201856730193E-2</v>
      </c>
    </row>
    <row r="19" spans="1:8" ht="20" customHeight="1" thickBot="1">
      <c r="A19" s="896" t="s">
        <v>2389</v>
      </c>
      <c r="B19" s="499" t="s">
        <v>1491</v>
      </c>
      <c r="C19" s="501" t="s">
        <v>1491</v>
      </c>
      <c r="D19" s="499" t="s">
        <v>1491</v>
      </c>
      <c r="E19" s="501">
        <v>386.52075600000001</v>
      </c>
      <c r="F19" s="850">
        <v>386.52075580579287</v>
      </c>
      <c r="G19" s="477">
        <v>0.13069500341617646</v>
      </c>
      <c r="H19" s="500">
        <v>7.754100519374707E-2</v>
      </c>
    </row>
    <row r="20" spans="1:8" ht="20" customHeight="1" thickBot="1">
      <c r="A20" s="896" t="s">
        <v>2390</v>
      </c>
      <c r="B20" s="499">
        <v>314.64844299999999</v>
      </c>
      <c r="C20" s="501">
        <v>288.64433300000002</v>
      </c>
      <c r="D20" s="499" t="s">
        <v>1491</v>
      </c>
      <c r="E20" s="501" t="s">
        <v>1491</v>
      </c>
      <c r="F20" s="850">
        <v>306.77579015191674</v>
      </c>
      <c r="G20" s="477">
        <v>0.15827057418234936</v>
      </c>
      <c r="H20" s="500">
        <v>8.2894568484539244E-2</v>
      </c>
    </row>
    <row r="21" spans="1:8" ht="20" customHeight="1" thickBot="1">
      <c r="A21" s="896" t="s">
        <v>2391</v>
      </c>
      <c r="B21" s="499">
        <v>294.68756999999999</v>
      </c>
      <c r="C21" s="501">
        <v>267.12557199999998</v>
      </c>
      <c r="D21" s="499" t="s">
        <v>1491</v>
      </c>
      <c r="E21" s="501" t="s">
        <v>1491</v>
      </c>
      <c r="F21" s="850">
        <v>283.46186214646548</v>
      </c>
      <c r="G21" s="477">
        <v>0.16007651554329039</v>
      </c>
      <c r="H21" s="500">
        <v>8.2297547609818666E-2</v>
      </c>
    </row>
    <row r="22" spans="1:8" ht="20" customHeight="1" thickBot="1">
      <c r="A22" s="896" t="s">
        <v>2392</v>
      </c>
      <c r="B22" s="499" t="s">
        <v>1491</v>
      </c>
      <c r="C22" s="501" t="s">
        <v>1491</v>
      </c>
      <c r="D22" s="499" t="s">
        <v>1491</v>
      </c>
      <c r="E22" s="501">
        <v>235.62962400000001</v>
      </c>
      <c r="F22" s="850">
        <v>235.62962497704223</v>
      </c>
      <c r="G22" s="477">
        <v>0.18217080921144602</v>
      </c>
      <c r="H22" s="500">
        <v>9.5676621520175642E-2</v>
      </c>
    </row>
    <row r="23" spans="1:8" ht="20" customHeight="1" thickBot="1">
      <c r="A23" s="896" t="s">
        <v>2393</v>
      </c>
      <c r="B23" s="499" t="s">
        <v>1491</v>
      </c>
      <c r="C23" s="501" t="s">
        <v>1491</v>
      </c>
      <c r="D23" s="499" t="s">
        <v>1491</v>
      </c>
      <c r="E23" s="501">
        <v>216.82455100000001</v>
      </c>
      <c r="F23" s="850">
        <v>216.82455075973473</v>
      </c>
      <c r="G23" s="477">
        <v>0.15443427691846145</v>
      </c>
      <c r="H23" s="500">
        <v>9.8815861105630454E-2</v>
      </c>
    </row>
    <row r="24" spans="1:8" ht="20" customHeight="1" thickBot="1">
      <c r="A24" s="896" t="s">
        <v>2394</v>
      </c>
      <c r="B24" s="499">
        <v>280.96863400000001</v>
      </c>
      <c r="C24" s="501">
        <v>255.14205899999999</v>
      </c>
      <c r="D24" s="499">
        <v>244.696326</v>
      </c>
      <c r="E24" s="501" t="s">
        <v>1491</v>
      </c>
      <c r="F24" s="850">
        <v>259.92409520233065</v>
      </c>
      <c r="G24" s="477">
        <v>0.15660154505266366</v>
      </c>
      <c r="H24" s="500">
        <v>9.5464311734212215E-2</v>
      </c>
    </row>
    <row r="25" spans="1:8" ht="20" customHeight="1" thickBot="1">
      <c r="A25" s="896" t="s">
        <v>2395</v>
      </c>
      <c r="B25" s="499">
        <v>264.98752400000001</v>
      </c>
      <c r="C25" s="501">
        <v>249.223444</v>
      </c>
      <c r="D25" s="499">
        <v>228.91784000000001</v>
      </c>
      <c r="E25" s="501" t="s">
        <v>1491</v>
      </c>
      <c r="F25" s="850">
        <v>248.28965787148778</v>
      </c>
      <c r="G25" s="477">
        <v>0.16863435337292998</v>
      </c>
      <c r="H25" s="500">
        <v>9.8338727547378824E-2</v>
      </c>
    </row>
    <row r="26" spans="1:8" ht="20" customHeight="1" thickBot="1">
      <c r="A26" s="896" t="s">
        <v>2396</v>
      </c>
      <c r="B26" s="499" t="s">
        <v>1491</v>
      </c>
      <c r="C26" s="501" t="s">
        <v>1491</v>
      </c>
      <c r="D26" s="499" t="s">
        <v>1491</v>
      </c>
      <c r="E26" s="501">
        <v>273.99440099999998</v>
      </c>
      <c r="F26" s="850">
        <v>273.99440151021025</v>
      </c>
      <c r="G26" s="477">
        <v>0.15695759898126305</v>
      </c>
      <c r="H26" s="500">
        <v>9.159912964753758E-2</v>
      </c>
    </row>
    <row r="27" spans="1:8" ht="20" customHeight="1" thickBot="1">
      <c r="A27" s="896" t="s">
        <v>2397</v>
      </c>
      <c r="B27" s="499" t="s">
        <v>1491</v>
      </c>
      <c r="C27" s="501" t="s">
        <v>1491</v>
      </c>
      <c r="D27" s="499" t="s">
        <v>1491</v>
      </c>
      <c r="E27" s="501">
        <v>271.82759299999998</v>
      </c>
      <c r="F27" s="850">
        <v>271.82759304845911</v>
      </c>
      <c r="G27" s="477">
        <v>0.14219489051354395</v>
      </c>
      <c r="H27" s="500">
        <v>8.8687116173880476E-2</v>
      </c>
    </row>
    <row r="28" spans="1:8" ht="20" customHeight="1" thickBot="1">
      <c r="A28" s="896" t="s">
        <v>2398</v>
      </c>
      <c r="B28" s="499">
        <v>335.27513399999998</v>
      </c>
      <c r="C28" s="501">
        <v>308.43121300000001</v>
      </c>
      <c r="D28" s="499" t="s">
        <v>1491</v>
      </c>
      <c r="E28" s="501" t="s">
        <v>1491</v>
      </c>
      <c r="F28" s="850">
        <v>331.11886846979394</v>
      </c>
      <c r="G28" s="477">
        <v>9.3594373641760598E-2</v>
      </c>
      <c r="H28" s="500">
        <v>7.6872263535878949E-2</v>
      </c>
    </row>
    <row r="29" spans="1:8" ht="20" customHeight="1" thickBot="1">
      <c r="A29" s="896" t="s">
        <v>2399</v>
      </c>
      <c r="B29" s="499">
        <v>357.84378099999998</v>
      </c>
      <c r="C29" s="501">
        <v>334.49096400000002</v>
      </c>
      <c r="D29" s="499" t="s">
        <v>1491</v>
      </c>
      <c r="E29" s="501" t="s">
        <v>1491</v>
      </c>
      <c r="F29" s="850">
        <v>350.15759797404411</v>
      </c>
      <c r="G29" s="477">
        <v>0.10135913719272738</v>
      </c>
      <c r="H29" s="500">
        <v>6.9676883130997291E-2</v>
      </c>
    </row>
    <row r="30" spans="1:8" ht="20" customHeight="1" thickBot="1">
      <c r="A30" s="896" t="s">
        <v>2400</v>
      </c>
      <c r="B30" s="499">
        <v>268.03843499999999</v>
      </c>
      <c r="C30" s="501">
        <v>220.75806499999999</v>
      </c>
      <c r="D30" s="499" t="s">
        <v>1491</v>
      </c>
      <c r="E30" s="501" t="s">
        <v>1491</v>
      </c>
      <c r="F30" s="850">
        <v>253.13575825569845</v>
      </c>
      <c r="G30" s="477">
        <v>0.13267969734710316</v>
      </c>
      <c r="H30" s="500">
        <v>8.370820635221965E-2</v>
      </c>
    </row>
    <row r="31" spans="1:8" ht="20" customHeight="1" thickBot="1">
      <c r="A31" s="896" t="s">
        <v>2401</v>
      </c>
      <c r="B31" s="499" t="s">
        <v>1491</v>
      </c>
      <c r="C31" s="501" t="s">
        <v>1491</v>
      </c>
      <c r="D31" s="499" t="s">
        <v>1491</v>
      </c>
      <c r="E31" s="501">
        <v>335.34633600000001</v>
      </c>
      <c r="F31" s="850">
        <v>335.34633631805724</v>
      </c>
      <c r="G31" s="477">
        <v>8.962858479393554E-2</v>
      </c>
      <c r="H31" s="500">
        <v>7.287606943766467E-2</v>
      </c>
    </row>
    <row r="32" spans="1:8" ht="20" customHeight="1" thickBot="1">
      <c r="A32" s="896" t="s">
        <v>2402</v>
      </c>
      <c r="B32" s="499" t="s">
        <v>1491</v>
      </c>
      <c r="C32" s="501" t="s">
        <v>1491</v>
      </c>
      <c r="D32" s="499" t="s">
        <v>1491</v>
      </c>
      <c r="E32" s="501">
        <v>374.03227800000002</v>
      </c>
      <c r="F32" s="850">
        <v>374.03227732218795</v>
      </c>
      <c r="G32" s="477">
        <v>7.8134360575982109E-2</v>
      </c>
      <c r="H32" s="500">
        <v>5.8677170930778066E-2</v>
      </c>
    </row>
    <row r="33" spans="1:12" ht="20" customHeight="1" thickBot="1">
      <c r="A33" s="896" t="s">
        <v>2403</v>
      </c>
      <c r="B33" s="499" t="s">
        <v>1491</v>
      </c>
      <c r="C33" s="501" t="s">
        <v>1491</v>
      </c>
      <c r="D33" s="499" t="s">
        <v>1491</v>
      </c>
      <c r="E33" s="501">
        <v>317.45985400000001</v>
      </c>
      <c r="F33" s="850">
        <v>317.45985491292271</v>
      </c>
      <c r="G33" s="477">
        <v>0.12055392665564013</v>
      </c>
      <c r="H33" s="500">
        <v>7.8518558887155976E-2</v>
      </c>
    </row>
    <row r="34" spans="1:12" s="251" customFormat="1" ht="30" customHeight="1" thickBot="1">
      <c r="A34" s="197" t="s">
        <v>2404</v>
      </c>
      <c r="B34" s="503" t="s">
        <v>1060</v>
      </c>
      <c r="C34" s="505" t="s">
        <v>1060</v>
      </c>
      <c r="D34" s="503" t="s">
        <v>1060</v>
      </c>
      <c r="E34" s="505" t="s">
        <v>1060</v>
      </c>
      <c r="F34" s="503">
        <v>293.85185032818998</v>
      </c>
      <c r="G34" s="777">
        <v>0.13667695825867021</v>
      </c>
      <c r="H34" s="506">
        <v>8.1110068860541951E-2</v>
      </c>
    </row>
    <row r="35" spans="1:12" ht="20" customHeight="1">
      <c r="A35" s="201" t="s">
        <v>1870</v>
      </c>
      <c r="B35" s="897"/>
      <c r="C35" s="897"/>
      <c r="D35" s="897"/>
      <c r="E35" s="897"/>
      <c r="F35" s="897"/>
    </row>
    <row r="36" spans="1:12" ht="12.75" customHeight="1">
      <c r="A36" s="202"/>
      <c r="B36" s="898"/>
      <c r="C36" s="898"/>
      <c r="D36" s="898"/>
      <c r="E36" s="898"/>
      <c r="F36" s="898"/>
    </row>
    <row r="37" spans="1:12" ht="15.75" customHeight="1">
      <c r="A37" s="202" t="s">
        <v>1924</v>
      </c>
      <c r="B37" s="898"/>
      <c r="C37" s="898"/>
      <c r="D37" s="898"/>
      <c r="E37" s="898"/>
      <c r="F37" s="898"/>
    </row>
    <row r="38" spans="1:12" ht="13.5" customHeight="1">
      <c r="A38" s="202"/>
      <c r="B38" s="898"/>
      <c r="C38" s="898"/>
      <c r="D38" s="898"/>
      <c r="E38" s="898"/>
      <c r="F38" s="898"/>
    </row>
    <row r="39" spans="1:12" ht="12.75" customHeight="1">
      <c r="A39" s="202" t="s">
        <v>1925</v>
      </c>
      <c r="B39" s="898"/>
      <c r="C39" s="898"/>
      <c r="D39" s="898"/>
      <c r="E39" s="898"/>
      <c r="F39" s="898"/>
    </row>
    <row r="40" spans="1:12">
      <c r="A40" s="2" t="s">
        <v>1821</v>
      </c>
      <c r="B40" s="290"/>
      <c r="C40" s="290"/>
      <c r="D40" s="290"/>
      <c r="E40" s="290"/>
      <c r="F40" s="290"/>
    </row>
    <row r="41" spans="1:12">
      <c r="A41" s="2" t="s">
        <v>1822</v>
      </c>
      <c r="B41" s="290"/>
      <c r="C41" s="290"/>
      <c r="D41" s="290"/>
      <c r="E41" s="290"/>
      <c r="F41" s="290"/>
    </row>
    <row r="42" spans="1:12">
      <c r="A42" s="2" t="s">
        <v>1823</v>
      </c>
      <c r="B42" s="290"/>
      <c r="C42" s="290"/>
      <c r="D42" s="290"/>
      <c r="E42" s="290"/>
      <c r="F42" s="290"/>
      <c r="J42" s="909" t="s">
        <v>2414</v>
      </c>
      <c r="K42" s="909"/>
      <c r="L42" s="909"/>
    </row>
    <row r="43" spans="1:12">
      <c r="B43" s="290"/>
      <c r="C43" s="290"/>
      <c r="D43" s="290"/>
      <c r="E43" s="290"/>
      <c r="F43" s="290"/>
    </row>
    <row r="44" spans="1:12">
      <c r="B44" s="290"/>
      <c r="C44" s="290"/>
      <c r="D44" s="290"/>
      <c r="E44" s="290"/>
      <c r="F44" s="290"/>
    </row>
    <row r="45" spans="1:12">
      <c r="A45" s="2" t="s">
        <v>711</v>
      </c>
    </row>
  </sheetData>
  <phoneticPr fontId="0" type="noConversion"/>
  <pageMargins left="0.56000000000000005" right="0.54" top="0.9" bottom="0.47244094488188981" header="0.63" footer="0.51181102362204722"/>
  <pageSetup paperSize="9" scale="74" orientation="portrait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7A14-0C92-714D-A6F2-EC27683F5CDD}">
  <sheetPr>
    <pageSetUpPr fitToPage="1"/>
  </sheetPr>
  <dimension ref="A1:L45"/>
  <sheetViews>
    <sheetView zoomScale="75" workbookViewId="0">
      <selection activeCell="A43" sqref="A43"/>
    </sheetView>
  </sheetViews>
  <sheetFormatPr baseColWidth="10" defaultColWidth="11.3984375" defaultRowHeight="13"/>
  <cols>
    <col min="1" max="6" width="16" style="2" customWidth="1"/>
    <col min="7" max="8" width="14.19921875" style="2" customWidth="1"/>
    <col min="9" max="16384" width="11.3984375" style="2"/>
  </cols>
  <sheetData>
    <row r="1" spans="1:8" s="1" customFormat="1" ht="14" customHeight="1">
      <c r="A1" s="360"/>
      <c r="B1" s="360"/>
      <c r="C1" s="360"/>
      <c r="D1" s="360"/>
      <c r="E1" s="360"/>
      <c r="F1" s="360"/>
    </row>
    <row r="2" spans="1:8" s="1" customFormat="1" ht="18.75" customHeight="1">
      <c r="A2" s="596" t="s">
        <v>1827</v>
      </c>
      <c r="B2" s="360"/>
      <c r="C2" s="360"/>
      <c r="D2" s="360"/>
      <c r="E2" s="360"/>
      <c r="F2" s="360"/>
    </row>
    <row r="3" spans="1:8" s="1" customFormat="1" ht="24" customHeight="1">
      <c r="A3" s="596" t="s">
        <v>2510</v>
      </c>
      <c r="B3" s="360"/>
      <c r="C3" s="360"/>
      <c r="D3" s="360"/>
      <c r="E3" s="360"/>
      <c r="F3" s="360"/>
    </row>
    <row r="4" spans="1:8" ht="24" customHeight="1">
      <c r="A4" s="178" t="s">
        <v>2368</v>
      </c>
      <c r="B4" s="880" t="s">
        <v>1814</v>
      </c>
      <c r="C4" s="881" t="s">
        <v>1815</v>
      </c>
      <c r="D4" s="880" t="s">
        <v>1816</v>
      </c>
      <c r="E4" s="881" t="s">
        <v>1817</v>
      </c>
      <c r="F4" s="880" t="s">
        <v>1825</v>
      </c>
      <c r="G4" s="911" t="s">
        <v>2372</v>
      </c>
      <c r="H4" s="912" t="s">
        <v>1818</v>
      </c>
    </row>
    <row r="5" spans="1:8" ht="24.75" customHeight="1">
      <c r="A5" s="274"/>
      <c r="B5" s="882"/>
      <c r="C5" s="883"/>
      <c r="D5" s="882"/>
      <c r="E5" s="883"/>
      <c r="F5" s="882"/>
      <c r="G5" s="913" t="s">
        <v>2373</v>
      </c>
      <c r="H5" s="914" t="s">
        <v>1819</v>
      </c>
    </row>
    <row r="6" spans="1:8" ht="24.75" customHeight="1">
      <c r="A6" s="274"/>
      <c r="B6" s="882"/>
      <c r="C6" s="883"/>
      <c r="D6" s="882"/>
      <c r="E6" s="883"/>
      <c r="F6" s="882"/>
      <c r="G6" s="922" t="s">
        <v>2377</v>
      </c>
      <c r="H6" s="923" t="s">
        <v>1820</v>
      </c>
    </row>
    <row r="7" spans="1:8" ht="16" customHeight="1">
      <c r="A7" s="275"/>
      <c r="B7" s="188"/>
      <c r="C7" s="187"/>
      <c r="D7" s="188"/>
      <c r="E7" s="187"/>
      <c r="F7" s="210"/>
      <c r="G7" s="924"/>
      <c r="H7" s="925" t="s">
        <v>1829</v>
      </c>
    </row>
    <row r="8" spans="1:8" ht="30" customHeight="1" thickBot="1">
      <c r="A8" s="884" t="s">
        <v>2378</v>
      </c>
      <c r="B8" s="497">
        <v>91.676271700000001</v>
      </c>
      <c r="C8" s="277">
        <v>81.575474700000001</v>
      </c>
      <c r="D8" s="497">
        <v>75.686444899999998</v>
      </c>
      <c r="E8" s="277" t="s">
        <v>1491</v>
      </c>
      <c r="F8" s="926">
        <v>81.696624839619545</v>
      </c>
      <c r="G8" s="473">
        <v>0.10110475530966401</v>
      </c>
      <c r="H8" s="498">
        <v>3.9879098183410733E-2</v>
      </c>
    </row>
    <row r="9" spans="1:8" ht="20" customHeight="1" thickBot="1">
      <c r="A9" s="896" t="s">
        <v>2379</v>
      </c>
      <c r="B9" s="499">
        <v>101.765939</v>
      </c>
      <c r="C9" s="501">
        <v>88.929148400000003</v>
      </c>
      <c r="D9" s="499">
        <v>81.592500999999999</v>
      </c>
      <c r="E9" s="501" t="s">
        <v>1491</v>
      </c>
      <c r="F9" s="850">
        <v>90.478688465477177</v>
      </c>
      <c r="G9" s="477">
        <v>0.12607966641122936</v>
      </c>
      <c r="H9" s="500">
        <v>5.2642204885921418E-2</v>
      </c>
    </row>
    <row r="10" spans="1:8" ht="20" customHeight="1" thickBot="1">
      <c r="A10" s="896" t="s">
        <v>2380</v>
      </c>
      <c r="B10" s="499">
        <v>78.954292100000004</v>
      </c>
      <c r="C10" s="501">
        <v>71.918724699999999</v>
      </c>
      <c r="D10" s="499">
        <v>68.050796300000002</v>
      </c>
      <c r="E10" s="501" t="s">
        <v>1491</v>
      </c>
      <c r="F10" s="850">
        <v>72.787805138163776</v>
      </c>
      <c r="G10" s="477">
        <v>9.7481804974916653E-2</v>
      </c>
      <c r="H10" s="500">
        <v>5.7624748681684768E-2</v>
      </c>
    </row>
    <row r="11" spans="1:8" ht="20" customHeight="1" thickBot="1">
      <c r="A11" s="896" t="s">
        <v>2381</v>
      </c>
      <c r="B11" s="499" t="s">
        <v>1491</v>
      </c>
      <c r="C11" s="501" t="s">
        <v>1491</v>
      </c>
      <c r="D11" s="499" t="s">
        <v>1491</v>
      </c>
      <c r="E11" s="501">
        <v>68.075740699999997</v>
      </c>
      <c r="F11" s="850">
        <v>68.07574070635178</v>
      </c>
      <c r="G11" s="477">
        <v>0.10711057014764624</v>
      </c>
      <c r="H11" s="500">
        <v>5.4658697085417485E-2</v>
      </c>
    </row>
    <row r="12" spans="1:8" ht="20" customHeight="1" thickBot="1">
      <c r="A12" s="896" t="s">
        <v>2382</v>
      </c>
      <c r="B12" s="499" t="s">
        <v>1491</v>
      </c>
      <c r="C12" s="501" t="s">
        <v>1491</v>
      </c>
      <c r="D12" s="499" t="s">
        <v>1491</v>
      </c>
      <c r="E12" s="501">
        <v>71.536490200000003</v>
      </c>
      <c r="F12" s="850">
        <v>71.536490265968695</v>
      </c>
      <c r="G12" s="477">
        <v>0.10206323675239548</v>
      </c>
      <c r="H12" s="500">
        <v>5.5927429942967288E-2</v>
      </c>
    </row>
    <row r="13" spans="1:8" ht="20" customHeight="1" thickBot="1">
      <c r="A13" s="896" t="s">
        <v>2383</v>
      </c>
      <c r="B13" s="499" t="s">
        <v>1491</v>
      </c>
      <c r="C13" s="501" t="s">
        <v>1491</v>
      </c>
      <c r="D13" s="499" t="s">
        <v>1491</v>
      </c>
      <c r="E13" s="501">
        <v>67.244134500000001</v>
      </c>
      <c r="F13" s="850">
        <v>67.244134432725318</v>
      </c>
      <c r="G13" s="477">
        <v>0.12694161869398268</v>
      </c>
      <c r="H13" s="500">
        <v>5.1639450350454696E-2</v>
      </c>
    </row>
    <row r="14" spans="1:8" ht="20" customHeight="1" thickBot="1">
      <c r="A14" s="896" t="s">
        <v>2384</v>
      </c>
      <c r="B14" s="499" t="s">
        <v>1491</v>
      </c>
      <c r="C14" s="501" t="s">
        <v>1491</v>
      </c>
      <c r="D14" s="499" t="s">
        <v>1491</v>
      </c>
      <c r="E14" s="501">
        <v>61.098369900000002</v>
      </c>
      <c r="F14" s="850">
        <v>61.09836982391905</v>
      </c>
      <c r="G14" s="477">
        <v>8.8239781156332908E-2</v>
      </c>
      <c r="H14" s="500">
        <v>4.7041802620730211E-2</v>
      </c>
    </row>
    <row r="15" spans="1:8" ht="20" customHeight="1" thickBot="1">
      <c r="A15" s="896" t="s">
        <v>2385</v>
      </c>
      <c r="B15" s="499" t="s">
        <v>1491</v>
      </c>
      <c r="C15" s="501" t="s">
        <v>1491</v>
      </c>
      <c r="D15" s="499" t="s">
        <v>1491</v>
      </c>
      <c r="E15" s="501">
        <v>69.482510700000006</v>
      </c>
      <c r="F15" s="850">
        <v>69.482510720453689</v>
      </c>
      <c r="G15" s="477">
        <v>9.5106752602949873E-2</v>
      </c>
      <c r="H15" s="500">
        <v>5.3924326097966713E-2</v>
      </c>
    </row>
    <row r="16" spans="1:8" ht="20" customHeight="1" thickBot="1">
      <c r="A16" s="896" t="s">
        <v>2386</v>
      </c>
      <c r="B16" s="499" t="s">
        <v>1491</v>
      </c>
      <c r="C16" s="501" t="s">
        <v>1491</v>
      </c>
      <c r="D16" s="499" t="s">
        <v>1491</v>
      </c>
      <c r="E16" s="501">
        <v>70.794135999999995</v>
      </c>
      <c r="F16" s="850">
        <v>70.794136214043249</v>
      </c>
      <c r="G16" s="477">
        <v>0.10601005377021866</v>
      </c>
      <c r="H16" s="500">
        <v>5.5395186855643042E-2</v>
      </c>
    </row>
    <row r="17" spans="1:8" ht="20" customHeight="1" thickBot="1">
      <c r="A17" s="896" t="s">
        <v>2387</v>
      </c>
      <c r="B17" s="499">
        <v>83.366933700000004</v>
      </c>
      <c r="C17" s="501">
        <v>75.120575200000005</v>
      </c>
      <c r="D17" s="499" t="s">
        <v>1491</v>
      </c>
      <c r="E17" s="501" t="s">
        <v>1491</v>
      </c>
      <c r="F17" s="850">
        <v>77.931189065494621</v>
      </c>
      <c r="G17" s="477">
        <v>9.3307250217077087E-2</v>
      </c>
      <c r="H17" s="500">
        <v>3.5793039380810354E-2</v>
      </c>
    </row>
    <row r="18" spans="1:8" ht="20" customHeight="1" thickBot="1">
      <c r="A18" s="896" t="s">
        <v>2388</v>
      </c>
      <c r="B18" s="499" t="s">
        <v>1491</v>
      </c>
      <c r="C18" s="501" t="s">
        <v>1491</v>
      </c>
      <c r="D18" s="499" t="s">
        <v>1491</v>
      </c>
      <c r="E18" s="501">
        <v>79.947040000000001</v>
      </c>
      <c r="F18" s="850">
        <v>79.947040101138114</v>
      </c>
      <c r="G18" s="477">
        <v>0.12177716558576113</v>
      </c>
      <c r="H18" s="500">
        <v>4.7439270450455595E-2</v>
      </c>
    </row>
    <row r="19" spans="1:8" ht="20" customHeight="1" thickBot="1">
      <c r="A19" s="896" t="s">
        <v>2389</v>
      </c>
      <c r="B19" s="499" t="s">
        <v>1491</v>
      </c>
      <c r="C19" s="501" t="s">
        <v>1491</v>
      </c>
      <c r="D19" s="499" t="s">
        <v>1491</v>
      </c>
      <c r="E19" s="501">
        <v>110.82463</v>
      </c>
      <c r="F19" s="850">
        <v>110.82463027989427</v>
      </c>
      <c r="G19" s="477">
        <v>9.1897251460801632E-2</v>
      </c>
      <c r="H19" s="500">
        <v>4.4364262774968743E-2</v>
      </c>
    </row>
    <row r="20" spans="1:8" ht="20" customHeight="1" thickBot="1">
      <c r="A20" s="896" t="s">
        <v>2390</v>
      </c>
      <c r="B20" s="499">
        <v>92.670867099999995</v>
      </c>
      <c r="C20" s="501">
        <v>85.046838100000002</v>
      </c>
      <c r="D20" s="499" t="s">
        <v>1491</v>
      </c>
      <c r="E20" s="501" t="s">
        <v>1491</v>
      </c>
      <c r="F20" s="850">
        <v>90.299254843863991</v>
      </c>
      <c r="G20" s="477">
        <v>0.1229784089600372</v>
      </c>
      <c r="H20" s="500">
        <v>5.0034554021630262E-2</v>
      </c>
    </row>
    <row r="21" spans="1:8" ht="20" customHeight="1" thickBot="1">
      <c r="A21" s="896" t="s">
        <v>2391</v>
      </c>
      <c r="B21" s="499">
        <v>83.352410599999999</v>
      </c>
      <c r="C21" s="501">
        <v>76.762530999999996</v>
      </c>
      <c r="D21" s="499" t="s">
        <v>1491</v>
      </c>
      <c r="E21" s="501" t="s">
        <v>1491</v>
      </c>
      <c r="F21" s="850">
        <v>80.34160515879266</v>
      </c>
      <c r="G21" s="477">
        <v>9.794608640589364E-2</v>
      </c>
      <c r="H21" s="500">
        <v>5.039340214064647E-2</v>
      </c>
    </row>
    <row r="22" spans="1:8" ht="20" customHeight="1" thickBot="1">
      <c r="A22" s="896" t="s">
        <v>2392</v>
      </c>
      <c r="B22" s="499" t="s">
        <v>1491</v>
      </c>
      <c r="C22" s="501" t="s">
        <v>1491</v>
      </c>
      <c r="D22" s="499" t="s">
        <v>1491</v>
      </c>
      <c r="E22" s="501">
        <v>66.893338299999996</v>
      </c>
      <c r="F22" s="850">
        <v>66.893338292521989</v>
      </c>
      <c r="G22" s="477">
        <v>0.12403325637089901</v>
      </c>
      <c r="H22" s="500">
        <v>5.7394914159061061E-2</v>
      </c>
    </row>
    <row r="23" spans="1:8" ht="20" customHeight="1" thickBot="1">
      <c r="A23" s="896" t="s">
        <v>2393</v>
      </c>
      <c r="B23" s="499" t="s">
        <v>1491</v>
      </c>
      <c r="C23" s="501" t="s">
        <v>1491</v>
      </c>
      <c r="D23" s="499" t="s">
        <v>1491</v>
      </c>
      <c r="E23" s="501">
        <v>62.506692399999999</v>
      </c>
      <c r="F23" s="850">
        <v>62.506692374171365</v>
      </c>
      <c r="G23" s="477">
        <v>0.10919522370114065</v>
      </c>
      <c r="H23" s="500">
        <v>6.1115811035751033E-2</v>
      </c>
    </row>
    <row r="24" spans="1:8" ht="20" customHeight="1" thickBot="1">
      <c r="A24" s="896" t="s">
        <v>2394</v>
      </c>
      <c r="B24" s="499">
        <v>81.282840500000006</v>
      </c>
      <c r="C24" s="501">
        <v>73.892408599999996</v>
      </c>
      <c r="D24" s="499">
        <v>70.938515899999999</v>
      </c>
      <c r="E24" s="501" t="s">
        <v>1491</v>
      </c>
      <c r="F24" s="850">
        <v>75.01463996703626</v>
      </c>
      <c r="G24" s="477">
        <v>0.11023703323741696</v>
      </c>
      <c r="H24" s="500">
        <v>5.8914887026197515E-2</v>
      </c>
    </row>
    <row r="25" spans="1:8" ht="20" customHeight="1" thickBot="1">
      <c r="A25" s="896" t="s">
        <v>2395</v>
      </c>
      <c r="B25" s="499">
        <v>77.650015400000001</v>
      </c>
      <c r="C25" s="501">
        <v>73.378310999999997</v>
      </c>
      <c r="D25" s="499">
        <v>66.743753900000002</v>
      </c>
      <c r="E25" s="501" t="s">
        <v>1491</v>
      </c>
      <c r="F25" s="850">
        <v>72.783094051976263</v>
      </c>
      <c r="G25" s="477">
        <v>0.12859447548039404</v>
      </c>
      <c r="H25" s="500">
        <v>6.2354127052972164E-2</v>
      </c>
    </row>
    <row r="26" spans="1:8" ht="20" customHeight="1" thickBot="1">
      <c r="A26" s="896" t="s">
        <v>2396</v>
      </c>
      <c r="B26" s="499" t="s">
        <v>1491</v>
      </c>
      <c r="C26" s="501" t="s">
        <v>1491</v>
      </c>
      <c r="D26" s="499" t="s">
        <v>1491</v>
      </c>
      <c r="E26" s="501">
        <v>77.604633100000001</v>
      </c>
      <c r="F26" s="850">
        <v>77.604633062499744</v>
      </c>
      <c r="G26" s="477">
        <v>0.10820598876753262</v>
      </c>
      <c r="H26" s="500">
        <v>5.486864996283991E-2</v>
      </c>
    </row>
    <row r="27" spans="1:8" ht="20" customHeight="1" thickBot="1">
      <c r="A27" s="896" t="s">
        <v>2397</v>
      </c>
      <c r="B27" s="499" t="s">
        <v>1491</v>
      </c>
      <c r="C27" s="501" t="s">
        <v>1491</v>
      </c>
      <c r="D27" s="499" t="s">
        <v>1491</v>
      </c>
      <c r="E27" s="501">
        <v>78.868369200000004</v>
      </c>
      <c r="F27" s="850">
        <v>78.868369265776309</v>
      </c>
      <c r="G27" s="477">
        <v>0.10406064061442577</v>
      </c>
      <c r="H27" s="500">
        <v>5.344169725530068E-2</v>
      </c>
    </row>
    <row r="28" spans="1:8" ht="20" customHeight="1" thickBot="1">
      <c r="A28" s="896" t="s">
        <v>2398</v>
      </c>
      <c r="B28" s="499">
        <v>93.664795100000006</v>
      </c>
      <c r="C28" s="501">
        <v>87.887720000000002</v>
      </c>
      <c r="D28" s="499" t="s">
        <v>1491</v>
      </c>
      <c r="E28" s="501" t="s">
        <v>1491</v>
      </c>
      <c r="F28" s="850">
        <v>92.753483301020339</v>
      </c>
      <c r="G28" s="477">
        <v>6.3748865337906579E-2</v>
      </c>
      <c r="H28" s="500">
        <v>3.2637778162878162E-2</v>
      </c>
    </row>
    <row r="29" spans="1:8" ht="20" customHeight="1" thickBot="1">
      <c r="A29" s="896" t="s">
        <v>2399</v>
      </c>
      <c r="B29" s="499">
        <v>101.11380200000001</v>
      </c>
      <c r="C29" s="501">
        <v>93.277461200000005</v>
      </c>
      <c r="D29" s="499" t="s">
        <v>1491</v>
      </c>
      <c r="E29" s="501" t="s">
        <v>1491</v>
      </c>
      <c r="F29" s="850">
        <v>98.529802880342629</v>
      </c>
      <c r="G29" s="477">
        <v>9.2272643803890775E-2</v>
      </c>
      <c r="H29" s="500">
        <v>2.2064747531402418E-2</v>
      </c>
    </row>
    <row r="30" spans="1:8" ht="20" customHeight="1" thickBot="1">
      <c r="A30" s="896" t="s">
        <v>2400</v>
      </c>
      <c r="B30" s="499">
        <v>76.102484399999994</v>
      </c>
      <c r="C30" s="501">
        <v>65.351436500000005</v>
      </c>
      <c r="D30" s="499" t="s">
        <v>1491</v>
      </c>
      <c r="E30" s="501" t="s">
        <v>1491</v>
      </c>
      <c r="F30" s="850">
        <v>73.094137196307912</v>
      </c>
      <c r="G30" s="477">
        <v>0.10308463202064866</v>
      </c>
      <c r="H30" s="500">
        <v>4.4261335745787722E-2</v>
      </c>
    </row>
    <row r="31" spans="1:8" ht="20" customHeight="1" thickBot="1">
      <c r="A31" s="896" t="s">
        <v>2401</v>
      </c>
      <c r="B31" s="499" t="s">
        <v>1491</v>
      </c>
      <c r="C31" s="501" t="s">
        <v>1491</v>
      </c>
      <c r="D31" s="499" t="s">
        <v>1491</v>
      </c>
      <c r="E31" s="501">
        <v>87.863500000000002</v>
      </c>
      <c r="F31" s="850">
        <v>87.863500090562638</v>
      </c>
      <c r="G31" s="477">
        <v>6.2596700590151766E-2</v>
      </c>
      <c r="H31" s="500">
        <v>2.5757766148902794E-2</v>
      </c>
    </row>
    <row r="32" spans="1:8" ht="20" customHeight="1" thickBot="1">
      <c r="A32" s="896" t="s">
        <v>2402</v>
      </c>
      <c r="B32" s="499" t="s">
        <v>1491</v>
      </c>
      <c r="C32" s="501" t="s">
        <v>1491</v>
      </c>
      <c r="D32" s="499" t="s">
        <v>1491</v>
      </c>
      <c r="E32" s="501">
        <v>101.515395</v>
      </c>
      <c r="F32" s="850">
        <v>101.51539513016796</v>
      </c>
      <c r="G32" s="477">
        <v>6.0656722295780119E-2</v>
      </c>
      <c r="H32" s="500">
        <v>1.7265799539692095E-2</v>
      </c>
    </row>
    <row r="33" spans="1:12" ht="20" customHeight="1" thickBot="1">
      <c r="A33" s="896" t="s">
        <v>2403</v>
      </c>
      <c r="B33" s="499" t="s">
        <v>1491</v>
      </c>
      <c r="C33" s="501" t="s">
        <v>1491</v>
      </c>
      <c r="D33" s="499" t="s">
        <v>1491</v>
      </c>
      <c r="E33" s="501">
        <v>85.315483099999994</v>
      </c>
      <c r="F33" s="850">
        <v>85.315482945861163</v>
      </c>
      <c r="G33" s="477">
        <v>6.0238699951304708E-2</v>
      </c>
      <c r="H33" s="500">
        <v>3.292120120459785E-2</v>
      </c>
    </row>
    <row r="34" spans="1:12" s="251" customFormat="1" ht="30" customHeight="1" thickBot="1">
      <c r="A34" s="197" t="s">
        <v>2404</v>
      </c>
      <c r="B34" s="503" t="s">
        <v>1060</v>
      </c>
      <c r="C34" s="505" t="s">
        <v>1060</v>
      </c>
      <c r="D34" s="503" t="s">
        <v>1060</v>
      </c>
      <c r="E34" s="505" t="s">
        <v>1060</v>
      </c>
      <c r="F34" s="503">
        <v>84.027090196386368</v>
      </c>
      <c r="G34" s="777">
        <v>0.10041304162065789</v>
      </c>
      <c r="H34" s="506">
        <v>4.2963501021364037E-2</v>
      </c>
    </row>
    <row r="35" spans="1:12" ht="20" customHeight="1">
      <c r="A35" s="201" t="s">
        <v>1870</v>
      </c>
      <c r="B35" s="897"/>
      <c r="C35" s="897"/>
      <c r="D35" s="897"/>
      <c r="E35" s="897"/>
      <c r="F35" s="897"/>
    </row>
    <row r="36" spans="1:12" ht="12.75" customHeight="1">
      <c r="A36" s="202"/>
      <c r="B36" s="898"/>
      <c r="C36" s="898"/>
      <c r="D36" s="898"/>
      <c r="E36" s="898"/>
      <c r="F36" s="898"/>
    </row>
    <row r="37" spans="1:12" ht="15.75" customHeight="1">
      <c r="A37" s="202" t="s">
        <v>1924</v>
      </c>
      <c r="B37" s="898"/>
      <c r="C37" s="898"/>
      <c r="D37" s="898"/>
      <c r="E37" s="898"/>
      <c r="F37" s="898"/>
    </row>
    <row r="38" spans="1:12" ht="13.5" customHeight="1">
      <c r="A38" s="202"/>
      <c r="B38" s="898"/>
      <c r="C38" s="898"/>
      <c r="D38" s="898"/>
      <c r="E38" s="898"/>
      <c r="F38" s="898"/>
    </row>
    <row r="39" spans="1:12" ht="12.75" customHeight="1">
      <c r="A39" s="202" t="s">
        <v>1925</v>
      </c>
      <c r="B39" s="898"/>
      <c r="C39" s="898"/>
      <c r="D39" s="898"/>
      <c r="E39" s="898"/>
      <c r="F39" s="898"/>
    </row>
    <row r="40" spans="1:12">
      <c r="A40" s="2" t="s">
        <v>1821</v>
      </c>
      <c r="B40" s="290"/>
      <c r="C40" s="290"/>
      <c r="D40" s="290"/>
      <c r="E40" s="290"/>
      <c r="F40" s="290"/>
    </row>
    <row r="41" spans="1:12">
      <c r="A41" s="2" t="s">
        <v>1822</v>
      </c>
      <c r="B41" s="290"/>
      <c r="C41" s="290"/>
      <c r="D41" s="290"/>
      <c r="E41" s="290"/>
      <c r="F41" s="290"/>
    </row>
    <row r="42" spans="1:12">
      <c r="A42" s="2" t="s">
        <v>1823</v>
      </c>
      <c r="B42" s="290"/>
      <c r="C42" s="290"/>
      <c r="D42" s="290"/>
      <c r="E42" s="290"/>
      <c r="F42" s="290"/>
      <c r="J42" s="909" t="s">
        <v>2414</v>
      </c>
      <c r="K42" s="909"/>
      <c r="L42" s="909"/>
    </row>
    <row r="43" spans="1:12">
      <c r="B43" s="290"/>
      <c r="C43" s="290"/>
      <c r="D43" s="290"/>
      <c r="E43" s="290"/>
      <c r="F43" s="290"/>
    </row>
    <row r="44" spans="1:12">
      <c r="B44" s="290"/>
      <c r="C44" s="290"/>
      <c r="D44" s="290"/>
      <c r="E44" s="290"/>
      <c r="F44" s="290"/>
    </row>
    <row r="45" spans="1:12">
      <c r="A45" s="2" t="s">
        <v>711</v>
      </c>
    </row>
  </sheetData>
  <phoneticPr fontId="0" type="noConversion"/>
  <pageMargins left="0.62" right="0.54" top="0.9" bottom="0.47244094488188981" header="0.53" footer="0.51181102362204722"/>
  <pageSetup paperSize="9" scale="74" orientation="portrait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B1A9-91B5-A14F-A714-F10ED6FD08A4}">
  <sheetPr>
    <pageSetUpPr fitToPage="1"/>
  </sheetPr>
  <dimension ref="A1:F42"/>
  <sheetViews>
    <sheetView zoomScale="75" workbookViewId="0">
      <selection activeCell="A40" sqref="A40"/>
    </sheetView>
  </sheetViews>
  <sheetFormatPr baseColWidth="10" defaultColWidth="11.3984375" defaultRowHeight="13"/>
  <cols>
    <col min="1" max="1" width="14.3984375" style="2" customWidth="1"/>
    <col min="2" max="2" width="15.19921875" style="2" customWidth="1"/>
    <col min="3" max="3" width="14.19921875" style="2" customWidth="1"/>
    <col min="4" max="4" width="15.59765625" style="2" customWidth="1"/>
    <col min="5" max="5" width="15.19921875" style="2" customWidth="1"/>
    <col min="6" max="6" width="14.19921875" style="2" customWidth="1"/>
    <col min="7" max="7" width="17.59765625" style="2" customWidth="1"/>
    <col min="8" max="16384" width="11.3984375" style="2"/>
  </cols>
  <sheetData>
    <row r="1" spans="1:6" s="1" customFormat="1" ht="14" customHeight="1">
      <c r="A1" s="360"/>
      <c r="B1" s="360"/>
      <c r="C1" s="360"/>
      <c r="D1" s="360"/>
      <c r="E1" s="360"/>
      <c r="F1" s="360"/>
    </row>
    <row r="2" spans="1:6" s="1" customFormat="1" ht="18.75" customHeight="1">
      <c r="A2" s="596" t="s">
        <v>2509</v>
      </c>
      <c r="B2" s="360"/>
      <c r="C2" s="360"/>
      <c r="D2" s="360"/>
      <c r="E2" s="360"/>
      <c r="F2" s="360"/>
    </row>
    <row r="3" spans="1:6" s="1" customFormat="1" ht="24" customHeight="1">
      <c r="A3" s="596" t="s">
        <v>2512</v>
      </c>
      <c r="B3" s="360"/>
      <c r="C3" s="360"/>
      <c r="D3" s="360"/>
      <c r="E3" s="360"/>
      <c r="F3" s="360"/>
    </row>
    <row r="4" spans="1:6" ht="24" customHeight="1">
      <c r="A4" s="178" t="s">
        <v>2368</v>
      </c>
      <c r="B4" s="880">
        <v>0.05</v>
      </c>
      <c r="C4" s="881">
        <v>0.25</v>
      </c>
      <c r="D4" s="880">
        <v>0.5</v>
      </c>
      <c r="E4" s="881">
        <v>0.25</v>
      </c>
      <c r="F4" s="880">
        <v>0.05</v>
      </c>
    </row>
    <row r="5" spans="1:6" ht="73.5" customHeight="1">
      <c r="A5" s="274"/>
      <c r="B5" s="882" t="s">
        <v>1921</v>
      </c>
      <c r="C5" s="883" t="s">
        <v>1921</v>
      </c>
      <c r="D5" s="882" t="s">
        <v>1922</v>
      </c>
      <c r="E5" s="883" t="s">
        <v>1923</v>
      </c>
      <c r="F5" s="882" t="s">
        <v>1923</v>
      </c>
    </row>
    <row r="6" spans="1:6" ht="16" customHeight="1">
      <c r="A6" s="275"/>
      <c r="B6" s="188"/>
      <c r="C6" s="187"/>
      <c r="D6" s="188"/>
      <c r="E6" s="187"/>
      <c r="F6" s="210"/>
    </row>
    <row r="7" spans="1:6" ht="30" customHeight="1" thickBot="1">
      <c r="A7" s="884" t="s">
        <v>2378</v>
      </c>
      <c r="B7" s="381">
        <v>289</v>
      </c>
      <c r="C7" s="382">
        <v>315.10000000000002</v>
      </c>
      <c r="D7" s="381">
        <v>335.2</v>
      </c>
      <c r="E7" s="382">
        <v>355.3</v>
      </c>
      <c r="F7" s="381">
        <v>411</v>
      </c>
    </row>
    <row r="8" spans="1:6" ht="20" customHeight="1" thickBot="1">
      <c r="A8" s="896" t="s">
        <v>2379</v>
      </c>
      <c r="B8" s="213">
        <v>325</v>
      </c>
      <c r="C8" s="263">
        <v>353</v>
      </c>
      <c r="D8" s="213">
        <v>387.2</v>
      </c>
      <c r="E8" s="263">
        <v>410</v>
      </c>
      <c r="F8" s="213">
        <v>472</v>
      </c>
    </row>
    <row r="9" spans="1:6" ht="20" customHeight="1" thickBot="1">
      <c r="A9" s="896" t="s">
        <v>2380</v>
      </c>
      <c r="B9" s="213">
        <v>248.6</v>
      </c>
      <c r="C9" s="263">
        <v>295</v>
      </c>
      <c r="D9" s="213">
        <v>304</v>
      </c>
      <c r="E9" s="263">
        <v>335</v>
      </c>
      <c r="F9" s="213">
        <v>359</v>
      </c>
    </row>
    <row r="10" spans="1:6" ht="20" customHeight="1" thickBot="1">
      <c r="A10" s="896" t="s">
        <v>2381</v>
      </c>
      <c r="B10" s="213">
        <v>235</v>
      </c>
      <c r="C10" s="263">
        <v>264</v>
      </c>
      <c r="D10" s="213">
        <v>298.7</v>
      </c>
      <c r="E10" s="263">
        <v>299</v>
      </c>
      <c r="F10" s="213">
        <v>319</v>
      </c>
    </row>
    <row r="11" spans="1:6" ht="20" customHeight="1" thickBot="1">
      <c r="A11" s="896" t="s">
        <v>2382</v>
      </c>
      <c r="B11" s="213">
        <v>257</v>
      </c>
      <c r="C11" s="263">
        <v>290</v>
      </c>
      <c r="D11" s="213">
        <v>290</v>
      </c>
      <c r="E11" s="263">
        <v>317</v>
      </c>
      <c r="F11" s="213">
        <v>357</v>
      </c>
    </row>
    <row r="12" spans="1:6" ht="20" customHeight="1" thickBot="1">
      <c r="A12" s="896" t="s">
        <v>2383</v>
      </c>
      <c r="B12" s="213">
        <v>241.2</v>
      </c>
      <c r="C12" s="263">
        <v>278.8</v>
      </c>
      <c r="D12" s="213">
        <v>282</v>
      </c>
      <c r="E12" s="263">
        <v>288</v>
      </c>
      <c r="F12" s="213">
        <v>320</v>
      </c>
    </row>
    <row r="13" spans="1:6" ht="20" customHeight="1" thickBot="1">
      <c r="A13" s="896" t="s">
        <v>2384</v>
      </c>
      <c r="B13" s="213">
        <v>226</v>
      </c>
      <c r="C13" s="263">
        <v>240</v>
      </c>
      <c r="D13" s="213">
        <v>263</v>
      </c>
      <c r="E13" s="263">
        <v>266.60000000000002</v>
      </c>
      <c r="F13" s="213">
        <v>289.3</v>
      </c>
    </row>
    <row r="14" spans="1:6" ht="20" customHeight="1" thickBot="1">
      <c r="A14" s="896" t="s">
        <v>2385</v>
      </c>
      <c r="B14" s="213">
        <v>250</v>
      </c>
      <c r="C14" s="263">
        <v>261</v>
      </c>
      <c r="D14" s="213">
        <v>302.3</v>
      </c>
      <c r="E14" s="263">
        <v>320</v>
      </c>
      <c r="F14" s="213">
        <v>328.8</v>
      </c>
    </row>
    <row r="15" spans="1:6" ht="20" customHeight="1" thickBot="1">
      <c r="A15" s="896" t="s">
        <v>2386</v>
      </c>
      <c r="B15" s="213">
        <v>256</v>
      </c>
      <c r="C15" s="263">
        <v>279</v>
      </c>
      <c r="D15" s="213">
        <v>290</v>
      </c>
      <c r="E15" s="263">
        <v>306.10000000000002</v>
      </c>
      <c r="F15" s="213">
        <v>324</v>
      </c>
    </row>
    <row r="16" spans="1:6" ht="20" customHeight="1" thickBot="1">
      <c r="A16" s="896" t="s">
        <v>2387</v>
      </c>
      <c r="B16" s="213">
        <v>276.60000000000002</v>
      </c>
      <c r="C16" s="263">
        <v>303</v>
      </c>
      <c r="D16" s="213">
        <v>325</v>
      </c>
      <c r="E16" s="263">
        <v>343</v>
      </c>
      <c r="F16" s="213">
        <v>372</v>
      </c>
    </row>
    <row r="17" spans="1:6" ht="20" customHeight="1" thickBot="1">
      <c r="A17" s="896" t="s">
        <v>2388</v>
      </c>
      <c r="B17" s="213">
        <v>289</v>
      </c>
      <c r="C17" s="263">
        <v>299</v>
      </c>
      <c r="D17" s="213">
        <v>329.8</v>
      </c>
      <c r="E17" s="263">
        <v>343.5</v>
      </c>
      <c r="F17" s="213">
        <v>359.9</v>
      </c>
    </row>
    <row r="18" spans="1:6" ht="20" customHeight="1" thickBot="1">
      <c r="A18" s="896" t="s">
        <v>2389</v>
      </c>
      <c r="B18" s="213">
        <v>354</v>
      </c>
      <c r="C18" s="263">
        <v>445.8</v>
      </c>
      <c r="D18" s="213">
        <v>460</v>
      </c>
      <c r="E18" s="263">
        <v>468</v>
      </c>
      <c r="F18" s="213">
        <v>558</v>
      </c>
    </row>
    <row r="19" spans="1:6" ht="20" customHeight="1" thickBot="1">
      <c r="A19" s="896" t="s">
        <v>2390</v>
      </c>
      <c r="B19" s="213">
        <v>308</v>
      </c>
      <c r="C19" s="263">
        <v>344.1</v>
      </c>
      <c r="D19" s="213">
        <v>370.6</v>
      </c>
      <c r="E19" s="263">
        <v>385.2</v>
      </c>
      <c r="F19" s="213">
        <v>420</v>
      </c>
    </row>
    <row r="20" spans="1:6" ht="20" customHeight="1" thickBot="1">
      <c r="A20" s="896" t="s">
        <v>2391</v>
      </c>
      <c r="B20" s="213">
        <v>284.10000000000002</v>
      </c>
      <c r="C20" s="263">
        <v>306.89999999999998</v>
      </c>
      <c r="D20" s="213">
        <v>332</v>
      </c>
      <c r="E20" s="263">
        <v>356</v>
      </c>
      <c r="F20" s="213">
        <v>371</v>
      </c>
    </row>
    <row r="21" spans="1:6" ht="20" customHeight="1" thickBot="1">
      <c r="A21" s="896" t="s">
        <v>2392</v>
      </c>
      <c r="B21" s="213">
        <v>229.2</v>
      </c>
      <c r="C21" s="263">
        <v>274.89999999999998</v>
      </c>
      <c r="D21" s="213">
        <v>274.89999999999998</v>
      </c>
      <c r="E21" s="263">
        <v>297</v>
      </c>
      <c r="F21" s="213">
        <v>318</v>
      </c>
    </row>
    <row r="22" spans="1:6" ht="20" customHeight="1" thickBot="1">
      <c r="A22" s="896" t="s">
        <v>2393</v>
      </c>
      <c r="B22" s="213">
        <v>225</v>
      </c>
      <c r="C22" s="263">
        <v>246</v>
      </c>
      <c r="D22" s="213">
        <v>258.7</v>
      </c>
      <c r="E22" s="263">
        <v>269.89999999999998</v>
      </c>
      <c r="F22" s="213">
        <v>274</v>
      </c>
    </row>
    <row r="23" spans="1:6" ht="20" customHeight="1" thickBot="1">
      <c r="A23" s="896" t="s">
        <v>2394</v>
      </c>
      <c r="B23" s="213">
        <v>260</v>
      </c>
      <c r="C23" s="263">
        <v>294</v>
      </c>
      <c r="D23" s="213">
        <v>308.39999999999998</v>
      </c>
      <c r="E23" s="263">
        <v>327</v>
      </c>
      <c r="F23" s="213">
        <v>350</v>
      </c>
    </row>
    <row r="24" spans="1:6" ht="20" customHeight="1" thickBot="1">
      <c r="A24" s="896" t="s">
        <v>2395</v>
      </c>
      <c r="B24" s="213">
        <v>238.7</v>
      </c>
      <c r="C24" s="263">
        <v>289</v>
      </c>
      <c r="D24" s="213">
        <v>294</v>
      </c>
      <c r="E24" s="263">
        <v>312</v>
      </c>
      <c r="F24" s="213">
        <v>359</v>
      </c>
    </row>
    <row r="25" spans="1:6" ht="20" customHeight="1" thickBot="1">
      <c r="A25" s="896" t="s">
        <v>2396</v>
      </c>
      <c r="B25" s="213">
        <v>280</v>
      </c>
      <c r="C25" s="263">
        <v>302.3</v>
      </c>
      <c r="D25" s="213">
        <v>326.60000000000002</v>
      </c>
      <c r="E25" s="263">
        <v>346.5</v>
      </c>
      <c r="F25" s="213">
        <v>361</v>
      </c>
    </row>
    <row r="26" spans="1:6" ht="20" customHeight="1" thickBot="1">
      <c r="A26" s="896" t="s">
        <v>2397</v>
      </c>
      <c r="B26" s="213">
        <v>278</v>
      </c>
      <c r="C26" s="263">
        <v>299</v>
      </c>
      <c r="D26" s="213">
        <v>322</v>
      </c>
      <c r="E26" s="263">
        <v>337.9</v>
      </c>
      <c r="F26" s="213">
        <v>365</v>
      </c>
    </row>
    <row r="27" spans="1:6" ht="20" customHeight="1" thickBot="1">
      <c r="A27" s="896" t="s">
        <v>2398</v>
      </c>
      <c r="B27" s="213">
        <v>333</v>
      </c>
      <c r="C27" s="263">
        <v>365</v>
      </c>
      <c r="D27" s="213">
        <v>382.3</v>
      </c>
      <c r="E27" s="263">
        <v>401</v>
      </c>
      <c r="F27" s="213">
        <v>446</v>
      </c>
    </row>
    <row r="28" spans="1:6" ht="20" customHeight="1" thickBot="1">
      <c r="A28" s="896" t="s">
        <v>2399</v>
      </c>
      <c r="B28" s="213">
        <v>353</v>
      </c>
      <c r="C28" s="263">
        <v>365</v>
      </c>
      <c r="D28" s="213">
        <v>395</v>
      </c>
      <c r="E28" s="263">
        <v>410</v>
      </c>
      <c r="F28" s="213">
        <v>467</v>
      </c>
    </row>
    <row r="29" spans="1:6" ht="20" customHeight="1" thickBot="1">
      <c r="A29" s="896" t="s">
        <v>2400</v>
      </c>
      <c r="B29" s="213">
        <v>255</v>
      </c>
      <c r="C29" s="263">
        <v>282</v>
      </c>
      <c r="D29" s="213">
        <v>301</v>
      </c>
      <c r="E29" s="263">
        <v>332</v>
      </c>
      <c r="F29" s="213">
        <v>346</v>
      </c>
    </row>
    <row r="30" spans="1:6" ht="20" customHeight="1" thickBot="1">
      <c r="A30" s="896" t="s">
        <v>2401</v>
      </c>
      <c r="B30" s="213">
        <v>330</v>
      </c>
      <c r="C30" s="263">
        <v>350.1</v>
      </c>
      <c r="D30" s="213">
        <v>389</v>
      </c>
      <c r="E30" s="263">
        <v>402.7</v>
      </c>
      <c r="F30" s="213">
        <v>438</v>
      </c>
    </row>
    <row r="31" spans="1:6" ht="20" customHeight="1" thickBot="1">
      <c r="A31" s="896" t="s">
        <v>2402</v>
      </c>
      <c r="B31" s="213">
        <v>386</v>
      </c>
      <c r="C31" s="263">
        <v>413</v>
      </c>
      <c r="D31" s="213">
        <v>445.1</v>
      </c>
      <c r="E31" s="263">
        <v>446</v>
      </c>
      <c r="F31" s="213">
        <v>471.2</v>
      </c>
    </row>
    <row r="32" spans="1:6" ht="20" customHeight="1" thickBot="1">
      <c r="A32" s="896" t="s">
        <v>2403</v>
      </c>
      <c r="B32" s="213">
        <v>311.89999999999998</v>
      </c>
      <c r="C32" s="263">
        <v>351.3</v>
      </c>
      <c r="D32" s="213">
        <v>354</v>
      </c>
      <c r="E32" s="263">
        <v>392</v>
      </c>
      <c r="F32" s="213">
        <v>406</v>
      </c>
    </row>
    <row r="33" spans="1:6" ht="30" customHeight="1" thickBot="1">
      <c r="A33" s="197" t="s">
        <v>2404</v>
      </c>
      <c r="B33" s="430">
        <v>274.89999999999998</v>
      </c>
      <c r="C33" s="431">
        <v>310</v>
      </c>
      <c r="D33" s="430">
        <v>344.9</v>
      </c>
      <c r="E33" s="431">
        <v>387.2</v>
      </c>
      <c r="F33" s="430">
        <v>453.1</v>
      </c>
    </row>
    <row r="34" spans="1:6" ht="20" customHeight="1">
      <c r="A34" s="201" t="s">
        <v>1870</v>
      </c>
      <c r="B34" s="897"/>
      <c r="C34" s="897"/>
      <c r="D34" s="897"/>
      <c r="E34" s="897"/>
      <c r="F34" s="897"/>
    </row>
    <row r="35" spans="1:6" ht="12.75" customHeight="1">
      <c r="A35" s="202"/>
      <c r="B35" s="898"/>
      <c r="C35" s="898"/>
      <c r="D35" s="898"/>
      <c r="E35" s="898"/>
      <c r="F35" s="898"/>
    </row>
    <row r="36" spans="1:6" ht="15.75" customHeight="1">
      <c r="A36" s="202" t="s">
        <v>1924</v>
      </c>
      <c r="B36" s="898"/>
      <c r="C36" s="898"/>
      <c r="D36" s="898"/>
      <c r="E36" s="898"/>
      <c r="F36" s="898"/>
    </row>
    <row r="37" spans="1:6" ht="13.5" customHeight="1">
      <c r="A37" s="202"/>
      <c r="B37" s="898"/>
      <c r="C37" s="898"/>
      <c r="D37" s="898"/>
      <c r="E37" s="898"/>
      <c r="F37" s="898"/>
    </row>
    <row r="38" spans="1:6" ht="12.75" customHeight="1">
      <c r="A38" s="202" t="s">
        <v>1925</v>
      </c>
      <c r="B38" s="898"/>
      <c r="C38" s="898"/>
      <c r="D38" s="898"/>
      <c r="E38" s="898"/>
      <c r="F38" s="898"/>
    </row>
    <row r="39" spans="1:6">
      <c r="A39" s="2" t="s">
        <v>2508</v>
      </c>
      <c r="B39" s="290"/>
      <c r="C39" s="290"/>
      <c r="D39" s="290"/>
      <c r="E39" s="290"/>
      <c r="F39" s="290"/>
    </row>
    <row r="40" spans="1:6">
      <c r="B40" s="290"/>
      <c r="C40" s="290"/>
      <c r="D40" s="290"/>
      <c r="E40" s="290"/>
      <c r="F40" s="290"/>
    </row>
    <row r="41" spans="1:6">
      <c r="B41" s="290"/>
      <c r="C41" s="290"/>
      <c r="D41" s="290"/>
      <c r="E41" s="290"/>
      <c r="F41" s="290"/>
    </row>
    <row r="42" spans="1:6">
      <c r="A42" s="2" t="s">
        <v>711</v>
      </c>
      <c r="B42" s="290"/>
      <c r="C42" s="290"/>
      <c r="D42" s="290"/>
      <c r="E42" s="290"/>
      <c r="F42" s="290"/>
    </row>
  </sheetData>
  <phoneticPr fontId="0" type="noConversion"/>
  <pageMargins left="0.67" right="0.6" top="0.69" bottom="0.47244094488188981" header="0.57999999999999996" footer="0.51181102362204722"/>
  <pageSetup paperSize="9" scale="84" orientation="portrait" horizontalDpi="1200" verticalDpi="12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3E63-BF5A-9540-80D3-25760D6AC62F}">
  <sheetPr>
    <pageSetUpPr fitToPage="1"/>
  </sheetPr>
  <dimension ref="A1:G42"/>
  <sheetViews>
    <sheetView topLeftCell="A3" zoomScale="75" workbookViewId="0">
      <selection activeCell="H5" sqref="H5"/>
    </sheetView>
  </sheetViews>
  <sheetFormatPr baseColWidth="10" defaultColWidth="11.3984375" defaultRowHeight="13"/>
  <cols>
    <col min="1" max="1" width="14.19921875" style="2" customWidth="1"/>
    <col min="2" max="6" width="15.796875" style="2" customWidth="1"/>
    <col min="7" max="7" width="16.19921875" style="2" customWidth="1"/>
    <col min="8" max="8" width="11.3984375" style="2"/>
    <col min="9" max="9" width="6.796875" style="2" customWidth="1"/>
    <col min="10" max="16384" width="11.3984375" style="2"/>
  </cols>
  <sheetData>
    <row r="1" spans="1:6" s="1" customFormat="1" ht="14" customHeight="1">
      <c r="A1" s="360"/>
      <c r="B1" s="360"/>
      <c r="C1" s="360"/>
      <c r="D1" s="360"/>
      <c r="E1" s="360"/>
      <c r="F1" s="360"/>
    </row>
    <row r="2" spans="1:6" s="1" customFormat="1" ht="18.75" customHeight="1">
      <c r="A2" s="596" t="s">
        <v>580</v>
      </c>
      <c r="B2" s="360"/>
      <c r="C2" s="360"/>
      <c r="D2" s="360"/>
      <c r="E2" s="360"/>
      <c r="F2" s="360"/>
    </row>
    <row r="3" spans="1:6" s="1" customFormat="1" ht="24" customHeight="1">
      <c r="A3" s="596" t="s">
        <v>2511</v>
      </c>
      <c r="B3" s="360"/>
      <c r="C3" s="360"/>
      <c r="D3" s="360"/>
      <c r="E3" s="360"/>
      <c r="F3" s="360"/>
    </row>
    <row r="4" spans="1:6" ht="24" customHeight="1">
      <c r="A4" s="178" t="s">
        <v>2368</v>
      </c>
      <c r="B4" s="880">
        <v>0.05</v>
      </c>
      <c r="C4" s="881">
        <v>0.25</v>
      </c>
      <c r="D4" s="880">
        <v>0.5</v>
      </c>
      <c r="E4" s="881">
        <v>0.25</v>
      </c>
      <c r="F4" s="880">
        <v>0.05</v>
      </c>
    </row>
    <row r="5" spans="1:6" ht="73.5" customHeight="1">
      <c r="A5" s="274"/>
      <c r="B5" s="882" t="s">
        <v>1921</v>
      </c>
      <c r="C5" s="883" t="s">
        <v>1921</v>
      </c>
      <c r="D5" s="882" t="s">
        <v>1922</v>
      </c>
      <c r="E5" s="883" t="s">
        <v>1923</v>
      </c>
      <c r="F5" s="882" t="s">
        <v>1923</v>
      </c>
    </row>
    <row r="6" spans="1:6" ht="16" customHeight="1">
      <c r="A6" s="275"/>
      <c r="B6" s="188"/>
      <c r="C6" s="187"/>
      <c r="D6" s="188"/>
      <c r="E6" s="187"/>
      <c r="F6" s="210"/>
    </row>
    <row r="7" spans="1:6" ht="30" customHeight="1" thickBot="1">
      <c r="A7" s="884" t="s">
        <v>2378</v>
      </c>
      <c r="B7" s="381">
        <v>244</v>
      </c>
      <c r="C7" s="382">
        <v>268.39999999999998</v>
      </c>
      <c r="D7" s="381">
        <v>280.8</v>
      </c>
      <c r="E7" s="382">
        <v>302.3</v>
      </c>
      <c r="F7" s="381">
        <v>340.2</v>
      </c>
    </row>
    <row r="8" spans="1:6" ht="20" customHeight="1" thickBot="1">
      <c r="A8" s="896" t="s">
        <v>2379</v>
      </c>
      <c r="B8" s="213">
        <v>247.2</v>
      </c>
      <c r="C8" s="263">
        <v>271.10000000000002</v>
      </c>
      <c r="D8" s="213">
        <v>316.8</v>
      </c>
      <c r="E8" s="263">
        <v>348.5</v>
      </c>
      <c r="F8" s="213">
        <v>390</v>
      </c>
    </row>
    <row r="9" spans="1:6" ht="20" customHeight="1" thickBot="1">
      <c r="A9" s="896" t="s">
        <v>2380</v>
      </c>
      <c r="B9" s="213">
        <v>216.8</v>
      </c>
      <c r="C9" s="263">
        <v>239.3</v>
      </c>
      <c r="D9" s="213">
        <v>249.2</v>
      </c>
      <c r="E9" s="263">
        <v>269.10000000000002</v>
      </c>
      <c r="F9" s="213">
        <v>290.10000000000002</v>
      </c>
    </row>
    <row r="10" spans="1:6" ht="20" customHeight="1" thickBot="1">
      <c r="A10" s="896" t="s">
        <v>2381</v>
      </c>
      <c r="B10" s="213">
        <v>207.1</v>
      </c>
      <c r="C10" s="263">
        <v>211.5</v>
      </c>
      <c r="D10" s="213">
        <v>239.2</v>
      </c>
      <c r="E10" s="263">
        <v>244.4</v>
      </c>
      <c r="F10" s="213">
        <v>271.10000000000002</v>
      </c>
    </row>
    <row r="11" spans="1:6" ht="20" customHeight="1" thickBot="1">
      <c r="A11" s="896" t="s">
        <v>2382</v>
      </c>
      <c r="B11" s="213">
        <v>212.5</v>
      </c>
      <c r="C11" s="263">
        <v>232</v>
      </c>
      <c r="D11" s="213">
        <v>249.1</v>
      </c>
      <c r="E11" s="263">
        <v>268.2</v>
      </c>
      <c r="F11" s="213">
        <v>303.39999999999998</v>
      </c>
    </row>
    <row r="12" spans="1:6" ht="20" customHeight="1" thickBot="1">
      <c r="A12" s="896" t="s">
        <v>2383</v>
      </c>
      <c r="B12" s="213">
        <v>214.2</v>
      </c>
      <c r="C12" s="263">
        <v>225.6</v>
      </c>
      <c r="D12" s="213">
        <v>229.6</v>
      </c>
      <c r="E12" s="263">
        <v>231.2</v>
      </c>
      <c r="F12" s="213">
        <v>272</v>
      </c>
    </row>
    <row r="13" spans="1:6" ht="20" customHeight="1" thickBot="1">
      <c r="A13" s="896" t="s">
        <v>2384</v>
      </c>
      <c r="B13" s="213">
        <v>187.8</v>
      </c>
      <c r="C13" s="263">
        <v>192</v>
      </c>
      <c r="D13" s="213">
        <v>217</v>
      </c>
      <c r="E13" s="263">
        <v>219.7</v>
      </c>
      <c r="F13" s="213">
        <v>246</v>
      </c>
    </row>
    <row r="14" spans="1:6" ht="20" customHeight="1" thickBot="1">
      <c r="A14" s="896" t="s">
        <v>2385</v>
      </c>
      <c r="B14" s="213">
        <v>205</v>
      </c>
      <c r="C14" s="263">
        <v>221.9</v>
      </c>
      <c r="D14" s="213">
        <v>248.4</v>
      </c>
      <c r="E14" s="263">
        <v>263.5</v>
      </c>
      <c r="F14" s="213">
        <v>272</v>
      </c>
    </row>
    <row r="15" spans="1:6" ht="20" customHeight="1" thickBot="1">
      <c r="A15" s="896" t="s">
        <v>2386</v>
      </c>
      <c r="B15" s="213">
        <v>212.9</v>
      </c>
      <c r="C15" s="263">
        <v>223.2</v>
      </c>
      <c r="D15" s="213">
        <v>250.3</v>
      </c>
      <c r="E15" s="263">
        <v>253.3</v>
      </c>
      <c r="F15" s="213">
        <v>275.39999999999998</v>
      </c>
    </row>
    <row r="16" spans="1:6" ht="20" customHeight="1" thickBot="1">
      <c r="A16" s="896" t="s">
        <v>2387</v>
      </c>
      <c r="B16" s="213">
        <v>233.8</v>
      </c>
      <c r="C16" s="263">
        <v>242.4</v>
      </c>
      <c r="D16" s="213">
        <v>274.39999999999998</v>
      </c>
      <c r="E16" s="263">
        <v>299</v>
      </c>
      <c r="F16" s="213">
        <v>330.5</v>
      </c>
    </row>
    <row r="17" spans="1:6" ht="20" customHeight="1" thickBot="1">
      <c r="A17" s="896" t="s">
        <v>2388</v>
      </c>
      <c r="B17" s="213">
        <v>241.9</v>
      </c>
      <c r="C17" s="263">
        <v>260.3</v>
      </c>
      <c r="D17" s="213">
        <v>272.8</v>
      </c>
      <c r="E17" s="263">
        <v>292.7</v>
      </c>
      <c r="F17" s="213">
        <v>306</v>
      </c>
    </row>
    <row r="18" spans="1:6" ht="20" customHeight="1" thickBot="1">
      <c r="A18" s="896" t="s">
        <v>2389</v>
      </c>
      <c r="B18" s="213">
        <v>350.7</v>
      </c>
      <c r="C18" s="263">
        <v>373.9</v>
      </c>
      <c r="D18" s="213">
        <v>379.5</v>
      </c>
      <c r="E18" s="263">
        <v>399.5</v>
      </c>
      <c r="F18" s="213">
        <v>457</v>
      </c>
    </row>
    <row r="19" spans="1:6" ht="20" customHeight="1" thickBot="1">
      <c r="A19" s="896" t="s">
        <v>2390</v>
      </c>
      <c r="B19" s="213">
        <v>258.8</v>
      </c>
      <c r="C19" s="263">
        <v>291.3</v>
      </c>
      <c r="D19" s="213">
        <v>306</v>
      </c>
      <c r="E19" s="263">
        <v>323</v>
      </c>
      <c r="F19" s="213">
        <v>346.5</v>
      </c>
    </row>
    <row r="20" spans="1:6" ht="20" customHeight="1" thickBot="1">
      <c r="A20" s="896" t="s">
        <v>2391</v>
      </c>
      <c r="B20" s="213">
        <v>248.8</v>
      </c>
      <c r="C20" s="263">
        <v>268.5</v>
      </c>
      <c r="D20" s="213">
        <v>284.8</v>
      </c>
      <c r="E20" s="263">
        <v>298.8</v>
      </c>
      <c r="F20" s="213">
        <v>312.3</v>
      </c>
    </row>
    <row r="21" spans="1:6" ht="20" customHeight="1" thickBot="1">
      <c r="A21" s="896" t="s">
        <v>2392</v>
      </c>
      <c r="B21" s="213">
        <v>194.8</v>
      </c>
      <c r="C21" s="263">
        <v>233.7</v>
      </c>
      <c r="D21" s="213">
        <v>233.7</v>
      </c>
      <c r="E21" s="263">
        <v>251.3</v>
      </c>
      <c r="F21" s="213">
        <v>254.4</v>
      </c>
    </row>
    <row r="22" spans="1:6" ht="20" customHeight="1" thickBot="1">
      <c r="A22" s="896" t="s">
        <v>2393</v>
      </c>
      <c r="B22" s="213">
        <v>191.3</v>
      </c>
      <c r="C22" s="263">
        <v>201.6</v>
      </c>
      <c r="D22" s="213">
        <v>219.9</v>
      </c>
      <c r="E22" s="263">
        <v>229.5</v>
      </c>
      <c r="F22" s="213">
        <v>232.9</v>
      </c>
    </row>
    <row r="23" spans="1:6" ht="20" customHeight="1" thickBot="1">
      <c r="A23" s="896" t="s">
        <v>2394</v>
      </c>
      <c r="B23" s="213">
        <v>210.7</v>
      </c>
      <c r="C23" s="263">
        <v>240.8</v>
      </c>
      <c r="D23" s="213">
        <v>260.89999999999998</v>
      </c>
      <c r="E23" s="263">
        <v>274.89999999999998</v>
      </c>
      <c r="F23" s="213">
        <v>297.5</v>
      </c>
    </row>
    <row r="24" spans="1:6" ht="20" customHeight="1" thickBot="1">
      <c r="A24" s="896" t="s">
        <v>2395</v>
      </c>
      <c r="B24" s="213">
        <v>191.1</v>
      </c>
      <c r="C24" s="263">
        <v>239.9</v>
      </c>
      <c r="D24" s="213">
        <v>244.1</v>
      </c>
      <c r="E24" s="263">
        <v>263.5</v>
      </c>
      <c r="F24" s="213">
        <v>287.2</v>
      </c>
    </row>
    <row r="25" spans="1:6" ht="20" customHeight="1" thickBot="1">
      <c r="A25" s="896" t="s">
        <v>2396</v>
      </c>
      <c r="B25" s="213">
        <v>241.9</v>
      </c>
      <c r="C25" s="263">
        <v>255.2</v>
      </c>
      <c r="D25" s="213">
        <v>275.5</v>
      </c>
      <c r="E25" s="263">
        <v>286.10000000000002</v>
      </c>
      <c r="F25" s="213">
        <v>306</v>
      </c>
    </row>
    <row r="26" spans="1:6" ht="20" customHeight="1" thickBot="1">
      <c r="A26" s="896" t="s">
        <v>2397</v>
      </c>
      <c r="B26" s="213">
        <v>242.3</v>
      </c>
      <c r="C26" s="263">
        <v>256.8</v>
      </c>
      <c r="D26" s="213">
        <v>272</v>
      </c>
      <c r="E26" s="263">
        <v>287.3</v>
      </c>
      <c r="F26" s="213">
        <v>310.2</v>
      </c>
    </row>
    <row r="27" spans="1:6" ht="20" customHeight="1" thickBot="1">
      <c r="A27" s="896" t="s">
        <v>2398</v>
      </c>
      <c r="B27" s="213">
        <v>279</v>
      </c>
      <c r="C27" s="263">
        <v>311.2</v>
      </c>
      <c r="D27" s="213">
        <v>332.7</v>
      </c>
      <c r="E27" s="263">
        <v>348</v>
      </c>
      <c r="F27" s="213">
        <v>378.9</v>
      </c>
    </row>
    <row r="28" spans="1:6" ht="20" customHeight="1" thickBot="1">
      <c r="A28" s="896" t="s">
        <v>2399</v>
      </c>
      <c r="B28" s="213">
        <v>305.39999999999998</v>
      </c>
      <c r="C28" s="263">
        <v>336</v>
      </c>
      <c r="D28" s="213">
        <v>346.6</v>
      </c>
      <c r="E28" s="263">
        <v>369.8</v>
      </c>
      <c r="F28" s="213">
        <v>408</v>
      </c>
    </row>
    <row r="29" spans="1:6" ht="20" customHeight="1" thickBot="1">
      <c r="A29" s="896" t="s">
        <v>2400</v>
      </c>
      <c r="B29" s="213">
        <v>198.1</v>
      </c>
      <c r="C29" s="263">
        <v>240.8</v>
      </c>
      <c r="D29" s="213">
        <v>266.10000000000002</v>
      </c>
      <c r="E29" s="263">
        <v>272.8</v>
      </c>
      <c r="F29" s="213">
        <v>294.10000000000002</v>
      </c>
    </row>
    <row r="30" spans="1:6" ht="20" customHeight="1" thickBot="1">
      <c r="A30" s="896" t="s">
        <v>2401</v>
      </c>
      <c r="B30" s="213">
        <v>297.60000000000002</v>
      </c>
      <c r="C30" s="263">
        <v>299.39999999999998</v>
      </c>
      <c r="D30" s="213">
        <v>324.8</v>
      </c>
      <c r="E30" s="263">
        <v>370.2</v>
      </c>
      <c r="F30" s="213">
        <v>394.2</v>
      </c>
    </row>
    <row r="31" spans="1:6" ht="20" customHeight="1" thickBot="1">
      <c r="A31" s="896" t="s">
        <v>2402</v>
      </c>
      <c r="B31" s="213">
        <v>348.9</v>
      </c>
      <c r="C31" s="263">
        <v>351</v>
      </c>
      <c r="D31" s="213">
        <v>370.1</v>
      </c>
      <c r="E31" s="263">
        <v>386.7</v>
      </c>
      <c r="F31" s="213">
        <v>421.3</v>
      </c>
    </row>
    <row r="32" spans="1:6" ht="20" customHeight="1" thickBot="1">
      <c r="A32" s="896" t="s">
        <v>2403</v>
      </c>
      <c r="B32" s="213">
        <v>298.7</v>
      </c>
      <c r="C32" s="263">
        <v>299.2</v>
      </c>
      <c r="D32" s="213">
        <v>313.60000000000002</v>
      </c>
      <c r="E32" s="263">
        <v>329.3</v>
      </c>
      <c r="F32" s="213">
        <v>347</v>
      </c>
    </row>
    <row r="33" spans="1:7" ht="30" customHeight="1" thickBot="1">
      <c r="A33" s="197" t="s">
        <v>2404</v>
      </c>
      <c r="B33" s="430">
        <v>232</v>
      </c>
      <c r="C33" s="431">
        <v>258.39999999999998</v>
      </c>
      <c r="D33" s="430">
        <v>284</v>
      </c>
      <c r="E33" s="431">
        <v>328.9</v>
      </c>
      <c r="F33" s="430">
        <v>381.3</v>
      </c>
      <c r="G33" s="202"/>
    </row>
    <row r="34" spans="1:7" ht="20" customHeight="1">
      <c r="A34" s="201" t="s">
        <v>1870</v>
      </c>
      <c r="B34" s="897"/>
      <c r="C34" s="897"/>
      <c r="D34" s="897"/>
      <c r="E34" s="897"/>
      <c r="F34" s="897"/>
      <c r="G34" s="898"/>
    </row>
    <row r="35" spans="1:7" ht="12.75" customHeight="1">
      <c r="A35" s="202"/>
      <c r="B35" s="898"/>
      <c r="C35" s="898"/>
      <c r="D35" s="898"/>
      <c r="E35" s="898"/>
      <c r="F35" s="898"/>
      <c r="G35" s="898"/>
    </row>
    <row r="36" spans="1:7" ht="20" customHeight="1">
      <c r="A36" s="202" t="s">
        <v>1924</v>
      </c>
      <c r="B36" s="898"/>
      <c r="C36" s="898"/>
      <c r="D36" s="898"/>
      <c r="E36" s="898"/>
      <c r="F36" s="898"/>
      <c r="G36" s="898"/>
    </row>
    <row r="37" spans="1:7" ht="14.25" customHeight="1">
      <c r="A37" s="202"/>
      <c r="B37" s="898"/>
      <c r="C37" s="898"/>
      <c r="D37" s="898"/>
      <c r="E37" s="898"/>
      <c r="F37" s="898"/>
      <c r="G37" s="898"/>
    </row>
    <row r="38" spans="1:7" ht="12.75" customHeight="1">
      <c r="A38" s="202" t="s">
        <v>1925</v>
      </c>
      <c r="B38" s="898"/>
      <c r="C38" s="898"/>
      <c r="D38" s="898"/>
      <c r="E38" s="898"/>
      <c r="F38" s="898"/>
      <c r="G38" s="898"/>
    </row>
    <row r="39" spans="1:7">
      <c r="A39" s="2" t="s">
        <v>2508</v>
      </c>
      <c r="B39" s="290"/>
      <c r="C39" s="290"/>
      <c r="D39" s="290"/>
      <c r="E39" s="290"/>
      <c r="F39" s="290"/>
      <c r="G39" s="290"/>
    </row>
    <row r="40" spans="1:7">
      <c r="B40" s="290"/>
      <c r="C40" s="290"/>
      <c r="D40" s="290"/>
      <c r="E40" s="290"/>
      <c r="F40" s="290"/>
      <c r="G40" s="290"/>
    </row>
    <row r="41" spans="1:7">
      <c r="B41" s="290"/>
      <c r="C41" s="290"/>
      <c r="D41" s="290"/>
      <c r="E41" s="290"/>
      <c r="F41" s="290"/>
      <c r="G41" s="290"/>
    </row>
    <row r="42" spans="1:7">
      <c r="A42" s="2" t="s">
        <v>711</v>
      </c>
      <c r="B42" s="290"/>
      <c r="C42" s="290"/>
      <c r="D42" s="290"/>
      <c r="E42" s="290"/>
      <c r="F42" s="290"/>
      <c r="G42" s="290"/>
    </row>
  </sheetData>
  <phoneticPr fontId="0" type="noConversion"/>
  <pageMargins left="0.67" right="0.54" top="0.67" bottom="0.47244094488188981" header="0.49" footer="0.51181102362204722"/>
  <pageSetup paperSize="9" scale="83" orientation="portrait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E148-AED9-0240-8D42-F78D8F2AB82E}">
  <sheetPr>
    <pageSetUpPr fitToPage="1"/>
  </sheetPr>
  <dimension ref="A1:F42"/>
  <sheetViews>
    <sheetView topLeftCell="A20" zoomScale="75" workbookViewId="0">
      <selection activeCell="G2" sqref="G2"/>
    </sheetView>
  </sheetViews>
  <sheetFormatPr baseColWidth="10" defaultColWidth="11.3984375" defaultRowHeight="13"/>
  <cols>
    <col min="1" max="1" width="16" style="2" customWidth="1"/>
    <col min="2" max="2" width="15.19921875" style="2" customWidth="1"/>
    <col min="3" max="3" width="14.19921875" style="2" customWidth="1"/>
    <col min="4" max="4" width="15.59765625" style="2" customWidth="1"/>
    <col min="5" max="5" width="15.19921875" style="2" customWidth="1"/>
    <col min="6" max="6" width="14.19921875" style="2" customWidth="1"/>
    <col min="7" max="7" width="15.59765625" style="2" customWidth="1"/>
    <col min="8" max="16384" width="11.3984375" style="2"/>
  </cols>
  <sheetData>
    <row r="1" spans="1:6" s="1" customFormat="1" ht="14" customHeight="1">
      <c r="A1" s="360"/>
      <c r="B1" s="360"/>
      <c r="C1" s="360"/>
      <c r="D1" s="360"/>
      <c r="E1" s="360"/>
      <c r="F1" s="360"/>
    </row>
    <row r="2" spans="1:6" s="1" customFormat="1" ht="18.75" customHeight="1">
      <c r="A2" s="596" t="s">
        <v>1926</v>
      </c>
      <c r="B2" s="360"/>
      <c r="C2" s="360"/>
      <c r="D2" s="360"/>
      <c r="E2" s="360"/>
      <c r="F2" s="360"/>
    </row>
    <row r="3" spans="1:6" s="1" customFormat="1" ht="22.5" customHeight="1">
      <c r="A3" s="596" t="s">
        <v>2510</v>
      </c>
      <c r="B3" s="360"/>
      <c r="C3" s="360"/>
      <c r="D3" s="360"/>
      <c r="E3" s="360"/>
      <c r="F3" s="360"/>
    </row>
    <row r="4" spans="1:6" ht="24" customHeight="1">
      <c r="A4" s="178" t="s">
        <v>2368</v>
      </c>
      <c r="B4" s="880">
        <v>0.05</v>
      </c>
      <c r="C4" s="881">
        <v>0.25</v>
      </c>
      <c r="D4" s="880">
        <v>0.5</v>
      </c>
      <c r="E4" s="881">
        <v>0.25</v>
      </c>
      <c r="F4" s="880">
        <v>0.05</v>
      </c>
    </row>
    <row r="5" spans="1:6" ht="73.5" customHeight="1">
      <c r="A5" s="274"/>
      <c r="B5" s="882" t="s">
        <v>1921</v>
      </c>
      <c r="C5" s="883" t="s">
        <v>1921</v>
      </c>
      <c r="D5" s="882" t="s">
        <v>1922</v>
      </c>
      <c r="E5" s="883" t="s">
        <v>1923</v>
      </c>
      <c r="F5" s="882" t="s">
        <v>1923</v>
      </c>
    </row>
    <row r="6" spans="1:6" ht="16" customHeight="1">
      <c r="A6" s="275"/>
      <c r="B6" s="188"/>
      <c r="C6" s="187"/>
      <c r="D6" s="188"/>
      <c r="E6" s="187"/>
      <c r="F6" s="210"/>
    </row>
    <row r="7" spans="1:6" ht="30" customHeight="1" thickBot="1">
      <c r="A7" s="884" t="s">
        <v>2378</v>
      </c>
      <c r="B7" s="381">
        <v>67.8</v>
      </c>
      <c r="C7" s="382">
        <v>76.3</v>
      </c>
      <c r="D7" s="381">
        <v>81.3</v>
      </c>
      <c r="E7" s="382">
        <v>86.3</v>
      </c>
      <c r="F7" s="381">
        <v>98.8</v>
      </c>
    </row>
    <row r="8" spans="1:6" ht="20" customHeight="1" thickBot="1">
      <c r="A8" s="896" t="s">
        <v>2379</v>
      </c>
      <c r="B8" s="213">
        <v>72</v>
      </c>
      <c r="C8" s="263">
        <v>80.599999999999994</v>
      </c>
      <c r="D8" s="213">
        <v>88.7</v>
      </c>
      <c r="E8" s="263">
        <v>99.2</v>
      </c>
      <c r="F8" s="213">
        <v>116.4</v>
      </c>
    </row>
    <row r="9" spans="1:6" ht="20" customHeight="1" thickBot="1">
      <c r="A9" s="896" t="s">
        <v>2380</v>
      </c>
      <c r="B9" s="213">
        <v>56.2</v>
      </c>
      <c r="C9" s="263">
        <v>63.7</v>
      </c>
      <c r="D9" s="213">
        <v>73.8</v>
      </c>
      <c r="E9" s="263">
        <v>76.3</v>
      </c>
      <c r="F9" s="213">
        <v>86.9</v>
      </c>
    </row>
    <row r="10" spans="1:6" ht="20" customHeight="1" thickBot="1">
      <c r="A10" s="896" t="s">
        <v>2381</v>
      </c>
      <c r="B10" s="213">
        <v>53.8</v>
      </c>
      <c r="C10" s="263">
        <v>63.4</v>
      </c>
      <c r="D10" s="213">
        <v>65</v>
      </c>
      <c r="E10" s="263">
        <v>74.8</v>
      </c>
      <c r="F10" s="213">
        <v>80.400000000000006</v>
      </c>
    </row>
    <row r="11" spans="1:6" ht="20" customHeight="1" thickBot="1">
      <c r="A11" s="896" t="s">
        <v>2382</v>
      </c>
      <c r="B11" s="213">
        <v>55</v>
      </c>
      <c r="C11" s="263">
        <v>67.7</v>
      </c>
      <c r="D11" s="213">
        <v>72.5</v>
      </c>
      <c r="E11" s="263">
        <v>72.5</v>
      </c>
      <c r="F11" s="213">
        <v>80.400000000000006</v>
      </c>
    </row>
    <row r="12" spans="1:6" ht="20" customHeight="1" thickBot="1">
      <c r="A12" s="896" t="s">
        <v>2383</v>
      </c>
      <c r="B12" s="213">
        <v>59</v>
      </c>
      <c r="C12" s="263">
        <v>60.6</v>
      </c>
      <c r="D12" s="213">
        <v>70.5</v>
      </c>
      <c r="E12" s="263">
        <v>70.5</v>
      </c>
      <c r="F12" s="213">
        <v>79.5</v>
      </c>
    </row>
    <row r="13" spans="1:6" ht="20" customHeight="1" thickBot="1">
      <c r="A13" s="896" t="s">
        <v>2384</v>
      </c>
      <c r="B13" s="213">
        <v>53.6</v>
      </c>
      <c r="C13" s="263">
        <v>59.2</v>
      </c>
      <c r="D13" s="213">
        <v>59.5</v>
      </c>
      <c r="E13" s="263">
        <v>60</v>
      </c>
      <c r="F13" s="213">
        <v>77.5</v>
      </c>
    </row>
    <row r="14" spans="1:6" ht="20" customHeight="1" thickBot="1">
      <c r="A14" s="896" t="s">
        <v>2385</v>
      </c>
      <c r="B14" s="213">
        <v>53</v>
      </c>
      <c r="C14" s="263">
        <v>62</v>
      </c>
      <c r="D14" s="213">
        <v>70.400000000000006</v>
      </c>
      <c r="E14" s="263">
        <v>75.599999999999994</v>
      </c>
      <c r="F14" s="213">
        <v>81.5</v>
      </c>
    </row>
    <row r="15" spans="1:6" ht="20" customHeight="1" thickBot="1">
      <c r="A15" s="896" t="s">
        <v>2386</v>
      </c>
      <c r="B15" s="213">
        <v>56.2</v>
      </c>
      <c r="C15" s="263">
        <v>69.5</v>
      </c>
      <c r="D15" s="213">
        <v>69.8</v>
      </c>
      <c r="E15" s="263">
        <v>72.5</v>
      </c>
      <c r="F15" s="213">
        <v>93.9</v>
      </c>
    </row>
    <row r="16" spans="1:6" ht="20" customHeight="1" thickBot="1">
      <c r="A16" s="896" t="s">
        <v>2387</v>
      </c>
      <c r="B16" s="213">
        <v>69.2</v>
      </c>
      <c r="C16" s="263">
        <v>74.400000000000006</v>
      </c>
      <c r="D16" s="213">
        <v>75.8</v>
      </c>
      <c r="E16" s="263">
        <v>82.1</v>
      </c>
      <c r="F16" s="213">
        <v>89.7</v>
      </c>
    </row>
    <row r="17" spans="1:6" ht="20" customHeight="1" thickBot="1">
      <c r="A17" s="896" t="s">
        <v>2388</v>
      </c>
      <c r="B17" s="213">
        <v>65.7</v>
      </c>
      <c r="C17" s="263">
        <v>71</v>
      </c>
      <c r="D17" s="213">
        <v>83.5</v>
      </c>
      <c r="E17" s="263">
        <v>86.1</v>
      </c>
      <c r="F17" s="213">
        <v>90</v>
      </c>
    </row>
    <row r="18" spans="1:6" ht="20" customHeight="1" thickBot="1">
      <c r="A18" s="896" t="s">
        <v>2389</v>
      </c>
      <c r="B18" s="213">
        <v>85.6</v>
      </c>
      <c r="C18" s="263">
        <v>110.4</v>
      </c>
      <c r="D18" s="213">
        <v>115</v>
      </c>
      <c r="E18" s="263">
        <v>115.8</v>
      </c>
      <c r="F18" s="213">
        <v>123</v>
      </c>
    </row>
    <row r="19" spans="1:6" ht="20" customHeight="1" thickBot="1">
      <c r="A19" s="896" t="s">
        <v>2390</v>
      </c>
      <c r="B19" s="213">
        <v>75.7</v>
      </c>
      <c r="C19" s="263">
        <v>84.8</v>
      </c>
      <c r="D19" s="213">
        <v>91</v>
      </c>
      <c r="E19" s="263">
        <v>95</v>
      </c>
      <c r="F19" s="213">
        <v>105</v>
      </c>
    </row>
    <row r="20" spans="1:6" ht="20" customHeight="1" thickBot="1">
      <c r="A20" s="896" t="s">
        <v>2391</v>
      </c>
      <c r="B20" s="213">
        <v>59.4</v>
      </c>
      <c r="C20" s="263">
        <v>75.5</v>
      </c>
      <c r="D20" s="213">
        <v>80.5</v>
      </c>
      <c r="E20" s="263">
        <v>88</v>
      </c>
      <c r="F20" s="213">
        <v>92.7</v>
      </c>
    </row>
    <row r="21" spans="1:6" ht="20" customHeight="1" thickBot="1">
      <c r="A21" s="896" t="s">
        <v>2392</v>
      </c>
      <c r="B21" s="213">
        <v>50.4</v>
      </c>
      <c r="C21" s="263">
        <v>60</v>
      </c>
      <c r="D21" s="213">
        <v>68.8</v>
      </c>
      <c r="E21" s="263">
        <v>71.900000000000006</v>
      </c>
      <c r="F21" s="213">
        <v>79.5</v>
      </c>
    </row>
    <row r="22" spans="1:6" ht="20" customHeight="1" thickBot="1">
      <c r="A22" s="896" t="s">
        <v>2393</v>
      </c>
      <c r="B22" s="213">
        <v>49.5</v>
      </c>
      <c r="C22" s="263">
        <v>59.1</v>
      </c>
      <c r="D22" s="213">
        <v>63</v>
      </c>
      <c r="E22" s="263">
        <v>67.5</v>
      </c>
      <c r="F22" s="213">
        <v>70.5</v>
      </c>
    </row>
    <row r="23" spans="1:6" ht="20" customHeight="1" thickBot="1">
      <c r="A23" s="896" t="s">
        <v>2394</v>
      </c>
      <c r="B23" s="213">
        <v>62.5</v>
      </c>
      <c r="C23" s="263">
        <v>70.099999999999994</v>
      </c>
      <c r="D23" s="213">
        <v>75.3</v>
      </c>
      <c r="E23" s="263">
        <v>79.3</v>
      </c>
      <c r="F23" s="213">
        <v>87.5</v>
      </c>
    </row>
    <row r="24" spans="1:6" ht="20" customHeight="1" thickBot="1">
      <c r="A24" s="896" t="s">
        <v>2395</v>
      </c>
      <c r="B24" s="213">
        <v>54.85</v>
      </c>
      <c r="C24" s="263">
        <v>72.3</v>
      </c>
      <c r="D24" s="213">
        <v>73.5</v>
      </c>
      <c r="E24" s="263">
        <v>77.5</v>
      </c>
      <c r="F24" s="213">
        <v>82.6</v>
      </c>
    </row>
    <row r="25" spans="1:6" ht="20" customHeight="1" thickBot="1">
      <c r="A25" s="896" t="s">
        <v>2396</v>
      </c>
      <c r="B25" s="213">
        <v>61.9</v>
      </c>
      <c r="C25" s="263">
        <v>70</v>
      </c>
      <c r="D25" s="213">
        <v>79.8</v>
      </c>
      <c r="E25" s="263">
        <v>80.7</v>
      </c>
      <c r="F25" s="213">
        <v>90</v>
      </c>
    </row>
    <row r="26" spans="1:6" ht="20" customHeight="1" thickBot="1">
      <c r="A26" s="896" t="s">
        <v>2397</v>
      </c>
      <c r="B26" s="213">
        <v>63.7</v>
      </c>
      <c r="C26" s="263">
        <v>76</v>
      </c>
      <c r="D26" s="213">
        <v>80.3</v>
      </c>
      <c r="E26" s="263">
        <v>84.5</v>
      </c>
      <c r="F26" s="213">
        <v>89.7</v>
      </c>
    </row>
    <row r="27" spans="1:6" ht="20" customHeight="1" thickBot="1">
      <c r="A27" s="896" t="s">
        <v>2398</v>
      </c>
      <c r="B27" s="213">
        <v>63.3</v>
      </c>
      <c r="C27" s="263">
        <v>85.5</v>
      </c>
      <c r="D27" s="213">
        <v>92.7</v>
      </c>
      <c r="E27" s="263">
        <v>101.3</v>
      </c>
      <c r="F27" s="213">
        <v>108.8</v>
      </c>
    </row>
    <row r="28" spans="1:6" ht="20" customHeight="1" thickBot="1">
      <c r="A28" s="896" t="s">
        <v>2399</v>
      </c>
      <c r="B28" s="213">
        <v>77.7</v>
      </c>
      <c r="C28" s="263">
        <v>91.2</v>
      </c>
      <c r="D28" s="213">
        <v>97</v>
      </c>
      <c r="E28" s="263">
        <v>108</v>
      </c>
      <c r="F28" s="213">
        <v>122.4</v>
      </c>
    </row>
    <row r="29" spans="1:6" ht="20" customHeight="1" thickBot="1">
      <c r="A29" s="896" t="s">
        <v>2400</v>
      </c>
      <c r="B29" s="213">
        <v>61.3</v>
      </c>
      <c r="C29" s="263">
        <v>67.5</v>
      </c>
      <c r="D29" s="213">
        <v>72</v>
      </c>
      <c r="E29" s="263">
        <v>82.3</v>
      </c>
      <c r="F29" s="213">
        <v>83.5</v>
      </c>
    </row>
    <row r="30" spans="1:6" ht="20" customHeight="1" thickBot="1">
      <c r="A30" s="896" t="s">
        <v>2401</v>
      </c>
      <c r="B30" s="213">
        <v>62.7</v>
      </c>
      <c r="C30" s="263">
        <v>87</v>
      </c>
      <c r="D30" s="213">
        <v>88.1</v>
      </c>
      <c r="E30" s="263">
        <v>97.3</v>
      </c>
      <c r="F30" s="213">
        <v>117.9</v>
      </c>
    </row>
    <row r="31" spans="1:6" ht="20" customHeight="1" thickBot="1">
      <c r="A31" s="896" t="s">
        <v>2402</v>
      </c>
      <c r="B31" s="213">
        <v>69.5</v>
      </c>
      <c r="C31" s="263">
        <v>90.8</v>
      </c>
      <c r="D31" s="213">
        <v>105</v>
      </c>
      <c r="E31" s="263">
        <v>109</v>
      </c>
      <c r="F31" s="213">
        <v>116.3</v>
      </c>
    </row>
    <row r="32" spans="1:6" ht="20" customHeight="1" thickBot="1">
      <c r="A32" s="896" t="s">
        <v>2403</v>
      </c>
      <c r="B32" s="213">
        <v>59.3</v>
      </c>
      <c r="C32" s="263">
        <v>79</v>
      </c>
      <c r="D32" s="213">
        <v>87.9</v>
      </c>
      <c r="E32" s="263">
        <v>98</v>
      </c>
      <c r="F32" s="213">
        <v>111.3</v>
      </c>
    </row>
    <row r="33" spans="1:6" ht="30" customHeight="1" thickBot="1">
      <c r="A33" s="197" t="s">
        <v>2404</v>
      </c>
      <c r="B33" s="430">
        <v>62.7</v>
      </c>
      <c r="C33" s="431">
        <v>74</v>
      </c>
      <c r="D33" s="430">
        <v>81.7</v>
      </c>
      <c r="E33" s="431">
        <v>92.4</v>
      </c>
      <c r="F33" s="430">
        <v>111.3</v>
      </c>
    </row>
    <row r="34" spans="1:6" ht="20" customHeight="1">
      <c r="A34" s="201" t="s">
        <v>1870</v>
      </c>
      <c r="B34" s="897"/>
      <c r="C34" s="897"/>
      <c r="D34" s="897"/>
      <c r="E34" s="897"/>
      <c r="F34" s="897"/>
    </row>
    <row r="35" spans="1:6" ht="15.75" customHeight="1">
      <c r="A35" s="202"/>
      <c r="B35" s="898"/>
      <c r="C35" s="898"/>
      <c r="D35" s="898"/>
      <c r="E35" s="898"/>
      <c r="F35" s="898"/>
    </row>
    <row r="36" spans="1:6" ht="20.25" customHeight="1">
      <c r="A36" s="202" t="s">
        <v>1924</v>
      </c>
      <c r="B36" s="898"/>
      <c r="C36" s="898"/>
      <c r="D36" s="898"/>
      <c r="E36" s="898"/>
      <c r="F36" s="898"/>
    </row>
    <row r="37" spans="1:6" ht="13.5" customHeight="1">
      <c r="A37" s="202"/>
      <c r="B37" s="898"/>
      <c r="C37" s="898"/>
      <c r="D37" s="898"/>
      <c r="E37" s="898"/>
      <c r="F37" s="898"/>
    </row>
    <row r="38" spans="1:6" ht="12.75" customHeight="1">
      <c r="A38" s="202" t="s">
        <v>1925</v>
      </c>
      <c r="B38" s="898"/>
      <c r="C38" s="898"/>
      <c r="D38" s="898"/>
      <c r="E38" s="898"/>
      <c r="F38" s="898"/>
    </row>
    <row r="39" spans="1:6">
      <c r="A39" s="2" t="s">
        <v>2508</v>
      </c>
      <c r="B39" s="290"/>
      <c r="C39" s="290"/>
      <c r="D39" s="290"/>
      <c r="E39" s="290"/>
      <c r="F39" s="290"/>
    </row>
    <row r="40" spans="1:6">
      <c r="B40" s="290"/>
      <c r="C40" s="290"/>
      <c r="D40" s="290"/>
      <c r="E40" s="290"/>
      <c r="F40" s="290"/>
    </row>
    <row r="41" spans="1:6">
      <c r="B41" s="290"/>
      <c r="C41" s="290"/>
      <c r="D41" s="290"/>
      <c r="E41" s="290"/>
      <c r="F41" s="290"/>
    </row>
    <row r="42" spans="1:6">
      <c r="A42" s="2" t="s">
        <v>711</v>
      </c>
      <c r="B42" s="290"/>
      <c r="C42" s="290"/>
      <c r="D42" s="290"/>
      <c r="E42" s="290"/>
      <c r="F42" s="290"/>
    </row>
  </sheetData>
  <phoneticPr fontId="0" type="noConversion"/>
  <pageMargins left="0.65" right="0.54" top="0.69" bottom="0.47244094488188981" header="0.57999999999999996" footer="0.51181102362204722"/>
  <pageSetup paperSize="9" scale="85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7CBC-745F-784C-876C-A1890927648E}">
  <sheetPr>
    <pageSetUpPr fitToPage="1"/>
  </sheetPr>
  <dimension ref="A1:M40"/>
  <sheetViews>
    <sheetView zoomScale="75" workbookViewId="0"/>
  </sheetViews>
  <sheetFormatPr baseColWidth="10" defaultColWidth="11.3984375" defaultRowHeight="13"/>
  <cols>
    <col min="1" max="1" width="12.3984375" style="2" customWidth="1"/>
    <col min="2" max="2" width="0.19921875" style="2" customWidth="1"/>
    <col min="3" max="10" width="10.3984375" style="2" customWidth="1"/>
    <col min="11" max="11" width="10.796875" style="2" customWidth="1"/>
    <col min="12" max="12" width="10.3984375" style="2" customWidth="1"/>
    <col min="13" max="16384" width="11.3984375" style="2"/>
  </cols>
  <sheetData>
    <row r="1" spans="1:13" s="1" customFormat="1" ht="14" customHeight="1"/>
    <row r="2" spans="1:13" s="1" customFormat="1" ht="30.75" customHeight="1">
      <c r="A2" s="298" t="s">
        <v>2507</v>
      </c>
      <c r="B2" s="589"/>
      <c r="C2" s="589"/>
      <c r="D2" s="589"/>
      <c r="E2" s="589"/>
      <c r="F2" s="589"/>
      <c r="G2" s="589"/>
      <c r="H2" s="589"/>
      <c r="I2" s="177"/>
      <c r="J2" s="177"/>
      <c r="K2" s="177"/>
      <c r="L2" s="177"/>
    </row>
    <row r="3" spans="1:13" ht="24" customHeight="1">
      <c r="A3" s="677" t="s">
        <v>2368</v>
      </c>
      <c r="B3" s="180">
        <v>1997</v>
      </c>
      <c r="C3" s="179">
        <v>1998</v>
      </c>
      <c r="D3" s="180">
        <v>1999</v>
      </c>
      <c r="E3" s="179">
        <v>2000</v>
      </c>
      <c r="F3" s="180">
        <v>2001</v>
      </c>
      <c r="G3" s="179">
        <v>2002</v>
      </c>
      <c r="H3" s="180">
        <v>2003</v>
      </c>
      <c r="I3" s="179">
        <v>2004</v>
      </c>
      <c r="J3" s="180">
        <v>2005</v>
      </c>
      <c r="K3" s="179">
        <v>2006</v>
      </c>
      <c r="L3" s="180">
        <v>2007</v>
      </c>
      <c r="M3" s="179">
        <v>2008</v>
      </c>
    </row>
    <row r="4" spans="1:13" ht="15" customHeight="1">
      <c r="A4" s="678"/>
      <c r="B4" s="183"/>
      <c r="C4" s="182"/>
      <c r="D4" s="183"/>
      <c r="E4" s="209"/>
      <c r="F4" s="245"/>
      <c r="G4" s="182"/>
      <c r="H4" s="183"/>
      <c r="I4" s="182"/>
      <c r="J4" s="183"/>
      <c r="K4" s="182"/>
      <c r="L4" s="183"/>
      <c r="M4" s="182"/>
    </row>
    <row r="5" spans="1:13" ht="16" customHeight="1">
      <c r="A5" s="671"/>
      <c r="B5" s="187"/>
      <c r="C5" s="188"/>
      <c r="D5" s="187"/>
      <c r="E5" s="210"/>
      <c r="F5" s="248"/>
      <c r="G5" s="188"/>
      <c r="H5" s="187"/>
      <c r="I5" s="188"/>
      <c r="J5" s="187"/>
      <c r="K5" s="188"/>
      <c r="L5" s="187"/>
      <c r="M5" s="188"/>
    </row>
    <row r="6" spans="1:13" ht="30" customHeight="1" thickBot="1">
      <c r="A6" s="785" t="s">
        <v>2378</v>
      </c>
      <c r="B6" s="382">
        <v>1688.02</v>
      </c>
      <c r="C6" s="381">
        <v>1799.51</v>
      </c>
      <c r="D6" s="382">
        <v>1859.45</v>
      </c>
      <c r="E6" s="381">
        <v>1932.17</v>
      </c>
      <c r="F6" s="382">
        <v>2000.67</v>
      </c>
      <c r="G6" s="381">
        <v>2175.9</v>
      </c>
      <c r="H6" s="257">
        <v>2366.81</v>
      </c>
      <c r="I6" s="211">
        <v>2495.12</v>
      </c>
      <c r="J6" s="257">
        <v>2512.46</v>
      </c>
      <c r="K6" s="211">
        <v>2597.37</v>
      </c>
      <c r="L6" s="257">
        <v>2607.38</v>
      </c>
      <c r="M6" s="211">
        <v>2568.2800000000002</v>
      </c>
    </row>
    <row r="7" spans="1:13" ht="20" customHeight="1" thickBot="1">
      <c r="A7" s="786" t="s">
        <v>2379</v>
      </c>
      <c r="B7" s="263">
        <v>1610.77</v>
      </c>
      <c r="C7" s="213">
        <v>1713.16</v>
      </c>
      <c r="D7" s="263">
        <v>1780.25</v>
      </c>
      <c r="E7" s="213">
        <v>1812.27</v>
      </c>
      <c r="F7" s="263">
        <v>1870.42</v>
      </c>
      <c r="G7" s="213">
        <v>2082.84</v>
      </c>
      <c r="H7" s="257">
        <v>2276.4499999999998</v>
      </c>
      <c r="I7" s="211">
        <v>2416.31</v>
      </c>
      <c r="J7" s="257">
        <v>2477.62</v>
      </c>
      <c r="K7" s="211">
        <v>2658.08</v>
      </c>
      <c r="L7" s="257">
        <v>2719.2</v>
      </c>
      <c r="M7" s="211">
        <v>2704.46</v>
      </c>
    </row>
    <row r="8" spans="1:13" ht="20" customHeight="1" thickBot="1">
      <c r="A8" s="786" t="s">
        <v>2380</v>
      </c>
      <c r="B8" s="263">
        <v>1310.87</v>
      </c>
      <c r="C8" s="213">
        <v>1376.77</v>
      </c>
      <c r="D8" s="263">
        <v>1372.72</v>
      </c>
      <c r="E8" s="213">
        <v>1445.98</v>
      </c>
      <c r="F8" s="263">
        <v>1524.97</v>
      </c>
      <c r="G8" s="213">
        <v>1680.73</v>
      </c>
      <c r="H8" s="257">
        <v>1833.21</v>
      </c>
      <c r="I8" s="211">
        <v>1964.57</v>
      </c>
      <c r="J8" s="257">
        <v>2018.62</v>
      </c>
      <c r="K8" s="211">
        <v>2089.5100000000002</v>
      </c>
      <c r="L8" s="257">
        <v>2142.65</v>
      </c>
      <c r="M8" s="211">
        <v>2125.62</v>
      </c>
    </row>
    <row r="9" spans="1:13" ht="20" customHeight="1" thickBot="1">
      <c r="A9" s="786" t="s">
        <v>2381</v>
      </c>
      <c r="B9" s="263">
        <v>1327.83</v>
      </c>
      <c r="C9" s="213">
        <v>1370.87</v>
      </c>
      <c r="D9" s="263">
        <v>1354.37</v>
      </c>
      <c r="E9" s="213">
        <v>1389.03</v>
      </c>
      <c r="F9" s="263">
        <v>1438.94</v>
      </c>
      <c r="G9" s="213">
        <v>1573.5</v>
      </c>
      <c r="H9" s="257">
        <v>1729.88</v>
      </c>
      <c r="I9" s="211">
        <v>1826.57</v>
      </c>
      <c r="J9" s="257">
        <v>1872.59</v>
      </c>
      <c r="K9" s="211">
        <v>1899.6</v>
      </c>
      <c r="L9" s="257">
        <v>1931.59</v>
      </c>
      <c r="M9" s="211">
        <v>1911.84</v>
      </c>
    </row>
    <row r="10" spans="1:13" ht="20" customHeight="1" thickBot="1">
      <c r="A10" s="786" t="s">
        <v>2382</v>
      </c>
      <c r="B10" s="263">
        <v>1378.39</v>
      </c>
      <c r="C10" s="213">
        <v>1421.61</v>
      </c>
      <c r="D10" s="263">
        <v>1399.03</v>
      </c>
      <c r="E10" s="213">
        <v>1426.25</v>
      </c>
      <c r="F10" s="263">
        <v>1495.42</v>
      </c>
      <c r="G10" s="213">
        <v>1667.21</v>
      </c>
      <c r="H10" s="257">
        <v>1832.71</v>
      </c>
      <c r="I10" s="211">
        <v>1957.54</v>
      </c>
      <c r="J10" s="257">
        <v>2019.36</v>
      </c>
      <c r="K10" s="211">
        <v>2081.8000000000002</v>
      </c>
      <c r="L10" s="257">
        <v>2113.37</v>
      </c>
      <c r="M10" s="211">
        <v>2104.39</v>
      </c>
    </row>
    <row r="11" spans="1:13" ht="20" customHeight="1" thickBot="1">
      <c r="A11" s="786" t="s">
        <v>2383</v>
      </c>
      <c r="B11" s="263">
        <v>1311.57</v>
      </c>
      <c r="C11" s="213">
        <v>1338.4</v>
      </c>
      <c r="D11" s="263">
        <v>1334.71</v>
      </c>
      <c r="E11" s="213">
        <v>1366.66</v>
      </c>
      <c r="F11" s="263">
        <v>1424.17</v>
      </c>
      <c r="G11" s="213">
        <v>1534.16</v>
      </c>
      <c r="H11" s="257">
        <v>1624.62</v>
      </c>
      <c r="I11" s="211">
        <v>1734.01</v>
      </c>
      <c r="J11" s="257">
        <v>1787.8</v>
      </c>
      <c r="K11" s="211">
        <v>1845.75</v>
      </c>
      <c r="L11" s="257">
        <v>1882.79</v>
      </c>
      <c r="M11" s="211">
        <v>1880.03</v>
      </c>
    </row>
    <row r="12" spans="1:13" ht="20" customHeight="1" thickBot="1">
      <c r="A12" s="786" t="s">
        <v>2384</v>
      </c>
      <c r="B12" s="263">
        <v>1279.67</v>
      </c>
      <c r="C12" s="213">
        <v>1306.6500000000001</v>
      </c>
      <c r="D12" s="263">
        <v>1290.04</v>
      </c>
      <c r="E12" s="213">
        <v>1317.38</v>
      </c>
      <c r="F12" s="263">
        <v>1362.46</v>
      </c>
      <c r="G12" s="213">
        <v>1471.56</v>
      </c>
      <c r="H12" s="257">
        <v>1597.44</v>
      </c>
      <c r="I12" s="211">
        <v>1703.3</v>
      </c>
      <c r="J12" s="257">
        <v>1752.65</v>
      </c>
      <c r="K12" s="211">
        <v>1803.54</v>
      </c>
      <c r="L12" s="257">
        <v>1836.01</v>
      </c>
      <c r="M12" s="211">
        <v>1823.58</v>
      </c>
    </row>
    <row r="13" spans="1:13" ht="20" customHeight="1" thickBot="1">
      <c r="A13" s="786" t="s">
        <v>2385</v>
      </c>
      <c r="B13" s="263">
        <v>1314.66</v>
      </c>
      <c r="C13" s="213">
        <v>1401.63</v>
      </c>
      <c r="D13" s="263">
        <v>1415.91</v>
      </c>
      <c r="E13" s="213">
        <v>1452.85</v>
      </c>
      <c r="F13" s="263">
        <v>1515.31</v>
      </c>
      <c r="G13" s="213">
        <v>1686.02</v>
      </c>
      <c r="H13" s="257">
        <v>1873.67</v>
      </c>
      <c r="I13" s="211">
        <v>1994.02</v>
      </c>
      <c r="J13" s="257">
        <v>2059.5700000000002</v>
      </c>
      <c r="K13" s="211">
        <v>2139.7199999999998</v>
      </c>
      <c r="L13" s="257">
        <v>2193.9</v>
      </c>
      <c r="M13" s="211">
        <v>2173.87</v>
      </c>
    </row>
    <row r="14" spans="1:13" ht="20" customHeight="1" thickBot="1">
      <c r="A14" s="786" t="s">
        <v>2386</v>
      </c>
      <c r="B14" s="263">
        <v>1391.21</v>
      </c>
      <c r="C14" s="213">
        <v>1395.83</v>
      </c>
      <c r="D14" s="263">
        <v>1376.28</v>
      </c>
      <c r="E14" s="213">
        <v>1416.79</v>
      </c>
      <c r="F14" s="263">
        <v>1476.5</v>
      </c>
      <c r="G14" s="213">
        <v>1628.62</v>
      </c>
      <c r="H14" s="257">
        <v>1804.72</v>
      </c>
      <c r="I14" s="211">
        <v>1965.66</v>
      </c>
      <c r="J14" s="257">
        <v>2020.31</v>
      </c>
      <c r="K14" s="211">
        <v>2088.7399999999998</v>
      </c>
      <c r="L14" s="257">
        <v>2120.6999999999998</v>
      </c>
      <c r="M14" s="211">
        <v>2089.59</v>
      </c>
    </row>
    <row r="15" spans="1:13" ht="20" customHeight="1" thickBot="1">
      <c r="A15" s="786" t="s">
        <v>2387</v>
      </c>
      <c r="B15" s="263">
        <v>1662.52</v>
      </c>
      <c r="C15" s="213">
        <v>1691.51</v>
      </c>
      <c r="D15" s="263">
        <v>1708.26</v>
      </c>
      <c r="E15" s="213">
        <v>1792.77</v>
      </c>
      <c r="F15" s="263">
        <v>1884.13</v>
      </c>
      <c r="G15" s="213">
        <v>2032.77</v>
      </c>
      <c r="H15" s="257">
        <v>2145.92</v>
      </c>
      <c r="I15" s="211">
        <v>2232.06</v>
      </c>
      <c r="J15" s="257">
        <v>2290.17</v>
      </c>
      <c r="K15" s="211">
        <v>2366.2199999999998</v>
      </c>
      <c r="L15" s="257">
        <v>2383.66</v>
      </c>
      <c r="M15" s="211">
        <v>2358.3200000000002</v>
      </c>
    </row>
    <row r="16" spans="1:13" ht="20" customHeight="1" thickBot="1">
      <c r="A16" s="786" t="s">
        <v>2388</v>
      </c>
      <c r="B16" s="263">
        <v>1528.63</v>
      </c>
      <c r="C16" s="213">
        <v>1671.86</v>
      </c>
      <c r="D16" s="263">
        <v>1674.73</v>
      </c>
      <c r="E16" s="213">
        <v>1732.84</v>
      </c>
      <c r="F16" s="263">
        <v>1798.83</v>
      </c>
      <c r="G16" s="213">
        <v>1932.71</v>
      </c>
      <c r="H16" s="257">
        <v>2101.9899999999998</v>
      </c>
      <c r="I16" s="211">
        <v>2241.66</v>
      </c>
      <c r="J16" s="257">
        <v>2287.27</v>
      </c>
      <c r="K16" s="211">
        <v>2348.75</v>
      </c>
      <c r="L16" s="257">
        <v>2377.7600000000002</v>
      </c>
      <c r="M16" s="211">
        <v>2384.2399999999998</v>
      </c>
    </row>
    <row r="17" spans="1:13" ht="20" customHeight="1" thickBot="1">
      <c r="A17" s="786" t="s">
        <v>2389</v>
      </c>
      <c r="B17" s="263">
        <v>2134.35</v>
      </c>
      <c r="C17" s="213">
        <v>2306.19</v>
      </c>
      <c r="D17" s="263">
        <v>2446.3200000000002</v>
      </c>
      <c r="E17" s="213">
        <v>2556.6999999999998</v>
      </c>
      <c r="F17" s="263">
        <v>2691.54</v>
      </c>
      <c r="G17" s="213">
        <v>2885.13</v>
      </c>
      <c r="H17" s="257">
        <v>3131.64</v>
      </c>
      <c r="I17" s="211">
        <v>3389.7</v>
      </c>
      <c r="J17" s="257">
        <v>3454.84</v>
      </c>
      <c r="K17" s="211">
        <v>3572</v>
      </c>
      <c r="L17" s="257">
        <v>3607.85</v>
      </c>
      <c r="M17" s="211">
        <v>3582.4</v>
      </c>
    </row>
    <row r="18" spans="1:13" ht="20" customHeight="1" thickBot="1">
      <c r="A18" s="786" t="s">
        <v>2390</v>
      </c>
      <c r="B18" s="263">
        <v>1756.37</v>
      </c>
      <c r="C18" s="213">
        <v>1850.43</v>
      </c>
      <c r="D18" s="263">
        <v>1846.14</v>
      </c>
      <c r="E18" s="213">
        <v>1899.24</v>
      </c>
      <c r="F18" s="263">
        <v>1967.11</v>
      </c>
      <c r="G18" s="213">
        <v>2139.59</v>
      </c>
      <c r="H18" s="257">
        <v>2334.69</v>
      </c>
      <c r="I18" s="211">
        <v>2504.48</v>
      </c>
      <c r="J18" s="257">
        <v>2542.48</v>
      </c>
      <c r="K18" s="211">
        <v>2624.88</v>
      </c>
      <c r="L18" s="257">
        <v>2668.04</v>
      </c>
      <c r="M18" s="211">
        <v>2654.07</v>
      </c>
    </row>
    <row r="19" spans="1:13" ht="20" customHeight="1" thickBot="1">
      <c r="A19" s="786" t="s">
        <v>2391</v>
      </c>
      <c r="B19" s="263">
        <v>1505.08</v>
      </c>
      <c r="C19" s="213">
        <v>1601.39</v>
      </c>
      <c r="D19" s="263">
        <v>1633.62</v>
      </c>
      <c r="E19" s="213">
        <v>1686.78</v>
      </c>
      <c r="F19" s="263">
        <v>1766.11</v>
      </c>
      <c r="G19" s="213">
        <v>1981.87</v>
      </c>
      <c r="H19" s="257">
        <v>2190.31</v>
      </c>
      <c r="I19" s="211">
        <v>2327.5</v>
      </c>
      <c r="J19" s="257">
        <v>2363.2399999999998</v>
      </c>
      <c r="K19" s="211">
        <v>2444.56</v>
      </c>
      <c r="L19" s="257">
        <v>2493.17</v>
      </c>
      <c r="M19" s="211">
        <v>2479.8200000000002</v>
      </c>
    </row>
    <row r="20" spans="1:13" ht="20" customHeight="1" thickBot="1">
      <c r="A20" s="786" t="s">
        <v>2392</v>
      </c>
      <c r="B20" s="263">
        <v>1258.0999999999999</v>
      </c>
      <c r="C20" s="213">
        <v>1328.57</v>
      </c>
      <c r="D20" s="263">
        <v>1316.4</v>
      </c>
      <c r="E20" s="213">
        <v>1345.5</v>
      </c>
      <c r="F20" s="263">
        <v>1414.62</v>
      </c>
      <c r="G20" s="213">
        <v>1544.03</v>
      </c>
      <c r="H20" s="257">
        <v>1703.59</v>
      </c>
      <c r="I20" s="211">
        <v>1786.16</v>
      </c>
      <c r="J20" s="257">
        <v>1841.02</v>
      </c>
      <c r="K20" s="211">
        <v>1925.49</v>
      </c>
      <c r="L20" s="257">
        <v>1947.56</v>
      </c>
      <c r="M20" s="211">
        <v>1939.81</v>
      </c>
    </row>
    <row r="21" spans="1:13" ht="20" customHeight="1" thickBot="1">
      <c r="A21" s="786" t="s">
        <v>2393</v>
      </c>
      <c r="B21" s="263">
        <v>1115.75</v>
      </c>
      <c r="C21" s="213">
        <v>1159.99</v>
      </c>
      <c r="D21" s="263">
        <v>1141.01</v>
      </c>
      <c r="E21" s="213">
        <v>1157.06</v>
      </c>
      <c r="F21" s="263">
        <v>1243.0999999999999</v>
      </c>
      <c r="G21" s="213">
        <v>1360.38</v>
      </c>
      <c r="H21" s="257">
        <v>1486.23</v>
      </c>
      <c r="I21" s="211">
        <v>1572.95</v>
      </c>
      <c r="J21" s="257">
        <v>1625.7</v>
      </c>
      <c r="K21" s="211">
        <v>1711.9</v>
      </c>
      <c r="L21" s="257">
        <v>1755.14</v>
      </c>
      <c r="M21" s="211">
        <v>1767.98</v>
      </c>
    </row>
    <row r="22" spans="1:13" ht="20" customHeight="1" thickBot="1">
      <c r="A22" s="786" t="s">
        <v>2394</v>
      </c>
      <c r="B22" s="263">
        <v>1298.1600000000001</v>
      </c>
      <c r="C22" s="213">
        <v>1383.71</v>
      </c>
      <c r="D22" s="263">
        <v>1410.02</v>
      </c>
      <c r="E22" s="213">
        <v>1446.47</v>
      </c>
      <c r="F22" s="263">
        <v>1514.53</v>
      </c>
      <c r="G22" s="213">
        <v>1649.28</v>
      </c>
      <c r="H22" s="257">
        <v>1789.76</v>
      </c>
      <c r="I22" s="211">
        <v>1926.47</v>
      </c>
      <c r="J22" s="257">
        <v>1987.94</v>
      </c>
      <c r="K22" s="211">
        <v>2078.19</v>
      </c>
      <c r="L22" s="257">
        <v>2110.17</v>
      </c>
      <c r="M22" s="211">
        <v>2118.61</v>
      </c>
    </row>
    <row r="23" spans="1:13" ht="20" customHeight="1" thickBot="1">
      <c r="A23" s="786" t="s">
        <v>2395</v>
      </c>
      <c r="B23" s="263">
        <v>1279.6500000000001</v>
      </c>
      <c r="C23" s="213">
        <v>1344.95</v>
      </c>
      <c r="D23" s="263">
        <v>1380.23</v>
      </c>
      <c r="E23" s="213">
        <v>1377.12</v>
      </c>
      <c r="F23" s="263">
        <v>1519.27</v>
      </c>
      <c r="G23" s="213">
        <v>1713.63</v>
      </c>
      <c r="H23" s="257">
        <v>1922.61</v>
      </c>
      <c r="I23" s="211">
        <v>2061.46</v>
      </c>
      <c r="J23" s="257">
        <v>2102.89</v>
      </c>
      <c r="K23" s="211">
        <v>2181.4699999999998</v>
      </c>
      <c r="L23" s="257">
        <v>2212.5500000000002</v>
      </c>
      <c r="M23" s="211">
        <v>2224.4299999999998</v>
      </c>
    </row>
    <row r="24" spans="1:13" ht="20" customHeight="1" thickBot="1">
      <c r="A24" s="786" t="s">
        <v>2396</v>
      </c>
      <c r="B24" s="263">
        <v>1297.99</v>
      </c>
      <c r="C24" s="213">
        <v>1393.43</v>
      </c>
      <c r="D24" s="263">
        <v>1471.71</v>
      </c>
      <c r="E24" s="213">
        <v>1544.48</v>
      </c>
      <c r="F24" s="263">
        <v>1656.78</v>
      </c>
      <c r="G24" s="213">
        <v>1837.97</v>
      </c>
      <c r="H24" s="257">
        <v>2013.78</v>
      </c>
      <c r="I24" s="211">
        <v>2145.9699999999998</v>
      </c>
      <c r="J24" s="257">
        <v>2187.8200000000002</v>
      </c>
      <c r="K24" s="211">
        <v>2271.02</v>
      </c>
      <c r="L24" s="257">
        <v>2322.1799999999998</v>
      </c>
      <c r="M24" s="211">
        <v>2331.63</v>
      </c>
    </row>
    <row r="25" spans="1:13" ht="20" customHeight="1" thickBot="1">
      <c r="A25" s="786" t="s">
        <v>2397</v>
      </c>
      <c r="B25" s="263">
        <v>1343.68</v>
      </c>
      <c r="C25" s="213">
        <v>1452.32</v>
      </c>
      <c r="D25" s="263">
        <v>1507.06</v>
      </c>
      <c r="E25" s="213">
        <v>1558.7</v>
      </c>
      <c r="F25" s="263">
        <v>1679.14</v>
      </c>
      <c r="G25" s="213">
        <v>1869.09</v>
      </c>
      <c r="H25" s="257">
        <v>2058.1999999999998</v>
      </c>
      <c r="I25" s="211">
        <v>2194.13</v>
      </c>
      <c r="J25" s="257">
        <v>2229.67</v>
      </c>
      <c r="K25" s="211">
        <v>2302.0500000000002</v>
      </c>
      <c r="L25" s="257">
        <v>2315.5100000000002</v>
      </c>
      <c r="M25" s="211">
        <v>2298.46</v>
      </c>
    </row>
    <row r="26" spans="1:13" ht="20" customHeight="1" thickBot="1">
      <c r="A26" s="786" t="s">
        <v>2398</v>
      </c>
      <c r="B26" s="263">
        <v>2095.4899999999998</v>
      </c>
      <c r="C26" s="213">
        <v>2211.92</v>
      </c>
      <c r="D26" s="263">
        <v>2198.02</v>
      </c>
      <c r="E26" s="213">
        <v>2220.3000000000002</v>
      </c>
      <c r="F26" s="263">
        <v>2271.73</v>
      </c>
      <c r="G26" s="213">
        <v>2467.0700000000002</v>
      </c>
      <c r="H26" s="257">
        <v>2676.85</v>
      </c>
      <c r="I26" s="211">
        <v>2936.03</v>
      </c>
      <c r="J26" s="257">
        <v>3024.2</v>
      </c>
      <c r="K26" s="211">
        <v>3163.51</v>
      </c>
      <c r="L26" s="257">
        <v>3188.19</v>
      </c>
      <c r="M26" s="211">
        <v>3149.59</v>
      </c>
    </row>
    <row r="27" spans="1:13" ht="20" customHeight="1" thickBot="1">
      <c r="A27" s="786" t="s">
        <v>2399</v>
      </c>
      <c r="B27" s="263">
        <v>2197.46</v>
      </c>
      <c r="C27" s="213">
        <v>2269.8000000000002</v>
      </c>
      <c r="D27" s="263">
        <v>2319.29</v>
      </c>
      <c r="E27" s="213">
        <v>2317.16</v>
      </c>
      <c r="F27" s="263">
        <v>2400.63</v>
      </c>
      <c r="G27" s="213">
        <v>2581.7199999999998</v>
      </c>
      <c r="H27" s="257">
        <v>2789.21</v>
      </c>
      <c r="I27" s="211">
        <v>2938.15</v>
      </c>
      <c r="J27" s="257">
        <v>2977.76</v>
      </c>
      <c r="K27" s="211">
        <v>3089.02</v>
      </c>
      <c r="L27" s="257">
        <v>3080.97</v>
      </c>
      <c r="M27" s="211">
        <v>2995.4</v>
      </c>
    </row>
    <row r="28" spans="1:13" ht="20" customHeight="1" thickBot="1">
      <c r="A28" s="786" t="s">
        <v>2400</v>
      </c>
      <c r="B28" s="263">
        <v>1574.86</v>
      </c>
      <c r="C28" s="213">
        <v>1544.82</v>
      </c>
      <c r="D28" s="263">
        <v>1554.32</v>
      </c>
      <c r="E28" s="213">
        <v>1580.24</v>
      </c>
      <c r="F28" s="263">
        <v>1621.59</v>
      </c>
      <c r="G28" s="213">
        <v>1747.44</v>
      </c>
      <c r="H28" s="257">
        <v>1911.96</v>
      </c>
      <c r="I28" s="211">
        <v>2070.33</v>
      </c>
      <c r="J28" s="257">
        <v>2154.77</v>
      </c>
      <c r="K28" s="211">
        <v>2233.69</v>
      </c>
      <c r="L28" s="257">
        <v>2289.7600000000002</v>
      </c>
      <c r="M28" s="211">
        <v>2283.61</v>
      </c>
    </row>
    <row r="29" spans="1:13" ht="20" customHeight="1" thickBot="1">
      <c r="A29" s="786" t="s">
        <v>2401</v>
      </c>
      <c r="B29" s="263">
        <v>1872.33</v>
      </c>
      <c r="C29" s="213">
        <v>2074.35</v>
      </c>
      <c r="D29" s="263">
        <v>2121.75</v>
      </c>
      <c r="E29" s="213">
        <v>2169.7199999999998</v>
      </c>
      <c r="F29" s="263">
        <v>2241.9899999999998</v>
      </c>
      <c r="G29" s="213">
        <v>2442.38</v>
      </c>
      <c r="H29" s="257">
        <v>2628.36</v>
      </c>
      <c r="I29" s="211">
        <v>2856.16</v>
      </c>
      <c r="J29" s="257">
        <v>2941.13</v>
      </c>
      <c r="K29" s="211">
        <v>3026.67</v>
      </c>
      <c r="L29" s="257">
        <v>3039.16</v>
      </c>
      <c r="M29" s="211">
        <v>2971.68</v>
      </c>
    </row>
    <row r="30" spans="1:13" ht="20" customHeight="1" thickBot="1">
      <c r="A30" s="786" t="s">
        <v>2402</v>
      </c>
      <c r="B30" s="263">
        <v>2490.64</v>
      </c>
      <c r="C30" s="213">
        <v>2600.92</v>
      </c>
      <c r="D30" s="263">
        <v>2618.6</v>
      </c>
      <c r="E30" s="213">
        <v>2755.39</v>
      </c>
      <c r="F30" s="263">
        <v>2906.95</v>
      </c>
      <c r="G30" s="213">
        <v>3137.29</v>
      </c>
      <c r="H30" s="257">
        <v>3318.18</v>
      </c>
      <c r="I30" s="211">
        <v>3499.12</v>
      </c>
      <c r="J30" s="257">
        <v>3545.51</v>
      </c>
      <c r="K30" s="211">
        <v>3664.36</v>
      </c>
      <c r="L30" s="257">
        <v>3642.38</v>
      </c>
      <c r="M30" s="211">
        <v>3556.32</v>
      </c>
    </row>
    <row r="31" spans="1:13" ht="20" customHeight="1" thickBot="1">
      <c r="A31" s="786" t="s">
        <v>2403</v>
      </c>
      <c r="B31" s="263">
        <v>1764.15</v>
      </c>
      <c r="C31" s="213">
        <v>1924.67</v>
      </c>
      <c r="D31" s="263">
        <v>1920.33</v>
      </c>
      <c r="E31" s="213">
        <v>2008.3</v>
      </c>
      <c r="F31" s="263">
        <v>2165.84</v>
      </c>
      <c r="G31" s="213">
        <v>2325.96</v>
      </c>
      <c r="H31" s="257">
        <v>2455.4699999999998</v>
      </c>
      <c r="I31" s="211">
        <v>2614.3200000000002</v>
      </c>
      <c r="J31" s="257">
        <v>2681.64</v>
      </c>
      <c r="K31" s="211">
        <v>2755.56</v>
      </c>
      <c r="L31" s="257">
        <v>2739.1</v>
      </c>
      <c r="M31" s="211">
        <v>2671.3</v>
      </c>
    </row>
    <row r="32" spans="1:13" ht="30" customHeight="1" thickBot="1">
      <c r="A32" s="685" t="s">
        <v>2404</v>
      </c>
      <c r="B32" s="431">
        <v>1668.01</v>
      </c>
      <c r="C32" s="430">
        <v>1762.91</v>
      </c>
      <c r="D32" s="431">
        <v>1801.28</v>
      </c>
      <c r="E32" s="430">
        <v>1853.38</v>
      </c>
      <c r="F32" s="431">
        <v>1931.93</v>
      </c>
      <c r="G32" s="430">
        <v>2106.41</v>
      </c>
      <c r="H32" s="259">
        <v>2296.0300000000002</v>
      </c>
      <c r="I32" s="442">
        <v>2443.67</v>
      </c>
      <c r="J32" s="571">
        <v>2493.73</v>
      </c>
      <c r="K32" s="442">
        <v>2595.6</v>
      </c>
      <c r="L32" s="571">
        <v>2623.01</v>
      </c>
      <c r="M32" s="442">
        <v>2596.4299999999998</v>
      </c>
    </row>
    <row r="33" spans="1:8" ht="20" customHeight="1">
      <c r="A33" s="201" t="s">
        <v>399</v>
      </c>
      <c r="B33" s="585"/>
      <c r="C33" s="585"/>
      <c r="D33" s="585"/>
      <c r="E33" s="585"/>
      <c r="F33" s="585"/>
      <c r="G33" s="585"/>
      <c r="H33" s="650"/>
    </row>
    <row r="34" spans="1:8" ht="15.75" customHeight="1">
      <c r="A34" s="202"/>
      <c r="B34" s="586"/>
      <c r="C34" s="586"/>
      <c r="D34" s="586"/>
      <c r="E34" s="586"/>
      <c r="F34" s="586"/>
      <c r="G34" s="586"/>
      <c r="H34" s="651"/>
    </row>
    <row r="35" spans="1:8" ht="14.25" customHeight="1">
      <c r="A35" s="202" t="s">
        <v>1463</v>
      </c>
      <c r="B35" s="586"/>
      <c r="C35" s="586"/>
      <c r="D35" s="586"/>
      <c r="E35" s="586"/>
      <c r="F35" s="586"/>
      <c r="G35" s="586"/>
      <c r="H35" s="651"/>
    </row>
    <row r="36" spans="1:8" ht="13.5" customHeight="1">
      <c r="A36" s="202"/>
      <c r="B36" s="586"/>
      <c r="C36" s="586"/>
      <c r="D36" s="586"/>
      <c r="E36" s="586"/>
      <c r="F36" s="586"/>
      <c r="G36" s="586"/>
      <c r="H36" s="651"/>
    </row>
    <row r="37" spans="1:8" ht="12.75" customHeight="1">
      <c r="A37" s="202" t="s">
        <v>1681</v>
      </c>
      <c r="B37" s="586"/>
      <c r="C37" s="586"/>
      <c r="D37" s="586"/>
      <c r="E37" s="586"/>
      <c r="F37" s="586"/>
      <c r="G37" s="586"/>
      <c r="H37" s="651"/>
    </row>
    <row r="39" spans="1:8">
      <c r="A39" s="202"/>
    </row>
    <row r="40" spans="1:8">
      <c r="A40" s="202" t="s">
        <v>711</v>
      </c>
    </row>
  </sheetData>
  <phoneticPr fontId="0" type="noConversion"/>
  <pageMargins left="0.45" right="0.49" top="0.78" bottom="0.49" header="0.5" footer="0.4921259845"/>
  <pageSetup paperSize="9" scale="74" orientation="portrait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00BF-905C-AE4B-802A-AB2558A6A40F}">
  <sheetPr>
    <pageSetUpPr fitToPage="1"/>
  </sheetPr>
  <dimension ref="A1:K27"/>
  <sheetViews>
    <sheetView topLeftCell="A5" zoomScale="75" workbookViewId="0">
      <selection activeCell="A25" sqref="A25"/>
    </sheetView>
  </sheetViews>
  <sheetFormatPr baseColWidth="10" defaultColWidth="11.3984375" defaultRowHeight="13"/>
  <cols>
    <col min="1" max="1" width="14.3984375" style="2" customWidth="1"/>
    <col min="2" max="2" width="17" style="2" customWidth="1"/>
    <col min="3" max="3" width="16.3984375" style="2" customWidth="1"/>
    <col min="4" max="4" width="15.796875" style="2" customWidth="1"/>
    <col min="5" max="5" width="17" style="2" customWidth="1"/>
    <col min="6" max="6" width="18" style="2" customWidth="1"/>
    <col min="7" max="7" width="13.19921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77" t="s">
        <v>1430</v>
      </c>
      <c r="G2" s="428"/>
    </row>
    <row r="3" spans="1:11" ht="24" customHeight="1">
      <c r="A3" s="178" t="s">
        <v>2208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  <c r="G3" s="180" t="s">
        <v>2372</v>
      </c>
    </row>
    <row r="4" spans="1:11" ht="15" customHeight="1">
      <c r="A4" s="274"/>
      <c r="B4" s="182" t="s">
        <v>2255</v>
      </c>
      <c r="C4" s="183" t="s">
        <v>2256</v>
      </c>
      <c r="D4" s="182" t="s">
        <v>822</v>
      </c>
      <c r="E4" s="245" t="s">
        <v>823</v>
      </c>
      <c r="F4" s="182"/>
      <c r="G4" s="183" t="s">
        <v>2373</v>
      </c>
    </row>
    <row r="5" spans="1:11" ht="15" customHeight="1">
      <c r="A5" s="274"/>
      <c r="B5" s="182" t="s">
        <v>2259</v>
      </c>
      <c r="C5" s="183" t="s">
        <v>2260</v>
      </c>
      <c r="D5" s="182" t="s">
        <v>824</v>
      </c>
      <c r="E5" s="245" t="s">
        <v>825</v>
      </c>
      <c r="F5" s="182"/>
      <c r="G5" s="183" t="s">
        <v>2377</v>
      </c>
    </row>
    <row r="6" spans="1:11" ht="24" customHeight="1">
      <c r="A6" s="275"/>
      <c r="B6" s="188"/>
      <c r="C6" s="187"/>
      <c r="D6" s="188"/>
      <c r="E6" s="248" t="s">
        <v>2262</v>
      </c>
      <c r="F6" s="188"/>
      <c r="G6" s="187"/>
    </row>
    <row r="7" spans="1:11" ht="2.25" customHeight="1" thickBot="1">
      <c r="A7" s="276">
        <v>1996</v>
      </c>
      <c r="B7" s="497">
        <v>7263.8791936000007</v>
      </c>
      <c r="C7" s="277">
        <v>3689.7169425000002</v>
      </c>
      <c r="D7" s="497">
        <v>38.020066050000004</v>
      </c>
      <c r="E7" s="277">
        <v>139.01961795</v>
      </c>
      <c r="F7" s="497">
        <v>11130.635820099998</v>
      </c>
      <c r="G7" s="212" t="s">
        <v>1060</v>
      </c>
    </row>
    <row r="8" spans="1:11" ht="0.75" customHeight="1" thickBot="1">
      <c r="A8" s="278">
        <v>1997</v>
      </c>
      <c r="B8" s="499">
        <v>6540.5888779999996</v>
      </c>
      <c r="C8" s="501">
        <v>4995.2965729999996</v>
      </c>
      <c r="D8" s="499">
        <v>16.474356</v>
      </c>
      <c r="E8" s="501">
        <v>488.324321</v>
      </c>
      <c r="F8" s="499">
        <v>12040.684128000001</v>
      </c>
      <c r="G8" s="214">
        <v>8.1760675904660518E-2</v>
      </c>
      <c r="I8" s="8"/>
      <c r="J8" s="8"/>
      <c r="K8" s="8"/>
    </row>
    <row r="9" spans="1:11" ht="20" customHeight="1" thickBot="1">
      <c r="A9" s="278">
        <v>1998</v>
      </c>
      <c r="B9" s="499">
        <v>6687.4913850000003</v>
      </c>
      <c r="C9" s="501">
        <v>5281.0341630000003</v>
      </c>
      <c r="D9" s="499">
        <v>17.124804000000001</v>
      </c>
      <c r="E9" s="501">
        <v>722.61979599999995</v>
      </c>
      <c r="F9" s="499">
        <v>12708.270148</v>
      </c>
      <c r="G9" s="214">
        <v>5.5444193444752932E-2</v>
      </c>
    </row>
    <row r="10" spans="1:11" ht="20" customHeight="1" thickBot="1">
      <c r="A10" s="278">
        <v>1999</v>
      </c>
      <c r="B10" s="499">
        <v>6794.0647150000004</v>
      </c>
      <c r="C10" s="501">
        <v>5396.1932850000003</v>
      </c>
      <c r="D10" s="499">
        <v>15.330069999999999</v>
      </c>
      <c r="E10" s="501">
        <v>828.25470299999995</v>
      </c>
      <c r="F10" s="499">
        <v>13033.842773</v>
      </c>
      <c r="G10" s="214">
        <v>2.5618956884642552E-2</v>
      </c>
    </row>
    <row r="11" spans="1:11" ht="20" customHeight="1" thickBot="1">
      <c r="A11" s="278">
        <v>2000</v>
      </c>
      <c r="B11" s="499">
        <v>6892.0663969999996</v>
      </c>
      <c r="C11" s="501">
        <v>5620.0400929999996</v>
      </c>
      <c r="D11" s="499">
        <v>15.057027</v>
      </c>
      <c r="E11" s="501">
        <v>914.49116700000002</v>
      </c>
      <c r="F11" s="499">
        <v>13441.654683999999</v>
      </c>
      <c r="G11" s="214">
        <v>3.1288693450008065E-2</v>
      </c>
    </row>
    <row r="12" spans="1:11" ht="20" customHeight="1" thickBot="1">
      <c r="A12" s="278">
        <v>2001</v>
      </c>
      <c r="B12" s="499">
        <v>7135.0009239999999</v>
      </c>
      <c r="C12" s="501">
        <v>5862.0969020000002</v>
      </c>
      <c r="D12" s="499">
        <v>14.859370999999999</v>
      </c>
      <c r="E12" s="501">
        <v>985.35521000000006</v>
      </c>
      <c r="F12" s="499">
        <v>13997.312406999999</v>
      </c>
      <c r="G12" s="214">
        <v>4.1338491135426647E-2</v>
      </c>
    </row>
    <row r="13" spans="1:11" ht="20" customHeight="1" thickBot="1">
      <c r="A13" s="278">
        <v>2002</v>
      </c>
      <c r="B13" s="499">
        <v>7607.4934620000004</v>
      </c>
      <c r="C13" s="501">
        <v>6653.7724580000004</v>
      </c>
      <c r="D13" s="499">
        <v>15.940357000000001</v>
      </c>
      <c r="E13" s="501">
        <v>1077.8389540000001</v>
      </c>
      <c r="F13" s="499">
        <v>15355.045231</v>
      </c>
      <c r="G13" s="214">
        <v>9.6999537091206456E-2</v>
      </c>
    </row>
    <row r="14" spans="1:11" ht="20" customHeight="1" thickBot="1">
      <c r="A14" s="278">
        <v>2003</v>
      </c>
      <c r="B14" s="499">
        <v>8119.6939160000002</v>
      </c>
      <c r="C14" s="501">
        <v>7519.6442960000004</v>
      </c>
      <c r="D14" s="499">
        <v>16.399234</v>
      </c>
      <c r="E14" s="501">
        <v>1164.373707</v>
      </c>
      <c r="F14" s="499">
        <v>16820.111153000002</v>
      </c>
      <c r="G14" s="214">
        <v>9.541267381239682E-2</v>
      </c>
    </row>
    <row r="15" spans="1:11" ht="20" customHeight="1" thickBot="1">
      <c r="A15" s="278">
        <v>2004</v>
      </c>
      <c r="B15" s="499">
        <v>8488.1709709999996</v>
      </c>
      <c r="C15" s="501">
        <v>7961.8606556000004</v>
      </c>
      <c r="D15" s="499">
        <v>16.728842</v>
      </c>
      <c r="E15" s="501">
        <v>1562.9443670000001</v>
      </c>
      <c r="F15" s="499">
        <v>18029.704835599998</v>
      </c>
      <c r="G15" s="214">
        <v>7.1913536812998835E-2</v>
      </c>
    </row>
    <row r="16" spans="1:11" ht="20" customHeight="1" thickBot="1">
      <c r="A16" s="278">
        <v>2005</v>
      </c>
      <c r="B16" s="499">
        <v>8881.818765</v>
      </c>
      <c r="C16" s="501">
        <v>7722.8551509999998</v>
      </c>
      <c r="D16" s="499">
        <v>16.867663</v>
      </c>
      <c r="E16" s="501">
        <v>1874.8780380000001</v>
      </c>
      <c r="F16" s="499">
        <v>18496.419617</v>
      </c>
      <c r="G16" s="214">
        <v>2.588588031005723E-2</v>
      </c>
    </row>
    <row r="17" spans="1:7" ht="20" customHeight="1" thickBot="1">
      <c r="A17" s="278">
        <v>2006</v>
      </c>
      <c r="B17" s="499">
        <v>8791.2609179999999</v>
      </c>
      <c r="C17" s="501">
        <v>7672.0020180000001</v>
      </c>
      <c r="D17" s="499">
        <v>16.96679</v>
      </c>
      <c r="E17" s="501">
        <v>2834.4584479999999</v>
      </c>
      <c r="F17" s="499">
        <v>19314.688173999999</v>
      </c>
      <c r="G17" s="214">
        <v>4.4239294628022563E-2</v>
      </c>
    </row>
    <row r="18" spans="1:7" ht="20" customHeight="1" thickBot="1">
      <c r="A18" s="278">
        <v>2007</v>
      </c>
      <c r="B18" s="499">
        <v>8532.4678672199989</v>
      </c>
      <c r="C18" s="501">
        <v>7230.4641675700004</v>
      </c>
      <c r="D18" s="499">
        <v>16.854145679999998</v>
      </c>
      <c r="E18" s="501">
        <v>3909.3553057999998</v>
      </c>
      <c r="F18" s="499">
        <v>19689.14148627</v>
      </c>
      <c r="G18" s="214">
        <v>1.9386971660979802E-2</v>
      </c>
    </row>
    <row r="19" spans="1:7" ht="30" customHeight="1" thickBot="1">
      <c r="A19" s="647">
        <v>2008</v>
      </c>
      <c r="B19" s="648">
        <v>8154.0754505200002</v>
      </c>
      <c r="C19" s="649">
        <v>6692.2544465000001</v>
      </c>
      <c r="D19" s="648">
        <v>16.346897350000003</v>
      </c>
      <c r="E19" s="649">
        <v>4829.5904296099998</v>
      </c>
      <c r="F19" s="648">
        <v>19692.267223980001</v>
      </c>
      <c r="G19" s="216">
        <v>1.5875439323642659E-4</v>
      </c>
    </row>
    <row r="20" spans="1:7" ht="20" customHeight="1">
      <c r="A20" s="201" t="s">
        <v>764</v>
      </c>
      <c r="B20" s="585"/>
      <c r="C20" s="585"/>
      <c r="D20" s="585"/>
      <c r="E20" s="585"/>
      <c r="F20" s="585"/>
      <c r="G20" s="650"/>
    </row>
    <row r="21" spans="1:7" ht="14.25" customHeight="1">
      <c r="A21" s="202"/>
      <c r="B21" s="586"/>
      <c r="C21" s="586"/>
      <c r="D21" s="586"/>
      <c r="E21" s="586"/>
      <c r="F21" s="586"/>
      <c r="G21" s="651"/>
    </row>
    <row r="22" spans="1:7" ht="12.75" customHeight="1">
      <c r="A22" s="390" t="s">
        <v>1431</v>
      </c>
    </row>
    <row r="24" spans="1:7">
      <c r="A24" s="2" t="s">
        <v>1432</v>
      </c>
    </row>
    <row r="27" spans="1:7">
      <c r="A27" s="2" t="s">
        <v>711</v>
      </c>
    </row>
  </sheetData>
  <phoneticPr fontId="0" type="noConversion"/>
  <pageMargins left="0.56000000000000005" right="0.51" top="0.94" bottom="0.49" header="0.51" footer="0.4921259845"/>
  <pageSetup paperSize="9" scale="83" orientation="portrait" horizontalDpi="4294967292" verticalDpi="4294967292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C5A8-FD24-E24A-86C7-0DA5D776ED4E}">
  <sheetPr>
    <pageSetUpPr fitToPage="1"/>
  </sheetPr>
  <dimension ref="A1:I17"/>
  <sheetViews>
    <sheetView zoomScale="75" workbookViewId="0">
      <selection activeCell="B7" sqref="B7"/>
    </sheetView>
  </sheetViews>
  <sheetFormatPr baseColWidth="10" defaultColWidth="11.3984375" defaultRowHeight="13"/>
  <cols>
    <col min="1" max="1" width="19.3984375" style="2" customWidth="1"/>
    <col min="2" max="3" width="17.19921875" style="2" customWidth="1"/>
    <col min="4" max="4" width="16.796875" style="2" customWidth="1"/>
    <col min="5" max="5" width="18.19921875" style="2" customWidth="1"/>
    <col min="6" max="7" width="13.3984375" style="2" customWidth="1"/>
    <col min="8" max="8" width="11.3984375" style="2"/>
    <col min="9" max="9" width="15.796875" style="2" hidden="1" customWidth="1"/>
    <col min="10" max="16384" width="11.3984375" style="2"/>
  </cols>
  <sheetData>
    <row r="1" spans="1:9" ht="14" customHeight="1">
      <c r="A1" s="364"/>
      <c r="B1" s="202"/>
      <c r="C1" s="202"/>
      <c r="D1" s="202"/>
      <c r="E1" s="202"/>
      <c r="F1" s="202"/>
      <c r="G1" s="202"/>
      <c r="I1" s="202"/>
    </row>
    <row r="2" spans="1:9" ht="28" customHeight="1">
      <c r="A2" s="53" t="s">
        <v>98</v>
      </c>
      <c r="B2" s="202"/>
      <c r="C2" s="202"/>
      <c r="D2" s="202"/>
      <c r="E2" s="202"/>
      <c r="F2" s="202"/>
      <c r="G2" s="428">
        <v>2008</v>
      </c>
      <c r="I2" s="202"/>
    </row>
    <row r="3" spans="1:9" ht="24" customHeight="1">
      <c r="A3" s="178" t="s">
        <v>1034</v>
      </c>
      <c r="B3" s="179" t="s">
        <v>1867</v>
      </c>
      <c r="C3" s="180" t="s">
        <v>1868</v>
      </c>
      <c r="D3" s="179" t="s">
        <v>2369</v>
      </c>
      <c r="E3" s="180" t="s">
        <v>164</v>
      </c>
      <c r="F3" s="179" t="s">
        <v>1035</v>
      </c>
      <c r="G3" s="180" t="s">
        <v>2372</v>
      </c>
      <c r="I3" s="180" t="s">
        <v>164</v>
      </c>
    </row>
    <row r="4" spans="1:9" ht="15" customHeight="1">
      <c r="A4" s="274"/>
      <c r="B4" s="182"/>
      <c r="C4" s="183"/>
      <c r="D4" s="182"/>
      <c r="E4" s="245"/>
      <c r="F4" s="182" t="s">
        <v>1036</v>
      </c>
      <c r="G4" s="183" t="s">
        <v>2373</v>
      </c>
      <c r="I4" s="245">
        <v>1999</v>
      </c>
    </row>
    <row r="5" spans="1:9" ht="15" customHeight="1">
      <c r="A5" s="181"/>
      <c r="B5" s="182"/>
      <c r="C5" s="183"/>
      <c r="D5" s="182"/>
      <c r="E5" s="183"/>
      <c r="F5" s="182" t="s">
        <v>1037</v>
      </c>
      <c r="G5" s="183" t="s">
        <v>2377</v>
      </c>
      <c r="I5" s="183"/>
    </row>
    <row r="6" spans="1:9" ht="24" customHeight="1">
      <c r="A6" s="379"/>
      <c r="B6" s="412"/>
      <c r="C6" s="413"/>
      <c r="D6" s="412"/>
      <c r="E6" s="413"/>
      <c r="F6" s="188"/>
      <c r="G6" s="187"/>
      <c r="I6" s="413"/>
    </row>
    <row r="7" spans="1:9" ht="40.5" customHeight="1" thickBot="1">
      <c r="A7" s="518" t="s">
        <v>1038</v>
      </c>
      <c r="B7" s="519">
        <v>3146882858.1399999</v>
      </c>
      <c r="C7" s="520">
        <v>4207052948.04</v>
      </c>
      <c r="D7" s="519">
        <v>800139644.34000003</v>
      </c>
      <c r="E7" s="520">
        <v>8154075450.5200005</v>
      </c>
      <c r="F7" s="543">
        <v>0.41407499490919369</v>
      </c>
      <c r="G7" s="521">
        <v>-4.4347359121468866E-2</v>
      </c>
      <c r="I7" s="544">
        <v>6794064715</v>
      </c>
    </row>
    <row r="8" spans="1:9" ht="36.75" customHeight="1" thickBot="1">
      <c r="A8" s="518" t="s">
        <v>2242</v>
      </c>
      <c r="B8" s="519">
        <v>3339543077.0300002</v>
      </c>
      <c r="C8" s="520">
        <v>3276246756.5300002</v>
      </c>
      <c r="D8" s="519">
        <v>76464612.939999998</v>
      </c>
      <c r="E8" s="520">
        <v>6692254446.5</v>
      </c>
      <c r="F8" s="543">
        <v>0.33984174449707827</v>
      </c>
      <c r="G8" s="521">
        <v>-7.4436399738203957E-2</v>
      </c>
      <c r="I8" s="544">
        <v>5396193285</v>
      </c>
    </row>
    <row r="9" spans="1:9" ht="36.75" customHeight="1" thickBot="1">
      <c r="A9" s="518" t="s">
        <v>2243</v>
      </c>
      <c r="B9" s="519">
        <v>10445407.460000001</v>
      </c>
      <c r="C9" s="520">
        <v>5847339.9000000004</v>
      </c>
      <c r="D9" s="519">
        <v>54149.99</v>
      </c>
      <c r="E9" s="520">
        <v>16346897.350000001</v>
      </c>
      <c r="F9" s="543">
        <v>8.3011758697311313E-4</v>
      </c>
      <c r="G9" s="521">
        <v>-3.0096353718000984E-2</v>
      </c>
      <c r="I9" s="544">
        <v>15330070</v>
      </c>
    </row>
    <row r="10" spans="1:9" ht="36.75" customHeight="1" thickBot="1">
      <c r="A10" s="518" t="s">
        <v>94</v>
      </c>
      <c r="B10" s="519">
        <v>2144460830.4200001</v>
      </c>
      <c r="C10" s="520">
        <v>2350451398.25</v>
      </c>
      <c r="D10" s="519">
        <v>334678200.94</v>
      </c>
      <c r="E10" s="520">
        <v>4829590429.6099997</v>
      </c>
      <c r="F10" s="543">
        <v>0.24525314300675494</v>
      </c>
      <c r="G10" s="521">
        <v>0.23539306402892576</v>
      </c>
      <c r="I10" s="544">
        <v>828254703</v>
      </c>
    </row>
    <row r="11" spans="1:9" s="354" customFormat="1" ht="38.25" customHeight="1" thickBot="1">
      <c r="A11" s="423" t="s">
        <v>164</v>
      </c>
      <c r="B11" s="424">
        <v>8641332173.0300007</v>
      </c>
      <c r="C11" s="425">
        <v>9839598442.7099991</v>
      </c>
      <c r="D11" s="424">
        <v>1211336608.21</v>
      </c>
      <c r="E11" s="425">
        <v>19692267223.98</v>
      </c>
      <c r="F11" s="545">
        <v>1</v>
      </c>
      <c r="G11" s="523">
        <v>1.5875439323643351E-4</v>
      </c>
      <c r="I11" s="546">
        <v>13033842773</v>
      </c>
    </row>
    <row r="12" spans="1:9" ht="19.5" customHeight="1">
      <c r="A12" s="201" t="s">
        <v>764</v>
      </c>
      <c r="B12" s="201"/>
      <c r="C12" s="201"/>
      <c r="D12" s="201"/>
      <c r="E12" s="201"/>
      <c r="F12" s="201"/>
      <c r="G12" s="201"/>
      <c r="I12" s="201"/>
    </row>
    <row r="14" spans="1:9">
      <c r="A14" s="2" t="s">
        <v>99</v>
      </c>
    </row>
    <row r="17" spans="1:1">
      <c r="A17" s="2" t="s">
        <v>711</v>
      </c>
    </row>
  </sheetData>
  <phoneticPr fontId="0" type="noConversion"/>
  <pageMargins left="0.56000000000000005" right="0.57999999999999996" top="0.96" bottom="0.49" header="0.61" footer="0.4921259845"/>
  <pageSetup paperSize="9" scale="78" orientation="portrait" horizontalDpi="4294967292" verticalDpi="4294967292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BCE2-09D7-1D47-8CA7-31EEE8262AD8}">
  <sheetPr>
    <pageSetUpPr fitToPage="1"/>
  </sheetPr>
  <dimension ref="A1:G19"/>
  <sheetViews>
    <sheetView topLeftCell="A4" zoomScale="75" workbookViewId="0">
      <selection activeCell="A15" sqref="A15"/>
    </sheetView>
  </sheetViews>
  <sheetFormatPr baseColWidth="10" defaultColWidth="11.3984375" defaultRowHeight="13"/>
  <cols>
    <col min="1" max="1" width="19.796875" style="2" customWidth="1"/>
    <col min="2" max="7" width="14.796875" style="2" customWidth="1"/>
    <col min="8" max="16384" width="11.3984375" style="2"/>
  </cols>
  <sheetData>
    <row r="1" spans="1:7" ht="14" customHeight="1">
      <c r="A1" s="364"/>
      <c r="B1" s="202"/>
      <c r="C1" s="202"/>
      <c r="D1" s="202"/>
      <c r="E1" s="202"/>
      <c r="F1" s="202"/>
      <c r="G1" s="202"/>
    </row>
    <row r="2" spans="1:7" ht="26.25" customHeight="1">
      <c r="A2" s="2017" t="s">
        <v>97</v>
      </c>
      <c r="B2" s="2021"/>
      <c r="C2" s="2021"/>
      <c r="D2" s="2021"/>
      <c r="E2" s="2021"/>
      <c r="F2" s="2021"/>
      <c r="G2" s="428">
        <v>2008</v>
      </c>
    </row>
    <row r="3" spans="1:7" ht="24" customHeight="1">
      <c r="A3" s="178" t="s">
        <v>1034</v>
      </c>
      <c r="B3" s="179" t="s">
        <v>1867</v>
      </c>
      <c r="C3" s="180" t="s">
        <v>1868</v>
      </c>
      <c r="D3" s="179" t="s">
        <v>2369</v>
      </c>
      <c r="E3" s="180" t="s">
        <v>164</v>
      </c>
      <c r="F3" s="179" t="s">
        <v>91</v>
      </c>
      <c r="G3" s="180" t="s">
        <v>2372</v>
      </c>
    </row>
    <row r="4" spans="1:7" ht="15" customHeight="1">
      <c r="A4" s="274"/>
      <c r="B4" s="182"/>
      <c r="C4" s="183"/>
      <c r="D4" s="182"/>
      <c r="E4" s="245"/>
      <c r="F4" s="182" t="s">
        <v>92</v>
      </c>
      <c r="G4" s="183" t="s">
        <v>2373</v>
      </c>
    </row>
    <row r="5" spans="1:7" ht="15" customHeight="1">
      <c r="A5" s="181"/>
      <c r="B5" s="182"/>
      <c r="C5" s="183"/>
      <c r="D5" s="182"/>
      <c r="E5" s="183"/>
      <c r="F5" s="182" t="s">
        <v>93</v>
      </c>
      <c r="G5" s="183" t="s">
        <v>2377</v>
      </c>
    </row>
    <row r="6" spans="1:7" ht="24" customHeight="1">
      <c r="A6" s="379"/>
      <c r="B6" s="412"/>
      <c r="C6" s="413"/>
      <c r="D6" s="412"/>
      <c r="E6" s="413"/>
      <c r="F6" s="188"/>
      <c r="G6" s="187"/>
    </row>
    <row r="7" spans="1:7" ht="38.25" customHeight="1" thickBot="1">
      <c r="A7" s="414" t="s">
        <v>1038</v>
      </c>
      <c r="B7" s="233">
        <v>3562.56</v>
      </c>
      <c r="C7" s="234">
        <v>3646.64</v>
      </c>
      <c r="D7" s="233">
        <v>886.32</v>
      </c>
      <c r="E7" s="234">
        <v>2766.67</v>
      </c>
      <c r="F7" s="233">
        <v>180.88</v>
      </c>
      <c r="G7" s="416">
        <v>1.5880767564312517E-2</v>
      </c>
    </row>
    <row r="8" spans="1:7" ht="37.5" customHeight="1" thickBot="1">
      <c r="A8" s="414" t="s">
        <v>2242</v>
      </c>
      <c r="B8" s="233">
        <v>2805.17</v>
      </c>
      <c r="C8" s="234">
        <v>3041.9</v>
      </c>
      <c r="D8" s="233">
        <v>646.05999999999995</v>
      </c>
      <c r="E8" s="234">
        <v>2814.77</v>
      </c>
      <c r="F8" s="233">
        <v>228.98</v>
      </c>
      <c r="G8" s="416">
        <v>-9.6185243550975924E-4</v>
      </c>
    </row>
    <row r="9" spans="1:7" ht="37.5" customHeight="1" thickBot="1">
      <c r="A9" s="414" t="s">
        <v>2243</v>
      </c>
      <c r="B9" s="233">
        <v>2480.8000000000002</v>
      </c>
      <c r="C9" s="234">
        <v>2599.33</v>
      </c>
      <c r="D9" s="233">
        <v>703.81</v>
      </c>
      <c r="E9" s="234">
        <v>2510.7399999999998</v>
      </c>
      <c r="F9" s="233">
        <v>-75.050000000000182</v>
      </c>
      <c r="G9" s="416">
        <v>2.296302935975671E-2</v>
      </c>
    </row>
    <row r="10" spans="1:7" ht="37.5" customHeight="1" thickBot="1">
      <c r="A10" s="414" t="s">
        <v>94</v>
      </c>
      <c r="B10" s="233">
        <v>2414.5300000000002</v>
      </c>
      <c r="C10" s="234">
        <v>2586.41</v>
      </c>
      <c r="D10" s="233">
        <v>688</v>
      </c>
      <c r="E10" s="234">
        <v>2114.29</v>
      </c>
      <c r="F10" s="233">
        <v>-471.5</v>
      </c>
      <c r="G10" s="416">
        <v>-9.5053827919309494E-3</v>
      </c>
    </row>
    <row r="11" spans="1:7" ht="36" customHeight="1" thickBot="1">
      <c r="A11" s="423" t="s">
        <v>164</v>
      </c>
      <c r="B11" s="424">
        <v>2913.29</v>
      </c>
      <c r="C11" s="425">
        <v>3131.9</v>
      </c>
      <c r="D11" s="424">
        <v>803.46</v>
      </c>
      <c r="E11" s="425">
        <v>2585.79</v>
      </c>
      <c r="F11" s="424">
        <v>0</v>
      </c>
      <c r="G11" s="523">
        <v>-1.0083724776332015E-2</v>
      </c>
    </row>
    <row r="12" spans="1:7" ht="19.5" customHeight="1">
      <c r="A12" s="201" t="s">
        <v>764</v>
      </c>
      <c r="B12" s="201"/>
      <c r="C12" s="201"/>
      <c r="D12" s="201"/>
      <c r="E12" s="201"/>
      <c r="F12" s="201"/>
      <c r="G12" s="201"/>
    </row>
    <row r="14" spans="1:7">
      <c r="A14" s="2" t="s">
        <v>95</v>
      </c>
    </row>
    <row r="16" spans="1:7">
      <c r="A16" s="2" t="s">
        <v>96</v>
      </c>
    </row>
    <row r="19" spans="1:1">
      <c r="A19" s="2" t="s">
        <v>711</v>
      </c>
    </row>
  </sheetData>
  <mergeCells count="1">
    <mergeCell ref="A2:F2"/>
  </mergeCells>
  <phoneticPr fontId="0" type="noConversion"/>
  <pageMargins left="0.6" right="0.57999999999999996" top="0.94" bottom="0.49" header="0.54" footer="0.4921259845"/>
  <pageSetup paperSize="9" scale="85" orientation="portrait" horizontalDpi="4294967292" verticalDpi="4294967292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2034-5FC7-6C4D-BBAF-70C71C531696}">
  <sheetPr>
    <pageSetUpPr fitToPage="1"/>
  </sheetPr>
  <dimension ref="A1:K52"/>
  <sheetViews>
    <sheetView zoomScale="75" workbookViewId="0"/>
  </sheetViews>
  <sheetFormatPr baseColWidth="10" defaultColWidth="11.3984375" defaultRowHeight="13"/>
  <cols>
    <col min="1" max="1" width="21.59765625" style="2" customWidth="1"/>
    <col min="2" max="2" width="16" style="2" customWidth="1"/>
    <col min="3" max="3" width="14.3984375" style="2" customWidth="1"/>
    <col min="4" max="4" width="19.19921875" style="2" customWidth="1"/>
    <col min="5" max="5" width="13.19921875" style="2" customWidth="1"/>
    <col min="6" max="6" width="20.19921875" style="2" customWidth="1"/>
    <col min="7" max="7" width="15.796875" style="2" customWidth="1"/>
    <col min="8" max="10" width="13.796875" style="2" customWidth="1"/>
    <col min="11" max="16384" width="11.3984375" style="2"/>
  </cols>
  <sheetData>
    <row r="1" spans="1:11" s="1" customFormat="1" ht="8.25" customHeight="1"/>
    <row r="2" spans="1:11" s="1" customFormat="1" ht="37.5" customHeight="1">
      <c r="A2" s="2017" t="s">
        <v>368</v>
      </c>
      <c r="B2" s="2021"/>
      <c r="C2" s="2021"/>
      <c r="D2" s="2021"/>
      <c r="E2" s="2021"/>
      <c r="F2" s="177"/>
      <c r="G2" s="177"/>
    </row>
    <row r="3" spans="1:11" ht="24" customHeight="1">
      <c r="A3" s="394" t="s">
        <v>370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  <c r="G3" s="228" t="s">
        <v>2372</v>
      </c>
    </row>
    <row r="4" spans="1:11" ht="15" customHeight="1">
      <c r="A4" s="274"/>
      <c r="B4" s="182" t="s">
        <v>2255</v>
      </c>
      <c r="C4" s="183" t="s">
        <v>2256</v>
      </c>
      <c r="D4" s="182" t="s">
        <v>2257</v>
      </c>
      <c r="E4" s="245" t="s">
        <v>2258</v>
      </c>
      <c r="F4" s="182"/>
      <c r="G4" s="181" t="s">
        <v>2373</v>
      </c>
    </row>
    <row r="5" spans="1:11" ht="15" customHeight="1">
      <c r="A5" s="274" t="s">
        <v>821</v>
      </c>
      <c r="B5" s="182" t="s">
        <v>2259</v>
      </c>
      <c r="C5" s="183" t="s">
        <v>2260</v>
      </c>
      <c r="D5" s="182"/>
      <c r="E5" s="245" t="s">
        <v>2261</v>
      </c>
      <c r="F5" s="182"/>
      <c r="G5" s="181" t="s">
        <v>2377</v>
      </c>
    </row>
    <row r="6" spans="1:11" ht="20.25" customHeight="1">
      <c r="A6" s="378"/>
      <c r="B6" s="188"/>
      <c r="C6" s="187"/>
      <c r="D6" s="188"/>
      <c r="E6" s="248" t="s">
        <v>2262</v>
      </c>
      <c r="F6" s="188"/>
      <c r="G6" s="247"/>
    </row>
    <row r="7" spans="1:11" ht="2.25" customHeight="1" thickBot="1">
      <c r="A7" s="276">
        <v>1996</v>
      </c>
      <c r="B7" s="211">
        <v>1524.5463513417667</v>
      </c>
      <c r="C7" s="257">
        <v>1591.881526355354</v>
      </c>
      <c r="D7" s="211">
        <v>1359.088238474134</v>
      </c>
      <c r="E7" s="257">
        <v>1137.2770798904471</v>
      </c>
      <c r="F7" s="211">
        <v>1538.9405008830074</v>
      </c>
      <c r="G7" s="473" t="s">
        <v>1060</v>
      </c>
    </row>
    <row r="8" spans="1:11" ht="19.5" hidden="1" customHeight="1" thickBot="1">
      <c r="A8" s="278">
        <v>1997</v>
      </c>
      <c r="B8" s="213">
        <v>1596.7748981305942</v>
      </c>
      <c r="C8" s="263">
        <v>1820.0543916502945</v>
      </c>
      <c r="D8" s="213">
        <v>1429.0086986460665</v>
      </c>
      <c r="E8" s="263">
        <v>1270.8735771137619</v>
      </c>
      <c r="F8" s="213">
        <v>1663.893341996396</v>
      </c>
      <c r="G8" s="477">
        <v>8.1194068933590158E-2</v>
      </c>
      <c r="I8" s="8"/>
      <c r="J8" s="8"/>
      <c r="K8" s="8"/>
    </row>
    <row r="9" spans="1:11" ht="20" customHeight="1" thickBot="1">
      <c r="A9" s="278">
        <v>1998</v>
      </c>
      <c r="B9" s="213">
        <v>1665.5565653402912</v>
      </c>
      <c r="C9" s="263">
        <v>1937.4811057809607</v>
      </c>
      <c r="D9" s="213">
        <v>1448.2169878271459</v>
      </c>
      <c r="E9" s="263">
        <v>1463.0710596518434</v>
      </c>
      <c r="F9" s="213">
        <v>1753.6807220915252</v>
      </c>
      <c r="G9" s="477">
        <v>5.3962220912188608E-2</v>
      </c>
    </row>
    <row r="10" spans="1:11" ht="20" customHeight="1" thickBot="1">
      <c r="A10" s="278">
        <v>1999</v>
      </c>
      <c r="B10" s="213">
        <v>1698.1180433399416</v>
      </c>
      <c r="C10" s="263">
        <v>1985.9900541831798</v>
      </c>
      <c r="D10" s="213">
        <v>1493.6302697798037</v>
      </c>
      <c r="E10" s="263">
        <v>1527.6216147396292</v>
      </c>
      <c r="F10" s="213">
        <v>1792.6961372402147</v>
      </c>
      <c r="G10" s="477">
        <v>2.2247729964299134E-2</v>
      </c>
    </row>
    <row r="11" spans="1:11" ht="20" customHeight="1" thickBot="1">
      <c r="A11" s="278">
        <v>2000</v>
      </c>
      <c r="B11" s="213">
        <v>1758.0451704632812</v>
      </c>
      <c r="C11" s="263">
        <v>2038.1607144334851</v>
      </c>
      <c r="D11" s="213">
        <v>1535.3433088803986</v>
      </c>
      <c r="E11" s="263">
        <v>1583.2530710258736</v>
      </c>
      <c r="F11" s="213">
        <v>1850.1631679231971</v>
      </c>
      <c r="G11" s="477">
        <v>3.2056202659894506E-2</v>
      </c>
    </row>
    <row r="12" spans="1:11" ht="20" customHeight="1" thickBot="1">
      <c r="A12" s="278">
        <v>2001</v>
      </c>
      <c r="B12" s="213">
        <v>1842.9742230994177</v>
      </c>
      <c r="C12" s="263">
        <v>2074.3537866389079</v>
      </c>
      <c r="D12" s="213">
        <v>1595.1792853069078</v>
      </c>
      <c r="E12" s="263">
        <v>1658.0330212983067</v>
      </c>
      <c r="F12" s="213">
        <v>1917.1693080707569</v>
      </c>
      <c r="G12" s="477">
        <v>3.6216340974279504E-2</v>
      </c>
    </row>
    <row r="13" spans="1:11" ht="20" customHeight="1" thickBot="1">
      <c r="A13" s="278">
        <v>2002</v>
      </c>
      <c r="B13" s="213">
        <v>1999.3225217818947</v>
      </c>
      <c r="C13" s="263">
        <v>2236.6776923608968</v>
      </c>
      <c r="D13" s="213">
        <v>1807.8492038743398</v>
      </c>
      <c r="E13" s="263">
        <v>1938.8414423486433</v>
      </c>
      <c r="F13" s="213">
        <v>2090.6453445046668</v>
      </c>
      <c r="G13" s="477">
        <v>9.0485506785250136E-2</v>
      </c>
    </row>
    <row r="14" spans="1:11" ht="20" customHeight="1" thickBot="1">
      <c r="A14" s="278">
        <v>2003</v>
      </c>
      <c r="B14" s="213">
        <v>2216.0796496496105</v>
      </c>
      <c r="C14" s="263">
        <v>2426.9395460837259</v>
      </c>
      <c r="D14" s="213">
        <v>1977.301650220651</v>
      </c>
      <c r="E14" s="263">
        <v>1934.7726722030034</v>
      </c>
      <c r="F14" s="213">
        <v>2281.4625632725915</v>
      </c>
      <c r="G14" s="477">
        <v>9.1271921978299364E-2</v>
      </c>
    </row>
    <row r="15" spans="1:11" ht="20" customHeight="1" thickBot="1">
      <c r="A15" s="278">
        <v>2004</v>
      </c>
      <c r="B15" s="213">
        <v>2343.8682619528158</v>
      </c>
      <c r="C15" s="263">
        <v>2645.1462345444088</v>
      </c>
      <c r="D15" s="213">
        <v>2075.9841086714919</v>
      </c>
      <c r="E15" s="263">
        <v>2100.4541508082671</v>
      </c>
      <c r="F15" s="213">
        <v>2441.8690220833437</v>
      </c>
      <c r="G15" s="477">
        <v>7.0308608781491921E-2</v>
      </c>
    </row>
    <row r="16" spans="1:11" ht="20" customHeight="1" thickBot="1">
      <c r="A16" s="278">
        <v>2005</v>
      </c>
      <c r="B16" s="213">
        <v>2470.8502609985521</v>
      </c>
      <c r="C16" s="263">
        <v>2635.6398124159059</v>
      </c>
      <c r="D16" s="213">
        <v>2194.1314013904234</v>
      </c>
      <c r="E16" s="263">
        <v>2075.4315686877048</v>
      </c>
      <c r="F16" s="213">
        <v>2487.4606144678528</v>
      </c>
      <c r="G16" s="477">
        <v>1.8670777167897112E-2</v>
      </c>
    </row>
    <row r="17" spans="1:7" ht="20" customHeight="1" thickBot="1">
      <c r="A17" s="278">
        <v>2006</v>
      </c>
      <c r="B17" s="213">
        <v>2629.69</v>
      </c>
      <c r="C17" s="263">
        <v>2763.07</v>
      </c>
      <c r="D17" s="213">
        <v>2359.12</v>
      </c>
      <c r="E17" s="263">
        <v>2097.1999999999998</v>
      </c>
      <c r="F17" s="213">
        <v>2582.7199999999998</v>
      </c>
      <c r="G17" s="477">
        <v>3.8295836717208154E-2</v>
      </c>
    </row>
    <row r="18" spans="1:7" ht="20" customHeight="1" thickBot="1">
      <c r="A18" s="278">
        <v>2007</v>
      </c>
      <c r="B18" s="213">
        <v>2723.42</v>
      </c>
      <c r="C18" s="263">
        <v>2817.48</v>
      </c>
      <c r="D18" s="213">
        <v>2454.38</v>
      </c>
      <c r="E18" s="263">
        <v>2134.58</v>
      </c>
      <c r="F18" s="213">
        <v>2612.13</v>
      </c>
      <c r="G18" s="477">
        <v>1.1387219675381033E-2</v>
      </c>
    </row>
    <row r="19" spans="1:7" ht="22.5" customHeight="1" thickBot="1">
      <c r="A19" s="429">
        <v>2008</v>
      </c>
      <c r="B19" s="430">
        <v>2766.67</v>
      </c>
      <c r="C19" s="431">
        <v>2814.77</v>
      </c>
      <c r="D19" s="430">
        <v>2510.7399999999998</v>
      </c>
      <c r="E19" s="431">
        <v>2114.29</v>
      </c>
      <c r="F19" s="430">
        <v>2585.79</v>
      </c>
      <c r="G19" s="777">
        <v>-1.0083724776332015E-2</v>
      </c>
    </row>
    <row r="20" spans="1:7" ht="20" customHeight="1">
      <c r="A20" s="201" t="s">
        <v>764</v>
      </c>
      <c r="B20" s="585"/>
      <c r="C20" s="585"/>
      <c r="D20" s="585"/>
      <c r="E20" s="585"/>
      <c r="F20" s="585"/>
      <c r="G20" s="466"/>
    </row>
    <row r="21" spans="1:7" ht="13.5" customHeight="1">
      <c r="A21" s="202"/>
      <c r="B21" s="586"/>
      <c r="C21" s="586"/>
      <c r="D21" s="586"/>
      <c r="E21" s="586"/>
      <c r="F21" s="586"/>
      <c r="G21" s="467"/>
    </row>
    <row r="22" spans="1:7">
      <c r="A22" s="2" t="s">
        <v>369</v>
      </c>
      <c r="G22" s="467"/>
    </row>
    <row r="23" spans="1:7">
      <c r="G23" s="467"/>
    </row>
    <row r="24" spans="1:7">
      <c r="G24" s="467"/>
    </row>
    <row r="25" spans="1:7" ht="18">
      <c r="A25" s="778" t="s">
        <v>371</v>
      </c>
      <c r="G25" s="467"/>
    </row>
    <row r="26" spans="1:7">
      <c r="G26" s="467"/>
    </row>
    <row r="27" spans="1:7" ht="19.5" customHeight="1">
      <c r="A27" s="394"/>
      <c r="B27" s="179" t="s">
        <v>2369</v>
      </c>
      <c r="C27" s="446" t="s">
        <v>2372</v>
      </c>
      <c r="D27" s="179" t="s">
        <v>2227</v>
      </c>
      <c r="E27" s="446" t="s">
        <v>2372</v>
      </c>
      <c r="F27" s="179" t="s">
        <v>870</v>
      </c>
      <c r="G27" s="446" t="s">
        <v>2372</v>
      </c>
    </row>
    <row r="28" spans="1:7" ht="19.5" customHeight="1">
      <c r="A28" s="766"/>
      <c r="B28" s="182" t="s">
        <v>2374</v>
      </c>
      <c r="C28" s="494" t="s">
        <v>2373</v>
      </c>
      <c r="D28" s="182" t="s">
        <v>2375</v>
      </c>
      <c r="E28" s="494" t="s">
        <v>2373</v>
      </c>
      <c r="F28" s="182" t="s">
        <v>871</v>
      </c>
      <c r="G28" s="494" t="s">
        <v>2373</v>
      </c>
    </row>
    <row r="29" spans="1:7" ht="19.5" customHeight="1">
      <c r="A29" s="274"/>
      <c r="B29" s="182"/>
      <c r="C29" s="494" t="s">
        <v>2377</v>
      </c>
      <c r="D29" s="182"/>
      <c r="E29" s="494" t="s">
        <v>2377</v>
      </c>
      <c r="F29" s="182"/>
      <c r="G29" s="494" t="s">
        <v>2377</v>
      </c>
    </row>
    <row r="30" spans="1:7" ht="19.5" customHeight="1">
      <c r="A30" s="275" t="s">
        <v>821</v>
      </c>
      <c r="B30" s="188"/>
      <c r="C30" s="447"/>
      <c r="D30" s="188"/>
      <c r="E30" s="447"/>
      <c r="F30" s="188"/>
      <c r="G30" s="447"/>
    </row>
    <row r="31" spans="1:7" ht="1.5" customHeight="1" thickBot="1">
      <c r="A31" s="276">
        <v>1996</v>
      </c>
      <c r="B31" s="211" t="s">
        <v>1060</v>
      </c>
      <c r="C31" s="779" t="s">
        <v>1060</v>
      </c>
      <c r="D31" s="211" t="s">
        <v>1060</v>
      </c>
      <c r="E31" s="779" t="s">
        <v>1060</v>
      </c>
      <c r="F31" s="211" t="s">
        <v>1060</v>
      </c>
      <c r="G31" s="473" t="s">
        <v>1060</v>
      </c>
    </row>
    <row r="32" spans="1:7" ht="0.75" customHeight="1" thickBot="1">
      <c r="A32" s="278">
        <v>1997</v>
      </c>
      <c r="B32" s="211">
        <v>571.27</v>
      </c>
      <c r="C32" s="779" t="s">
        <v>1060</v>
      </c>
      <c r="D32" s="211">
        <v>1459.12</v>
      </c>
      <c r="E32" s="779" t="s">
        <v>1060</v>
      </c>
      <c r="F32" s="211">
        <v>2024.73</v>
      </c>
      <c r="G32" s="477" t="s">
        <v>1060</v>
      </c>
    </row>
    <row r="33" spans="1:7" ht="19.5" customHeight="1" thickBot="1">
      <c r="A33" s="278">
        <v>1998</v>
      </c>
      <c r="B33" s="213">
        <v>588.77</v>
      </c>
      <c r="C33" s="477">
        <v>3.0633500796471091E-2</v>
      </c>
      <c r="D33" s="213">
        <v>1563.95</v>
      </c>
      <c r="E33" s="477">
        <v>7.1844673501836764E-2</v>
      </c>
      <c r="F33" s="213">
        <v>2142.38</v>
      </c>
      <c r="G33" s="477">
        <v>5.8106512967161184E-2</v>
      </c>
    </row>
    <row r="34" spans="1:7" ht="19.5" customHeight="1" thickBot="1">
      <c r="A34" s="278">
        <v>1999</v>
      </c>
      <c r="B34" s="213">
        <v>603.19000000000005</v>
      </c>
      <c r="C34" s="477">
        <v>2.4491737011057113E-2</v>
      </c>
      <c r="D34" s="213">
        <v>1581.32</v>
      </c>
      <c r="E34" s="477">
        <v>1.1106493174334098E-2</v>
      </c>
      <c r="F34" s="213">
        <v>2190.21</v>
      </c>
      <c r="G34" s="477">
        <v>2.2325637842026014E-2</v>
      </c>
    </row>
    <row r="35" spans="1:7" ht="19.5" customHeight="1" thickBot="1">
      <c r="A35" s="278">
        <v>2000</v>
      </c>
      <c r="B35" s="213">
        <v>621.73</v>
      </c>
      <c r="C35" s="477">
        <v>3.073658382930744E-2</v>
      </c>
      <c r="D35" s="213">
        <v>1566.95</v>
      </c>
      <c r="E35" s="477">
        <v>-9.0873447499556503E-3</v>
      </c>
      <c r="F35" s="213">
        <v>2256.67</v>
      </c>
      <c r="G35" s="477">
        <v>3.0344122253117334E-2</v>
      </c>
    </row>
    <row r="36" spans="1:7" ht="19.5" customHeight="1" thickBot="1">
      <c r="A36" s="278">
        <v>2001</v>
      </c>
      <c r="B36" s="213">
        <v>652.66999999999996</v>
      </c>
      <c r="C36" s="477">
        <v>4.9764367169028212E-2</v>
      </c>
      <c r="D36" s="213">
        <v>1580.79</v>
      </c>
      <c r="E36" s="477">
        <v>8.8324451960815065E-3</v>
      </c>
      <c r="F36" s="213">
        <v>2352.56</v>
      </c>
      <c r="G36" s="477">
        <v>4.2491813158326064E-2</v>
      </c>
    </row>
    <row r="37" spans="1:7" ht="19.5" customHeight="1" thickBot="1">
      <c r="A37" s="278">
        <v>2002</v>
      </c>
      <c r="B37" s="213">
        <v>712.31</v>
      </c>
      <c r="C37" s="477">
        <v>9.1378491427520858E-2</v>
      </c>
      <c r="D37" s="213">
        <v>1782.56</v>
      </c>
      <c r="E37" s="477">
        <v>0.12763871228942492</v>
      </c>
      <c r="F37" s="213">
        <v>2553.98</v>
      </c>
      <c r="G37" s="477">
        <v>8.5617370013942207E-2</v>
      </c>
    </row>
    <row r="38" spans="1:7" ht="19.5" customHeight="1" thickBot="1">
      <c r="A38" s="278">
        <v>2003</v>
      </c>
      <c r="B38" s="213">
        <v>775.13</v>
      </c>
      <c r="C38" s="477">
        <v>8.8191938903005695E-2</v>
      </c>
      <c r="D38" s="213">
        <v>2027.01</v>
      </c>
      <c r="E38" s="477">
        <v>0.13713423391077995</v>
      </c>
      <c r="F38" s="213">
        <v>2767.57</v>
      </c>
      <c r="G38" s="477">
        <v>8.3630255522752828E-2</v>
      </c>
    </row>
    <row r="39" spans="1:7" ht="19.5" customHeight="1" thickBot="1">
      <c r="A39" s="278">
        <v>2004</v>
      </c>
      <c r="B39" s="213">
        <v>811.85</v>
      </c>
      <c r="C39" s="477">
        <v>4.7372698773109123E-2</v>
      </c>
      <c r="D39" s="213">
        <v>2229.4699999999998</v>
      </c>
      <c r="E39" s="477">
        <v>9.9881105667954273E-2</v>
      </c>
      <c r="F39" s="213">
        <v>2944.97</v>
      </c>
      <c r="G39" s="477">
        <v>6.4099553037502144E-2</v>
      </c>
    </row>
    <row r="40" spans="1:7" ht="19.5" customHeight="1" thickBot="1">
      <c r="A40" s="278">
        <v>2005</v>
      </c>
      <c r="B40" s="213">
        <v>810.41</v>
      </c>
      <c r="C40" s="477">
        <v>-1.773726673646725E-3</v>
      </c>
      <c r="D40" s="213">
        <v>2295.98</v>
      </c>
      <c r="E40" s="477">
        <v>2.9832202272288999E-2</v>
      </c>
      <c r="F40" s="213">
        <v>3001.01</v>
      </c>
      <c r="G40" s="477">
        <v>1.9029056323154547E-2</v>
      </c>
    </row>
    <row r="41" spans="1:7" ht="19.5" customHeight="1" thickBot="1">
      <c r="A41" s="278">
        <v>2006</v>
      </c>
      <c r="B41" s="213">
        <v>831.45</v>
      </c>
      <c r="C41" s="477">
        <v>2.5962167298034355E-2</v>
      </c>
      <c r="D41" s="213">
        <v>2397.42</v>
      </c>
      <c r="E41" s="477">
        <v>4.4181569525866937E-2</v>
      </c>
      <c r="F41" s="213">
        <v>3120.11</v>
      </c>
      <c r="G41" s="477">
        <v>3.9686638831593291E-2</v>
      </c>
    </row>
    <row r="42" spans="1:7" ht="19.5" customHeight="1" thickBot="1">
      <c r="A42" s="278">
        <v>2007</v>
      </c>
      <c r="B42" s="213">
        <v>830.97</v>
      </c>
      <c r="C42" s="477">
        <v>-5.7730470864159056E-4</v>
      </c>
      <c r="D42" s="213">
        <v>2410.9299999999998</v>
      </c>
      <c r="E42" s="477">
        <v>5.6352245330395512E-3</v>
      </c>
      <c r="F42" s="213">
        <v>3148.34</v>
      </c>
      <c r="G42" s="477">
        <v>9.0477579316114998E-3</v>
      </c>
    </row>
    <row r="43" spans="1:7" ht="21.75" customHeight="1" thickBot="1">
      <c r="A43" s="780">
        <v>2008</v>
      </c>
      <c r="B43" s="442">
        <v>805.67</v>
      </c>
      <c r="C43" s="777">
        <v>-3.0446345836793176E-2</v>
      </c>
      <c r="D43" s="442">
        <v>2390.77</v>
      </c>
      <c r="E43" s="777">
        <v>-8.3619184298174831E-3</v>
      </c>
      <c r="F43" s="442">
        <v>3113.11</v>
      </c>
      <c r="G43" s="777">
        <v>-1.1190023949128713E-2</v>
      </c>
    </row>
    <row r="44" spans="1:7" ht="15" customHeight="1">
      <c r="A44" s="587" t="s">
        <v>399</v>
      </c>
    </row>
    <row r="46" spans="1:7">
      <c r="A46" s="202" t="s">
        <v>384</v>
      </c>
    </row>
    <row r="48" spans="1:7" ht="12" customHeight="1">
      <c r="A48" s="2" t="s">
        <v>395</v>
      </c>
      <c r="B48" s="217"/>
      <c r="F48" s="217"/>
      <c r="G48" s="256"/>
    </row>
    <row r="49" spans="1:1">
      <c r="A49" s="2" t="s">
        <v>396</v>
      </c>
    </row>
    <row r="52" spans="1:1">
      <c r="A52" s="2" t="s">
        <v>711</v>
      </c>
    </row>
  </sheetData>
  <mergeCells count="1">
    <mergeCell ref="A2:E2"/>
  </mergeCells>
  <phoneticPr fontId="0" type="noConversion"/>
  <pageMargins left="0.47244094488188981" right="0.43307086614173229" top="0.43" bottom="0.37" header="0.31" footer="0.28000000000000003"/>
  <pageSetup paperSize="9" scale="78" orientation="portrait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303B-4ECB-5E47-8805-D4BABB193B8D}">
  <sheetPr>
    <pageSetUpPr fitToPage="1"/>
  </sheetPr>
  <dimension ref="A1:H41"/>
  <sheetViews>
    <sheetView zoomScale="75" workbookViewId="0">
      <selection activeCell="A3" sqref="A3"/>
    </sheetView>
  </sheetViews>
  <sheetFormatPr baseColWidth="10" defaultColWidth="11.3984375" defaultRowHeight="13"/>
  <cols>
    <col min="1" max="2" width="14.796875" style="2" customWidth="1"/>
    <col min="3" max="3" width="15.796875" style="2" customWidth="1"/>
    <col min="4" max="5" width="16" style="2" customWidth="1"/>
    <col min="6" max="6" width="16.59765625" style="2" customWidth="1"/>
    <col min="7" max="7" width="16.7968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39" customHeight="1">
      <c r="A2" s="2017" t="s">
        <v>855</v>
      </c>
      <c r="B2" s="2021"/>
      <c r="C2" s="2021"/>
      <c r="D2" s="2021"/>
      <c r="E2" s="2021"/>
      <c r="F2" s="177">
        <v>2008</v>
      </c>
    </row>
    <row r="3" spans="1:8" ht="27" customHeight="1">
      <c r="A3" s="178" t="s">
        <v>2368</v>
      </c>
      <c r="B3" s="179" t="s">
        <v>2369</v>
      </c>
      <c r="C3" s="180" t="s">
        <v>2370</v>
      </c>
      <c r="D3" s="179" t="s">
        <v>2371</v>
      </c>
      <c r="E3" s="180" t="s">
        <v>164</v>
      </c>
      <c r="F3" s="179" t="s">
        <v>2372</v>
      </c>
    </row>
    <row r="4" spans="1:8" ht="15" customHeight="1">
      <c r="A4" s="181"/>
      <c r="B4" s="182"/>
      <c r="C4" s="183" t="s">
        <v>2371</v>
      </c>
      <c r="D4" s="184"/>
      <c r="E4" s="183"/>
      <c r="F4" s="182" t="s">
        <v>2373</v>
      </c>
    </row>
    <row r="5" spans="1:8" ht="15" customHeight="1">
      <c r="A5" s="181"/>
      <c r="B5" s="182" t="s">
        <v>2374</v>
      </c>
      <c r="C5" s="183" t="s">
        <v>2375</v>
      </c>
      <c r="D5" s="182" t="s">
        <v>2376</v>
      </c>
      <c r="E5" s="183"/>
      <c r="F5" s="182" t="s">
        <v>2377</v>
      </c>
    </row>
    <row r="6" spans="1:8" ht="24" customHeight="1">
      <c r="A6" s="185"/>
      <c r="B6" s="186"/>
      <c r="C6" s="185"/>
      <c r="D6" s="186"/>
      <c r="E6" s="187"/>
      <c r="F6" s="188"/>
      <c r="H6" s="189"/>
    </row>
    <row r="7" spans="1:8" ht="30" customHeight="1" thickBot="1">
      <c r="A7" s="190" t="s">
        <v>2378</v>
      </c>
      <c r="B7" s="191">
        <v>67.064166666666665</v>
      </c>
      <c r="C7" s="192">
        <v>197.82</v>
      </c>
      <c r="D7" s="191">
        <v>252.655</v>
      </c>
      <c r="E7" s="192">
        <v>214.02333333333334</v>
      </c>
      <c r="F7" s="193">
        <v>-1.4995896263682282E-2</v>
      </c>
      <c r="H7" s="194"/>
    </row>
    <row r="8" spans="1:8" ht="20" customHeight="1" thickBot="1">
      <c r="A8" s="195" t="s">
        <v>2379</v>
      </c>
      <c r="B8" s="191">
        <v>67.963333333333324</v>
      </c>
      <c r="C8" s="192">
        <v>200.2225</v>
      </c>
      <c r="D8" s="191">
        <v>268.65750000000003</v>
      </c>
      <c r="E8" s="192">
        <v>225.37166666666667</v>
      </c>
      <c r="F8" s="193">
        <v>-5.420711974109994E-3</v>
      </c>
      <c r="H8" s="194"/>
    </row>
    <row r="9" spans="1:8" ht="20" customHeight="1" thickBot="1">
      <c r="A9" s="195" t="s">
        <v>2380</v>
      </c>
      <c r="B9" s="191">
        <v>55.094999999999999</v>
      </c>
      <c r="C9" s="192">
        <v>164.18666666666667</v>
      </c>
      <c r="D9" s="191">
        <v>214.90833333333333</v>
      </c>
      <c r="E9" s="192">
        <v>177.13499999999999</v>
      </c>
      <c r="F9" s="193">
        <v>-7.9481016498262422E-3</v>
      </c>
      <c r="H9" s="194"/>
    </row>
    <row r="10" spans="1:8" ht="20" customHeight="1" thickBot="1">
      <c r="A10" s="195" t="s">
        <v>2381</v>
      </c>
      <c r="B10" s="191">
        <v>49.239166666666669</v>
      </c>
      <c r="C10" s="192">
        <v>146.92333333333332</v>
      </c>
      <c r="D10" s="191">
        <v>193.13416666666669</v>
      </c>
      <c r="E10" s="192">
        <v>159.32</v>
      </c>
      <c r="F10" s="193">
        <v>-1.0224737133656786E-2</v>
      </c>
      <c r="H10" s="194"/>
    </row>
    <row r="11" spans="1:8" ht="20" customHeight="1" thickBot="1">
      <c r="A11" s="195" t="s">
        <v>2382</v>
      </c>
      <c r="B11" s="191">
        <v>55.193333333333335</v>
      </c>
      <c r="C11" s="192">
        <v>163.84166666666667</v>
      </c>
      <c r="D11" s="191">
        <v>212.03916666666666</v>
      </c>
      <c r="E11" s="192">
        <v>175.36583333333331</v>
      </c>
      <c r="F11" s="193">
        <v>-4.249137633258738E-3</v>
      </c>
      <c r="H11" s="194"/>
    </row>
    <row r="12" spans="1:8" ht="20" customHeight="1" thickBot="1">
      <c r="A12" s="195" t="s">
        <v>2383</v>
      </c>
      <c r="B12" s="191">
        <v>49.904166666666669</v>
      </c>
      <c r="C12" s="192">
        <v>147.70833333333334</v>
      </c>
      <c r="D12" s="191">
        <v>190.64833333333334</v>
      </c>
      <c r="E12" s="192">
        <v>156.66916666666665</v>
      </c>
      <c r="F12" s="193">
        <v>-1.4659096341069467E-3</v>
      </c>
      <c r="H12" s="194"/>
    </row>
    <row r="13" spans="1:8" ht="20" customHeight="1" thickBot="1">
      <c r="A13" s="195" t="s">
        <v>2384</v>
      </c>
      <c r="B13" s="191">
        <v>46.866666666666667</v>
      </c>
      <c r="C13" s="192">
        <v>142.19749999999999</v>
      </c>
      <c r="D13" s="191">
        <v>181.48916666666665</v>
      </c>
      <c r="E13" s="192">
        <v>151.965</v>
      </c>
      <c r="F13" s="193">
        <v>-6.7701156311784525E-3</v>
      </c>
      <c r="H13" s="194"/>
    </row>
    <row r="14" spans="1:8" ht="20" customHeight="1" thickBot="1">
      <c r="A14" s="195" t="s">
        <v>2385</v>
      </c>
      <c r="B14" s="191">
        <v>56.585833333333333</v>
      </c>
      <c r="C14" s="192">
        <v>163.51</v>
      </c>
      <c r="D14" s="191">
        <v>217.39083333333335</v>
      </c>
      <c r="E14" s="192">
        <v>181.15583333333333</v>
      </c>
      <c r="F14" s="193">
        <v>-9.1298600665480917E-3</v>
      </c>
      <c r="H14" s="194"/>
    </row>
    <row r="15" spans="1:8" ht="20" customHeight="1" thickBot="1">
      <c r="A15" s="195" t="s">
        <v>2386</v>
      </c>
      <c r="B15" s="191">
        <v>55.661666666666669</v>
      </c>
      <c r="C15" s="192">
        <v>165.60583333333332</v>
      </c>
      <c r="D15" s="191">
        <v>207.23083333333332</v>
      </c>
      <c r="E15" s="192">
        <v>174.13249999999999</v>
      </c>
      <c r="F15" s="193">
        <v>-1.4669684538124211E-2</v>
      </c>
      <c r="H15" s="194"/>
    </row>
    <row r="16" spans="1:8" ht="20" customHeight="1" thickBot="1">
      <c r="A16" s="195" t="s">
        <v>2387</v>
      </c>
      <c r="B16" s="191">
        <v>63.971666666666664</v>
      </c>
      <c r="C16" s="192">
        <v>193.71083333333334</v>
      </c>
      <c r="D16" s="191">
        <v>241.16249999999999</v>
      </c>
      <c r="E16" s="192">
        <v>196.52666666666667</v>
      </c>
      <c r="F16" s="193">
        <v>-1.0630710755728504E-2</v>
      </c>
      <c r="H16" s="194"/>
    </row>
    <row r="17" spans="1:8" ht="20" customHeight="1" thickBot="1">
      <c r="A17" s="195" t="s">
        <v>2388</v>
      </c>
      <c r="B17" s="191">
        <v>61.327500000000001</v>
      </c>
      <c r="C17" s="192">
        <v>182.3075</v>
      </c>
      <c r="D17" s="191">
        <v>237.36833333333334</v>
      </c>
      <c r="E17" s="192">
        <v>198.68666666666664</v>
      </c>
      <c r="F17" s="193">
        <v>2.7252540205906246E-3</v>
      </c>
      <c r="H17" s="194"/>
    </row>
    <row r="18" spans="1:8" ht="20" customHeight="1" thickBot="1">
      <c r="A18" s="195" t="s">
        <v>2389</v>
      </c>
      <c r="B18" s="191">
        <v>88.11333333333333</v>
      </c>
      <c r="C18" s="192">
        <v>264.41333333333336</v>
      </c>
      <c r="D18" s="191">
        <v>344.85083333333336</v>
      </c>
      <c r="E18" s="192">
        <v>298.53333333333336</v>
      </c>
      <c r="F18" s="193">
        <v>-7.0540626689023561E-3</v>
      </c>
      <c r="H18" s="194"/>
    </row>
    <row r="19" spans="1:8" ht="20" customHeight="1" thickBot="1">
      <c r="A19" s="195" t="s">
        <v>2390</v>
      </c>
      <c r="B19" s="191">
        <v>69.11666666666666</v>
      </c>
      <c r="C19" s="192">
        <v>198.64833333333334</v>
      </c>
      <c r="D19" s="191">
        <v>262.11333333333334</v>
      </c>
      <c r="E19" s="192">
        <v>221.17250000000001</v>
      </c>
      <c r="F19" s="193">
        <v>-5.2360534324822393E-3</v>
      </c>
      <c r="H19" s="194"/>
    </row>
    <row r="20" spans="1:8" ht="20" customHeight="1" thickBot="1">
      <c r="A20" s="195" t="s">
        <v>2391</v>
      </c>
      <c r="B20" s="191">
        <v>64.234999999999999</v>
      </c>
      <c r="C20" s="192">
        <v>183.48416666666665</v>
      </c>
      <c r="D20" s="191">
        <v>246.26499999999999</v>
      </c>
      <c r="E20" s="192">
        <v>206.65166666666667</v>
      </c>
      <c r="F20" s="193">
        <v>-5.3546288460073459E-3</v>
      </c>
      <c r="H20" s="194"/>
    </row>
    <row r="21" spans="1:8" ht="20" customHeight="1" thickBot="1">
      <c r="A21" s="195" t="s">
        <v>2392</v>
      </c>
      <c r="B21" s="191">
        <v>50.182499999999997</v>
      </c>
      <c r="C21" s="192">
        <v>147.98249999999999</v>
      </c>
      <c r="D21" s="191">
        <v>196.07</v>
      </c>
      <c r="E21" s="192">
        <v>161.65083333333334</v>
      </c>
      <c r="F21" s="193">
        <v>-3.9793382488856688E-3</v>
      </c>
      <c r="H21" s="194"/>
    </row>
    <row r="22" spans="1:8" ht="20" customHeight="1" thickBot="1">
      <c r="A22" s="195" t="s">
        <v>2393</v>
      </c>
      <c r="B22" s="191">
        <v>46.36</v>
      </c>
      <c r="C22" s="192">
        <v>137.39250000000001</v>
      </c>
      <c r="D22" s="191">
        <v>184.1925</v>
      </c>
      <c r="E22" s="192">
        <v>147.33166666666668</v>
      </c>
      <c r="F22" s="193">
        <v>7.3156557311666974E-3</v>
      </c>
      <c r="H22" s="194"/>
    </row>
    <row r="23" spans="1:8" ht="20" customHeight="1" thickBot="1">
      <c r="A23" s="195" t="s">
        <v>2394</v>
      </c>
      <c r="B23" s="191">
        <v>54.594166666666666</v>
      </c>
      <c r="C23" s="192">
        <v>161.25916666666666</v>
      </c>
      <c r="D23" s="191">
        <v>215.44916666666666</v>
      </c>
      <c r="E23" s="192">
        <v>176.55083333333334</v>
      </c>
      <c r="F23" s="193">
        <v>3.9996777510817464E-3</v>
      </c>
      <c r="H23" s="194"/>
    </row>
    <row r="24" spans="1:8" ht="20" customHeight="1" thickBot="1">
      <c r="A24" s="195" t="s">
        <v>2395</v>
      </c>
      <c r="B24" s="191">
        <v>57.797499999999999</v>
      </c>
      <c r="C24" s="192">
        <v>169.93</v>
      </c>
      <c r="D24" s="191">
        <v>219.9075</v>
      </c>
      <c r="E24" s="192">
        <v>185.36916666666664</v>
      </c>
      <c r="F24" s="193">
        <v>5.3693701837244021E-3</v>
      </c>
      <c r="H24" s="194"/>
    </row>
    <row r="25" spans="1:8" ht="20" customHeight="1" thickBot="1">
      <c r="A25" s="195" t="s">
        <v>2396</v>
      </c>
      <c r="B25" s="191">
        <v>61.458333333333336</v>
      </c>
      <c r="C25" s="192">
        <v>181.88083333333336</v>
      </c>
      <c r="D25" s="191">
        <v>233.32</v>
      </c>
      <c r="E25" s="192">
        <v>194.30250000000001</v>
      </c>
      <c r="F25" s="193">
        <v>4.0694519804667486E-3</v>
      </c>
      <c r="H25" s="194"/>
    </row>
    <row r="26" spans="1:8" ht="20" customHeight="1" thickBot="1">
      <c r="A26" s="195" t="s">
        <v>2397</v>
      </c>
      <c r="B26" s="191">
        <v>61.311666666666667</v>
      </c>
      <c r="C26" s="192">
        <v>176.12583333333336</v>
      </c>
      <c r="D26" s="191">
        <v>233.18416666666667</v>
      </c>
      <c r="E26" s="192">
        <v>191.53833333333333</v>
      </c>
      <c r="F26" s="193">
        <v>-7.3633886271275793E-3</v>
      </c>
      <c r="H26" s="194"/>
    </row>
    <row r="27" spans="1:8" ht="20" customHeight="1" thickBot="1">
      <c r="A27" s="195" t="s">
        <v>2398</v>
      </c>
      <c r="B27" s="191">
        <v>79.194999999999993</v>
      </c>
      <c r="C27" s="192">
        <v>238.27166666666668</v>
      </c>
      <c r="D27" s="191">
        <v>308.56083333333333</v>
      </c>
      <c r="E27" s="192">
        <v>262.46583333333336</v>
      </c>
      <c r="F27" s="193">
        <v>-1.2107183072526945E-2</v>
      </c>
      <c r="H27" s="194"/>
    </row>
    <row r="28" spans="1:8" ht="20" customHeight="1" thickBot="1">
      <c r="A28" s="195" t="s">
        <v>2399</v>
      </c>
      <c r="B28" s="191">
        <v>78.568333333333342</v>
      </c>
      <c r="C28" s="192">
        <v>241.32833333333335</v>
      </c>
      <c r="D28" s="191">
        <v>302.71749999999997</v>
      </c>
      <c r="E28" s="192">
        <v>249.61666666666667</v>
      </c>
      <c r="F28" s="193">
        <v>-2.7773720613962466E-2</v>
      </c>
      <c r="H28" s="194"/>
    </row>
    <row r="29" spans="1:8" ht="20" customHeight="1" thickBot="1">
      <c r="A29" s="195" t="s">
        <v>2400</v>
      </c>
      <c r="B29" s="191">
        <v>60.327500000000001</v>
      </c>
      <c r="C29" s="192">
        <v>187.50749999999999</v>
      </c>
      <c r="D29" s="191">
        <v>227.5675</v>
      </c>
      <c r="E29" s="192">
        <v>190.30083333333334</v>
      </c>
      <c r="F29" s="193">
        <v>-2.6858710083153708E-3</v>
      </c>
      <c r="H29" s="194"/>
    </row>
    <row r="30" spans="1:8" ht="20" customHeight="1" thickBot="1">
      <c r="A30" s="195" t="s">
        <v>2401</v>
      </c>
      <c r="B30" s="191">
        <v>76.037499999999994</v>
      </c>
      <c r="C30" s="192">
        <v>231.94333333333336</v>
      </c>
      <c r="D30" s="191">
        <v>300.24833333333333</v>
      </c>
      <c r="E30" s="192">
        <v>247.64</v>
      </c>
      <c r="F30" s="193">
        <v>-2.2203503599678865E-2</v>
      </c>
      <c r="H30" s="194"/>
    </row>
    <row r="31" spans="1:8" ht="20" customHeight="1" thickBot="1">
      <c r="A31" s="195" t="s">
        <v>2402</v>
      </c>
      <c r="B31" s="191">
        <v>91.296666666666667</v>
      </c>
      <c r="C31" s="192">
        <v>290.05916666666667</v>
      </c>
      <c r="D31" s="191">
        <v>358.25166666666672</v>
      </c>
      <c r="E31" s="192">
        <v>296.36</v>
      </c>
      <c r="F31" s="193">
        <v>-2.3627408452715028E-2</v>
      </c>
      <c r="H31" s="194"/>
    </row>
    <row r="32" spans="1:8" ht="20" customHeight="1" thickBot="1">
      <c r="A32" s="196" t="s">
        <v>2403</v>
      </c>
      <c r="B32" s="191">
        <v>70.534166666666664</v>
      </c>
      <c r="C32" s="192">
        <v>208.82</v>
      </c>
      <c r="D32" s="191">
        <v>272.78750000000002</v>
      </c>
      <c r="E32" s="192">
        <v>222.60833333333335</v>
      </c>
      <c r="F32" s="193">
        <v>-2.4752655981891764E-2</v>
      </c>
      <c r="H32" s="194"/>
    </row>
    <row r="33" spans="1:8" ht="30" customHeight="1" thickBot="1">
      <c r="A33" s="197" t="s">
        <v>2404</v>
      </c>
      <c r="B33" s="198">
        <v>67.139166666666668</v>
      </c>
      <c r="C33" s="199">
        <v>199.23083333333332</v>
      </c>
      <c r="D33" s="198">
        <v>259.42583333333334</v>
      </c>
      <c r="E33" s="199">
        <v>216.36916666666664</v>
      </c>
      <c r="F33" s="200">
        <v>-1.0133396365244655E-2</v>
      </c>
      <c r="H33" s="194"/>
    </row>
    <row r="34" spans="1:8" ht="20" customHeight="1">
      <c r="A34" s="201" t="s">
        <v>399</v>
      </c>
      <c r="B34" s="201"/>
      <c r="C34" s="201"/>
      <c r="D34" s="201"/>
      <c r="E34" s="201"/>
      <c r="F34" s="201"/>
      <c r="H34" s="189"/>
    </row>
    <row r="35" spans="1:8" ht="13.5" customHeight="1">
      <c r="A35" s="202"/>
      <c r="B35" s="202"/>
      <c r="C35" s="202"/>
      <c r="D35" s="202"/>
      <c r="E35" s="202"/>
      <c r="F35" s="202"/>
      <c r="H35" s="189"/>
    </row>
    <row r="36" spans="1:8" ht="11.25" customHeight="1">
      <c r="A36" s="202" t="s">
        <v>1463</v>
      </c>
      <c r="B36" s="202"/>
      <c r="C36" s="202"/>
      <c r="D36" s="202"/>
      <c r="E36" s="202"/>
      <c r="F36" s="202"/>
      <c r="H36" s="189"/>
    </row>
    <row r="37" spans="1:8" ht="11.25" customHeight="1">
      <c r="A37" s="202"/>
      <c r="B37" s="202"/>
      <c r="C37" s="202"/>
      <c r="D37" s="202"/>
      <c r="E37" s="202"/>
      <c r="F37" s="202"/>
      <c r="H37" s="189"/>
    </row>
    <row r="38" spans="1:8" ht="13.5" customHeight="1">
      <c r="A38" s="202" t="s">
        <v>853</v>
      </c>
      <c r="B38" s="202"/>
      <c r="C38" s="202"/>
      <c r="D38" s="202"/>
      <c r="E38" s="202"/>
      <c r="F38" s="202"/>
      <c r="H38" s="189"/>
    </row>
    <row r="39" spans="1:8" ht="13.5" customHeight="1">
      <c r="A39" s="202"/>
      <c r="B39" s="202"/>
      <c r="C39" s="202"/>
      <c r="D39" s="202"/>
      <c r="E39" s="202"/>
      <c r="F39" s="202"/>
      <c r="H39" s="189"/>
    </row>
    <row r="40" spans="1:8" ht="15.75" customHeight="1"/>
    <row r="41" spans="1:8" ht="12" customHeight="1">
      <c r="A41" s="202" t="s">
        <v>711</v>
      </c>
    </row>
  </sheetData>
  <mergeCells count="1">
    <mergeCell ref="A2:E2"/>
  </mergeCells>
  <phoneticPr fontId="0" type="noConversion"/>
  <pageMargins left="0.65" right="0.5" top="0.87" bottom="0.49" header="0.51" footer="0.4921259845"/>
  <pageSetup paperSize="9" scale="83" orientation="portrait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02AB-77F1-6B48-9651-D082C727C3C4}">
  <sheetPr>
    <pageSetUpPr fitToPage="1"/>
  </sheetPr>
  <dimension ref="A1:B15"/>
  <sheetViews>
    <sheetView workbookViewId="0">
      <selection activeCell="H15" sqref="H15"/>
    </sheetView>
  </sheetViews>
  <sheetFormatPr baseColWidth="10" defaultColWidth="11.3984375" defaultRowHeight="13"/>
  <cols>
    <col min="1" max="1" width="5.59765625" style="1085" customWidth="1"/>
    <col min="2" max="16384" width="11.3984375" style="1085"/>
  </cols>
  <sheetData>
    <row r="1" spans="1:2" ht="16">
      <c r="A1" s="1084" t="s">
        <v>1875</v>
      </c>
    </row>
    <row r="2" spans="1:2" ht="16">
      <c r="A2" s="1084"/>
    </row>
    <row r="3" spans="1:2">
      <c r="A3" s="1085">
        <v>4.01</v>
      </c>
      <c r="B3" s="1086" t="s">
        <v>1876</v>
      </c>
    </row>
    <row r="4" spans="1:2">
      <c r="A4" s="1085">
        <v>4.0199999999999996</v>
      </c>
      <c r="B4" s="1086" t="s">
        <v>1877</v>
      </c>
    </row>
    <row r="5" spans="1:2">
      <c r="A5" s="1085">
        <v>4.03</v>
      </c>
      <c r="B5" s="1086" t="s">
        <v>1878</v>
      </c>
    </row>
    <row r="6" spans="1:2">
      <c r="A6" s="1085">
        <v>4.04</v>
      </c>
      <c r="B6" s="1086" t="s">
        <v>1879</v>
      </c>
    </row>
    <row r="7" spans="1:2">
      <c r="A7" s="1085">
        <v>4.05</v>
      </c>
      <c r="B7" s="1086" t="s">
        <v>1880</v>
      </c>
    </row>
    <row r="8" spans="1:2">
      <c r="A8" s="1085">
        <v>4.0599999999999996</v>
      </c>
      <c r="B8" s="1087" t="s">
        <v>1881</v>
      </c>
    </row>
    <row r="9" spans="1:2">
      <c r="A9" s="1085">
        <v>4.07</v>
      </c>
      <c r="B9" s="1086" t="s">
        <v>1882</v>
      </c>
    </row>
    <row r="10" spans="1:2">
      <c r="A10" s="1085">
        <v>4.08</v>
      </c>
      <c r="B10" s="1086" t="s">
        <v>1883</v>
      </c>
    </row>
    <row r="11" spans="1:2">
      <c r="A11" s="1088">
        <v>4.09</v>
      </c>
      <c r="B11" s="1086" t="s">
        <v>1884</v>
      </c>
    </row>
    <row r="12" spans="1:2">
      <c r="A12" s="1301">
        <v>4.0999999999999996</v>
      </c>
      <c r="B12" s="776" t="s">
        <v>1840</v>
      </c>
    </row>
    <row r="15" spans="1:2">
      <c r="A15" s="1089" t="s">
        <v>711</v>
      </c>
    </row>
  </sheetData>
  <phoneticPr fontId="30" type="noConversion"/>
  <pageMargins left="0.46" right="0.35" top="0.78" bottom="0.984251969" header="0.38" footer="0.4921259845"/>
  <pageSetup paperSize="9" orientation="portrait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4888-3B53-4349-8FA4-DAA4CDA16312}">
  <sheetPr>
    <pageSetUpPr fitToPage="1"/>
  </sheetPr>
  <dimension ref="A1:H42"/>
  <sheetViews>
    <sheetView zoomScale="75" workbookViewId="0">
      <selection activeCell="A26" sqref="A26"/>
    </sheetView>
  </sheetViews>
  <sheetFormatPr baseColWidth="10" defaultColWidth="11.3984375" defaultRowHeight="13"/>
  <cols>
    <col min="1" max="1" width="16.796875" style="2" customWidth="1"/>
    <col min="2" max="2" width="12.796875" style="2" customWidth="1"/>
    <col min="3" max="3" width="11.3984375" style="2"/>
    <col min="4" max="4" width="11.796875" style="2" customWidth="1"/>
    <col min="5" max="5" width="12.796875" style="2" customWidth="1"/>
    <col min="6" max="6" width="11.3984375" style="2"/>
    <col min="7" max="7" width="12.796875" style="2" customWidth="1"/>
    <col min="8" max="8" width="13.19921875" style="2" customWidth="1"/>
    <col min="9" max="16384" width="11.3984375" style="2"/>
  </cols>
  <sheetData>
    <row r="1" spans="1:8" s="1" customFormat="1" ht="14" customHeight="1"/>
    <row r="2" spans="1:8" s="1" customFormat="1" ht="37.5" customHeight="1">
      <c r="A2" s="2017" t="s">
        <v>1899</v>
      </c>
      <c r="B2" s="2021"/>
      <c r="C2" s="2021"/>
      <c r="D2" s="2021"/>
      <c r="E2" s="2021"/>
      <c r="F2" s="2021"/>
      <c r="G2" s="2021"/>
      <c r="H2" s="428"/>
    </row>
    <row r="3" spans="1:8" ht="24" customHeight="1">
      <c r="A3" s="178" t="s">
        <v>821</v>
      </c>
      <c r="B3" s="179" t="s">
        <v>879</v>
      </c>
      <c r="C3" s="180" t="s">
        <v>2372</v>
      </c>
      <c r="D3" s="179" t="s">
        <v>1885</v>
      </c>
      <c r="E3" s="180" t="s">
        <v>1886</v>
      </c>
      <c r="F3" s="179" t="s">
        <v>2372</v>
      </c>
      <c r="G3" s="180" t="s">
        <v>1887</v>
      </c>
      <c r="H3" s="179" t="s">
        <v>1887</v>
      </c>
    </row>
    <row r="4" spans="1:8" ht="15" customHeight="1">
      <c r="A4" s="274"/>
      <c r="B4" s="182" t="s">
        <v>1885</v>
      </c>
      <c r="C4" s="183" t="s">
        <v>2373</v>
      </c>
      <c r="D4" s="182" t="s">
        <v>1888</v>
      </c>
      <c r="E4" s="183" t="s">
        <v>1889</v>
      </c>
      <c r="F4" s="182" t="s">
        <v>2373</v>
      </c>
      <c r="G4" s="183" t="s">
        <v>1890</v>
      </c>
      <c r="H4" s="182" t="s">
        <v>1891</v>
      </c>
    </row>
    <row r="5" spans="1:8" ht="15" customHeight="1">
      <c r="A5" s="274"/>
      <c r="B5" s="182" t="s">
        <v>1892</v>
      </c>
      <c r="C5" s="183" t="s">
        <v>2377</v>
      </c>
      <c r="D5" s="182" t="s">
        <v>110</v>
      </c>
      <c r="E5" s="183" t="s">
        <v>1893</v>
      </c>
      <c r="F5" s="182" t="s">
        <v>2377</v>
      </c>
      <c r="G5" s="920" t="s">
        <v>768</v>
      </c>
      <c r="H5" s="436" t="s">
        <v>768</v>
      </c>
    </row>
    <row r="6" spans="1:8" ht="15" customHeight="1">
      <c r="A6" s="275"/>
      <c r="B6" s="188"/>
      <c r="C6" s="187"/>
      <c r="D6" s="188"/>
      <c r="E6" s="183"/>
      <c r="F6" s="188"/>
      <c r="G6" s="187"/>
      <c r="H6" s="188"/>
    </row>
    <row r="7" spans="1:8" ht="1.5" customHeight="1" thickBot="1">
      <c r="A7" s="565">
        <v>1996</v>
      </c>
      <c r="B7" s="381">
        <v>1656431</v>
      </c>
      <c r="C7" s="439" t="s">
        <v>1301</v>
      </c>
      <c r="D7" s="566">
        <v>0.23300000000000001</v>
      </c>
      <c r="E7" s="382">
        <v>821972</v>
      </c>
      <c r="F7" s="566" t="s">
        <v>1301</v>
      </c>
      <c r="G7" s="382">
        <v>1508.6632014229194</v>
      </c>
      <c r="H7" s="381">
        <v>901.63486133741753</v>
      </c>
    </row>
    <row r="8" spans="1:8" ht="22.5" hidden="1" customHeight="1" thickBot="1">
      <c r="A8" s="565">
        <v>1997</v>
      </c>
      <c r="B8" s="213">
        <v>1955994</v>
      </c>
      <c r="C8" s="214">
        <v>0.1808484627491275</v>
      </c>
      <c r="D8" s="556">
        <v>0.27500000000000002</v>
      </c>
      <c r="E8" s="263">
        <v>988940</v>
      </c>
      <c r="F8" s="556">
        <v>0.203131006895612</v>
      </c>
      <c r="G8" s="263">
        <v>2016.5343367646167</v>
      </c>
      <c r="H8" s="213">
        <v>1019.5488672255641</v>
      </c>
    </row>
    <row r="9" spans="1:8" ht="22.5" customHeight="1" thickBot="1">
      <c r="A9" s="565">
        <v>1998</v>
      </c>
      <c r="B9" s="213">
        <v>2240522</v>
      </c>
      <c r="C9" s="214">
        <v>0.14546465888954668</v>
      </c>
      <c r="D9" s="556">
        <v>0.314</v>
      </c>
      <c r="E9" s="263">
        <v>1178551</v>
      </c>
      <c r="F9" s="556">
        <v>0.19173155095354621</v>
      </c>
      <c r="G9" s="263">
        <v>2075.8295126812504</v>
      </c>
      <c r="H9" s="213">
        <v>1091.9200739827595</v>
      </c>
    </row>
    <row r="10" spans="1:8" ht="22.5" customHeight="1" thickBot="1">
      <c r="A10" s="565">
        <v>1999</v>
      </c>
      <c r="B10" s="213">
        <v>2334267</v>
      </c>
      <c r="C10" s="214">
        <v>4.1840696052080718E-2</v>
      </c>
      <c r="D10" s="556">
        <v>0.32570843248350928</v>
      </c>
      <c r="E10" s="263">
        <v>1230090</v>
      </c>
      <c r="F10" s="556">
        <v>4.3730818606916459E-2</v>
      </c>
      <c r="G10" s="263">
        <v>2186.5653545675523</v>
      </c>
      <c r="H10" s="213">
        <v>1152.2555804455958</v>
      </c>
    </row>
    <row r="11" spans="1:8" ht="22.5" customHeight="1" thickBot="1">
      <c r="A11" s="565">
        <v>2000</v>
      </c>
      <c r="B11" s="213">
        <v>2337717</v>
      </c>
      <c r="C11" s="214">
        <v>1.4779800254212565E-3</v>
      </c>
      <c r="D11" s="556">
        <v>0.32427568045795824</v>
      </c>
      <c r="E11" s="263">
        <v>1242695</v>
      </c>
      <c r="F11" s="556">
        <v>1.0247217683258949E-2</v>
      </c>
      <c r="G11" s="263">
        <v>2048</v>
      </c>
      <c r="H11" s="213">
        <v>1088.8085894058177</v>
      </c>
    </row>
    <row r="12" spans="1:8" s="354" customFormat="1" ht="22.5" customHeight="1" thickBot="1">
      <c r="A12" s="1090">
        <v>2001</v>
      </c>
      <c r="B12" s="384">
        <v>2376421</v>
      </c>
      <c r="C12" s="1091">
        <v>1.6556323969068969E-2</v>
      </c>
      <c r="D12" s="750">
        <v>0.32731543251630535</v>
      </c>
      <c r="E12" s="385">
        <v>1268943</v>
      </c>
      <c r="F12" s="750">
        <v>2.1121836009640339E-2</v>
      </c>
      <c r="G12" s="385">
        <v>2094.0647990098846</v>
      </c>
      <c r="H12" s="384">
        <v>1118.1520446082575</v>
      </c>
    </row>
    <row r="13" spans="1:8" s="354" customFormat="1" ht="22.5" customHeight="1" thickBot="1">
      <c r="A13" s="1090">
        <v>2002</v>
      </c>
      <c r="B13" s="384">
        <v>2433822</v>
      </c>
      <c r="C13" s="1091">
        <v>2.415439015224996E-2</v>
      </c>
      <c r="D13" s="750">
        <v>0.33123274136234532</v>
      </c>
      <c r="E13" s="385">
        <v>1289405</v>
      </c>
      <c r="F13" s="750">
        <v>1.6125231787401009E-2</v>
      </c>
      <c r="G13" s="385">
        <v>2242.922441746387</v>
      </c>
      <c r="H13" s="384">
        <v>1188.2690726766377</v>
      </c>
    </row>
    <row r="14" spans="1:8" s="354" customFormat="1" ht="22.5" customHeight="1" thickBot="1">
      <c r="A14" s="1090">
        <v>2003</v>
      </c>
      <c r="B14" s="384">
        <v>2427518.2400000002</v>
      </c>
      <c r="C14" s="1091">
        <v>-2.5900661593164071E-3</v>
      </c>
      <c r="D14" s="750">
        <v>0.32781924661963846</v>
      </c>
      <c r="E14" s="385">
        <v>1287365.05</v>
      </c>
      <c r="F14" s="750">
        <v>-1.5820863111279649E-3</v>
      </c>
      <c r="G14" s="385">
        <v>2381.2207531966164</v>
      </c>
      <c r="H14" s="384">
        <v>1262.8124985787954</v>
      </c>
    </row>
    <row r="15" spans="1:8" s="354" customFormat="1" ht="22.5" customHeight="1" thickBot="1">
      <c r="A15" s="1090">
        <v>2004</v>
      </c>
      <c r="B15" s="384">
        <v>2361377</v>
      </c>
      <c r="C15" s="1091">
        <v>-2.7246444088510832E-2</v>
      </c>
      <c r="D15" s="750">
        <v>0.31678850545846371</v>
      </c>
      <c r="E15" s="385">
        <v>1245875</v>
      </c>
      <c r="F15" s="750">
        <v>-3.2228659617565387E-2</v>
      </c>
      <c r="G15" s="385">
        <v>2544.2606213303907</v>
      </c>
      <c r="H15" s="384">
        <v>1342.3653663095729</v>
      </c>
    </row>
    <row r="16" spans="1:8" s="354" customFormat="1" ht="22.5" customHeight="1" thickBot="1">
      <c r="A16" s="1090">
        <v>2005</v>
      </c>
      <c r="B16" s="384">
        <v>2262160</v>
      </c>
      <c r="C16" s="1091">
        <v>-4.2016586085152907E-2</v>
      </c>
      <c r="D16" s="750">
        <v>0.30157087047434061</v>
      </c>
      <c r="E16" s="385">
        <v>1215989</v>
      </c>
      <c r="F16" s="750">
        <v>-2.3987960268887276E-2</v>
      </c>
      <c r="G16" s="385">
        <v>2633.0518524427443</v>
      </c>
      <c r="H16" s="384">
        <v>1415.3561591576192</v>
      </c>
    </row>
    <row r="17" spans="1:8" s="354" customFormat="1" ht="22.5" customHeight="1" thickBot="1">
      <c r="A17" s="1090">
        <v>2006</v>
      </c>
      <c r="B17" s="384">
        <v>2178397</v>
      </c>
      <c r="C17" s="1091">
        <v>-3.7027884853414461E-2</v>
      </c>
      <c r="D17" s="750">
        <v>0.28823891259788642</v>
      </c>
      <c r="E17" s="385">
        <v>1182675</v>
      </c>
      <c r="F17" s="750">
        <v>-2.7396629410298967E-2</v>
      </c>
      <c r="G17" s="385">
        <v>2797.6739949690323</v>
      </c>
      <c r="H17" s="384">
        <v>1518.8870954192464</v>
      </c>
    </row>
    <row r="18" spans="1:8" s="354" customFormat="1" ht="22.5" customHeight="1" thickBot="1">
      <c r="A18" s="1090">
        <v>2007</v>
      </c>
      <c r="B18" s="384">
        <v>2271950</v>
      </c>
      <c r="C18" s="1091">
        <v>4.2945799135786444E-2</v>
      </c>
      <c r="D18" s="750">
        <v>0.29821099653623978</v>
      </c>
      <c r="E18" s="385">
        <v>1225436</v>
      </c>
      <c r="F18" s="750">
        <v>3.6156171391126035E-2</v>
      </c>
      <c r="G18" s="385">
        <v>2791.2678099876289</v>
      </c>
      <c r="H18" s="384">
        <v>1505.5437223530448</v>
      </c>
    </row>
    <row r="19" spans="1:8" ht="27.75" customHeight="1" thickBot="1">
      <c r="A19" s="429">
        <v>2008</v>
      </c>
      <c r="B19" s="430">
        <v>2249481</v>
      </c>
      <c r="C19" s="1092">
        <v>-9.8897422918637901E-3</v>
      </c>
      <c r="D19" s="557">
        <v>0.29587268909574649</v>
      </c>
      <c r="E19" s="431">
        <v>1211669.9745008873</v>
      </c>
      <c r="F19" s="1093">
        <v>-1.1233573600834879E-2</v>
      </c>
      <c r="G19" s="431">
        <v>2804.603564101531</v>
      </c>
      <c r="H19" s="258">
        <v>1510.6835438930136</v>
      </c>
    </row>
    <row r="20" spans="1:8" ht="16.5" customHeight="1">
      <c r="A20" s="1094" t="s">
        <v>235</v>
      </c>
      <c r="B20" s="201"/>
      <c r="C20" s="201"/>
      <c r="D20" s="201"/>
      <c r="E20" s="201"/>
      <c r="F20" s="201"/>
      <c r="G20" s="201"/>
      <c r="H20" s="201"/>
    </row>
    <row r="21" spans="1:8" ht="10.5" customHeight="1">
      <c r="A21" s="1095"/>
      <c r="B21" s="202"/>
      <c r="C21" s="202"/>
      <c r="D21" s="202"/>
      <c r="E21" s="202"/>
      <c r="F21" s="202"/>
      <c r="G21" s="202"/>
      <c r="H21" s="202"/>
    </row>
    <row r="22" spans="1:8" ht="16.5" customHeight="1">
      <c r="A22" s="1095" t="s">
        <v>1894</v>
      </c>
      <c r="B22" s="202"/>
      <c r="C22" s="202"/>
      <c r="D22" s="202"/>
      <c r="E22" s="202"/>
      <c r="F22" s="202"/>
      <c r="G22" s="202"/>
      <c r="H22" s="202"/>
    </row>
    <row r="23" spans="1:8" ht="12.75" customHeight="1">
      <c r="A23" s="1095"/>
      <c r="B23" s="202"/>
      <c r="C23" s="202"/>
      <c r="D23" s="202"/>
      <c r="E23" s="202"/>
      <c r="F23" s="202"/>
      <c r="G23" s="202"/>
      <c r="H23" s="202"/>
    </row>
    <row r="24" spans="1:8" ht="12.75" customHeight="1">
      <c r="A24" s="2" t="s">
        <v>1895</v>
      </c>
      <c r="B24" s="202"/>
      <c r="C24" s="202"/>
      <c r="D24" s="202"/>
      <c r="E24" s="202"/>
      <c r="F24" s="202"/>
      <c r="G24" s="202"/>
      <c r="H24" s="202"/>
    </row>
    <row r="25" spans="1:8" ht="12.75" customHeight="1">
      <c r="A25" s="2" t="s">
        <v>1896</v>
      </c>
      <c r="B25" s="202"/>
      <c r="C25" s="202"/>
      <c r="D25" s="202"/>
      <c r="E25" s="202"/>
      <c r="F25" s="202"/>
      <c r="G25" s="202"/>
      <c r="H25" s="202"/>
    </row>
    <row r="26" spans="1:8" ht="15" customHeight="1">
      <c r="A26" s="1096" t="s">
        <v>1897</v>
      </c>
    </row>
    <row r="27" spans="1:8" ht="15" customHeight="1">
      <c r="A27" s="2" t="s">
        <v>1898</v>
      </c>
    </row>
    <row r="28" spans="1:8" ht="15" customHeight="1"/>
    <row r="29" spans="1:8" ht="15" customHeight="1">
      <c r="A29" s="1097"/>
    </row>
    <row r="30" spans="1:8" ht="15" customHeight="1">
      <c r="A30" s="255" t="s">
        <v>711</v>
      </c>
    </row>
    <row r="31" spans="1:8" ht="30" customHeight="1"/>
    <row r="32" spans="1:8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</sheetData>
  <mergeCells count="1">
    <mergeCell ref="A2:G2"/>
  </mergeCells>
  <phoneticPr fontId="0" type="noConversion"/>
  <pageMargins left="0.57999999999999996" right="0.66" top="0.83" bottom="0.76" header="0.47" footer="0.47"/>
  <pageSetup paperSize="9" scale="86" orientation="portrait" horizontalDpi="4294967292" verticalDpi="4294967292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4A89-E432-7D4E-A9C2-08C880C2AD96}">
  <sheetPr>
    <pageSetUpPr fitToPage="1"/>
  </sheetPr>
  <dimension ref="A1:J44"/>
  <sheetViews>
    <sheetView zoomScale="75" workbookViewId="0">
      <selection activeCell="J2" sqref="J2:J34"/>
    </sheetView>
  </sheetViews>
  <sheetFormatPr baseColWidth="10" defaultColWidth="11.3984375" defaultRowHeight="13"/>
  <cols>
    <col min="1" max="3" width="13.19921875" style="2" customWidth="1"/>
    <col min="4" max="4" width="13.796875" style="2" customWidth="1"/>
    <col min="5" max="5" width="13.19921875" style="92" customWidth="1"/>
    <col min="6" max="7" width="14" style="225" customWidth="1"/>
    <col min="8" max="8" width="16.796875" style="2" customWidth="1"/>
    <col min="9" max="9" width="16.796875" style="266" customWidth="1"/>
    <col min="10" max="10" width="17" style="2" customWidth="1"/>
    <col min="11" max="16384" width="11.3984375" style="2"/>
  </cols>
  <sheetData>
    <row r="1" spans="1:10" s="1" customFormat="1" ht="14" customHeight="1">
      <c r="E1" s="227"/>
      <c r="F1" s="205"/>
      <c r="G1" s="205"/>
      <c r="I1" s="1098"/>
    </row>
    <row r="2" spans="1:10" s="1" customFormat="1" ht="28" customHeight="1">
      <c r="A2" s="177" t="s">
        <v>1900</v>
      </c>
      <c r="E2" s="227"/>
      <c r="F2" s="205"/>
      <c r="G2" s="428"/>
      <c r="H2" s="428">
        <v>2008</v>
      </c>
      <c r="I2" s="548"/>
      <c r="J2" s="548"/>
    </row>
    <row r="3" spans="1:10" ht="24" customHeight="1">
      <c r="A3" s="178" t="s">
        <v>2368</v>
      </c>
      <c r="B3" s="2026" t="s">
        <v>1916</v>
      </c>
      <c r="C3" s="2027"/>
      <c r="D3" s="2027"/>
      <c r="E3" s="228"/>
      <c r="F3" s="179"/>
      <c r="G3" s="1099"/>
      <c r="H3" s="179" t="s">
        <v>1901</v>
      </c>
      <c r="I3" s="550"/>
      <c r="J3" s="1179"/>
    </row>
    <row r="4" spans="1:10" ht="15" customHeight="1">
      <c r="A4" s="274"/>
      <c r="B4" s="182" t="s">
        <v>1902</v>
      </c>
      <c r="C4" s="245" t="s">
        <v>1903</v>
      </c>
      <c r="D4" s="209" t="s">
        <v>164</v>
      </c>
      <c r="E4" s="243" t="s">
        <v>2372</v>
      </c>
      <c r="F4" s="209" t="s">
        <v>1901</v>
      </c>
      <c r="G4" s="245" t="s">
        <v>1901</v>
      </c>
      <c r="H4" s="209" t="s">
        <v>1904</v>
      </c>
      <c r="I4" s="1100"/>
      <c r="J4" s="1100"/>
    </row>
    <row r="5" spans="1:10" ht="15" customHeight="1">
      <c r="A5" s="274"/>
      <c r="B5" s="182" t="s">
        <v>2232</v>
      </c>
      <c r="C5" s="183" t="s">
        <v>2232</v>
      </c>
      <c r="D5" s="182" t="s">
        <v>2232</v>
      </c>
      <c r="E5" s="181" t="s">
        <v>2373</v>
      </c>
      <c r="F5" s="209" t="s">
        <v>1905</v>
      </c>
      <c r="G5" s="245" t="s">
        <v>1906</v>
      </c>
      <c r="H5" s="209" t="s">
        <v>1907</v>
      </c>
      <c r="I5" s="1100"/>
      <c r="J5" s="1100"/>
    </row>
    <row r="6" spans="1:10" ht="15" customHeight="1">
      <c r="A6" s="274"/>
      <c r="B6" s="182"/>
      <c r="C6" s="183"/>
      <c r="D6" s="182"/>
      <c r="E6" s="181" t="s">
        <v>2377</v>
      </c>
      <c r="F6" s="209" t="s">
        <v>1908</v>
      </c>
      <c r="G6" s="245" t="s">
        <v>1909</v>
      </c>
      <c r="H6" s="209" t="s">
        <v>1910</v>
      </c>
      <c r="I6" s="1100"/>
      <c r="J6" s="1100"/>
    </row>
    <row r="7" spans="1:10" ht="15.75" customHeight="1">
      <c r="A7" s="275"/>
      <c r="B7" s="188"/>
      <c r="C7" s="187"/>
      <c r="D7" s="188"/>
      <c r="E7" s="185"/>
      <c r="F7" s="209" t="s">
        <v>1909</v>
      </c>
      <c r="G7" s="248"/>
      <c r="H7" s="209" t="s">
        <v>1911</v>
      </c>
      <c r="I7" s="1100"/>
      <c r="J7" s="608"/>
    </row>
    <row r="8" spans="1:10" ht="30" customHeight="1" thickBot="1">
      <c r="A8" s="884" t="s">
        <v>2378</v>
      </c>
      <c r="B8" s="191">
        <v>180975</v>
      </c>
      <c r="C8" s="192">
        <v>214228</v>
      </c>
      <c r="D8" s="191">
        <v>395203</v>
      </c>
      <c r="E8" s="229">
        <v>2.3956036553294795E-2</v>
      </c>
      <c r="F8" s="381">
        <v>47859</v>
      </c>
      <c r="G8" s="382">
        <v>43642</v>
      </c>
      <c r="H8" s="381">
        <v>91501</v>
      </c>
      <c r="I8" s="1100"/>
      <c r="J8" s="1100"/>
    </row>
    <row r="9" spans="1:10" ht="20" customHeight="1" thickBot="1">
      <c r="A9" s="896" t="s">
        <v>2379</v>
      </c>
      <c r="B9" s="191">
        <v>136680</v>
      </c>
      <c r="C9" s="192">
        <v>154009</v>
      </c>
      <c r="D9" s="191">
        <v>290689</v>
      </c>
      <c r="E9" s="229">
        <v>-9.9392756451962702E-2</v>
      </c>
      <c r="F9" s="381">
        <v>42623</v>
      </c>
      <c r="G9" s="382">
        <v>35703</v>
      </c>
      <c r="H9" s="381">
        <v>35703</v>
      </c>
      <c r="I9" s="1100"/>
      <c r="J9" s="1100"/>
    </row>
    <row r="10" spans="1:10" ht="20" customHeight="1" thickBot="1">
      <c r="A10" s="896" t="s">
        <v>2380</v>
      </c>
      <c r="B10" s="191">
        <v>65200</v>
      </c>
      <c r="C10" s="192">
        <v>70592</v>
      </c>
      <c r="D10" s="191">
        <v>135792</v>
      </c>
      <c r="E10" s="229">
        <v>-8.8528067337445712E-2</v>
      </c>
      <c r="F10" s="381">
        <v>16775</v>
      </c>
      <c r="G10" s="382">
        <v>9244</v>
      </c>
      <c r="H10" s="381">
        <v>26019</v>
      </c>
      <c r="I10" s="1100"/>
      <c r="J10" s="1100"/>
    </row>
    <row r="11" spans="1:10" ht="20" customHeight="1" thickBot="1">
      <c r="A11" s="896" t="s">
        <v>2381</v>
      </c>
      <c r="B11" s="191">
        <v>7071</v>
      </c>
      <c r="C11" s="192">
        <v>7403</v>
      </c>
      <c r="D11" s="191">
        <v>14474</v>
      </c>
      <c r="E11" s="229">
        <v>-5.7866302154527108E-2</v>
      </c>
      <c r="F11" s="381">
        <v>1110</v>
      </c>
      <c r="G11" s="382">
        <v>297</v>
      </c>
      <c r="H11" s="381">
        <v>2176</v>
      </c>
      <c r="I11" s="1100"/>
      <c r="J11" s="1100"/>
    </row>
    <row r="12" spans="1:10" ht="20" customHeight="1" thickBot="1">
      <c r="A12" s="896" t="s">
        <v>2382</v>
      </c>
      <c r="B12" s="191">
        <v>17874</v>
      </c>
      <c r="C12" s="192">
        <v>19519</v>
      </c>
      <c r="D12" s="191">
        <v>37393</v>
      </c>
      <c r="E12" s="229">
        <v>0.13089369423862091</v>
      </c>
      <c r="F12" s="381">
        <v>3658</v>
      </c>
      <c r="G12" s="382">
        <v>1664</v>
      </c>
      <c r="H12" s="381">
        <v>6068</v>
      </c>
      <c r="I12" s="1100"/>
      <c r="J12" s="1100"/>
    </row>
    <row r="13" spans="1:10" ht="20" customHeight="1" thickBot="1">
      <c r="A13" s="896" t="s">
        <v>2383</v>
      </c>
      <c r="B13" s="191">
        <v>7385</v>
      </c>
      <c r="C13" s="192">
        <v>7981</v>
      </c>
      <c r="D13" s="191">
        <v>15366</v>
      </c>
      <c r="E13" s="229">
        <v>-0.20271882945052663</v>
      </c>
      <c r="F13" s="381">
        <v>1028</v>
      </c>
      <c r="G13" s="382">
        <v>369</v>
      </c>
      <c r="H13" s="381">
        <v>1354</v>
      </c>
      <c r="I13" s="1100"/>
      <c r="J13" s="1100"/>
    </row>
    <row r="14" spans="1:10" ht="20" customHeight="1" thickBot="1">
      <c r="A14" s="896" t="s">
        <v>2384</v>
      </c>
      <c r="B14" s="191">
        <v>8866</v>
      </c>
      <c r="C14" s="192">
        <v>9357</v>
      </c>
      <c r="D14" s="191">
        <v>18223</v>
      </c>
      <c r="E14" s="229">
        <v>-3.2817371328556582E-3</v>
      </c>
      <c r="F14" s="381">
        <v>712</v>
      </c>
      <c r="G14" s="382">
        <v>497</v>
      </c>
      <c r="H14" s="381" t="s">
        <v>1060</v>
      </c>
      <c r="I14" s="1100"/>
      <c r="J14" s="1100"/>
    </row>
    <row r="15" spans="1:10" ht="20" customHeight="1" thickBot="1">
      <c r="A15" s="896" t="s">
        <v>2385</v>
      </c>
      <c r="B15" s="191">
        <v>4451</v>
      </c>
      <c r="C15" s="192">
        <v>4966</v>
      </c>
      <c r="D15" s="191">
        <v>9417</v>
      </c>
      <c r="E15" s="229">
        <v>0.16821734276144398</v>
      </c>
      <c r="F15" s="381">
        <v>1057</v>
      </c>
      <c r="G15" s="382">
        <v>507</v>
      </c>
      <c r="H15" s="381">
        <v>1564</v>
      </c>
      <c r="I15" s="1100"/>
      <c r="J15" s="1100"/>
    </row>
    <row r="16" spans="1:10" ht="20" customHeight="1" thickBot="1">
      <c r="A16" s="896" t="s">
        <v>2386</v>
      </c>
      <c r="B16" s="191">
        <v>13855</v>
      </c>
      <c r="C16" s="192">
        <v>15848</v>
      </c>
      <c r="D16" s="191">
        <v>29703</v>
      </c>
      <c r="E16" s="229">
        <v>-8.9423666462293078E-2</v>
      </c>
      <c r="F16" s="381">
        <v>2088</v>
      </c>
      <c r="G16" s="382">
        <v>1769</v>
      </c>
      <c r="H16" s="381" t="s">
        <v>1060</v>
      </c>
      <c r="I16" s="1100"/>
      <c r="J16" s="1100"/>
    </row>
    <row r="17" spans="1:10" ht="20" customHeight="1" thickBot="1">
      <c r="A17" s="896" t="s">
        <v>2387</v>
      </c>
      <c r="B17" s="191">
        <v>34770</v>
      </c>
      <c r="C17" s="192">
        <v>42320</v>
      </c>
      <c r="D17" s="191">
        <v>77090</v>
      </c>
      <c r="E17" s="229">
        <v>-3.9999003760802967E-2</v>
      </c>
      <c r="F17" s="381">
        <v>10370</v>
      </c>
      <c r="G17" s="382">
        <v>6877</v>
      </c>
      <c r="H17" s="381">
        <v>17247</v>
      </c>
      <c r="I17" s="1100"/>
      <c r="J17" s="1100"/>
    </row>
    <row r="18" spans="1:10" ht="20" customHeight="1" thickBot="1">
      <c r="A18" s="896" t="s">
        <v>2388</v>
      </c>
      <c r="B18" s="191">
        <v>36711</v>
      </c>
      <c r="C18" s="192">
        <v>41150</v>
      </c>
      <c r="D18" s="191">
        <v>77861</v>
      </c>
      <c r="E18" s="229">
        <v>0.10272207115341038</v>
      </c>
      <c r="F18" s="381">
        <v>7279</v>
      </c>
      <c r="G18" s="382">
        <v>6832</v>
      </c>
      <c r="H18" s="381" t="s">
        <v>1060</v>
      </c>
      <c r="I18" s="1100"/>
      <c r="J18" s="1100"/>
    </row>
    <row r="19" spans="1:10" ht="20" customHeight="1" thickBot="1">
      <c r="A19" s="896" t="s">
        <v>2389</v>
      </c>
      <c r="B19" s="191">
        <v>20835</v>
      </c>
      <c r="C19" s="192">
        <v>26004</v>
      </c>
      <c r="D19" s="191">
        <v>46839</v>
      </c>
      <c r="E19" s="229">
        <v>-0.19019709543568464</v>
      </c>
      <c r="F19" s="381">
        <v>11656</v>
      </c>
      <c r="G19" s="382">
        <v>10004</v>
      </c>
      <c r="H19" s="381" t="s">
        <v>1060</v>
      </c>
      <c r="I19" s="1100"/>
      <c r="J19" s="1100"/>
    </row>
    <row r="20" spans="1:10" ht="20" customHeight="1" thickBot="1">
      <c r="A20" s="896" t="s">
        <v>2390</v>
      </c>
      <c r="B20" s="191">
        <v>29460</v>
      </c>
      <c r="C20" s="192">
        <v>31764</v>
      </c>
      <c r="D20" s="191">
        <v>61224</v>
      </c>
      <c r="E20" s="229">
        <v>-3.8265786993402454E-2</v>
      </c>
      <c r="F20" s="381">
        <v>6954</v>
      </c>
      <c r="G20" s="382" t="s">
        <v>1060</v>
      </c>
      <c r="H20" s="381" t="s">
        <v>1060</v>
      </c>
      <c r="I20" s="1100"/>
      <c r="J20" s="1100"/>
    </row>
    <row r="21" spans="1:10" ht="20" customHeight="1" thickBot="1">
      <c r="A21" s="896" t="s">
        <v>2391</v>
      </c>
      <c r="B21" s="191">
        <v>11278</v>
      </c>
      <c r="C21" s="192">
        <v>12099</v>
      </c>
      <c r="D21" s="191">
        <v>23377</v>
      </c>
      <c r="E21" s="229">
        <v>-6.1503874101730298E-2</v>
      </c>
      <c r="F21" s="381" t="s">
        <v>1060</v>
      </c>
      <c r="G21" s="382">
        <v>1729</v>
      </c>
      <c r="H21" s="381">
        <v>1729</v>
      </c>
      <c r="I21" s="1100"/>
      <c r="J21" s="1100"/>
    </row>
    <row r="22" spans="1:10" ht="20" customHeight="1" thickBot="1">
      <c r="A22" s="896" t="s">
        <v>2392</v>
      </c>
      <c r="B22" s="191">
        <v>7080</v>
      </c>
      <c r="C22" s="192">
        <v>7474</v>
      </c>
      <c r="D22" s="191">
        <v>14554</v>
      </c>
      <c r="E22" s="229">
        <v>6.9832402234636867E-2</v>
      </c>
      <c r="F22" s="381" t="s">
        <v>1060</v>
      </c>
      <c r="G22" s="382" t="s">
        <v>1060</v>
      </c>
      <c r="H22" s="381" t="s">
        <v>1060</v>
      </c>
      <c r="I22" s="1100"/>
      <c r="J22" s="1100"/>
    </row>
    <row r="23" spans="1:10" ht="20" customHeight="1" thickBot="1">
      <c r="A23" s="896" t="s">
        <v>2393</v>
      </c>
      <c r="B23" s="191">
        <v>3192</v>
      </c>
      <c r="C23" s="192">
        <v>3115</v>
      </c>
      <c r="D23" s="191">
        <v>6307</v>
      </c>
      <c r="E23" s="229">
        <v>-0.15353643806200509</v>
      </c>
      <c r="F23" s="381">
        <v>334</v>
      </c>
      <c r="G23" s="382">
        <v>295</v>
      </c>
      <c r="H23" s="381">
        <v>52</v>
      </c>
      <c r="I23" s="1100"/>
      <c r="J23" s="1100"/>
    </row>
    <row r="24" spans="1:10" ht="20" customHeight="1" thickBot="1">
      <c r="A24" s="896" t="s">
        <v>2394</v>
      </c>
      <c r="B24" s="191">
        <v>73769</v>
      </c>
      <c r="C24" s="192">
        <v>78177</v>
      </c>
      <c r="D24" s="191">
        <v>151946</v>
      </c>
      <c r="E24" s="229">
        <v>9.3923686105111592E-2</v>
      </c>
      <c r="F24" s="381">
        <v>17517</v>
      </c>
      <c r="G24" s="382">
        <v>20586</v>
      </c>
      <c r="H24" s="381">
        <v>20586</v>
      </c>
      <c r="I24" s="1100"/>
      <c r="J24" s="1100"/>
    </row>
    <row r="25" spans="1:10" ht="20" customHeight="1" thickBot="1">
      <c r="A25" s="896" t="s">
        <v>2395</v>
      </c>
      <c r="B25" s="191">
        <v>27269</v>
      </c>
      <c r="C25" s="192">
        <v>30866</v>
      </c>
      <c r="D25" s="191">
        <v>58135</v>
      </c>
      <c r="E25" s="229">
        <v>-6.5280174991882703E-3</v>
      </c>
      <c r="F25" s="381">
        <v>5053</v>
      </c>
      <c r="G25" s="382">
        <v>2387</v>
      </c>
      <c r="H25" s="381">
        <v>165</v>
      </c>
      <c r="I25" s="1100"/>
      <c r="J25" s="1100"/>
    </row>
    <row r="26" spans="1:10" ht="20" customHeight="1" thickBot="1">
      <c r="A26" s="896" t="s">
        <v>2396</v>
      </c>
      <c r="B26" s="191">
        <v>72047</v>
      </c>
      <c r="C26" s="192">
        <v>80158</v>
      </c>
      <c r="D26" s="191">
        <v>152205</v>
      </c>
      <c r="E26" s="229">
        <v>1.1174372022880224E-2</v>
      </c>
      <c r="F26" s="381">
        <v>17662</v>
      </c>
      <c r="G26" s="382">
        <v>8681</v>
      </c>
      <c r="H26" s="381">
        <v>3654</v>
      </c>
      <c r="I26" s="1100"/>
      <c r="J26" s="1100"/>
    </row>
    <row r="27" spans="1:10" ht="20" customHeight="1" thickBot="1">
      <c r="A27" s="896" t="s">
        <v>2397</v>
      </c>
      <c r="B27" s="191">
        <v>44824</v>
      </c>
      <c r="C27" s="192">
        <v>48164</v>
      </c>
      <c r="D27" s="191">
        <v>92988</v>
      </c>
      <c r="E27" s="229">
        <v>4.5819555975436937E-2</v>
      </c>
      <c r="F27" s="381">
        <v>6902</v>
      </c>
      <c r="G27" s="382">
        <v>2950</v>
      </c>
      <c r="H27" s="381" t="s">
        <v>1060</v>
      </c>
      <c r="I27" s="1100"/>
      <c r="J27" s="1100"/>
    </row>
    <row r="28" spans="1:10" ht="20" customHeight="1" thickBot="1">
      <c r="A28" s="896" t="s">
        <v>2398</v>
      </c>
      <c r="B28" s="191">
        <v>43929</v>
      </c>
      <c r="C28" s="192">
        <v>57080</v>
      </c>
      <c r="D28" s="191">
        <v>101009</v>
      </c>
      <c r="E28" s="229">
        <v>-3.7774183367524066E-3</v>
      </c>
      <c r="F28" s="381">
        <v>24886</v>
      </c>
      <c r="G28" s="382" t="s">
        <v>1060</v>
      </c>
      <c r="H28" s="381" t="s">
        <v>1060</v>
      </c>
      <c r="I28" s="1100"/>
      <c r="J28" s="1100"/>
    </row>
    <row r="29" spans="1:10" ht="20" customHeight="1" thickBot="1">
      <c r="A29" s="896" t="s">
        <v>2399</v>
      </c>
      <c r="B29" s="191">
        <v>63618</v>
      </c>
      <c r="C29" s="192">
        <v>79038</v>
      </c>
      <c r="D29" s="191">
        <v>142656</v>
      </c>
      <c r="E29" s="229">
        <v>-5.8122517248588752E-3</v>
      </c>
      <c r="F29" s="381">
        <v>30452</v>
      </c>
      <c r="G29" s="382">
        <v>21358</v>
      </c>
      <c r="H29" s="381">
        <v>90846</v>
      </c>
      <c r="I29" s="1100"/>
      <c r="J29" s="1100"/>
    </row>
    <row r="30" spans="1:10" ht="20" customHeight="1" thickBot="1">
      <c r="A30" s="896" t="s">
        <v>2400</v>
      </c>
      <c r="B30" s="191">
        <v>43064.26809897169</v>
      </c>
      <c r="C30" s="192">
        <v>51660.73190102831</v>
      </c>
      <c r="D30" s="191">
        <v>94725</v>
      </c>
      <c r="E30" s="229">
        <v>7.161038520278297E-2</v>
      </c>
      <c r="F30" s="381">
        <v>8507</v>
      </c>
      <c r="G30" s="382">
        <v>3608</v>
      </c>
      <c r="H30" s="381" t="s">
        <v>1060</v>
      </c>
      <c r="I30" s="1100"/>
      <c r="J30" s="1100"/>
    </row>
    <row r="31" spans="1:10" ht="20" customHeight="1" thickBot="1">
      <c r="A31" s="896" t="s">
        <v>2401</v>
      </c>
      <c r="B31" s="191">
        <v>19527</v>
      </c>
      <c r="C31" s="192">
        <v>24136</v>
      </c>
      <c r="D31" s="191">
        <v>43663</v>
      </c>
      <c r="E31" s="229">
        <v>7.9805124146799883E-2</v>
      </c>
      <c r="F31" s="381">
        <v>10118</v>
      </c>
      <c r="G31" s="382">
        <v>8506</v>
      </c>
      <c r="H31" s="381" t="s">
        <v>1060</v>
      </c>
      <c r="I31" s="1100"/>
      <c r="J31" s="1100"/>
    </row>
    <row r="32" spans="1:10" ht="20" customHeight="1" thickBot="1">
      <c r="A32" s="896" t="s">
        <v>2402</v>
      </c>
      <c r="B32" s="191">
        <v>62707</v>
      </c>
      <c r="C32" s="192">
        <v>71320</v>
      </c>
      <c r="D32" s="191">
        <v>134027</v>
      </c>
      <c r="E32" s="229">
        <v>4.4968409692191236E-3</v>
      </c>
      <c r="F32" s="381">
        <v>27279</v>
      </c>
      <c r="G32" s="382">
        <v>18835</v>
      </c>
      <c r="H32" s="381" t="s">
        <v>1060</v>
      </c>
      <c r="I32" s="1100"/>
      <c r="J32" s="1100"/>
    </row>
    <row r="33" spans="1:10" ht="20" customHeight="1" thickBot="1">
      <c r="A33" s="896" t="s">
        <v>2403</v>
      </c>
      <c r="B33" s="191">
        <v>10717</v>
      </c>
      <c r="C33" s="192">
        <v>13898</v>
      </c>
      <c r="D33" s="191">
        <v>24615</v>
      </c>
      <c r="E33" s="229">
        <v>-2.3563013209568013E-2</v>
      </c>
      <c r="F33" s="381">
        <v>4286</v>
      </c>
      <c r="G33" s="382">
        <v>1179</v>
      </c>
      <c r="H33" s="381" t="s">
        <v>1060</v>
      </c>
      <c r="I33" s="1100"/>
      <c r="J33" s="1100"/>
    </row>
    <row r="34" spans="1:10" ht="30" customHeight="1" thickBot="1">
      <c r="A34" s="1101" t="s">
        <v>2404</v>
      </c>
      <c r="B34" s="198">
        <v>1047154.2680989717</v>
      </c>
      <c r="C34" s="199">
        <v>1202326.7319010282</v>
      </c>
      <c r="D34" s="198">
        <v>2249481</v>
      </c>
      <c r="E34" s="230">
        <v>-9.8897422918638178E-3</v>
      </c>
      <c r="F34" s="1102" t="s">
        <v>1060</v>
      </c>
      <c r="G34" s="1103" t="s">
        <v>1060</v>
      </c>
      <c r="H34" s="442" t="s">
        <v>1060</v>
      </c>
      <c r="I34" s="403"/>
      <c r="J34" s="403"/>
    </row>
    <row r="35" spans="1:10" ht="20" customHeight="1">
      <c r="A35" s="1094" t="s">
        <v>236</v>
      </c>
      <c r="B35" s="585"/>
      <c r="C35" s="585"/>
      <c r="D35" s="585"/>
      <c r="E35" s="1104"/>
      <c r="F35" s="585"/>
      <c r="G35" s="585"/>
    </row>
    <row r="36" spans="1:10" ht="14.25" customHeight="1">
      <c r="A36" s="1095"/>
      <c r="B36" s="586"/>
      <c r="C36" s="586"/>
      <c r="D36" s="586"/>
      <c r="E36" s="1105"/>
      <c r="F36" s="586"/>
      <c r="G36" s="586"/>
    </row>
    <row r="37" spans="1:10" ht="20" customHeight="1">
      <c r="A37" s="1095" t="s">
        <v>1912</v>
      </c>
      <c r="B37" s="586"/>
      <c r="C37" s="586"/>
      <c r="D37" s="586"/>
      <c r="E37" s="1105"/>
      <c r="F37" s="586"/>
      <c r="G37" s="586"/>
    </row>
    <row r="38" spans="1:10" ht="15.75" customHeight="1">
      <c r="A38" s="1095"/>
      <c r="B38" s="586"/>
      <c r="C38" s="586"/>
      <c r="D38" s="586"/>
      <c r="E38" s="1105"/>
      <c r="F38" s="586"/>
      <c r="G38" s="586"/>
    </row>
    <row r="39" spans="1:10" ht="12.75" customHeight="1">
      <c r="A39" s="202" t="s">
        <v>1913</v>
      </c>
      <c r="B39" s="586"/>
      <c r="C39" s="586"/>
      <c r="D39" s="586"/>
      <c r="E39" s="1105"/>
      <c r="F39" s="586"/>
      <c r="G39" s="586"/>
    </row>
    <row r="40" spans="1:10" ht="12.75" customHeight="1">
      <c r="A40" s="2" t="s">
        <v>1914</v>
      </c>
      <c r="B40" s="586"/>
      <c r="C40" s="586"/>
      <c r="D40" s="586"/>
      <c r="E40" s="1105"/>
      <c r="F40" s="586"/>
      <c r="G40" s="586"/>
    </row>
    <row r="41" spans="1:10" ht="12.75" customHeight="1">
      <c r="A41" s="202" t="s">
        <v>1915</v>
      </c>
      <c r="B41" s="586"/>
      <c r="C41" s="586"/>
      <c r="D41" s="586"/>
      <c r="E41" s="1105"/>
      <c r="F41" s="586"/>
      <c r="G41" s="586"/>
    </row>
    <row r="43" spans="1:10">
      <c r="E43" s="492"/>
    </row>
    <row r="44" spans="1:10">
      <c r="A44" s="2" t="s">
        <v>711</v>
      </c>
    </row>
  </sheetData>
  <mergeCells count="1">
    <mergeCell ref="B3:D3"/>
  </mergeCells>
  <phoneticPr fontId="0" type="noConversion"/>
  <pageMargins left="0.56000000000000005" right="0.5" top="0.76" bottom="0.49" header="0.42" footer="0.4921259845"/>
  <pageSetup paperSize="9" scale="83" orientation="portrait" horizontalDpi="1200" verticalDpi="120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F9F8-40E0-884E-99DE-59B637AF5F44}">
  <sheetPr>
    <pageSetUpPr fitToPage="1"/>
  </sheetPr>
  <dimension ref="A1:I33"/>
  <sheetViews>
    <sheetView zoomScale="75" workbookViewId="0">
      <selection activeCell="A30" sqref="A30"/>
    </sheetView>
  </sheetViews>
  <sheetFormatPr baseColWidth="10" defaultColWidth="11.3984375" defaultRowHeight="13"/>
  <cols>
    <col min="1" max="4" width="17.796875" style="2" customWidth="1"/>
    <col min="5" max="5" width="21" style="2" customWidth="1"/>
    <col min="6" max="6" width="15.796875" style="2" customWidth="1"/>
    <col min="7" max="16384" width="11.3984375" style="2"/>
  </cols>
  <sheetData>
    <row r="1" spans="1:9" s="1" customFormat="1" ht="14" customHeight="1"/>
    <row r="2" spans="1:9" s="1" customFormat="1" ht="28" customHeight="1">
      <c r="A2" s="177" t="s">
        <v>959</v>
      </c>
      <c r="E2" s="428">
        <v>2008</v>
      </c>
    </row>
    <row r="3" spans="1:9" ht="27" customHeight="1">
      <c r="A3" s="178" t="s">
        <v>1917</v>
      </c>
      <c r="B3" s="179" t="s">
        <v>2224</v>
      </c>
      <c r="C3" s="180" t="s">
        <v>2225</v>
      </c>
      <c r="D3" s="179" t="s">
        <v>164</v>
      </c>
      <c r="E3" s="180" t="s">
        <v>1918</v>
      </c>
    </row>
    <row r="4" spans="1:9" ht="15" customHeight="1">
      <c r="A4" s="181"/>
      <c r="B4" s="182"/>
      <c r="C4" s="183"/>
      <c r="D4" s="182"/>
      <c r="E4" s="183" t="s">
        <v>939</v>
      </c>
    </row>
    <row r="5" spans="1:9" ht="15" customHeight="1">
      <c r="A5" s="181"/>
      <c r="B5" s="182"/>
      <c r="C5" s="183"/>
      <c r="D5" s="182"/>
      <c r="E5" s="183" t="s">
        <v>164</v>
      </c>
    </row>
    <row r="6" spans="1:9" ht="24" customHeight="1">
      <c r="A6" s="185"/>
      <c r="B6" s="188"/>
      <c r="C6" s="187"/>
      <c r="D6" s="188"/>
      <c r="E6" s="187"/>
    </row>
    <row r="7" spans="1:9" ht="25.5" customHeight="1" thickBot="1">
      <c r="A7" s="396" t="s">
        <v>940</v>
      </c>
      <c r="B7" s="233">
        <v>332773.12536267895</v>
      </c>
      <c r="C7" s="234">
        <v>315048.87463732105</v>
      </c>
      <c r="D7" s="233">
        <v>647822</v>
      </c>
      <c r="E7" s="759">
        <v>0.43161603334483739</v>
      </c>
      <c r="G7" s="194"/>
      <c r="H7" s="194"/>
      <c r="I7" s="194"/>
    </row>
    <row r="8" spans="1:9" ht="20" customHeight="1" thickBot="1">
      <c r="A8" s="195" t="s">
        <v>941</v>
      </c>
      <c r="B8" s="235">
        <v>136445.43094483938</v>
      </c>
      <c r="C8" s="236">
        <v>143460.56905516062</v>
      </c>
      <c r="D8" s="235">
        <v>279906</v>
      </c>
      <c r="E8" s="759">
        <v>0.44421908625188061</v>
      </c>
      <c r="G8" s="194"/>
      <c r="H8" s="194"/>
      <c r="I8" s="194"/>
    </row>
    <row r="9" spans="1:9" ht="20" customHeight="1" thickBot="1">
      <c r="A9" s="195" t="s">
        <v>942</v>
      </c>
      <c r="B9" s="235">
        <v>69356.844568484317</v>
      </c>
      <c r="C9" s="236">
        <v>83059.155431515668</v>
      </c>
      <c r="D9" s="235">
        <v>152416</v>
      </c>
      <c r="E9" s="759">
        <v>0.30644327875971861</v>
      </c>
      <c r="G9" s="194"/>
      <c r="H9" s="194"/>
      <c r="I9" s="194"/>
    </row>
    <row r="10" spans="1:9" ht="20" customHeight="1" thickBot="1">
      <c r="A10" s="195" t="s">
        <v>943</v>
      </c>
      <c r="B10" s="235">
        <v>58383.66136986301</v>
      </c>
      <c r="C10" s="236">
        <v>77139.33863013699</v>
      </c>
      <c r="D10" s="235">
        <v>135523</v>
      </c>
      <c r="E10" s="759">
        <v>0.2634901562785561</v>
      </c>
      <c r="G10" s="194"/>
      <c r="H10" s="194"/>
      <c r="I10" s="194"/>
    </row>
    <row r="11" spans="1:9" ht="20" customHeight="1" thickBot="1">
      <c r="A11" s="195" t="s">
        <v>944</v>
      </c>
      <c r="B11" s="235">
        <v>69684.299077986943</v>
      </c>
      <c r="C11" s="236">
        <v>90682.700922013057</v>
      </c>
      <c r="D11" s="235">
        <v>160367</v>
      </c>
      <c r="E11" s="759">
        <v>0.2728397162155265</v>
      </c>
      <c r="G11" s="194"/>
      <c r="H11" s="194"/>
      <c r="I11" s="194"/>
    </row>
    <row r="12" spans="1:9" ht="20" customHeight="1" thickBot="1">
      <c r="A12" s="195" t="s">
        <v>945</v>
      </c>
      <c r="B12" s="235">
        <v>77784.001743071291</v>
      </c>
      <c r="C12" s="236">
        <v>91999.998256928709</v>
      </c>
      <c r="D12" s="235">
        <v>169784</v>
      </c>
      <c r="E12" s="759">
        <v>0.26117601815175173</v>
      </c>
      <c r="G12" s="194"/>
      <c r="H12" s="194"/>
      <c r="I12" s="194"/>
    </row>
    <row r="13" spans="1:9" ht="20" customHeight="1" thickBot="1">
      <c r="A13" s="195" t="s">
        <v>946</v>
      </c>
      <c r="B13" s="235">
        <v>63939.048238897398</v>
      </c>
      <c r="C13" s="236">
        <v>67734.951761102595</v>
      </c>
      <c r="D13" s="235">
        <v>131674</v>
      </c>
      <c r="E13" s="759">
        <v>0.22172864619467478</v>
      </c>
      <c r="G13" s="194"/>
      <c r="H13" s="194"/>
      <c r="I13" s="194"/>
    </row>
    <row r="14" spans="1:9" ht="20" customHeight="1" thickBot="1">
      <c r="A14" s="195" t="s">
        <v>947</v>
      </c>
      <c r="B14" s="235">
        <v>45001.701304164912</v>
      </c>
      <c r="C14" s="236">
        <v>45309.298695835088</v>
      </c>
      <c r="D14" s="235">
        <v>90311</v>
      </c>
      <c r="E14" s="759">
        <v>0.1749009886609019</v>
      </c>
      <c r="G14" s="194"/>
      <c r="H14" s="194"/>
      <c r="I14" s="194"/>
    </row>
    <row r="15" spans="1:9" ht="20" customHeight="1" thickBot="1">
      <c r="A15" s="195" t="s">
        <v>948</v>
      </c>
      <c r="B15" s="235">
        <v>33978.390852390854</v>
      </c>
      <c r="C15" s="236">
        <v>36077.609147609146</v>
      </c>
      <c r="D15" s="235">
        <v>70056</v>
      </c>
      <c r="E15" s="759">
        <v>0.14849797780246055</v>
      </c>
      <c r="G15" s="194"/>
      <c r="H15" s="194"/>
      <c r="I15" s="194"/>
    </row>
    <row r="16" spans="1:9" ht="20" customHeight="1" thickBot="1">
      <c r="A16" s="195" t="s">
        <v>949</v>
      </c>
      <c r="B16" s="235">
        <v>28460.845824411135</v>
      </c>
      <c r="C16" s="236">
        <v>35122.154175588861</v>
      </c>
      <c r="D16" s="235">
        <v>63583</v>
      </c>
      <c r="E16" s="759">
        <v>0.14471830424916413</v>
      </c>
      <c r="G16" s="194"/>
      <c r="H16" s="194"/>
      <c r="I16" s="194"/>
    </row>
    <row r="17" spans="1:9" ht="20" customHeight="1" thickBot="1">
      <c r="A17" s="195" t="s">
        <v>950</v>
      </c>
      <c r="B17" s="235">
        <v>24624.877817319099</v>
      </c>
      <c r="C17" s="236">
        <v>33695.122182680905</v>
      </c>
      <c r="D17" s="235">
        <v>58320</v>
      </c>
      <c r="E17" s="759">
        <v>0.16929275570985683</v>
      </c>
      <c r="G17" s="194"/>
      <c r="H17" s="194"/>
      <c r="I17" s="194"/>
    </row>
    <row r="18" spans="1:9" ht="20" customHeight="1" thickBot="1">
      <c r="A18" s="195" t="s">
        <v>951</v>
      </c>
      <c r="B18" s="235">
        <v>23531.412227602905</v>
      </c>
      <c r="C18" s="236">
        <v>36127.587772397092</v>
      </c>
      <c r="D18" s="235">
        <v>59659</v>
      </c>
      <c r="E18" s="759">
        <v>0.20740712413347145</v>
      </c>
      <c r="G18" s="194"/>
      <c r="H18" s="194"/>
      <c r="I18" s="194"/>
    </row>
    <row r="19" spans="1:9" ht="20" customHeight="1" thickBot="1">
      <c r="A19" s="195" t="s">
        <v>952</v>
      </c>
      <c r="B19" s="235">
        <v>20435.608034083994</v>
      </c>
      <c r="C19" s="236">
        <v>35605.391965916009</v>
      </c>
      <c r="D19" s="235">
        <v>56041</v>
      </c>
      <c r="E19" s="759">
        <v>0.23227119374652885</v>
      </c>
      <c r="G19" s="194"/>
      <c r="H19" s="194"/>
      <c r="I19" s="194"/>
    </row>
    <row r="20" spans="1:9" ht="20" customHeight="1" thickBot="1">
      <c r="A20" s="195" t="s">
        <v>953</v>
      </c>
      <c r="B20" s="235">
        <v>14507.22402358143</v>
      </c>
      <c r="C20" s="236">
        <v>32874.775976418576</v>
      </c>
      <c r="D20" s="235">
        <v>47382</v>
      </c>
      <c r="E20" s="759">
        <v>0.26547809814094736</v>
      </c>
      <c r="G20" s="194"/>
      <c r="H20" s="194"/>
      <c r="I20" s="194"/>
    </row>
    <row r="21" spans="1:9" ht="20" customHeight="1" thickBot="1">
      <c r="A21" s="195" t="s">
        <v>954</v>
      </c>
      <c r="B21" s="235">
        <v>8231.1605839416061</v>
      </c>
      <c r="C21" s="236">
        <v>23686.839416058396</v>
      </c>
      <c r="D21" s="235">
        <v>31918</v>
      </c>
      <c r="E21" s="759">
        <v>0.31416591204378125</v>
      </c>
      <c r="G21" s="194"/>
      <c r="H21" s="194"/>
      <c r="I21" s="194"/>
    </row>
    <row r="22" spans="1:9" ht="20" customHeight="1" thickBot="1">
      <c r="A22" s="195" t="s">
        <v>955</v>
      </c>
      <c r="B22" s="235">
        <v>3612.6361256544501</v>
      </c>
      <c r="C22" s="236">
        <v>15290.36387434555</v>
      </c>
      <c r="D22" s="235">
        <v>18903</v>
      </c>
      <c r="E22" s="759">
        <v>0.39817584361966551</v>
      </c>
      <c r="G22" s="194"/>
      <c r="H22" s="194"/>
      <c r="I22" s="194"/>
    </row>
    <row r="23" spans="1:9" ht="20" customHeight="1" thickBot="1">
      <c r="A23" s="195" t="s">
        <v>956</v>
      </c>
      <c r="B23" s="235">
        <v>36404</v>
      </c>
      <c r="C23" s="236">
        <v>39412</v>
      </c>
      <c r="D23" s="235">
        <v>75816</v>
      </c>
      <c r="E23" s="439" t="s">
        <v>1060</v>
      </c>
      <c r="G23" s="194"/>
      <c r="H23" s="194"/>
      <c r="I23" s="194"/>
    </row>
    <row r="24" spans="1:9" ht="30" customHeight="1" thickBot="1">
      <c r="A24" s="197" t="s">
        <v>164</v>
      </c>
      <c r="B24" s="430">
        <v>1047154.2680989717</v>
      </c>
      <c r="C24" s="431">
        <v>1202326.7319010282</v>
      </c>
      <c r="D24" s="430">
        <v>2249481</v>
      </c>
      <c r="E24" s="1106">
        <v>0.29587268909574649</v>
      </c>
      <c r="G24" s="194"/>
      <c r="H24" s="194"/>
      <c r="I24" s="194"/>
    </row>
    <row r="25" spans="1:9" ht="20" customHeight="1">
      <c r="A25" s="1094" t="s">
        <v>236</v>
      </c>
      <c r="B25" s="201"/>
      <c r="C25" s="201"/>
      <c r="D25" s="201"/>
      <c r="E25" s="201"/>
    </row>
    <row r="27" spans="1:9">
      <c r="A27" s="1095" t="s">
        <v>957</v>
      </c>
    </row>
    <row r="28" spans="1:9">
      <c r="A28" s="1095"/>
    </row>
    <row r="29" spans="1:9">
      <c r="A29" s="2" t="s">
        <v>958</v>
      </c>
    </row>
    <row r="30" spans="1:9">
      <c r="A30" s="1095"/>
    </row>
    <row r="33" spans="1:1">
      <c r="A33" s="2" t="s">
        <v>711</v>
      </c>
    </row>
  </sheetData>
  <phoneticPr fontId="0" type="noConversion"/>
  <pageMargins left="0.74" right="0.88" top="0.85" bottom="0.49" header="0.49" footer="0.4921259845"/>
  <pageSetup paperSize="9" scale="79" orientation="portrait" horizontalDpi="1200" verticalDpi="1200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0B8B-BF4C-C14F-AF4F-4812A607C963}">
  <sheetPr>
    <pageSetUpPr fitToPage="1"/>
  </sheetPr>
  <dimension ref="A1:O48"/>
  <sheetViews>
    <sheetView topLeftCell="N27" zoomScale="75" workbookViewId="0">
      <selection activeCell="O37" sqref="O37"/>
    </sheetView>
  </sheetViews>
  <sheetFormatPr baseColWidth="10" defaultColWidth="11.3984375" defaultRowHeight="13"/>
  <cols>
    <col min="1" max="1" width="11.796875" style="2" customWidth="1"/>
    <col min="2" max="10" width="10.796875" style="2" customWidth="1"/>
    <col min="11" max="11" width="11.3984375" style="217"/>
    <col min="12" max="12" width="13.3984375" style="2" customWidth="1"/>
    <col min="13" max="16384" width="11.3984375" style="2"/>
  </cols>
  <sheetData>
    <row r="1" spans="1:15" s="1" customFormat="1" ht="14" customHeight="1">
      <c r="K1" s="16"/>
    </row>
    <row r="2" spans="1:15" s="1" customFormat="1" ht="28" customHeight="1">
      <c r="A2" s="177" t="s">
        <v>2483</v>
      </c>
      <c r="I2" s="428"/>
      <c r="K2" s="433"/>
      <c r="L2" s="433">
        <v>2008</v>
      </c>
    </row>
    <row r="3" spans="1:15" ht="24" customHeight="1">
      <c r="A3" s="1107"/>
      <c r="B3" s="1108"/>
      <c r="C3" s="1109"/>
      <c r="D3" s="1110"/>
      <c r="E3" s="1109"/>
      <c r="F3" s="1110"/>
      <c r="G3" s="1111"/>
      <c r="H3" s="1108"/>
      <c r="I3" s="1112"/>
      <c r="J3" s="1113"/>
      <c r="K3" s="1114"/>
      <c r="L3" s="872"/>
    </row>
    <row r="4" spans="1:15" ht="18" customHeight="1">
      <c r="A4" s="1115"/>
      <c r="B4" s="1116" t="s">
        <v>2484</v>
      </c>
      <c r="C4" s="1117"/>
      <c r="D4" s="1116"/>
      <c r="E4" s="1117"/>
      <c r="F4" s="1118"/>
      <c r="G4" s="1119"/>
      <c r="H4" s="1116"/>
      <c r="I4" s="1120"/>
      <c r="J4" s="1121"/>
      <c r="K4" s="1119" t="s">
        <v>164</v>
      </c>
      <c r="L4" s="1122"/>
    </row>
    <row r="5" spans="1:15" ht="19.5" customHeight="1">
      <c r="A5" s="1115"/>
      <c r="B5" s="1116" t="s">
        <v>960</v>
      </c>
      <c r="C5" s="1117"/>
      <c r="D5" s="1116"/>
      <c r="E5" s="1117"/>
      <c r="F5" s="1118"/>
      <c r="G5" s="1119"/>
      <c r="H5" s="1116"/>
      <c r="I5" s="1120"/>
      <c r="J5" s="1121"/>
      <c r="K5" s="1119" t="s">
        <v>1893</v>
      </c>
      <c r="L5" s="1122" t="s">
        <v>2372</v>
      </c>
    </row>
    <row r="6" spans="1:15" ht="14.25" customHeight="1">
      <c r="A6" s="1115"/>
      <c r="B6" s="1116"/>
      <c r="C6" s="1123"/>
      <c r="D6" s="1124"/>
      <c r="E6" s="1123"/>
      <c r="F6" s="1124"/>
      <c r="G6" s="1117"/>
      <c r="H6" s="1116"/>
      <c r="I6" s="1117"/>
      <c r="J6" s="1125"/>
      <c r="K6" s="1114"/>
      <c r="L6" s="184" t="s">
        <v>1848</v>
      </c>
    </row>
    <row r="7" spans="1:15" ht="15" customHeight="1">
      <c r="A7" s="274"/>
      <c r="B7" s="1126" t="s">
        <v>961</v>
      </c>
      <c r="C7" s="1127" t="s">
        <v>962</v>
      </c>
      <c r="D7" s="1128" t="s">
        <v>963</v>
      </c>
      <c r="E7" s="1127" t="s">
        <v>964</v>
      </c>
      <c r="F7" s="1128" t="s">
        <v>965</v>
      </c>
      <c r="G7" s="1129" t="s">
        <v>966</v>
      </c>
      <c r="H7" s="1130" t="s">
        <v>967</v>
      </c>
      <c r="I7" s="1131" t="s">
        <v>968</v>
      </c>
      <c r="J7" s="1130" t="s">
        <v>879</v>
      </c>
      <c r="K7" s="1114"/>
      <c r="L7" s="184" t="s">
        <v>2377</v>
      </c>
    </row>
    <row r="8" spans="1:15" ht="15" customHeight="1">
      <c r="A8" s="274"/>
      <c r="B8" s="1132"/>
      <c r="C8" s="1133"/>
      <c r="D8" s="1134"/>
      <c r="E8" s="1133"/>
      <c r="F8" s="1134"/>
      <c r="G8" s="1135"/>
      <c r="H8" s="1136"/>
      <c r="I8" s="1137"/>
      <c r="J8" s="1136" t="s">
        <v>2232</v>
      </c>
      <c r="K8" s="1119"/>
      <c r="L8" s="184"/>
    </row>
    <row r="9" spans="1:15" ht="23.25" customHeight="1">
      <c r="A9" s="274" t="s">
        <v>2177</v>
      </c>
      <c r="B9" s="1136"/>
      <c r="C9" s="1138"/>
      <c r="D9" s="1121"/>
      <c r="E9" s="1138"/>
      <c r="F9" s="1134"/>
      <c r="G9" s="1135"/>
      <c r="H9" s="1136"/>
      <c r="I9" s="1137"/>
      <c r="J9" s="1136" t="s">
        <v>2336</v>
      </c>
      <c r="K9" s="1119"/>
      <c r="L9" s="184"/>
    </row>
    <row r="10" spans="1:15" ht="16" customHeight="1">
      <c r="A10" s="274"/>
      <c r="B10" s="1139"/>
      <c r="C10" s="1140"/>
      <c r="D10" s="1141"/>
      <c r="E10" s="1140"/>
      <c r="F10" s="1142"/>
      <c r="G10" s="1143"/>
      <c r="H10" s="1144"/>
      <c r="I10" s="1145"/>
      <c r="J10" s="1144"/>
      <c r="K10" s="1146"/>
      <c r="L10" s="188"/>
    </row>
    <row r="11" spans="1:15" ht="27" customHeight="1" thickBot="1">
      <c r="A11" s="884" t="s">
        <v>2378</v>
      </c>
      <c r="B11" s="211">
        <v>195823</v>
      </c>
      <c r="C11" s="257">
        <v>11650</v>
      </c>
      <c r="D11" s="211">
        <v>5866</v>
      </c>
      <c r="E11" s="257">
        <v>1365</v>
      </c>
      <c r="F11" s="211">
        <v>23364</v>
      </c>
      <c r="G11" s="257">
        <v>8940</v>
      </c>
      <c r="H11" s="211">
        <v>12154</v>
      </c>
      <c r="I11" s="257">
        <v>5840</v>
      </c>
      <c r="J11" s="211">
        <v>0</v>
      </c>
      <c r="K11" s="1147">
        <v>265002</v>
      </c>
      <c r="L11" s="193">
        <v>2.3624297953539486E-2</v>
      </c>
      <c r="O11" s="7"/>
    </row>
    <row r="12" spans="1:15" ht="20" customHeight="1" thickBot="1">
      <c r="A12" s="896" t="s">
        <v>2379</v>
      </c>
      <c r="B12" s="211">
        <v>85612</v>
      </c>
      <c r="C12" s="257">
        <v>7681</v>
      </c>
      <c r="D12" s="211">
        <v>5250</v>
      </c>
      <c r="E12" s="257">
        <v>1611</v>
      </c>
      <c r="F12" s="211">
        <v>13197</v>
      </c>
      <c r="G12" s="257">
        <v>5395</v>
      </c>
      <c r="H12" s="211">
        <v>11494</v>
      </c>
      <c r="I12" s="257">
        <v>7600</v>
      </c>
      <c r="J12" s="211">
        <v>0</v>
      </c>
      <c r="K12" s="1147">
        <v>137840</v>
      </c>
      <c r="L12" s="193">
        <v>-5.1315934368461602E-2</v>
      </c>
    </row>
    <row r="13" spans="1:15" ht="20" customHeight="1" thickBot="1">
      <c r="A13" s="896" t="s">
        <v>2380</v>
      </c>
      <c r="B13" s="211">
        <v>31494</v>
      </c>
      <c r="C13" s="257">
        <v>3613</v>
      </c>
      <c r="D13" s="211">
        <v>2583</v>
      </c>
      <c r="E13" s="257">
        <v>756</v>
      </c>
      <c r="F13" s="211">
        <v>5041</v>
      </c>
      <c r="G13" s="257">
        <v>7403</v>
      </c>
      <c r="H13" s="211">
        <v>12706</v>
      </c>
      <c r="I13" s="257">
        <v>7036</v>
      </c>
      <c r="J13" s="211">
        <v>0</v>
      </c>
      <c r="K13" s="1147">
        <v>70632</v>
      </c>
      <c r="L13" s="193">
        <v>-6.4786494538232375E-2</v>
      </c>
    </row>
    <row r="14" spans="1:15" ht="20" customHeight="1" thickBot="1">
      <c r="A14" s="896" t="s">
        <v>2381</v>
      </c>
      <c r="B14" s="211">
        <v>2691</v>
      </c>
      <c r="C14" s="257">
        <v>142</v>
      </c>
      <c r="D14" s="211">
        <v>93</v>
      </c>
      <c r="E14" s="257">
        <v>52</v>
      </c>
      <c r="F14" s="211">
        <v>1322</v>
      </c>
      <c r="G14" s="257">
        <v>574</v>
      </c>
      <c r="H14" s="211">
        <v>1055</v>
      </c>
      <c r="I14" s="257">
        <v>669</v>
      </c>
      <c r="J14" s="211">
        <v>0</v>
      </c>
      <c r="K14" s="1147">
        <v>6598</v>
      </c>
      <c r="L14" s="193">
        <v>-7.670326364866864E-3</v>
      </c>
    </row>
    <row r="15" spans="1:15" ht="20" customHeight="1" thickBot="1">
      <c r="A15" s="896" t="s">
        <v>2382</v>
      </c>
      <c r="B15" s="211">
        <v>5912</v>
      </c>
      <c r="C15" s="257">
        <v>921</v>
      </c>
      <c r="D15" s="211">
        <v>627</v>
      </c>
      <c r="E15" s="257">
        <v>365</v>
      </c>
      <c r="F15" s="211">
        <v>1149</v>
      </c>
      <c r="G15" s="257">
        <v>894</v>
      </c>
      <c r="H15" s="211">
        <v>2118</v>
      </c>
      <c r="I15" s="257">
        <v>1489</v>
      </c>
      <c r="J15" s="211">
        <v>4705</v>
      </c>
      <c r="K15" s="1147">
        <v>18180</v>
      </c>
      <c r="L15" s="193">
        <v>-4.7082010292346377E-3</v>
      </c>
    </row>
    <row r="16" spans="1:15" ht="20" customHeight="1" thickBot="1">
      <c r="A16" s="896" t="s">
        <v>2383</v>
      </c>
      <c r="B16" s="211">
        <v>5079</v>
      </c>
      <c r="C16" s="257" t="s">
        <v>1060</v>
      </c>
      <c r="D16" s="211" t="s">
        <v>1060</v>
      </c>
      <c r="E16" s="257" t="s">
        <v>1060</v>
      </c>
      <c r="F16" s="211">
        <v>1377</v>
      </c>
      <c r="G16" s="257">
        <v>562</v>
      </c>
      <c r="H16" s="211">
        <v>771</v>
      </c>
      <c r="I16" s="257">
        <v>369</v>
      </c>
      <c r="J16" s="211">
        <v>0</v>
      </c>
      <c r="K16" s="1147">
        <v>8158</v>
      </c>
      <c r="L16" s="193">
        <v>-0.16113110539845754</v>
      </c>
    </row>
    <row r="17" spans="1:12" ht="20" customHeight="1" thickBot="1">
      <c r="A17" s="896" t="s">
        <v>2384</v>
      </c>
      <c r="B17" s="211">
        <v>4354</v>
      </c>
      <c r="C17" s="257">
        <v>355</v>
      </c>
      <c r="D17" s="211">
        <v>224</v>
      </c>
      <c r="E17" s="257">
        <v>58</v>
      </c>
      <c r="F17" s="211">
        <v>1051</v>
      </c>
      <c r="G17" s="257">
        <v>732</v>
      </c>
      <c r="H17" s="211">
        <v>1160</v>
      </c>
      <c r="I17" s="257">
        <v>484</v>
      </c>
      <c r="J17" s="211">
        <v>0</v>
      </c>
      <c r="K17" s="1147">
        <v>8418</v>
      </c>
      <c r="L17" s="193">
        <v>8.3224349066690628E-4</v>
      </c>
    </row>
    <row r="18" spans="1:12" ht="20" customHeight="1" thickBot="1">
      <c r="A18" s="896" t="s">
        <v>2385</v>
      </c>
      <c r="B18" s="211">
        <v>2706</v>
      </c>
      <c r="C18" s="257">
        <v>234</v>
      </c>
      <c r="D18" s="211">
        <v>129</v>
      </c>
      <c r="E18" s="257">
        <v>78</v>
      </c>
      <c r="F18" s="211">
        <v>584</v>
      </c>
      <c r="G18" s="257">
        <v>215</v>
      </c>
      <c r="H18" s="211">
        <v>301</v>
      </c>
      <c r="I18" s="257">
        <v>266</v>
      </c>
      <c r="J18" s="211">
        <v>0</v>
      </c>
      <c r="K18" s="1147">
        <v>4513</v>
      </c>
      <c r="L18" s="193">
        <v>9.5122543072069909E-2</v>
      </c>
    </row>
    <row r="19" spans="1:12" ht="20" customHeight="1" thickBot="1">
      <c r="A19" s="896" t="s">
        <v>2386</v>
      </c>
      <c r="B19" s="211">
        <v>6847</v>
      </c>
      <c r="C19" s="257" t="s">
        <v>1060</v>
      </c>
      <c r="D19" s="211" t="s">
        <v>1060</v>
      </c>
      <c r="E19" s="257" t="s">
        <v>1060</v>
      </c>
      <c r="F19" s="211" t="s">
        <v>1060</v>
      </c>
      <c r="G19" s="257" t="s">
        <v>1060</v>
      </c>
      <c r="H19" s="211" t="s">
        <v>1060</v>
      </c>
      <c r="I19" s="257" t="s">
        <v>1060</v>
      </c>
      <c r="J19" s="211">
        <v>6575</v>
      </c>
      <c r="K19" s="1147">
        <v>13422</v>
      </c>
      <c r="L19" s="193">
        <v>-4.3608379649422879E-2</v>
      </c>
    </row>
    <row r="20" spans="1:12" ht="20" customHeight="1" thickBot="1">
      <c r="A20" s="896" t="s">
        <v>2387</v>
      </c>
      <c r="B20" s="211">
        <v>22575</v>
      </c>
      <c r="C20" s="257" t="s">
        <v>1060</v>
      </c>
      <c r="D20" s="211" t="s">
        <v>1060</v>
      </c>
      <c r="E20" s="257" t="s">
        <v>1060</v>
      </c>
      <c r="F20" s="211" t="s">
        <v>1060</v>
      </c>
      <c r="G20" s="257" t="s">
        <v>1060</v>
      </c>
      <c r="H20" s="211" t="s">
        <v>1060</v>
      </c>
      <c r="I20" s="257" t="s">
        <v>1060</v>
      </c>
      <c r="J20" s="211">
        <v>17379</v>
      </c>
      <c r="K20" s="1147">
        <v>39954</v>
      </c>
      <c r="L20" s="193">
        <v>-3.441442312339893E-2</v>
      </c>
    </row>
    <row r="21" spans="1:12" ht="20" customHeight="1" thickBot="1">
      <c r="A21" s="896" t="s">
        <v>2388</v>
      </c>
      <c r="B21" s="211">
        <v>13175</v>
      </c>
      <c r="C21" s="257">
        <v>2648</v>
      </c>
      <c r="D21" s="211">
        <v>1867</v>
      </c>
      <c r="E21" s="257">
        <v>796</v>
      </c>
      <c r="F21" s="211">
        <v>3432</v>
      </c>
      <c r="G21" s="257">
        <v>2346</v>
      </c>
      <c r="H21" s="211">
        <v>4360</v>
      </c>
      <c r="I21" s="257">
        <v>2230</v>
      </c>
      <c r="J21" s="211">
        <v>0</v>
      </c>
      <c r="K21" s="1147">
        <v>30854</v>
      </c>
      <c r="L21" s="193">
        <v>2.7781479013990751E-2</v>
      </c>
    </row>
    <row r="22" spans="1:12" ht="20" customHeight="1" thickBot="1">
      <c r="A22" s="896" t="s">
        <v>2389</v>
      </c>
      <c r="B22" s="211">
        <v>14334</v>
      </c>
      <c r="C22" s="257">
        <v>696</v>
      </c>
      <c r="D22" s="211">
        <v>385</v>
      </c>
      <c r="E22" s="257">
        <v>74</v>
      </c>
      <c r="F22" s="211">
        <v>2651</v>
      </c>
      <c r="G22" s="257">
        <v>1339</v>
      </c>
      <c r="H22" s="211">
        <v>1606</v>
      </c>
      <c r="I22" s="257">
        <v>756</v>
      </c>
      <c r="J22" s="211">
        <v>0</v>
      </c>
      <c r="K22" s="1147">
        <v>21841</v>
      </c>
      <c r="L22" s="193">
        <v>-0.3703404733761928</v>
      </c>
    </row>
    <row r="23" spans="1:12" ht="20" customHeight="1" thickBot="1">
      <c r="A23" s="896" t="s">
        <v>2390</v>
      </c>
      <c r="B23" s="211">
        <v>19955</v>
      </c>
      <c r="C23" s="257">
        <v>2751</v>
      </c>
      <c r="D23" s="211">
        <v>2334</v>
      </c>
      <c r="E23" s="257">
        <v>3317</v>
      </c>
      <c r="F23" s="211">
        <v>1668</v>
      </c>
      <c r="G23" s="257">
        <v>580</v>
      </c>
      <c r="H23" s="211">
        <v>1232</v>
      </c>
      <c r="I23" s="257">
        <v>760</v>
      </c>
      <c r="J23" s="211">
        <v>0</v>
      </c>
      <c r="K23" s="1147">
        <v>32597</v>
      </c>
      <c r="L23" s="193">
        <v>-1.1493207180980125E-2</v>
      </c>
    </row>
    <row r="24" spans="1:12" ht="20" customHeight="1" thickBot="1">
      <c r="A24" s="896" t="s">
        <v>2391</v>
      </c>
      <c r="B24" s="211" t="s">
        <v>1060</v>
      </c>
      <c r="C24" s="257" t="s">
        <v>1060</v>
      </c>
      <c r="D24" s="211" t="s">
        <v>1060</v>
      </c>
      <c r="E24" s="257" t="s">
        <v>1060</v>
      </c>
      <c r="F24" s="211">
        <v>1964</v>
      </c>
      <c r="G24" s="257">
        <v>1130</v>
      </c>
      <c r="H24" s="211">
        <v>1611</v>
      </c>
      <c r="I24" s="257">
        <v>757</v>
      </c>
      <c r="J24" s="211">
        <v>5607</v>
      </c>
      <c r="K24" s="1147">
        <v>11069</v>
      </c>
      <c r="L24" s="193">
        <v>-4.4787711425612664E-2</v>
      </c>
    </row>
    <row r="25" spans="1:12" ht="20" customHeight="1" thickBot="1">
      <c r="A25" s="896" t="s">
        <v>2392</v>
      </c>
      <c r="B25" s="211">
        <v>2559</v>
      </c>
      <c r="C25" s="257" t="s">
        <v>1060</v>
      </c>
      <c r="D25" s="211" t="s">
        <v>1060</v>
      </c>
      <c r="E25" s="257" t="s">
        <v>1060</v>
      </c>
      <c r="F25" s="211">
        <v>795</v>
      </c>
      <c r="G25" s="257">
        <v>661</v>
      </c>
      <c r="H25" s="211">
        <v>1061</v>
      </c>
      <c r="I25" s="257">
        <v>533</v>
      </c>
      <c r="J25" s="211">
        <v>238</v>
      </c>
      <c r="K25" s="1147">
        <v>5847</v>
      </c>
      <c r="L25" s="193">
        <v>0.13248111563044751</v>
      </c>
    </row>
    <row r="26" spans="1:12" ht="20" customHeight="1" thickBot="1">
      <c r="A26" s="896" t="s">
        <v>2393</v>
      </c>
      <c r="B26" s="211">
        <v>662</v>
      </c>
      <c r="C26" s="257">
        <v>107</v>
      </c>
      <c r="D26" s="211">
        <v>47</v>
      </c>
      <c r="E26" s="257">
        <v>14</v>
      </c>
      <c r="F26" s="211">
        <v>308</v>
      </c>
      <c r="G26" s="257">
        <v>265</v>
      </c>
      <c r="H26" s="211">
        <v>409</v>
      </c>
      <c r="I26" s="257">
        <v>273</v>
      </c>
      <c r="J26" s="211">
        <v>0</v>
      </c>
      <c r="K26" s="1147">
        <v>2085</v>
      </c>
      <c r="L26" s="193">
        <v>-0.18106834249803616</v>
      </c>
    </row>
    <row r="27" spans="1:12" ht="20" customHeight="1" thickBot="1">
      <c r="A27" s="896" t="s">
        <v>2394</v>
      </c>
      <c r="B27" s="211">
        <v>11625</v>
      </c>
      <c r="C27" s="257">
        <v>2226</v>
      </c>
      <c r="D27" s="211">
        <v>2356</v>
      </c>
      <c r="E27" s="257">
        <v>1673</v>
      </c>
      <c r="F27" s="211">
        <v>5337</v>
      </c>
      <c r="G27" s="257">
        <v>3918</v>
      </c>
      <c r="H27" s="211">
        <v>7843</v>
      </c>
      <c r="I27" s="257">
        <v>5525</v>
      </c>
      <c r="J27" s="211">
        <v>23927</v>
      </c>
      <c r="K27" s="1147">
        <v>64430</v>
      </c>
      <c r="L27" s="193">
        <v>-5.679187629247795E-3</v>
      </c>
    </row>
    <row r="28" spans="1:12" ht="20" customHeight="1" thickBot="1">
      <c r="A28" s="896" t="s">
        <v>2395</v>
      </c>
      <c r="B28" s="211">
        <v>14226</v>
      </c>
      <c r="C28" s="257" t="s">
        <v>1060</v>
      </c>
      <c r="D28" s="211" t="s">
        <v>1060</v>
      </c>
      <c r="E28" s="257" t="s">
        <v>1060</v>
      </c>
      <c r="F28" s="211" t="s">
        <v>1060</v>
      </c>
      <c r="G28" s="257" t="s">
        <v>1060</v>
      </c>
      <c r="H28" s="211" t="s">
        <v>1060</v>
      </c>
      <c r="I28" s="257" t="s">
        <v>1060</v>
      </c>
      <c r="J28" s="211">
        <v>13561</v>
      </c>
      <c r="K28" s="1147">
        <v>27787</v>
      </c>
      <c r="L28" s="193">
        <v>-1.8320281629427004E-3</v>
      </c>
    </row>
    <row r="29" spans="1:12" ht="20" customHeight="1" thickBot="1">
      <c r="A29" s="896" t="s">
        <v>2396</v>
      </c>
      <c r="B29" s="211">
        <v>27188</v>
      </c>
      <c r="C29" s="257">
        <v>2527</v>
      </c>
      <c r="D29" s="211">
        <v>2234</v>
      </c>
      <c r="E29" s="257">
        <v>798</v>
      </c>
      <c r="F29" s="211">
        <v>8053</v>
      </c>
      <c r="G29" s="257">
        <v>4876</v>
      </c>
      <c r="H29" s="211">
        <v>10956</v>
      </c>
      <c r="I29" s="257">
        <v>6562</v>
      </c>
      <c r="J29" s="211">
        <v>4820</v>
      </c>
      <c r="K29" s="1147">
        <v>68014</v>
      </c>
      <c r="L29" s="193">
        <v>0.13861452439146893</v>
      </c>
    </row>
    <row r="30" spans="1:12" ht="20" customHeight="1" thickBot="1">
      <c r="A30" s="896" t="s">
        <v>2397</v>
      </c>
      <c r="B30" s="211" t="s">
        <v>1060</v>
      </c>
      <c r="C30" s="257" t="s">
        <v>1060</v>
      </c>
      <c r="D30" s="211" t="s">
        <v>1060</v>
      </c>
      <c r="E30" s="257" t="s">
        <v>1060</v>
      </c>
      <c r="F30" s="211" t="s">
        <v>1060</v>
      </c>
      <c r="G30" s="257" t="s">
        <v>1060</v>
      </c>
      <c r="H30" s="211" t="s">
        <v>1060</v>
      </c>
      <c r="I30" s="257" t="s">
        <v>1060</v>
      </c>
      <c r="J30" s="211">
        <v>51257</v>
      </c>
      <c r="K30" s="1147">
        <v>51257</v>
      </c>
      <c r="L30" s="193">
        <v>-1.402300619397534E-2</v>
      </c>
    </row>
    <row r="31" spans="1:12" ht="20" customHeight="1" thickBot="1">
      <c r="A31" s="896" t="s">
        <v>2398</v>
      </c>
      <c r="B31" s="211">
        <v>34488</v>
      </c>
      <c r="C31" s="257">
        <v>3120</v>
      </c>
      <c r="D31" s="211">
        <v>1495</v>
      </c>
      <c r="E31" s="257">
        <v>323</v>
      </c>
      <c r="F31" s="211">
        <v>7959</v>
      </c>
      <c r="G31" s="257">
        <v>3632</v>
      </c>
      <c r="H31" s="211">
        <v>4914</v>
      </c>
      <c r="I31" s="257">
        <v>1588</v>
      </c>
      <c r="J31" s="211">
        <v>0</v>
      </c>
      <c r="K31" s="1147">
        <v>57519</v>
      </c>
      <c r="L31" s="193">
        <v>-7.3812859282160304E-2</v>
      </c>
    </row>
    <row r="32" spans="1:12" ht="20" customHeight="1" thickBot="1">
      <c r="A32" s="896" t="s">
        <v>2399</v>
      </c>
      <c r="B32" s="211">
        <v>44814</v>
      </c>
      <c r="C32" s="257">
        <v>4989</v>
      </c>
      <c r="D32" s="211">
        <v>2814</v>
      </c>
      <c r="E32" s="257">
        <v>825</v>
      </c>
      <c r="F32" s="211">
        <v>7656</v>
      </c>
      <c r="G32" s="257">
        <v>3836</v>
      </c>
      <c r="H32" s="211">
        <v>5525</v>
      </c>
      <c r="I32" s="257">
        <v>3314</v>
      </c>
      <c r="J32" s="211">
        <v>5224</v>
      </c>
      <c r="K32" s="1147">
        <v>78997</v>
      </c>
      <c r="L32" s="193">
        <v>5.2043568992721223E-3</v>
      </c>
    </row>
    <row r="33" spans="1:15" ht="20" customHeight="1" thickBot="1">
      <c r="A33" s="896" t="s">
        <v>2400</v>
      </c>
      <c r="B33" s="211">
        <v>34430.954746426658</v>
      </c>
      <c r="C33" s="257">
        <v>2710.9235341686012</v>
      </c>
      <c r="D33" s="211">
        <v>1710.6563185918776</v>
      </c>
      <c r="E33" s="257">
        <v>462.45396401978593</v>
      </c>
      <c r="F33" s="211">
        <v>4501.8807170837754</v>
      </c>
      <c r="G33" s="257">
        <v>2108.4124807023809</v>
      </c>
      <c r="H33" s="211">
        <v>4911.4670076350303</v>
      </c>
      <c r="I33" s="257">
        <v>2694.2257322593177</v>
      </c>
      <c r="J33" s="211">
        <v>0</v>
      </c>
      <c r="K33" s="1147">
        <v>53530.974500887431</v>
      </c>
      <c r="L33" s="193">
        <v>7.1798468332914922E-2</v>
      </c>
    </row>
    <row r="34" spans="1:15" ht="20" customHeight="1" thickBot="1">
      <c r="A34" s="896" t="s">
        <v>2401</v>
      </c>
      <c r="B34" s="211">
        <v>15809</v>
      </c>
      <c r="C34" s="257">
        <v>1783</v>
      </c>
      <c r="D34" s="211">
        <v>1004</v>
      </c>
      <c r="E34" s="257">
        <v>262</v>
      </c>
      <c r="F34" s="211">
        <v>2346</v>
      </c>
      <c r="G34" s="257">
        <v>1473</v>
      </c>
      <c r="H34" s="211">
        <v>2059</v>
      </c>
      <c r="I34" s="257">
        <v>981</v>
      </c>
      <c r="J34" s="211">
        <v>63</v>
      </c>
      <c r="K34" s="1147">
        <v>25780</v>
      </c>
      <c r="L34" s="193">
        <v>0.10529926256216782</v>
      </c>
    </row>
    <row r="35" spans="1:15" ht="20" customHeight="1" thickBot="1">
      <c r="A35" s="896" t="s">
        <v>2402</v>
      </c>
      <c r="B35" s="211">
        <v>57091</v>
      </c>
      <c r="C35" s="257">
        <v>7710</v>
      </c>
      <c r="D35" s="211">
        <v>3972</v>
      </c>
      <c r="E35" s="257">
        <v>1367</v>
      </c>
      <c r="F35" s="211">
        <v>10739</v>
      </c>
      <c r="G35" s="257">
        <v>5127</v>
      </c>
      <c r="H35" s="211">
        <v>4687</v>
      </c>
      <c r="I35" s="257">
        <v>2488</v>
      </c>
      <c r="J35" s="211">
        <v>0</v>
      </c>
      <c r="K35" s="1147">
        <v>93181</v>
      </c>
      <c r="L35" s="193">
        <v>-6.3766941426118828E-3</v>
      </c>
    </row>
    <row r="36" spans="1:15" ht="20" customHeight="1" thickBot="1">
      <c r="A36" s="896" t="s">
        <v>2403</v>
      </c>
      <c r="B36" s="211">
        <v>8662</v>
      </c>
      <c r="C36" s="257">
        <v>647</v>
      </c>
      <c r="D36" s="211">
        <v>425</v>
      </c>
      <c r="E36" s="257">
        <v>158</v>
      </c>
      <c r="F36" s="211">
        <v>1627</v>
      </c>
      <c r="G36" s="257">
        <v>442</v>
      </c>
      <c r="H36" s="211">
        <v>792</v>
      </c>
      <c r="I36" s="257">
        <v>799</v>
      </c>
      <c r="J36" s="211">
        <v>612</v>
      </c>
      <c r="K36" s="1147">
        <v>14164</v>
      </c>
      <c r="L36" s="193">
        <v>6.6808813077470219E-3</v>
      </c>
    </row>
    <row r="37" spans="1:15" ht="30" customHeight="1" thickBot="1">
      <c r="A37" s="425" t="s">
        <v>2404</v>
      </c>
      <c r="B37" s="430" t="s">
        <v>1060</v>
      </c>
      <c r="C37" s="431" t="s">
        <v>1060</v>
      </c>
      <c r="D37" s="430" t="s">
        <v>1060</v>
      </c>
      <c r="E37" s="431" t="s">
        <v>1060</v>
      </c>
      <c r="F37" s="430" t="s">
        <v>1060</v>
      </c>
      <c r="G37" s="431" t="s">
        <v>1060</v>
      </c>
      <c r="H37" s="430" t="s">
        <v>1060</v>
      </c>
      <c r="I37" s="431" t="s">
        <v>1060</v>
      </c>
      <c r="J37" s="442">
        <v>133968</v>
      </c>
      <c r="K37" s="571">
        <v>1211669.9745008873</v>
      </c>
      <c r="L37" s="506">
        <v>-1.1233573600834879E-2</v>
      </c>
      <c r="O37" s="3"/>
    </row>
    <row r="38" spans="1:15" ht="19.5" customHeight="1">
      <c r="A38" s="1094" t="s">
        <v>236</v>
      </c>
      <c r="B38" s="585"/>
      <c r="C38" s="585"/>
      <c r="D38" s="585"/>
      <c r="E38" s="585"/>
      <c r="F38" s="585"/>
      <c r="G38" s="585"/>
      <c r="H38" s="585"/>
      <c r="I38" s="585"/>
    </row>
    <row r="39" spans="1:15" ht="14.25" customHeight="1">
      <c r="A39" s="1095"/>
      <c r="B39" s="586"/>
      <c r="C39" s="586"/>
      <c r="D39" s="586"/>
      <c r="E39" s="586"/>
      <c r="F39" s="586"/>
      <c r="G39" s="586"/>
      <c r="H39" s="586"/>
      <c r="I39" s="586"/>
    </row>
    <row r="40" spans="1:15" ht="14.25" customHeight="1">
      <c r="A40" s="1095" t="s">
        <v>969</v>
      </c>
      <c r="B40" s="586"/>
      <c r="C40" s="586"/>
      <c r="D40" s="586"/>
      <c r="E40" s="586"/>
      <c r="F40" s="586"/>
      <c r="G40" s="586"/>
      <c r="H40" s="586"/>
      <c r="I40" s="586"/>
    </row>
    <row r="41" spans="1:15" ht="13.5" customHeight="1">
      <c r="A41" s="1095"/>
      <c r="B41" s="586"/>
      <c r="C41" s="586"/>
      <c r="D41" s="586"/>
      <c r="E41" s="586"/>
      <c r="F41" s="586"/>
      <c r="G41" s="586"/>
      <c r="H41" s="586"/>
      <c r="I41" s="586"/>
    </row>
    <row r="42" spans="1:15" ht="11.25" customHeight="1">
      <c r="A42" s="202" t="s">
        <v>2479</v>
      </c>
      <c r="B42" s="586"/>
      <c r="C42" s="586"/>
      <c r="D42" s="586"/>
      <c r="E42" s="586"/>
      <c r="F42" s="586"/>
      <c r="G42" s="586"/>
      <c r="H42" s="586"/>
      <c r="I42" s="586"/>
    </row>
    <row r="43" spans="1:15">
      <c r="A43" s="290" t="s">
        <v>2480</v>
      </c>
    </row>
    <row r="44" spans="1:15">
      <c r="A44" s="290" t="s">
        <v>2481</v>
      </c>
    </row>
    <row r="45" spans="1:15">
      <c r="A45" s="290" t="s">
        <v>2482</v>
      </c>
    </row>
    <row r="48" spans="1:15">
      <c r="A48" s="2" t="s">
        <v>711</v>
      </c>
    </row>
  </sheetData>
  <phoneticPr fontId="0" type="noConversion"/>
  <pageMargins left="0.43" right="0.47" top="0.83" bottom="0.49" header="0.47" footer="0.4921259845"/>
  <pageSetup paperSize="9" scale="71" orientation="portrait" horizontalDpi="1200" verticalDpi="12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C312-8F01-1947-8A8A-F7C604C3FB6C}">
  <sheetPr>
    <pageSetUpPr fitToPage="1"/>
  </sheetPr>
  <dimension ref="A1:J43"/>
  <sheetViews>
    <sheetView topLeftCell="A22" zoomScale="75" workbookViewId="0">
      <selection activeCell="E37" sqref="E37"/>
    </sheetView>
  </sheetViews>
  <sheetFormatPr baseColWidth="10" defaultColWidth="11.3984375" defaultRowHeight="13"/>
  <cols>
    <col min="1" max="8" width="12.19921875" style="2" customWidth="1"/>
    <col min="9" max="9" width="12" style="2" customWidth="1"/>
    <col min="10" max="10" width="14" style="2" customWidth="1"/>
    <col min="11" max="16384" width="11.3984375" style="2"/>
  </cols>
  <sheetData>
    <row r="1" spans="1:10" s="1" customFormat="1" ht="14" customHeight="1"/>
    <row r="2" spans="1:10" s="1" customFormat="1" ht="28" customHeight="1">
      <c r="A2" s="177" t="s">
        <v>2194</v>
      </c>
      <c r="J2" s="428">
        <v>2008</v>
      </c>
    </row>
    <row r="3" spans="1:10" ht="24" customHeight="1">
      <c r="A3" s="178" t="s">
        <v>2195</v>
      </c>
      <c r="B3" s="677" t="s">
        <v>2178</v>
      </c>
      <c r="C3" s="180"/>
      <c r="D3" s="179"/>
      <c r="E3" s="178"/>
      <c r="F3" s="677"/>
      <c r="G3" s="180"/>
      <c r="H3" s="677"/>
      <c r="I3" s="180"/>
      <c r="J3" s="677"/>
    </row>
    <row r="4" spans="1:10" ht="15" customHeight="1">
      <c r="A4" s="274"/>
      <c r="B4" s="182" t="s">
        <v>2179</v>
      </c>
      <c r="C4" s="245" t="s">
        <v>2180</v>
      </c>
      <c r="D4" s="209" t="s">
        <v>2181</v>
      </c>
      <c r="E4" s="245" t="s">
        <v>2182</v>
      </c>
      <c r="F4" s="209" t="s">
        <v>2183</v>
      </c>
      <c r="G4" s="245" t="s">
        <v>2184</v>
      </c>
      <c r="H4" s="209" t="s">
        <v>2185</v>
      </c>
      <c r="I4" s="245" t="s">
        <v>415</v>
      </c>
      <c r="J4" s="209" t="s">
        <v>2186</v>
      </c>
    </row>
    <row r="5" spans="1:10" ht="15" customHeight="1">
      <c r="A5" s="274"/>
      <c r="B5" s="182"/>
      <c r="C5" s="183" t="s">
        <v>2187</v>
      </c>
      <c r="D5" s="182" t="s">
        <v>2188</v>
      </c>
      <c r="E5" s="183" t="s">
        <v>2189</v>
      </c>
      <c r="F5" s="209" t="s">
        <v>2190</v>
      </c>
      <c r="G5" s="183" t="s">
        <v>2191</v>
      </c>
      <c r="H5" s="209" t="s">
        <v>2192</v>
      </c>
      <c r="I5" s="245" t="s">
        <v>2192</v>
      </c>
      <c r="J5" s="209" t="s">
        <v>2336</v>
      </c>
    </row>
    <row r="6" spans="1:10" ht="15" customHeight="1">
      <c r="A6" s="274"/>
      <c r="B6" s="182"/>
      <c r="C6" s="183"/>
      <c r="D6" s="182"/>
      <c r="E6" s="183"/>
      <c r="F6" s="209"/>
      <c r="G6" s="245"/>
      <c r="H6" s="209"/>
      <c r="I6" s="245"/>
      <c r="J6" s="209"/>
    </row>
    <row r="7" spans="1:10" ht="16" customHeight="1">
      <c r="A7" s="275"/>
      <c r="B7" s="188"/>
      <c r="C7" s="187"/>
      <c r="D7" s="188"/>
      <c r="E7" s="187"/>
      <c r="F7" s="210"/>
      <c r="G7" s="248"/>
      <c r="H7" s="210"/>
      <c r="I7" s="248"/>
      <c r="J7" s="210"/>
    </row>
    <row r="8" spans="1:10" ht="30" customHeight="1" thickBot="1">
      <c r="A8" s="884" t="s">
        <v>2378</v>
      </c>
      <c r="B8" s="191">
        <v>17934</v>
      </c>
      <c r="C8" s="192">
        <v>85815</v>
      </c>
      <c r="D8" s="191">
        <v>91929</v>
      </c>
      <c r="E8" s="192">
        <v>32562</v>
      </c>
      <c r="F8" s="191">
        <v>25824</v>
      </c>
      <c r="G8" s="192">
        <v>4657</v>
      </c>
      <c r="H8" s="191">
        <v>5317</v>
      </c>
      <c r="I8" s="192">
        <v>144</v>
      </c>
      <c r="J8" s="191">
        <v>820</v>
      </c>
    </row>
    <row r="9" spans="1:10" ht="20" customHeight="1" thickBot="1">
      <c r="A9" s="896" t="s">
        <v>2379</v>
      </c>
      <c r="B9" s="235">
        <v>44211</v>
      </c>
      <c r="C9" s="236">
        <v>38477</v>
      </c>
      <c r="D9" s="235">
        <v>34178</v>
      </c>
      <c r="E9" s="236">
        <v>12945</v>
      </c>
      <c r="F9" s="235">
        <v>5042</v>
      </c>
      <c r="G9" s="236">
        <v>2348</v>
      </c>
      <c r="H9" s="235">
        <v>635</v>
      </c>
      <c r="I9" s="236">
        <v>4</v>
      </c>
      <c r="J9" s="235">
        <v>0</v>
      </c>
    </row>
    <row r="10" spans="1:10" ht="20" customHeight="1" thickBot="1">
      <c r="A10" s="896" t="s">
        <v>2380</v>
      </c>
      <c r="B10" s="235">
        <v>6901</v>
      </c>
      <c r="C10" s="236">
        <v>19772</v>
      </c>
      <c r="D10" s="235">
        <v>18816</v>
      </c>
      <c r="E10" s="236">
        <v>17809</v>
      </c>
      <c r="F10" s="235">
        <v>2722</v>
      </c>
      <c r="G10" s="236">
        <v>1822</v>
      </c>
      <c r="H10" s="235">
        <v>2752</v>
      </c>
      <c r="I10" s="236">
        <v>38</v>
      </c>
      <c r="J10" s="235">
        <v>0</v>
      </c>
    </row>
    <row r="11" spans="1:10" ht="20" customHeight="1" thickBot="1">
      <c r="A11" s="896" t="s">
        <v>2381</v>
      </c>
      <c r="B11" s="235">
        <v>1007</v>
      </c>
      <c r="C11" s="236">
        <v>1066</v>
      </c>
      <c r="D11" s="235">
        <v>1771</v>
      </c>
      <c r="E11" s="236">
        <v>1902</v>
      </c>
      <c r="F11" s="235">
        <v>396</v>
      </c>
      <c r="G11" s="236">
        <v>329</v>
      </c>
      <c r="H11" s="235">
        <v>127</v>
      </c>
      <c r="I11" s="236">
        <v>0</v>
      </c>
      <c r="J11" s="235">
        <v>0</v>
      </c>
    </row>
    <row r="12" spans="1:10" ht="20" customHeight="1" thickBot="1">
      <c r="A12" s="896" t="s">
        <v>2382</v>
      </c>
      <c r="B12" s="235">
        <v>1758</v>
      </c>
      <c r="C12" s="236">
        <v>2628</v>
      </c>
      <c r="D12" s="235">
        <v>4733</v>
      </c>
      <c r="E12" s="236">
        <v>3041</v>
      </c>
      <c r="F12" s="235">
        <v>758</v>
      </c>
      <c r="G12" s="236">
        <v>276</v>
      </c>
      <c r="H12" s="235">
        <v>281</v>
      </c>
      <c r="I12" s="236">
        <v>0</v>
      </c>
      <c r="J12" s="235">
        <v>4705</v>
      </c>
    </row>
    <row r="13" spans="1:10" ht="20" customHeight="1" thickBot="1">
      <c r="A13" s="896" t="s">
        <v>2383</v>
      </c>
      <c r="B13" s="235">
        <v>1578</v>
      </c>
      <c r="C13" s="236">
        <v>1756</v>
      </c>
      <c r="D13" s="235">
        <v>3000</v>
      </c>
      <c r="E13" s="236">
        <v>1114</v>
      </c>
      <c r="F13" s="235">
        <v>370</v>
      </c>
      <c r="G13" s="236">
        <v>245</v>
      </c>
      <c r="H13" s="235">
        <v>95</v>
      </c>
      <c r="I13" s="236">
        <v>0</v>
      </c>
      <c r="J13" s="235">
        <v>0</v>
      </c>
    </row>
    <row r="14" spans="1:10" ht="20" customHeight="1" thickBot="1">
      <c r="A14" s="896" t="s">
        <v>2384</v>
      </c>
      <c r="B14" s="235">
        <v>1838</v>
      </c>
      <c r="C14" s="236">
        <v>2751</v>
      </c>
      <c r="D14" s="235">
        <v>2978</v>
      </c>
      <c r="E14" s="236">
        <v>675</v>
      </c>
      <c r="F14" s="235">
        <v>106</v>
      </c>
      <c r="G14" s="236">
        <v>38</v>
      </c>
      <c r="H14" s="235">
        <v>32</v>
      </c>
      <c r="I14" s="236">
        <v>0</v>
      </c>
      <c r="J14" s="235">
        <v>0</v>
      </c>
    </row>
    <row r="15" spans="1:10" ht="20" customHeight="1" thickBot="1">
      <c r="A15" s="896" t="s">
        <v>2385</v>
      </c>
      <c r="B15" s="235">
        <v>1120</v>
      </c>
      <c r="C15" s="236">
        <v>800</v>
      </c>
      <c r="D15" s="235">
        <v>1329</v>
      </c>
      <c r="E15" s="236">
        <v>841</v>
      </c>
      <c r="F15" s="235">
        <v>216</v>
      </c>
      <c r="G15" s="236">
        <v>82</v>
      </c>
      <c r="H15" s="235">
        <v>125</v>
      </c>
      <c r="I15" s="236">
        <v>0</v>
      </c>
      <c r="J15" s="235">
        <v>0</v>
      </c>
    </row>
    <row r="16" spans="1:10" ht="20" customHeight="1" thickBot="1">
      <c r="A16" s="896" t="s">
        <v>2386</v>
      </c>
      <c r="B16" s="235">
        <v>2051</v>
      </c>
      <c r="C16" s="236">
        <v>2189</v>
      </c>
      <c r="D16" s="235">
        <v>4221</v>
      </c>
      <c r="E16" s="236">
        <v>2868</v>
      </c>
      <c r="F16" s="235">
        <v>1124</v>
      </c>
      <c r="G16" s="236">
        <v>454</v>
      </c>
      <c r="H16" s="235">
        <v>500</v>
      </c>
      <c r="I16" s="236">
        <v>15</v>
      </c>
      <c r="J16" s="235">
        <v>0</v>
      </c>
    </row>
    <row r="17" spans="1:10" ht="20" customHeight="1" thickBot="1">
      <c r="A17" s="896" t="s">
        <v>2387</v>
      </c>
      <c r="B17" s="235">
        <v>491</v>
      </c>
      <c r="C17" s="236">
        <v>4243</v>
      </c>
      <c r="D17" s="235">
        <v>11744</v>
      </c>
      <c r="E17" s="236">
        <v>12806</v>
      </c>
      <c r="F17" s="235">
        <v>6138</v>
      </c>
      <c r="G17" s="236">
        <v>1830</v>
      </c>
      <c r="H17" s="235">
        <v>2662</v>
      </c>
      <c r="I17" s="236">
        <v>40</v>
      </c>
      <c r="J17" s="235">
        <v>0</v>
      </c>
    </row>
    <row r="18" spans="1:10" ht="20" customHeight="1" thickBot="1">
      <c r="A18" s="896" t="s">
        <v>2388</v>
      </c>
      <c r="B18" s="235">
        <v>4065</v>
      </c>
      <c r="C18" s="236">
        <v>6460</v>
      </c>
      <c r="D18" s="235">
        <v>9449</v>
      </c>
      <c r="E18" s="236">
        <v>6407</v>
      </c>
      <c r="F18" s="235">
        <v>2266</v>
      </c>
      <c r="G18" s="236">
        <v>1112</v>
      </c>
      <c r="H18" s="235">
        <v>1093</v>
      </c>
      <c r="I18" s="236">
        <v>2</v>
      </c>
      <c r="J18" s="235">
        <v>0</v>
      </c>
    </row>
    <row r="19" spans="1:10" ht="20" customHeight="1" thickBot="1">
      <c r="A19" s="896" t="s">
        <v>2389</v>
      </c>
      <c r="B19" s="235">
        <v>1067</v>
      </c>
      <c r="C19" s="236">
        <v>1679</v>
      </c>
      <c r="D19" s="235">
        <v>2915</v>
      </c>
      <c r="E19" s="236">
        <v>3452</v>
      </c>
      <c r="F19" s="235">
        <v>3303</v>
      </c>
      <c r="G19" s="236">
        <v>6382</v>
      </c>
      <c r="H19" s="235">
        <v>2873</v>
      </c>
      <c r="I19" s="236">
        <v>170</v>
      </c>
      <c r="J19" s="235">
        <v>0</v>
      </c>
    </row>
    <row r="20" spans="1:10" ht="20" customHeight="1" thickBot="1">
      <c r="A20" s="896" t="s">
        <v>2390</v>
      </c>
      <c r="B20" s="213">
        <v>1925</v>
      </c>
      <c r="C20" s="263">
        <v>7459</v>
      </c>
      <c r="D20" s="235">
        <v>18086</v>
      </c>
      <c r="E20" s="236">
        <v>3042</v>
      </c>
      <c r="F20" s="213">
        <v>1332</v>
      </c>
      <c r="G20" s="263">
        <v>484</v>
      </c>
      <c r="H20" s="213">
        <v>232</v>
      </c>
      <c r="I20" s="263">
        <v>37</v>
      </c>
      <c r="J20" s="213">
        <v>0</v>
      </c>
    </row>
    <row r="21" spans="1:10" ht="20" customHeight="1" thickBot="1">
      <c r="A21" s="896" t="s">
        <v>2391</v>
      </c>
      <c r="B21" s="235">
        <v>1385</v>
      </c>
      <c r="C21" s="236">
        <v>1406</v>
      </c>
      <c r="D21" s="235">
        <v>4935</v>
      </c>
      <c r="E21" s="236">
        <v>1676</v>
      </c>
      <c r="F21" s="235">
        <v>881</v>
      </c>
      <c r="G21" s="236">
        <v>483</v>
      </c>
      <c r="H21" s="235">
        <v>301</v>
      </c>
      <c r="I21" s="236">
        <v>2</v>
      </c>
      <c r="J21" s="235">
        <v>0</v>
      </c>
    </row>
    <row r="22" spans="1:10" ht="20" customHeight="1" thickBot="1">
      <c r="A22" s="896" t="s">
        <v>2392</v>
      </c>
      <c r="B22" s="235">
        <v>283</v>
      </c>
      <c r="C22" s="236">
        <v>453</v>
      </c>
      <c r="D22" s="235">
        <v>1181</v>
      </c>
      <c r="E22" s="236">
        <v>2358</v>
      </c>
      <c r="F22" s="235">
        <v>576</v>
      </c>
      <c r="G22" s="236">
        <v>424</v>
      </c>
      <c r="H22" s="235">
        <v>570</v>
      </c>
      <c r="I22" s="236">
        <v>2</v>
      </c>
      <c r="J22" s="235">
        <v>0</v>
      </c>
    </row>
    <row r="23" spans="1:10" ht="20" customHeight="1" thickBot="1">
      <c r="A23" s="896" t="s">
        <v>2393</v>
      </c>
      <c r="B23" s="235">
        <v>783</v>
      </c>
      <c r="C23" s="236">
        <v>501</v>
      </c>
      <c r="D23" s="235">
        <v>582</v>
      </c>
      <c r="E23" s="236">
        <v>159</v>
      </c>
      <c r="F23" s="235">
        <v>46</v>
      </c>
      <c r="G23" s="236">
        <v>11</v>
      </c>
      <c r="H23" s="235">
        <v>3</v>
      </c>
      <c r="I23" s="236">
        <v>0</v>
      </c>
      <c r="J23" s="235">
        <v>0</v>
      </c>
    </row>
    <row r="24" spans="1:10" ht="20" customHeight="1" thickBot="1">
      <c r="A24" s="896" t="s">
        <v>2394</v>
      </c>
      <c r="B24" s="235">
        <v>11800</v>
      </c>
      <c r="C24" s="236">
        <v>8926</v>
      </c>
      <c r="D24" s="235">
        <v>15387</v>
      </c>
      <c r="E24" s="236">
        <v>6225</v>
      </c>
      <c r="F24" s="235">
        <v>2524</v>
      </c>
      <c r="G24" s="236">
        <v>1208</v>
      </c>
      <c r="H24" s="235">
        <v>802</v>
      </c>
      <c r="I24" s="236">
        <v>41</v>
      </c>
      <c r="J24" s="235">
        <v>17517</v>
      </c>
    </row>
    <row r="25" spans="1:10" ht="20" customHeight="1" thickBot="1">
      <c r="A25" s="896" t="s">
        <v>2395</v>
      </c>
      <c r="B25" s="235">
        <v>3485</v>
      </c>
      <c r="C25" s="236">
        <v>5374</v>
      </c>
      <c r="D25" s="235">
        <v>7667</v>
      </c>
      <c r="E25" s="236">
        <v>8220</v>
      </c>
      <c r="F25" s="235">
        <v>1516</v>
      </c>
      <c r="G25" s="236">
        <v>707</v>
      </c>
      <c r="H25" s="235">
        <v>813</v>
      </c>
      <c r="I25" s="236">
        <v>5</v>
      </c>
      <c r="J25" s="235">
        <v>0</v>
      </c>
    </row>
    <row r="26" spans="1:10" ht="20" customHeight="1" thickBot="1">
      <c r="A26" s="896" t="s">
        <v>2396</v>
      </c>
      <c r="B26" s="235">
        <v>4792</v>
      </c>
      <c r="C26" s="236">
        <v>7567</v>
      </c>
      <c r="D26" s="235">
        <v>17839</v>
      </c>
      <c r="E26" s="236">
        <v>20842</v>
      </c>
      <c r="F26" s="235">
        <v>5628</v>
      </c>
      <c r="G26" s="236">
        <v>2614</v>
      </c>
      <c r="H26" s="235">
        <v>3801</v>
      </c>
      <c r="I26" s="236">
        <v>111</v>
      </c>
      <c r="J26" s="235">
        <v>4820</v>
      </c>
    </row>
    <row r="27" spans="1:10" ht="20" customHeight="1" thickBot="1">
      <c r="A27" s="896" t="s">
        <v>2397</v>
      </c>
      <c r="B27" s="235">
        <v>6532</v>
      </c>
      <c r="C27" s="236">
        <v>12619</v>
      </c>
      <c r="D27" s="235">
        <v>24320</v>
      </c>
      <c r="E27" s="236">
        <v>5493</v>
      </c>
      <c r="F27" s="235">
        <v>1792</v>
      </c>
      <c r="G27" s="236">
        <v>395</v>
      </c>
      <c r="H27" s="235">
        <v>106</v>
      </c>
      <c r="I27" s="236">
        <v>0</v>
      </c>
      <c r="J27" s="235">
        <v>0</v>
      </c>
    </row>
    <row r="28" spans="1:10" ht="20" customHeight="1" thickBot="1">
      <c r="A28" s="896" t="s">
        <v>2398</v>
      </c>
      <c r="B28" s="235">
        <v>3560</v>
      </c>
      <c r="C28" s="236">
        <v>4022</v>
      </c>
      <c r="D28" s="235">
        <v>8822</v>
      </c>
      <c r="E28" s="236">
        <v>15100</v>
      </c>
      <c r="F28" s="235">
        <v>15462</v>
      </c>
      <c r="G28" s="236">
        <v>2199</v>
      </c>
      <c r="H28" s="235">
        <v>8329</v>
      </c>
      <c r="I28" s="236">
        <v>25</v>
      </c>
      <c r="J28" s="235">
        <v>0</v>
      </c>
    </row>
    <row r="29" spans="1:10" ht="20" customHeight="1" thickBot="1">
      <c r="A29" s="896" t="s">
        <v>2399</v>
      </c>
      <c r="B29" s="235">
        <v>5623</v>
      </c>
      <c r="C29" s="236">
        <v>6456</v>
      </c>
      <c r="D29" s="235">
        <v>9556</v>
      </c>
      <c r="E29" s="236">
        <v>12821</v>
      </c>
      <c r="F29" s="235">
        <v>27996</v>
      </c>
      <c r="G29" s="236">
        <v>4389</v>
      </c>
      <c r="H29" s="235">
        <v>11807</v>
      </c>
      <c r="I29" s="236">
        <v>349</v>
      </c>
      <c r="J29" s="235">
        <v>0</v>
      </c>
    </row>
    <row r="30" spans="1:10" ht="20" customHeight="1" thickBot="1">
      <c r="A30" s="896" t="s">
        <v>2400</v>
      </c>
      <c r="B30" s="235">
        <v>875.79247839191771</v>
      </c>
      <c r="C30" s="236">
        <v>5698.6642161753443</v>
      </c>
      <c r="D30" s="235">
        <v>17787.610959997481</v>
      </c>
      <c r="E30" s="236">
        <v>19399.594104117874</v>
      </c>
      <c r="F30" s="235">
        <v>3574.5992501496548</v>
      </c>
      <c r="G30" s="236">
        <v>3027.1193879372813</v>
      </c>
      <c r="H30" s="235">
        <v>3158.640796479694</v>
      </c>
      <c r="I30" s="236">
        <v>8.9533076381814549</v>
      </c>
      <c r="J30" s="235">
        <v>0</v>
      </c>
    </row>
    <row r="31" spans="1:10" ht="20" customHeight="1" thickBot="1">
      <c r="A31" s="896" t="s">
        <v>2401</v>
      </c>
      <c r="B31" s="235">
        <v>3350</v>
      </c>
      <c r="C31" s="236">
        <v>3661</v>
      </c>
      <c r="D31" s="235">
        <v>4846</v>
      </c>
      <c r="E31" s="236">
        <v>2427</v>
      </c>
      <c r="F31" s="235">
        <v>8391</v>
      </c>
      <c r="G31" s="236">
        <v>1115</v>
      </c>
      <c r="H31" s="235">
        <v>1938</v>
      </c>
      <c r="I31" s="236">
        <v>52</v>
      </c>
      <c r="J31" s="235">
        <v>0</v>
      </c>
    </row>
    <row r="32" spans="1:10" ht="20" customHeight="1" thickBot="1">
      <c r="A32" s="896" t="s">
        <v>2402</v>
      </c>
      <c r="B32" s="235">
        <v>15278</v>
      </c>
      <c r="C32" s="236">
        <v>24414</v>
      </c>
      <c r="D32" s="235">
        <v>14229</v>
      </c>
      <c r="E32" s="236">
        <v>8181</v>
      </c>
      <c r="F32" s="235">
        <v>8364</v>
      </c>
      <c r="G32" s="236">
        <v>16879</v>
      </c>
      <c r="H32" s="235">
        <v>5373</v>
      </c>
      <c r="I32" s="236">
        <v>463</v>
      </c>
      <c r="J32" s="235">
        <v>0</v>
      </c>
    </row>
    <row r="33" spans="1:10" ht="20" customHeight="1" thickBot="1">
      <c r="A33" s="896" t="s">
        <v>2403</v>
      </c>
      <c r="B33" s="235">
        <v>3013</v>
      </c>
      <c r="C33" s="236">
        <v>2557</v>
      </c>
      <c r="D33" s="235">
        <v>3280</v>
      </c>
      <c r="E33" s="236">
        <v>1257</v>
      </c>
      <c r="F33" s="235">
        <v>2895</v>
      </c>
      <c r="G33" s="236">
        <v>336</v>
      </c>
      <c r="H33" s="235">
        <v>777</v>
      </c>
      <c r="I33" s="236">
        <v>49</v>
      </c>
      <c r="J33" s="235">
        <v>0</v>
      </c>
    </row>
    <row r="34" spans="1:10" ht="30" customHeight="1" thickBot="1">
      <c r="A34" s="425" t="s">
        <v>2404</v>
      </c>
      <c r="B34" s="424">
        <v>146705.7924783919</v>
      </c>
      <c r="C34" s="425">
        <v>258749.66421617536</v>
      </c>
      <c r="D34" s="424">
        <v>335580.61095999746</v>
      </c>
      <c r="E34" s="425">
        <v>203622.59410411789</v>
      </c>
      <c r="F34" s="424">
        <v>129242.59925014965</v>
      </c>
      <c r="G34" s="425">
        <v>53846.11938793728</v>
      </c>
      <c r="H34" s="424">
        <v>54502.640796479696</v>
      </c>
      <c r="I34" s="752">
        <v>1557.9533076381813</v>
      </c>
      <c r="J34" s="763">
        <v>27862</v>
      </c>
    </row>
    <row r="35" spans="1:10" ht="20" customHeight="1">
      <c r="A35" s="1094" t="s">
        <v>236</v>
      </c>
      <c r="B35" s="585"/>
      <c r="C35" s="585"/>
      <c r="D35" s="585"/>
      <c r="E35" s="585"/>
      <c r="F35" s="585"/>
      <c r="G35" s="585"/>
      <c r="H35" s="585"/>
    </row>
    <row r="36" spans="1:10" ht="14.25" customHeight="1">
      <c r="A36" s="1095"/>
      <c r="B36" s="586"/>
      <c r="C36" s="586"/>
      <c r="D36" s="586"/>
      <c r="E36" s="586"/>
      <c r="F36" s="586"/>
      <c r="G36" s="586"/>
      <c r="H36" s="586"/>
    </row>
    <row r="37" spans="1:10" ht="20" customHeight="1">
      <c r="A37" s="1095" t="s">
        <v>969</v>
      </c>
      <c r="B37" s="586"/>
      <c r="C37" s="586"/>
      <c r="D37" s="586"/>
      <c r="E37" s="586"/>
      <c r="F37" s="586"/>
      <c r="G37" s="586"/>
      <c r="H37" s="586"/>
    </row>
    <row r="38" spans="1:10" ht="13.5" customHeight="1">
      <c r="A38" s="1095"/>
      <c r="B38" s="586"/>
      <c r="C38" s="586"/>
      <c r="D38" s="586"/>
      <c r="E38" s="586"/>
      <c r="F38" s="586"/>
      <c r="G38" s="586"/>
      <c r="H38" s="586"/>
    </row>
    <row r="39" spans="1:10" ht="14.25" customHeight="1">
      <c r="A39" s="202" t="s">
        <v>2479</v>
      </c>
      <c r="B39" s="586"/>
      <c r="C39" s="586"/>
      <c r="D39" s="586"/>
      <c r="E39" s="586"/>
      <c r="F39" s="586"/>
      <c r="G39" s="586"/>
      <c r="H39" s="586"/>
    </row>
    <row r="40" spans="1:10" ht="14.25" customHeight="1">
      <c r="A40" s="290" t="s">
        <v>2193</v>
      </c>
      <c r="B40" s="586"/>
      <c r="C40" s="586"/>
      <c r="D40" s="586"/>
      <c r="E40" s="586"/>
      <c r="F40" s="586"/>
      <c r="G40" s="586"/>
      <c r="H40" s="586"/>
    </row>
    <row r="41" spans="1:10" ht="11.25" customHeight="1">
      <c r="A41" s="202"/>
      <c r="B41" s="586"/>
      <c r="C41" s="586"/>
      <c r="D41" s="586"/>
      <c r="E41" s="586"/>
      <c r="F41" s="586"/>
      <c r="G41" s="586"/>
      <c r="H41" s="586"/>
    </row>
    <row r="42" spans="1:10" ht="11.25" customHeight="1">
      <c r="A42" s="202"/>
      <c r="B42" s="586"/>
      <c r="C42" s="586"/>
      <c r="D42" s="586"/>
      <c r="E42" s="586"/>
      <c r="F42" s="586"/>
      <c r="G42" s="586"/>
      <c r="H42" s="586"/>
    </row>
    <row r="43" spans="1:10">
      <c r="A43" s="1096" t="s">
        <v>711</v>
      </c>
    </row>
  </sheetData>
  <phoneticPr fontId="0" type="noConversion"/>
  <pageMargins left="0.46" right="0.4" top="0.83" bottom="0.49" header="0.51" footer="0.4921259845"/>
  <pageSetup paperSize="9" scale="76" orientation="portrait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B3FF-440D-0749-A1F4-09ACEB62FBD7}">
  <sheetPr>
    <pageSetUpPr fitToPage="1"/>
  </sheetPr>
  <dimension ref="A1:K40"/>
  <sheetViews>
    <sheetView zoomScale="75" workbookViewId="0">
      <selection activeCell="I2" sqref="I2"/>
    </sheetView>
  </sheetViews>
  <sheetFormatPr baseColWidth="10" defaultColWidth="11.3984375" defaultRowHeight="13"/>
  <cols>
    <col min="1" max="1" width="13.19921875" style="2" customWidth="1"/>
    <col min="2" max="4" width="15.3984375" style="2" customWidth="1"/>
    <col min="5" max="7" width="13.19921875" style="2" customWidth="1"/>
    <col min="8" max="8" width="12.796875" style="2" customWidth="1"/>
    <col min="9" max="9" width="13.796875" style="92" customWidth="1"/>
    <col min="10" max="11" width="11.3984375" style="3"/>
    <col min="12" max="16384" width="11.3984375" style="2"/>
  </cols>
  <sheetData>
    <row r="1" spans="1:11" s="1" customFormat="1" ht="14" customHeight="1">
      <c r="I1" s="227"/>
      <c r="J1" s="49"/>
      <c r="K1" s="49"/>
    </row>
    <row r="2" spans="1:11" s="1" customFormat="1" ht="28" customHeight="1">
      <c r="A2" s="2017" t="s">
        <v>198</v>
      </c>
      <c r="B2" s="2021"/>
      <c r="C2" s="2021"/>
      <c r="D2" s="2021"/>
      <c r="E2" s="2021"/>
      <c r="F2" s="2021"/>
      <c r="G2" s="433">
        <v>2008</v>
      </c>
      <c r="J2" s="1098"/>
      <c r="K2" s="1098"/>
    </row>
    <row r="3" spans="1:11" ht="24" customHeight="1">
      <c r="A3" s="178" t="s">
        <v>2368</v>
      </c>
      <c r="B3" s="2026" t="s">
        <v>199</v>
      </c>
      <c r="C3" s="2027"/>
      <c r="D3" s="2027"/>
      <c r="E3" s="2028" t="s">
        <v>1918</v>
      </c>
      <c r="F3" s="2027"/>
      <c r="G3" s="2027"/>
      <c r="J3" s="1151"/>
      <c r="K3" s="1151"/>
    </row>
    <row r="4" spans="1:11" ht="15" customHeight="1">
      <c r="A4" s="274"/>
      <c r="B4" s="182" t="s">
        <v>1902</v>
      </c>
      <c r="C4" s="245" t="s">
        <v>1903</v>
      </c>
      <c r="D4" s="209" t="s">
        <v>164</v>
      </c>
      <c r="E4" s="245" t="s">
        <v>1902</v>
      </c>
      <c r="F4" s="209" t="s">
        <v>1903</v>
      </c>
      <c r="G4" s="183" t="s">
        <v>164</v>
      </c>
      <c r="J4" s="1152"/>
      <c r="K4" s="1151"/>
    </row>
    <row r="5" spans="1:11" ht="18.75" customHeight="1">
      <c r="A5" s="274"/>
      <c r="B5" s="182" t="s">
        <v>2232</v>
      </c>
      <c r="C5" s="183" t="s">
        <v>2232</v>
      </c>
      <c r="D5" s="182" t="s">
        <v>2232</v>
      </c>
      <c r="E5" s="245" t="s">
        <v>2232</v>
      </c>
      <c r="F5" s="209" t="s">
        <v>2232</v>
      </c>
      <c r="G5" s="183" t="s">
        <v>2232</v>
      </c>
      <c r="J5" s="1152"/>
      <c r="K5" s="1151"/>
    </row>
    <row r="6" spans="1:11" ht="15" customHeight="1">
      <c r="A6" s="274"/>
      <c r="B6" s="182"/>
      <c r="C6" s="183"/>
      <c r="D6" s="182"/>
      <c r="E6" s="245"/>
      <c r="F6" s="209"/>
      <c r="G6" s="183"/>
      <c r="J6" s="1153"/>
      <c r="K6" s="1151"/>
    </row>
    <row r="7" spans="1:11" ht="16" customHeight="1">
      <c r="A7" s="275"/>
      <c r="B7" s="188"/>
      <c r="C7" s="187"/>
      <c r="D7" s="188"/>
      <c r="E7" s="248"/>
      <c r="F7" s="210"/>
      <c r="G7" s="187"/>
      <c r="J7" s="608"/>
      <c r="K7" s="1154"/>
    </row>
    <row r="8" spans="1:11" ht="30" customHeight="1" thickBot="1">
      <c r="A8" s="884" t="s">
        <v>2378</v>
      </c>
      <c r="B8" s="191">
        <v>647465</v>
      </c>
      <c r="C8" s="192">
        <v>668890</v>
      </c>
      <c r="D8" s="191">
        <v>1316357</v>
      </c>
      <c r="E8" s="759">
        <v>0.27951317831851913</v>
      </c>
      <c r="F8" s="664">
        <v>0.32027388658822825</v>
      </c>
      <c r="G8" s="759">
        <v>0.30022478704485184</v>
      </c>
      <c r="J8" s="1155"/>
      <c r="K8" s="1156"/>
    </row>
    <row r="9" spans="1:11" ht="20" customHeight="1" thickBot="1">
      <c r="A9" s="896" t="s">
        <v>2379</v>
      </c>
      <c r="B9" s="191">
        <v>466688</v>
      </c>
      <c r="C9" s="192">
        <v>495420</v>
      </c>
      <c r="D9" s="191">
        <v>962110</v>
      </c>
      <c r="E9" s="759">
        <v>0.29287232583653316</v>
      </c>
      <c r="F9" s="664">
        <v>0.3108655282386662</v>
      </c>
      <c r="G9" s="759">
        <v>0.30213696978515969</v>
      </c>
      <c r="J9" s="1155"/>
      <c r="K9" s="1156"/>
    </row>
    <row r="10" spans="1:11" ht="20" customHeight="1" thickBot="1">
      <c r="A10" s="896" t="s">
        <v>2380</v>
      </c>
      <c r="B10" s="191">
        <v>180838</v>
      </c>
      <c r="C10" s="192">
        <v>186364</v>
      </c>
      <c r="D10" s="191">
        <v>367201</v>
      </c>
      <c r="E10" s="759">
        <v>0.36054369103838796</v>
      </c>
      <c r="F10" s="664">
        <v>0.37878560236955633</v>
      </c>
      <c r="G10" s="759">
        <v>0.3698029144800804</v>
      </c>
      <c r="J10" s="1155"/>
      <c r="K10" s="1156"/>
    </row>
    <row r="11" spans="1:11" ht="20" customHeight="1" thickBot="1">
      <c r="A11" s="896" t="s">
        <v>2381</v>
      </c>
      <c r="B11" s="191">
        <v>17629</v>
      </c>
      <c r="C11" s="192">
        <v>17508</v>
      </c>
      <c r="D11" s="191">
        <v>35139</v>
      </c>
      <c r="E11" s="759">
        <v>0.40110045947019118</v>
      </c>
      <c r="F11" s="664">
        <v>0.42283527530271875</v>
      </c>
      <c r="G11" s="759">
        <v>0.41190699792253621</v>
      </c>
      <c r="J11" s="1155"/>
      <c r="K11" s="1156"/>
    </row>
    <row r="12" spans="1:11" ht="20" customHeight="1" thickBot="1">
      <c r="A12" s="896" t="s">
        <v>2382</v>
      </c>
      <c r="B12" s="191">
        <v>72224</v>
      </c>
      <c r="C12" s="192">
        <v>70231</v>
      </c>
      <c r="D12" s="191">
        <v>142457</v>
      </c>
      <c r="E12" s="759">
        <v>0.24748006202924236</v>
      </c>
      <c r="F12" s="664">
        <v>0.27792570232518404</v>
      </c>
      <c r="G12" s="759">
        <v>0.26248622391318083</v>
      </c>
      <c r="J12" s="1155"/>
      <c r="K12" s="1156"/>
    </row>
    <row r="13" spans="1:11" ht="20" customHeight="1" thickBot="1">
      <c r="A13" s="896" t="s">
        <v>2383</v>
      </c>
      <c r="B13" s="191">
        <v>17360</v>
      </c>
      <c r="C13" s="192">
        <v>17404</v>
      </c>
      <c r="D13" s="191">
        <v>34761</v>
      </c>
      <c r="E13" s="759">
        <v>0.42540322580645162</v>
      </c>
      <c r="F13" s="664">
        <v>0.45857274189841418</v>
      </c>
      <c r="G13" s="759">
        <v>0.44204712177440236</v>
      </c>
      <c r="J13" s="1155"/>
      <c r="K13" s="1156"/>
    </row>
    <row r="14" spans="1:11" ht="20" customHeight="1" thickBot="1">
      <c r="A14" s="896" t="s">
        <v>2384</v>
      </c>
      <c r="B14" s="191">
        <v>20232</v>
      </c>
      <c r="C14" s="192">
        <v>19773</v>
      </c>
      <c r="D14" s="191">
        <v>40007</v>
      </c>
      <c r="E14" s="759">
        <v>0.43821668643732703</v>
      </c>
      <c r="F14" s="664">
        <v>0.4732210590198756</v>
      </c>
      <c r="G14" s="759">
        <v>0.45549528832454322</v>
      </c>
      <c r="J14" s="1155"/>
      <c r="K14" s="1156"/>
    </row>
    <row r="15" spans="1:11" ht="20" customHeight="1" thickBot="1">
      <c r="A15" s="896" t="s">
        <v>2385</v>
      </c>
      <c r="B15" s="191">
        <v>19065</v>
      </c>
      <c r="C15" s="192">
        <v>19251</v>
      </c>
      <c r="D15" s="191">
        <v>38316</v>
      </c>
      <c r="E15" s="759">
        <v>0.23346446367689483</v>
      </c>
      <c r="F15" s="664">
        <v>0.257960625422056</v>
      </c>
      <c r="G15" s="759">
        <v>0.24577200125274037</v>
      </c>
      <c r="J15" s="1155"/>
      <c r="K15" s="1156"/>
    </row>
    <row r="16" spans="1:11" ht="20" customHeight="1" thickBot="1">
      <c r="A16" s="896" t="s">
        <v>2386</v>
      </c>
      <c r="B16" s="191">
        <v>54979</v>
      </c>
      <c r="C16" s="192">
        <v>54441</v>
      </c>
      <c r="D16" s="191">
        <v>109420</v>
      </c>
      <c r="E16" s="759">
        <v>0.25200531111879082</v>
      </c>
      <c r="F16" s="664">
        <v>0.29110413107768041</v>
      </c>
      <c r="G16" s="759">
        <v>0.27145859989033083</v>
      </c>
      <c r="J16" s="1155"/>
      <c r="K16" s="1156"/>
    </row>
    <row r="17" spans="1:11" ht="20" customHeight="1" thickBot="1">
      <c r="A17" s="896" t="s">
        <v>2387</v>
      </c>
      <c r="B17" s="191">
        <v>133089</v>
      </c>
      <c r="C17" s="192">
        <v>134417</v>
      </c>
      <c r="D17" s="191">
        <v>267506</v>
      </c>
      <c r="E17" s="759">
        <v>0.26125374749227959</v>
      </c>
      <c r="F17" s="664">
        <v>0.31484112872627718</v>
      </c>
      <c r="G17" s="759">
        <v>0.28818045202724424</v>
      </c>
      <c r="J17" s="1155"/>
      <c r="K17" s="1156"/>
    </row>
    <row r="18" spans="1:11" ht="20" customHeight="1" thickBot="1">
      <c r="A18" s="896" t="s">
        <v>2388</v>
      </c>
      <c r="B18" s="191">
        <v>124429</v>
      </c>
      <c r="C18" s="192">
        <v>127929</v>
      </c>
      <c r="D18" s="191">
        <v>252360</v>
      </c>
      <c r="E18" s="759">
        <v>0.29503572318350224</v>
      </c>
      <c r="F18" s="664">
        <v>0.3216627973328956</v>
      </c>
      <c r="G18" s="759">
        <v>0.30853146298938022</v>
      </c>
      <c r="J18" s="1155"/>
      <c r="K18" s="1156"/>
    </row>
    <row r="19" spans="1:11" ht="20" customHeight="1" thickBot="1">
      <c r="A19" s="896" t="s">
        <v>2389</v>
      </c>
      <c r="B19" s="191">
        <v>85023</v>
      </c>
      <c r="C19" s="192">
        <v>94000</v>
      </c>
      <c r="D19" s="191">
        <v>179022</v>
      </c>
      <c r="E19" s="759">
        <v>0.24505133904943369</v>
      </c>
      <c r="F19" s="664">
        <v>0.2766382978723404</v>
      </c>
      <c r="G19" s="759">
        <v>0.26163823440694439</v>
      </c>
      <c r="J19" s="1155"/>
      <c r="K19" s="1156"/>
    </row>
    <row r="20" spans="1:11" ht="20" customHeight="1" thickBot="1">
      <c r="A20" s="896" t="s">
        <v>2390</v>
      </c>
      <c r="B20" s="191">
        <v>131971</v>
      </c>
      <c r="C20" s="192">
        <v>137928</v>
      </c>
      <c r="D20" s="191">
        <v>269898</v>
      </c>
      <c r="E20" s="759">
        <v>0.22323086132559425</v>
      </c>
      <c r="F20" s="664">
        <v>0.23029406646946232</v>
      </c>
      <c r="G20" s="759">
        <v>0.2268412511393193</v>
      </c>
      <c r="J20" s="1155"/>
      <c r="K20" s="1156"/>
    </row>
    <row r="21" spans="1:11" ht="20" customHeight="1" thickBot="1">
      <c r="A21" s="896" t="s">
        <v>2391</v>
      </c>
      <c r="B21" s="191">
        <v>37407</v>
      </c>
      <c r="C21" s="192">
        <v>38636</v>
      </c>
      <c r="D21" s="191">
        <v>76042</v>
      </c>
      <c r="E21" s="759">
        <v>0.30149437271098994</v>
      </c>
      <c r="F21" s="664">
        <v>0.31315353556268766</v>
      </c>
      <c r="G21" s="759">
        <v>0.30742221403960968</v>
      </c>
      <c r="J21" s="1155"/>
      <c r="K21" s="1156"/>
    </row>
    <row r="22" spans="1:11" ht="20" customHeight="1" thickBot="1">
      <c r="A22" s="896" t="s">
        <v>2392</v>
      </c>
      <c r="B22" s="191">
        <v>26656</v>
      </c>
      <c r="C22" s="192">
        <v>26736</v>
      </c>
      <c r="D22" s="191">
        <v>53390</v>
      </c>
      <c r="E22" s="759">
        <v>0.26560624249699882</v>
      </c>
      <c r="F22" s="664">
        <v>0.27954817474566129</v>
      </c>
      <c r="G22" s="759">
        <v>0.27259786476868325</v>
      </c>
      <c r="J22" s="1155"/>
      <c r="K22" s="1156"/>
    </row>
    <row r="23" spans="1:11" ht="20" customHeight="1" thickBot="1">
      <c r="A23" s="896" t="s">
        <v>2393</v>
      </c>
      <c r="B23" s="191">
        <v>7883</v>
      </c>
      <c r="C23" s="192">
        <v>7563</v>
      </c>
      <c r="D23" s="191">
        <v>15447</v>
      </c>
      <c r="E23" s="759">
        <v>0.40492198401623747</v>
      </c>
      <c r="F23" s="664">
        <v>0.41187359513420602</v>
      </c>
      <c r="G23" s="759">
        <v>0.40829934615135627</v>
      </c>
      <c r="J23" s="1155"/>
      <c r="K23" s="1156"/>
    </row>
    <row r="24" spans="1:11" ht="20" customHeight="1" thickBot="1">
      <c r="A24" s="896" t="s">
        <v>2394</v>
      </c>
      <c r="B24" s="191">
        <v>232215</v>
      </c>
      <c r="C24" s="192">
        <v>237319</v>
      </c>
      <c r="D24" s="191">
        <v>469534</v>
      </c>
      <c r="E24" s="759">
        <v>0.3176754300971083</v>
      </c>
      <c r="F24" s="664">
        <v>0.32941736649825765</v>
      </c>
      <c r="G24" s="759">
        <v>0.32361021779040494</v>
      </c>
      <c r="J24" s="1155"/>
      <c r="K24" s="1156"/>
    </row>
    <row r="25" spans="1:11" ht="20" customHeight="1" thickBot="1">
      <c r="A25" s="896" t="s">
        <v>2395</v>
      </c>
      <c r="B25" s="191">
        <v>96574</v>
      </c>
      <c r="C25" s="192">
        <v>97701</v>
      </c>
      <c r="D25" s="191">
        <v>194275</v>
      </c>
      <c r="E25" s="759">
        <v>0.28236378321287303</v>
      </c>
      <c r="F25" s="664">
        <v>0.3159230714117563</v>
      </c>
      <c r="G25" s="759">
        <v>0.29924076695405999</v>
      </c>
      <c r="J25" s="1155"/>
      <c r="K25" s="1156"/>
    </row>
    <row r="26" spans="1:11" ht="20" customHeight="1" thickBot="1">
      <c r="A26" s="896" t="s">
        <v>2396</v>
      </c>
      <c r="B26" s="191">
        <v>295168</v>
      </c>
      <c r="C26" s="192">
        <v>296611</v>
      </c>
      <c r="D26" s="191">
        <v>591778</v>
      </c>
      <c r="E26" s="759">
        <v>0.24408811253252385</v>
      </c>
      <c r="F26" s="664">
        <v>0.27024621473917015</v>
      </c>
      <c r="G26" s="759">
        <v>0.25719949034942158</v>
      </c>
      <c r="J26" s="1155"/>
      <c r="K26" s="1156"/>
    </row>
    <row r="27" spans="1:11" ht="20" customHeight="1" thickBot="1">
      <c r="A27" s="896" t="s">
        <v>2397</v>
      </c>
      <c r="B27" s="191">
        <v>120781</v>
      </c>
      <c r="C27" s="192">
        <v>121003</v>
      </c>
      <c r="D27" s="191">
        <v>241783</v>
      </c>
      <c r="E27" s="759">
        <v>0.37111797385350342</v>
      </c>
      <c r="F27" s="664">
        <v>0.39803971802352006</v>
      </c>
      <c r="G27" s="759">
        <v>0.38459279601957125</v>
      </c>
      <c r="J27" s="1155"/>
      <c r="K27" s="1156"/>
    </row>
    <row r="28" spans="1:11" ht="20" customHeight="1" thickBot="1">
      <c r="A28" s="896" t="s">
        <v>2398</v>
      </c>
      <c r="B28" s="191">
        <v>155522</v>
      </c>
      <c r="C28" s="192">
        <v>168290</v>
      </c>
      <c r="D28" s="191">
        <v>323810</v>
      </c>
      <c r="E28" s="759">
        <v>0.2824616452977714</v>
      </c>
      <c r="F28" s="664">
        <v>0.3391764216530988</v>
      </c>
      <c r="G28" s="759">
        <v>0.31193910008955872</v>
      </c>
      <c r="J28" s="1155"/>
      <c r="K28" s="1156"/>
    </row>
    <row r="29" spans="1:11" ht="20" customHeight="1" thickBot="1">
      <c r="A29" s="896" t="s">
        <v>2399</v>
      </c>
      <c r="B29" s="191">
        <v>323494</v>
      </c>
      <c r="C29" s="192">
        <v>344300</v>
      </c>
      <c r="D29" s="191">
        <v>667794</v>
      </c>
      <c r="E29" s="759">
        <v>0.19665897976469424</v>
      </c>
      <c r="F29" s="664">
        <v>0.22956142898634913</v>
      </c>
      <c r="G29" s="759">
        <v>0.21362276390623455</v>
      </c>
      <c r="J29" s="1155"/>
      <c r="K29" s="1156"/>
    </row>
    <row r="30" spans="1:11" ht="20" customHeight="1" thickBot="1">
      <c r="A30" s="896" t="s">
        <v>2400</v>
      </c>
      <c r="B30" s="191">
        <v>150902</v>
      </c>
      <c r="C30" s="192">
        <v>153883</v>
      </c>
      <c r="D30" s="191">
        <v>304785</v>
      </c>
      <c r="E30" s="759">
        <v>0.28537904135777981</v>
      </c>
      <c r="F30" s="664">
        <v>0.33571435376895636</v>
      </c>
      <c r="G30" s="759">
        <v>0.31079285397903439</v>
      </c>
      <c r="J30" s="1155"/>
      <c r="K30" s="1156"/>
    </row>
    <row r="31" spans="1:11" ht="20" customHeight="1" thickBot="1">
      <c r="A31" s="896" t="s">
        <v>2401</v>
      </c>
      <c r="B31" s="191">
        <v>82321</v>
      </c>
      <c r="C31" s="192">
        <v>87487</v>
      </c>
      <c r="D31" s="191">
        <v>169809</v>
      </c>
      <c r="E31" s="759">
        <v>0.23720557330450309</v>
      </c>
      <c r="F31" s="664">
        <v>0.27588098803250771</v>
      </c>
      <c r="G31" s="759">
        <v>0.25713006966650764</v>
      </c>
      <c r="J31" s="1155"/>
      <c r="K31" s="1156"/>
    </row>
    <row r="32" spans="1:11" ht="20" customHeight="1" thickBot="1">
      <c r="A32" s="896" t="s">
        <v>2402</v>
      </c>
      <c r="B32" s="191">
        <v>197106</v>
      </c>
      <c r="C32" s="192">
        <v>212982</v>
      </c>
      <c r="D32" s="191">
        <v>410088</v>
      </c>
      <c r="E32" s="759">
        <v>0.31813846356782643</v>
      </c>
      <c r="F32" s="664">
        <v>0.334863979115606</v>
      </c>
      <c r="G32" s="759">
        <v>0.32682497415188932</v>
      </c>
      <c r="J32" s="1155"/>
      <c r="K32" s="1156"/>
    </row>
    <row r="33" spans="1:11" ht="20" customHeight="1" thickBot="1">
      <c r="A33" s="896" t="s">
        <v>2403</v>
      </c>
      <c r="B33" s="191">
        <v>34271</v>
      </c>
      <c r="C33" s="192">
        <v>35507</v>
      </c>
      <c r="D33" s="191">
        <v>69779</v>
      </c>
      <c r="E33" s="759">
        <v>0.312713372822503</v>
      </c>
      <c r="F33" s="664">
        <v>0.39141577717069875</v>
      </c>
      <c r="G33" s="759">
        <v>0.35275655999656058</v>
      </c>
      <c r="J33" s="1155"/>
      <c r="K33" s="1156"/>
    </row>
    <row r="34" spans="1:11" ht="30" customHeight="1" thickBot="1">
      <c r="A34" s="1101" t="s">
        <v>2404</v>
      </c>
      <c r="B34" s="424">
        <v>3731292</v>
      </c>
      <c r="C34" s="425">
        <v>3871574</v>
      </c>
      <c r="D34" s="424">
        <v>7602868</v>
      </c>
      <c r="E34" s="1106">
        <v>0.28064120098319073</v>
      </c>
      <c r="F34" s="1157">
        <v>0.31055243472061445</v>
      </c>
      <c r="G34" s="1106">
        <v>0.29587268909574649</v>
      </c>
      <c r="J34" s="1158"/>
      <c r="K34" s="1159"/>
    </row>
    <row r="35" spans="1:11" ht="20" customHeight="1">
      <c r="A35" s="1094" t="s">
        <v>236</v>
      </c>
      <c r="B35" s="585"/>
      <c r="C35" s="585"/>
      <c r="D35" s="585"/>
      <c r="E35" s="585"/>
      <c r="F35" s="585"/>
      <c r="G35" s="585"/>
    </row>
    <row r="36" spans="1:11" ht="14.25" customHeight="1">
      <c r="A36" s="1095"/>
      <c r="B36" s="586"/>
      <c r="C36" s="586"/>
      <c r="D36" s="586"/>
      <c r="E36" s="586"/>
      <c r="F36" s="586"/>
      <c r="G36" s="586"/>
    </row>
    <row r="37" spans="1:11" ht="20" customHeight="1">
      <c r="A37" s="1095" t="s">
        <v>200</v>
      </c>
      <c r="B37" s="586"/>
      <c r="C37" s="586"/>
      <c r="D37" s="586"/>
      <c r="E37" s="586"/>
      <c r="F37" s="586"/>
      <c r="G37" s="586"/>
    </row>
    <row r="40" spans="1:11">
      <c r="A40" s="2" t="s">
        <v>711</v>
      </c>
    </row>
  </sheetData>
  <mergeCells count="3">
    <mergeCell ref="B3:D3"/>
    <mergeCell ref="E3:G3"/>
    <mergeCell ref="A2:F2"/>
  </mergeCells>
  <phoneticPr fontId="0" type="noConversion"/>
  <pageMargins left="0.57999999999999996" right="0.51" top="0.87" bottom="0.49" header="0.51" footer="0.4921259845"/>
  <pageSetup paperSize="9" scale="82" orientation="portrait" horizontalDpi="1200" verticalDpi="120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745F-62DB-CA4A-BE96-9734C8ACF4C5}">
  <sheetPr>
    <pageSetUpPr fitToPage="1"/>
  </sheetPr>
  <dimension ref="A1:L37"/>
  <sheetViews>
    <sheetView zoomScale="75" workbookViewId="0">
      <selection activeCell="F10" sqref="F10"/>
    </sheetView>
  </sheetViews>
  <sheetFormatPr baseColWidth="10" defaultColWidth="11.3984375" defaultRowHeight="13"/>
  <cols>
    <col min="1" max="3" width="12.3984375" style="2" customWidth="1"/>
    <col min="4" max="4" width="12.796875" style="2" customWidth="1"/>
    <col min="5" max="5" width="13.19921875" style="2" customWidth="1"/>
    <col min="6" max="6" width="13.3984375" style="2" customWidth="1"/>
    <col min="7" max="7" width="13.19921875" style="2" customWidth="1"/>
    <col min="8" max="8" width="13.3984375" style="537" customWidth="1"/>
    <col min="9" max="16384" width="11.3984375" style="2"/>
  </cols>
  <sheetData>
    <row r="1" spans="1:12" s="1" customFormat="1" ht="14" customHeight="1">
      <c r="H1" s="547"/>
    </row>
    <row r="2" spans="1:12" s="1" customFormat="1" ht="28" customHeight="1">
      <c r="A2" s="53" t="s">
        <v>201</v>
      </c>
      <c r="B2" s="53"/>
      <c r="H2" s="428"/>
    </row>
    <row r="3" spans="1:12" ht="24" customHeight="1">
      <c r="A3" s="178" t="s">
        <v>821</v>
      </c>
      <c r="B3" s="179" t="s">
        <v>202</v>
      </c>
      <c r="C3" s="228" t="s">
        <v>2372</v>
      </c>
      <c r="D3" s="626" t="s">
        <v>203</v>
      </c>
      <c r="E3" s="180" t="s">
        <v>204</v>
      </c>
      <c r="F3" s="626"/>
      <c r="G3" s="180" t="s">
        <v>205</v>
      </c>
      <c r="H3" s="493"/>
    </row>
    <row r="4" spans="1:12" ht="15" customHeight="1">
      <c r="A4" s="274"/>
      <c r="B4" s="182" t="s">
        <v>224</v>
      </c>
      <c r="C4" s="181" t="s">
        <v>2373</v>
      </c>
      <c r="D4" s="184" t="s">
        <v>225</v>
      </c>
      <c r="E4" s="183" t="s">
        <v>206</v>
      </c>
      <c r="F4" s="1160" t="s">
        <v>207</v>
      </c>
      <c r="G4" s="183" t="s">
        <v>208</v>
      </c>
      <c r="H4" s="1160" t="s">
        <v>207</v>
      </c>
    </row>
    <row r="5" spans="1:12" ht="15" customHeight="1">
      <c r="A5" s="274"/>
      <c r="B5" s="182" t="s">
        <v>1993</v>
      </c>
      <c r="C5" s="181" t="s">
        <v>2377</v>
      </c>
      <c r="D5" s="184" t="s">
        <v>209</v>
      </c>
      <c r="E5" s="183" t="s">
        <v>226</v>
      </c>
      <c r="F5" s="1160" t="s">
        <v>210</v>
      </c>
      <c r="G5" s="183" t="s">
        <v>227</v>
      </c>
      <c r="H5" s="1160" t="s">
        <v>210</v>
      </c>
    </row>
    <row r="6" spans="1:12" ht="24" customHeight="1">
      <c r="A6" s="275"/>
      <c r="B6" s="188"/>
      <c r="C6" s="185"/>
      <c r="D6" s="186" t="s">
        <v>211</v>
      </c>
      <c r="E6" s="187" t="s">
        <v>1993</v>
      </c>
      <c r="F6" s="1161" t="s">
        <v>1845</v>
      </c>
      <c r="G6" s="187" t="s">
        <v>1993</v>
      </c>
      <c r="H6" s="1161" t="s">
        <v>1845</v>
      </c>
    </row>
    <row r="7" spans="1:12" ht="2.25" customHeight="1" thickBot="1">
      <c r="A7" s="565">
        <v>1996</v>
      </c>
      <c r="B7" s="1162">
        <v>2470.5</v>
      </c>
      <c r="C7" s="1163" t="s">
        <v>1060</v>
      </c>
      <c r="D7" s="193">
        <v>0.26510074357417535</v>
      </c>
      <c r="E7" s="1164">
        <v>1815.5686129999999</v>
      </c>
      <c r="F7" s="193">
        <v>0.2482836813614821</v>
      </c>
      <c r="G7" s="1164">
        <v>1467.1668685500001</v>
      </c>
      <c r="H7" s="193">
        <v>0.19641864881833015</v>
      </c>
      <c r="J7" s="8"/>
      <c r="K7" s="8"/>
      <c r="L7" s="8"/>
    </row>
    <row r="8" spans="1:12" ht="0.75" customHeight="1" thickBot="1">
      <c r="A8" s="278">
        <v>1997</v>
      </c>
      <c r="B8" s="1165">
        <v>2716.0039999999999</v>
      </c>
      <c r="C8" s="477">
        <v>9.9374215745800409E-2</v>
      </c>
      <c r="D8" s="500">
        <v>0.23152856917736497</v>
      </c>
      <c r="E8" s="501">
        <v>2087.17148</v>
      </c>
      <c r="F8" s="500">
        <v>0.26871138542004225</v>
      </c>
      <c r="G8" s="501">
        <v>1994.2314670000001</v>
      </c>
      <c r="H8" s="500">
        <v>0.32454456351229566</v>
      </c>
    </row>
    <row r="9" spans="1:12" ht="20" customHeight="1" thickBot="1">
      <c r="A9" s="278">
        <v>1998</v>
      </c>
      <c r="B9" s="1165">
        <v>2972.5</v>
      </c>
      <c r="C9" s="477">
        <v>9.4438741621882774E-2</v>
      </c>
      <c r="D9" s="500">
        <v>0.23858957510513035</v>
      </c>
      <c r="E9" s="501">
        <v>2263.292488</v>
      </c>
      <c r="F9" s="500">
        <v>0.29253266403277173</v>
      </c>
      <c r="G9" s="501">
        <v>2446.4709480000001</v>
      </c>
      <c r="H9" s="500">
        <v>0.3175521493515443</v>
      </c>
    </row>
    <row r="10" spans="1:12" ht="20" customHeight="1" thickBot="1">
      <c r="A10" s="278">
        <v>1999</v>
      </c>
      <c r="B10" s="1165">
        <v>3270</v>
      </c>
      <c r="C10" s="477">
        <v>0.10008410428931876</v>
      </c>
      <c r="D10" s="500">
        <v>0.24261539724770631</v>
      </c>
      <c r="E10" s="501">
        <v>2476.6476510000002</v>
      </c>
      <c r="F10" s="500">
        <v>0.31373131445899005</v>
      </c>
      <c r="G10" s="501">
        <v>2689.6721769999999</v>
      </c>
      <c r="H10" s="500">
        <v>0.33145279359936858</v>
      </c>
    </row>
    <row r="11" spans="1:12" ht="20" customHeight="1" thickBot="1">
      <c r="A11" s="278">
        <v>2000</v>
      </c>
      <c r="B11" s="1165">
        <v>3319.5</v>
      </c>
      <c r="C11" s="477">
        <v>1.5137614678899083E-2</v>
      </c>
      <c r="D11" s="500">
        <v>0.23698356288597677</v>
      </c>
      <c r="E11" s="501">
        <v>2532.833063</v>
      </c>
      <c r="F11" s="500">
        <v>0.31286862956128064</v>
      </c>
      <c r="G11" s="501">
        <v>2545.3263492000001</v>
      </c>
      <c r="H11" s="500">
        <v>0.3246756501223273</v>
      </c>
    </row>
    <row r="12" spans="1:12" s="217" customFormat="1" ht="20" customHeight="1" thickBot="1">
      <c r="A12" s="278">
        <v>2001</v>
      </c>
      <c r="B12" s="1165">
        <v>3369</v>
      </c>
      <c r="C12" s="477">
        <v>1.4911884319927699E-2</v>
      </c>
      <c r="D12" s="500">
        <v>0.20699731491831064</v>
      </c>
      <c r="E12" s="501">
        <v>2671.6260460402113</v>
      </c>
      <c r="F12" s="500">
        <v>0.31892270100585679</v>
      </c>
      <c r="G12" s="501">
        <v>2657.2</v>
      </c>
      <c r="H12" s="500">
        <v>0.32313659872418687</v>
      </c>
    </row>
    <row r="13" spans="1:12" ht="20" customHeight="1" thickBot="1">
      <c r="A13" s="278">
        <v>2002</v>
      </c>
      <c r="B13" s="1165">
        <v>3420</v>
      </c>
      <c r="C13" s="477">
        <v>1.5138023152270703E-2</v>
      </c>
      <c r="D13" s="500">
        <v>0.16712682076023389</v>
      </c>
      <c r="E13" s="501">
        <v>2848.426273</v>
      </c>
      <c r="F13" s="500">
        <v>0.32754041548755747</v>
      </c>
      <c r="G13" s="501">
        <v>2892</v>
      </c>
      <c r="H13" s="500">
        <v>0.33503586516078104</v>
      </c>
    </row>
    <row r="14" spans="1:12" s="217" customFormat="1" ht="21.75" customHeight="1" thickBot="1">
      <c r="A14" s="278">
        <v>2003</v>
      </c>
      <c r="B14" s="1165">
        <v>3471</v>
      </c>
      <c r="C14" s="477">
        <v>1.4912280701754385E-2</v>
      </c>
      <c r="D14" s="500">
        <v>0.14690290982425813</v>
      </c>
      <c r="E14" s="501">
        <v>2961.1</v>
      </c>
      <c r="F14" s="500">
        <v>0.3270202057873508</v>
      </c>
      <c r="G14" s="501">
        <v>3065.5</v>
      </c>
      <c r="H14" s="500">
        <v>0.34986041988328265</v>
      </c>
    </row>
    <row r="15" spans="1:12" ht="20" customHeight="1" thickBot="1">
      <c r="A15" s="278">
        <v>2004</v>
      </c>
      <c r="B15" s="1165">
        <v>3523.5</v>
      </c>
      <c r="C15" s="477">
        <v>1.512532411408816E-2</v>
      </c>
      <c r="D15" s="500">
        <v>0.14139350078047386</v>
      </c>
      <c r="E15" s="501">
        <v>3025.3</v>
      </c>
      <c r="F15" s="500">
        <v>0.32786069857980232</v>
      </c>
      <c r="G15" s="501">
        <v>3169.8</v>
      </c>
      <c r="H15" s="500">
        <v>0.35221732419197194</v>
      </c>
    </row>
    <row r="16" spans="1:12" ht="21.75" customHeight="1" thickBot="1">
      <c r="A16" s="278">
        <v>2005</v>
      </c>
      <c r="B16" s="1165">
        <v>3576</v>
      </c>
      <c r="C16" s="477">
        <v>1.489995742869306E-2</v>
      </c>
      <c r="D16" s="500">
        <v>0.12762163310961971</v>
      </c>
      <c r="E16" s="501">
        <v>3119.6250399999999</v>
      </c>
      <c r="F16" s="500">
        <v>0.32919981434691908</v>
      </c>
      <c r="G16" s="501">
        <v>3201.7620889999998</v>
      </c>
      <c r="H16" s="500">
        <v>0.35637005695084922</v>
      </c>
    </row>
    <row r="17" spans="1:8" s="217" customFormat="1" ht="21.75" customHeight="1" thickBot="1">
      <c r="A17" s="278">
        <v>2006</v>
      </c>
      <c r="B17" s="1165">
        <v>3780</v>
      </c>
      <c r="C17" s="477">
        <v>5.7046979865771813E-2</v>
      </c>
      <c r="D17" s="500">
        <v>0.14549879814814826</v>
      </c>
      <c r="E17" s="501">
        <v>3230.0145429999998</v>
      </c>
      <c r="F17" s="500">
        <v>0.32827053311505788</v>
      </c>
      <c r="G17" s="501">
        <v>3308.7390919999998</v>
      </c>
      <c r="H17" s="500">
        <v>0.35384170478437954</v>
      </c>
    </row>
    <row r="18" spans="1:8" s="217" customFormat="1" ht="21.75" customHeight="1" thickBot="1">
      <c r="A18" s="278">
        <v>2007</v>
      </c>
      <c r="B18" s="1165">
        <v>3987</v>
      </c>
      <c r="C18" s="477">
        <v>5.4761904761904762E-2</v>
      </c>
      <c r="D18" s="500">
        <v>0.13915572259844489</v>
      </c>
      <c r="E18" s="501">
        <v>3432.186134</v>
      </c>
      <c r="F18" s="500">
        <v>0.32889884112561363</v>
      </c>
      <c r="G18" s="501">
        <v>3420.5200599999998</v>
      </c>
      <c r="H18" s="500">
        <v>0.35134625317765278</v>
      </c>
    </row>
    <row r="19" spans="1:8" ht="25.5" customHeight="1" thickBot="1">
      <c r="A19" s="502">
        <v>2008</v>
      </c>
      <c r="B19" s="1166">
        <v>3398.253929</v>
      </c>
      <c r="C19" s="479">
        <v>-0.14766643365939303</v>
      </c>
      <c r="D19" s="504" t="s">
        <v>1060</v>
      </c>
      <c r="E19" s="505" t="s">
        <v>1060</v>
      </c>
      <c r="F19" s="504" t="s">
        <v>1060</v>
      </c>
      <c r="G19" s="505">
        <v>3398.253929</v>
      </c>
      <c r="H19" s="504">
        <v>0.47648657864613625</v>
      </c>
    </row>
    <row r="20" spans="1:8" ht="20" customHeight="1">
      <c r="A20" s="1167" t="s">
        <v>235</v>
      </c>
      <c r="B20" s="201"/>
      <c r="C20" s="201"/>
      <c r="D20" s="201"/>
      <c r="E20" s="201"/>
      <c r="F20" s="201"/>
      <c r="G20" s="201"/>
      <c r="H20" s="524"/>
    </row>
    <row r="21" spans="1:8" ht="13.5" customHeight="1">
      <c r="A21" s="1168"/>
      <c r="B21" s="202"/>
      <c r="C21" s="202"/>
      <c r="D21" s="202"/>
      <c r="E21" s="202"/>
      <c r="F21" s="202"/>
      <c r="G21" s="202"/>
      <c r="H21" s="525"/>
    </row>
    <row r="22" spans="1:8" ht="20" customHeight="1">
      <c r="A22" s="1095" t="s">
        <v>212</v>
      </c>
      <c r="B22" s="202"/>
      <c r="C22" s="202"/>
      <c r="D22" s="202"/>
      <c r="E22" s="202"/>
      <c r="F22" s="202"/>
      <c r="G22" s="202"/>
      <c r="H22" s="525"/>
    </row>
    <row r="23" spans="1:8" ht="12.75" customHeight="1">
      <c r="A23" s="1168"/>
      <c r="B23" s="202"/>
      <c r="C23" s="202"/>
      <c r="D23" s="202"/>
      <c r="E23" s="202"/>
      <c r="F23" s="202"/>
      <c r="G23" s="202"/>
      <c r="H23" s="525"/>
    </row>
    <row r="24" spans="1:8" ht="14.25" customHeight="1">
      <c r="A24" s="1168" t="s">
        <v>213</v>
      </c>
      <c r="B24" s="202"/>
      <c r="C24" s="202"/>
      <c r="D24" s="202"/>
      <c r="E24" s="202"/>
      <c r="F24" s="202"/>
      <c r="G24" s="202"/>
      <c r="H24" s="525"/>
    </row>
    <row r="25" spans="1:8" ht="14.25" customHeight="1">
      <c r="A25" s="1168" t="s">
        <v>214</v>
      </c>
      <c r="B25" s="202"/>
      <c r="C25" s="202"/>
      <c r="D25" s="202"/>
      <c r="E25" s="202"/>
      <c r="F25" s="202"/>
      <c r="G25" s="202"/>
      <c r="H25" s="525"/>
    </row>
    <row r="26" spans="1:8" ht="14.25" customHeight="1">
      <c r="A26" s="2" t="s">
        <v>215</v>
      </c>
      <c r="B26" s="202"/>
      <c r="C26" s="202"/>
      <c r="D26" s="202"/>
      <c r="E26" s="202"/>
      <c r="F26" s="202"/>
      <c r="G26" s="202"/>
      <c r="H26" s="525"/>
    </row>
    <row r="27" spans="1:8" ht="14.25" customHeight="1">
      <c r="A27" s="1168" t="s">
        <v>216</v>
      </c>
      <c r="B27" s="202"/>
      <c r="C27" s="202"/>
      <c r="D27" s="202"/>
      <c r="E27" s="202"/>
      <c r="F27" s="202"/>
      <c r="G27" s="202"/>
      <c r="H27" s="525"/>
    </row>
    <row r="28" spans="1:8" ht="12" customHeight="1">
      <c r="A28" s="1096" t="s">
        <v>217</v>
      </c>
    </row>
    <row r="29" spans="1:8" ht="12" customHeight="1">
      <c r="A29" s="1096" t="s">
        <v>218</v>
      </c>
    </row>
    <row r="30" spans="1:8">
      <c r="A30" s="1096" t="s">
        <v>219</v>
      </c>
      <c r="B30" s="1096"/>
    </row>
    <row r="31" spans="1:8">
      <c r="A31" s="1096" t="s">
        <v>220</v>
      </c>
      <c r="B31" s="1096"/>
    </row>
    <row r="32" spans="1:8">
      <c r="A32" s="1096" t="s">
        <v>221</v>
      </c>
    </row>
    <row r="33" spans="1:1">
      <c r="A33" s="1096" t="s">
        <v>222</v>
      </c>
    </row>
    <row r="34" spans="1:1">
      <c r="A34" s="1096" t="s">
        <v>223</v>
      </c>
    </row>
    <row r="37" spans="1:1">
      <c r="A37" s="2" t="s">
        <v>711</v>
      </c>
    </row>
  </sheetData>
  <phoneticPr fontId="0" type="noConversion"/>
  <pageMargins left="0.6" right="0.7" top="0.81" bottom="0.49" header="0.49" footer="0.4921259845"/>
  <pageSetup paperSize="9" scale="77" orientation="portrait" horizontalDpi="4294967292" verticalDpi="4294967292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3356-4F7B-F24C-87F1-B9B5AA299690}">
  <sheetPr>
    <pageSetUpPr fitToPage="1"/>
  </sheetPr>
  <dimension ref="A1:M44"/>
  <sheetViews>
    <sheetView topLeftCell="G1" zoomScale="75" workbookViewId="0">
      <selection activeCell="O9" sqref="O9"/>
    </sheetView>
  </sheetViews>
  <sheetFormatPr baseColWidth="10" defaultColWidth="11.3984375" defaultRowHeight="13"/>
  <cols>
    <col min="1" max="1" width="9.796875" style="2" customWidth="1"/>
    <col min="2" max="2" width="12" style="2" customWidth="1"/>
    <col min="3" max="3" width="11" style="2" customWidth="1"/>
    <col min="4" max="4" width="12.3984375" style="92" customWidth="1"/>
    <col min="5" max="5" width="16.796875" style="2" customWidth="1"/>
    <col min="6" max="6" width="17.19921875" style="2" customWidth="1"/>
    <col min="7" max="7" width="12.796875" style="2" customWidth="1"/>
    <col min="8" max="8" width="17.796875" style="217" customWidth="1"/>
    <col min="9" max="9" width="13" style="2" customWidth="1"/>
    <col min="10" max="16384" width="11.3984375" style="2"/>
  </cols>
  <sheetData>
    <row r="1" spans="1:11" s="1" customFormat="1" ht="14" customHeight="1">
      <c r="D1" s="227"/>
      <c r="H1" s="16"/>
    </row>
    <row r="2" spans="1:11" s="1" customFormat="1" ht="42" customHeight="1">
      <c r="A2" s="2017" t="s">
        <v>195</v>
      </c>
      <c r="B2" s="2021"/>
      <c r="C2" s="2021"/>
      <c r="D2" s="2021"/>
      <c r="E2" s="2021"/>
      <c r="F2" s="2021"/>
      <c r="G2" s="2021"/>
      <c r="H2" s="428">
        <v>2008</v>
      </c>
      <c r="K2" s="548"/>
    </row>
    <row r="3" spans="1:11" ht="24" customHeight="1">
      <c r="A3" s="178" t="s">
        <v>2368</v>
      </c>
      <c r="B3" s="179" t="s">
        <v>2196</v>
      </c>
      <c r="C3" s="180" t="s">
        <v>2197</v>
      </c>
      <c r="D3" s="179" t="s">
        <v>2196</v>
      </c>
      <c r="E3" s="178" t="s">
        <v>237</v>
      </c>
      <c r="F3" s="677"/>
      <c r="G3" s="180"/>
      <c r="H3" s="513"/>
      <c r="K3" s="550"/>
    </row>
    <row r="4" spans="1:11" ht="18" customHeight="1">
      <c r="A4" s="274"/>
      <c r="B4" s="182" t="s">
        <v>2198</v>
      </c>
      <c r="C4" s="245" t="s">
        <v>196</v>
      </c>
      <c r="D4" s="182" t="s">
        <v>2198</v>
      </c>
      <c r="E4" s="245" t="s">
        <v>2199</v>
      </c>
      <c r="F4" s="209" t="s">
        <v>2200</v>
      </c>
      <c r="G4" s="243" t="s">
        <v>2200</v>
      </c>
      <c r="H4" s="1148" t="s">
        <v>164</v>
      </c>
      <c r="K4" s="1151"/>
    </row>
    <row r="5" spans="1:11" ht="18.75" customHeight="1">
      <c r="A5" s="274"/>
      <c r="B5" s="182" t="s">
        <v>197</v>
      </c>
      <c r="C5" s="183"/>
      <c r="D5" s="182" t="s">
        <v>2201</v>
      </c>
      <c r="E5" s="183" t="s">
        <v>2202</v>
      </c>
      <c r="F5" s="209" t="s">
        <v>2202</v>
      </c>
      <c r="G5" s="243" t="s">
        <v>2202</v>
      </c>
      <c r="H5" s="1148" t="s">
        <v>2203</v>
      </c>
      <c r="K5" s="1151"/>
    </row>
    <row r="6" spans="1:11" ht="15" customHeight="1">
      <c r="A6" s="274"/>
      <c r="B6" s="182"/>
      <c r="C6" s="183"/>
      <c r="D6" s="184" t="s">
        <v>190</v>
      </c>
      <c r="E6" s="183" t="s">
        <v>768</v>
      </c>
      <c r="F6" s="209" t="s">
        <v>768</v>
      </c>
      <c r="G6" s="243" t="s">
        <v>1521</v>
      </c>
      <c r="H6" s="1148" t="s">
        <v>768</v>
      </c>
      <c r="K6" s="1151"/>
    </row>
    <row r="7" spans="1:11" ht="18" customHeight="1">
      <c r="A7" s="274"/>
      <c r="B7" s="182"/>
      <c r="C7" s="183"/>
      <c r="D7" s="184" t="s">
        <v>191</v>
      </c>
      <c r="E7" s="183"/>
      <c r="F7" s="209"/>
      <c r="G7" s="243" t="s">
        <v>2199</v>
      </c>
      <c r="H7" s="1148"/>
      <c r="K7" s="550"/>
    </row>
    <row r="8" spans="1:11" ht="23.25" customHeight="1">
      <c r="A8" s="275"/>
      <c r="B8" s="188"/>
      <c r="C8" s="187"/>
      <c r="D8" s="186"/>
      <c r="E8" s="187"/>
      <c r="F8" s="210"/>
      <c r="G8" s="247" t="s">
        <v>2202</v>
      </c>
      <c r="H8" s="380"/>
      <c r="K8" s="553"/>
    </row>
    <row r="9" spans="1:11" ht="30" customHeight="1" thickBot="1">
      <c r="A9" s="884" t="s">
        <v>2378</v>
      </c>
      <c r="B9" s="191">
        <v>1306603</v>
      </c>
      <c r="C9" s="192">
        <v>1386</v>
      </c>
      <c r="D9" s="877">
        <v>1307989</v>
      </c>
      <c r="E9" s="192">
        <v>307339465</v>
      </c>
      <c r="F9" s="191">
        <v>265743828</v>
      </c>
      <c r="G9" s="229">
        <v>0.86465897895670507</v>
      </c>
      <c r="H9" s="1149">
        <v>573083293</v>
      </c>
      <c r="J9" s="7"/>
      <c r="K9" s="1181"/>
    </row>
    <row r="10" spans="1:11" ht="20" customHeight="1" thickBot="1">
      <c r="A10" s="896" t="s">
        <v>2379</v>
      </c>
      <c r="B10" s="235">
        <v>966743</v>
      </c>
      <c r="C10" s="236">
        <v>142</v>
      </c>
      <c r="D10" s="1150">
        <v>966885</v>
      </c>
      <c r="E10" s="236">
        <v>227189789</v>
      </c>
      <c r="F10" s="235">
        <v>238742354</v>
      </c>
      <c r="G10" s="477">
        <v>1.0508498425516826</v>
      </c>
      <c r="H10" s="282">
        <v>465932143</v>
      </c>
      <c r="J10" s="7"/>
      <c r="K10" s="1181"/>
    </row>
    <row r="11" spans="1:11" ht="20" customHeight="1" thickBot="1">
      <c r="A11" s="896" t="s">
        <v>2380</v>
      </c>
      <c r="B11" s="235">
        <v>358257</v>
      </c>
      <c r="C11" s="236">
        <v>32</v>
      </c>
      <c r="D11" s="1150">
        <v>358289</v>
      </c>
      <c r="E11" s="236">
        <v>84187520</v>
      </c>
      <c r="F11" s="235">
        <v>70607472</v>
      </c>
      <c r="G11" s="477">
        <v>0.83869286088959505</v>
      </c>
      <c r="H11" s="282">
        <v>154794992</v>
      </c>
      <c r="J11" s="7"/>
      <c r="K11" s="1181"/>
    </row>
    <row r="12" spans="1:11" ht="20" customHeight="1" thickBot="1">
      <c r="A12" s="896" t="s">
        <v>2381</v>
      </c>
      <c r="B12" s="235">
        <v>34575</v>
      </c>
      <c r="C12" s="236">
        <v>3</v>
      </c>
      <c r="D12" s="1150">
        <v>34578</v>
      </c>
      <c r="E12" s="236">
        <v>8124826</v>
      </c>
      <c r="F12" s="235">
        <v>6102376</v>
      </c>
      <c r="G12" s="477">
        <v>0.75107774615727152</v>
      </c>
      <c r="H12" s="282">
        <v>14227202</v>
      </c>
      <c r="J12" s="7"/>
      <c r="K12" s="1181"/>
    </row>
    <row r="13" spans="1:11" ht="20" customHeight="1" thickBot="1">
      <c r="A13" s="896" t="s">
        <v>2382</v>
      </c>
      <c r="B13" s="235">
        <v>138160</v>
      </c>
      <c r="C13" s="236">
        <v>25</v>
      </c>
      <c r="D13" s="1150">
        <v>138185</v>
      </c>
      <c r="E13" s="236">
        <v>32469491</v>
      </c>
      <c r="F13" s="235">
        <v>6558533</v>
      </c>
      <c r="G13" s="477">
        <v>0.20199063175951851</v>
      </c>
      <c r="H13" s="282">
        <v>39028024</v>
      </c>
      <c r="J13" s="7"/>
      <c r="K13" s="1181"/>
    </row>
    <row r="14" spans="1:11" ht="20" customHeight="1" thickBot="1">
      <c r="A14" s="896" t="s">
        <v>2383</v>
      </c>
      <c r="B14" s="235">
        <v>33405</v>
      </c>
      <c r="C14" s="236">
        <v>4</v>
      </c>
      <c r="D14" s="1150">
        <v>33409</v>
      </c>
      <c r="E14" s="236">
        <v>7850041</v>
      </c>
      <c r="F14" s="235">
        <v>6360245</v>
      </c>
      <c r="G14" s="477">
        <v>0.81021806128146334</v>
      </c>
      <c r="H14" s="282">
        <v>14210286</v>
      </c>
      <c r="J14" s="7"/>
      <c r="K14" s="1181"/>
    </row>
    <row r="15" spans="1:11" ht="20" customHeight="1" thickBot="1">
      <c r="A15" s="896" t="s">
        <v>2384</v>
      </c>
      <c r="B15" s="235">
        <v>39374</v>
      </c>
      <c r="C15" s="236">
        <v>1</v>
      </c>
      <c r="D15" s="1150">
        <v>39375</v>
      </c>
      <c r="E15" s="236">
        <v>9252040</v>
      </c>
      <c r="F15" s="235">
        <v>3634351</v>
      </c>
      <c r="G15" s="477">
        <v>0.39281617891837906</v>
      </c>
      <c r="H15" s="282">
        <v>12886391</v>
      </c>
      <c r="J15" s="7"/>
      <c r="K15" s="1181"/>
    </row>
    <row r="16" spans="1:11" ht="20" customHeight="1" thickBot="1">
      <c r="A16" s="896" t="s">
        <v>2385</v>
      </c>
      <c r="B16" s="235">
        <v>38001</v>
      </c>
      <c r="C16" s="236">
        <v>4</v>
      </c>
      <c r="D16" s="1150">
        <v>38005</v>
      </c>
      <c r="E16" s="236">
        <v>8929973</v>
      </c>
      <c r="F16" s="235">
        <v>3252319</v>
      </c>
      <c r="G16" s="477">
        <v>0.36420255693942188</v>
      </c>
      <c r="H16" s="282">
        <v>12182292</v>
      </c>
      <c r="J16" s="7"/>
      <c r="K16" s="1181"/>
    </row>
    <row r="17" spans="1:11" ht="20" customHeight="1" thickBot="1">
      <c r="A17" s="896" t="s">
        <v>2386</v>
      </c>
      <c r="B17" s="235">
        <v>107352</v>
      </c>
      <c r="C17" s="236">
        <v>44</v>
      </c>
      <c r="D17" s="1150">
        <v>107396</v>
      </c>
      <c r="E17" s="236">
        <v>25234921</v>
      </c>
      <c r="F17" s="235">
        <v>10316027</v>
      </c>
      <c r="G17" s="477">
        <v>0.40879965504944515</v>
      </c>
      <c r="H17" s="282">
        <v>35550948</v>
      </c>
      <c r="J17" s="7"/>
      <c r="K17" s="1181"/>
    </row>
    <row r="18" spans="1:11" ht="20" customHeight="1" thickBot="1">
      <c r="A18" s="896" t="s">
        <v>2387</v>
      </c>
      <c r="B18" s="235">
        <v>259775</v>
      </c>
      <c r="C18" s="236">
        <v>23</v>
      </c>
      <c r="D18" s="1150">
        <v>259798</v>
      </c>
      <c r="E18" s="236">
        <v>61044943</v>
      </c>
      <c r="F18" s="235">
        <v>60510677</v>
      </c>
      <c r="G18" s="477">
        <v>0.99124798920690282</v>
      </c>
      <c r="H18" s="282">
        <v>121555620</v>
      </c>
      <c r="J18" s="7"/>
      <c r="K18" s="1181"/>
    </row>
    <row r="19" spans="1:11" ht="20" customHeight="1" thickBot="1">
      <c r="A19" s="896" t="s">
        <v>2388</v>
      </c>
      <c r="B19" s="235">
        <v>247562</v>
      </c>
      <c r="C19" s="236">
        <v>76</v>
      </c>
      <c r="D19" s="1150">
        <v>247638</v>
      </c>
      <c r="E19" s="236">
        <v>58187819.399999999</v>
      </c>
      <c r="F19" s="235">
        <v>37885550.600000001</v>
      </c>
      <c r="G19" s="477">
        <v>0.65109074357235674</v>
      </c>
      <c r="H19" s="282">
        <v>96073370</v>
      </c>
      <c r="J19" s="7"/>
      <c r="K19" s="1181"/>
    </row>
    <row r="20" spans="1:11" ht="20" customHeight="1" thickBot="1">
      <c r="A20" s="896" t="s">
        <v>2389</v>
      </c>
      <c r="B20" s="235">
        <v>190324</v>
      </c>
      <c r="C20" s="236">
        <v>2804</v>
      </c>
      <c r="D20" s="1150">
        <v>193128</v>
      </c>
      <c r="E20" s="236">
        <v>45379463</v>
      </c>
      <c r="F20" s="235">
        <v>75499042</v>
      </c>
      <c r="G20" s="477">
        <v>1.6637270917022531</v>
      </c>
      <c r="H20" s="282">
        <v>120878505</v>
      </c>
      <c r="J20" s="7"/>
      <c r="K20" s="1181"/>
    </row>
    <row r="21" spans="1:11" ht="20" customHeight="1" thickBot="1">
      <c r="A21" s="896" t="s">
        <v>2390</v>
      </c>
      <c r="B21" s="213">
        <v>265829</v>
      </c>
      <c r="C21" s="263">
        <v>1073</v>
      </c>
      <c r="D21" s="1150">
        <v>266902</v>
      </c>
      <c r="E21" s="236">
        <v>62714247.399999999</v>
      </c>
      <c r="F21" s="213">
        <v>29803083.600000001</v>
      </c>
      <c r="G21" s="477">
        <v>0.47522030217331446</v>
      </c>
      <c r="H21" s="280">
        <v>92517331</v>
      </c>
      <c r="J21" s="7"/>
      <c r="K21" s="1181"/>
    </row>
    <row r="22" spans="1:11" ht="20" customHeight="1" thickBot="1">
      <c r="A22" s="896" t="s">
        <v>2391</v>
      </c>
      <c r="B22" s="235">
        <v>74335</v>
      </c>
      <c r="C22" s="236">
        <v>1131</v>
      </c>
      <c r="D22" s="1150">
        <v>75466</v>
      </c>
      <c r="E22" s="236">
        <v>17732386</v>
      </c>
      <c r="F22" s="235">
        <v>18358583</v>
      </c>
      <c r="G22" s="477">
        <v>1.0353137473998142</v>
      </c>
      <c r="H22" s="282">
        <v>36090969</v>
      </c>
      <c r="J22" s="7"/>
      <c r="K22" s="1181"/>
    </row>
    <row r="23" spans="1:11" ht="20" customHeight="1" thickBot="1">
      <c r="A23" s="896" t="s">
        <v>2392</v>
      </c>
      <c r="B23" s="235">
        <v>52280</v>
      </c>
      <c r="C23" s="236">
        <v>10</v>
      </c>
      <c r="D23" s="1150">
        <v>52290</v>
      </c>
      <c r="E23" s="236">
        <v>12286569</v>
      </c>
      <c r="F23" s="235">
        <v>10759131</v>
      </c>
      <c r="G23" s="477">
        <v>0.87568229991627444</v>
      </c>
      <c r="H23" s="282">
        <v>23045700</v>
      </c>
      <c r="J23" s="7"/>
      <c r="K23" s="1181"/>
    </row>
    <row r="24" spans="1:11" ht="20" customHeight="1" thickBot="1">
      <c r="A24" s="896" t="s">
        <v>2393</v>
      </c>
      <c r="B24" s="235">
        <v>15140</v>
      </c>
      <c r="C24" s="236">
        <v>3</v>
      </c>
      <c r="D24" s="1150">
        <v>15143</v>
      </c>
      <c r="E24" s="236">
        <v>3558259</v>
      </c>
      <c r="F24" s="235">
        <v>342379</v>
      </c>
      <c r="G24" s="477">
        <v>9.6220932765152839E-2</v>
      </c>
      <c r="H24" s="282">
        <v>3900638</v>
      </c>
      <c r="J24" s="7"/>
      <c r="K24" s="1181"/>
    </row>
    <row r="25" spans="1:11" ht="20" customHeight="1" thickBot="1">
      <c r="A25" s="896" t="s">
        <v>2394</v>
      </c>
      <c r="B25" s="235">
        <v>463020</v>
      </c>
      <c r="C25" s="236">
        <v>206</v>
      </c>
      <c r="D25" s="1150">
        <v>463226</v>
      </c>
      <c r="E25" s="236">
        <v>108844678</v>
      </c>
      <c r="F25" s="235">
        <v>32074977</v>
      </c>
      <c r="G25" s="477">
        <v>0.29468576313855233</v>
      </c>
      <c r="H25" s="282">
        <v>140919655</v>
      </c>
      <c r="J25" s="7"/>
      <c r="K25" s="1181"/>
    </row>
    <row r="26" spans="1:11" ht="20" customHeight="1" thickBot="1">
      <c r="A26" s="896" t="s">
        <v>2395</v>
      </c>
      <c r="B26" s="235">
        <v>191441</v>
      </c>
      <c r="C26" s="236">
        <v>77</v>
      </c>
      <c r="D26" s="1150">
        <v>191518</v>
      </c>
      <c r="E26" s="236">
        <v>45001050</v>
      </c>
      <c r="F26" s="235">
        <v>16975974</v>
      </c>
      <c r="G26" s="477">
        <v>0.37723506451516131</v>
      </c>
      <c r="H26" s="282">
        <v>61977024</v>
      </c>
      <c r="J26" s="7"/>
      <c r="K26" s="1181"/>
    </row>
    <row r="27" spans="1:11" ht="20" customHeight="1" thickBot="1">
      <c r="A27" s="896" t="s">
        <v>2396</v>
      </c>
      <c r="B27" s="235">
        <v>572719</v>
      </c>
      <c r="C27" s="236">
        <v>1964</v>
      </c>
      <c r="D27" s="1150">
        <v>574683</v>
      </c>
      <c r="E27" s="236">
        <v>135033767</v>
      </c>
      <c r="F27" s="235">
        <v>43419351</v>
      </c>
      <c r="G27" s="477">
        <v>0.32154439563253834</v>
      </c>
      <c r="H27" s="282">
        <v>178453118</v>
      </c>
      <c r="J27" s="7"/>
      <c r="K27" s="1181"/>
    </row>
    <row r="28" spans="1:11" ht="20" customHeight="1" thickBot="1">
      <c r="A28" s="896" t="s">
        <v>2397</v>
      </c>
      <c r="B28" s="235">
        <v>235922</v>
      </c>
      <c r="C28" s="236">
        <v>892</v>
      </c>
      <c r="D28" s="1150">
        <v>236814</v>
      </c>
      <c r="E28" s="236">
        <v>55644325</v>
      </c>
      <c r="F28" s="235">
        <v>49163857</v>
      </c>
      <c r="G28" s="477">
        <v>0.88353766534143419</v>
      </c>
      <c r="H28" s="282">
        <v>104808182</v>
      </c>
      <c r="J28" s="7"/>
      <c r="K28" s="1181"/>
    </row>
    <row r="29" spans="1:11" ht="20" customHeight="1" thickBot="1">
      <c r="A29" s="896" t="s">
        <v>2398</v>
      </c>
      <c r="B29" s="235">
        <v>324837</v>
      </c>
      <c r="C29" s="236">
        <v>203</v>
      </c>
      <c r="D29" s="1150">
        <v>325040</v>
      </c>
      <c r="E29" s="236">
        <v>76375015</v>
      </c>
      <c r="F29" s="235">
        <v>158964148</v>
      </c>
      <c r="G29" s="477">
        <v>2.0813632311561574</v>
      </c>
      <c r="H29" s="282">
        <v>235339163</v>
      </c>
      <c r="J29" s="7"/>
      <c r="K29" s="1181"/>
    </row>
    <row r="30" spans="1:11" ht="20" customHeight="1" thickBot="1">
      <c r="A30" s="896" t="s">
        <v>2399</v>
      </c>
      <c r="B30" s="235">
        <v>671432</v>
      </c>
      <c r="C30" s="236">
        <v>185</v>
      </c>
      <c r="D30" s="1150">
        <v>671617</v>
      </c>
      <c r="E30" s="236">
        <v>157810529</v>
      </c>
      <c r="F30" s="235">
        <v>182227284</v>
      </c>
      <c r="G30" s="477">
        <v>1.1547219640839046</v>
      </c>
      <c r="H30" s="282">
        <v>340037813</v>
      </c>
      <c r="J30" s="7"/>
      <c r="K30" s="1181"/>
    </row>
    <row r="31" spans="1:11" ht="20" customHeight="1" thickBot="1">
      <c r="A31" s="896" t="s">
        <v>2400</v>
      </c>
      <c r="B31" s="235">
        <v>293304</v>
      </c>
      <c r="C31" s="236">
        <v>25</v>
      </c>
      <c r="D31" s="1150">
        <v>293329</v>
      </c>
      <c r="E31" s="236">
        <v>68923715</v>
      </c>
      <c r="F31" s="235">
        <v>88063810</v>
      </c>
      <c r="G31" s="477">
        <v>1.2776997003136004</v>
      </c>
      <c r="H31" s="282">
        <v>156987525</v>
      </c>
      <c r="J31" s="7"/>
      <c r="K31" s="1181"/>
    </row>
    <row r="32" spans="1:11" ht="20" customHeight="1" thickBot="1">
      <c r="A32" s="896" t="s">
        <v>2401</v>
      </c>
      <c r="B32" s="235">
        <v>169407</v>
      </c>
      <c r="C32" s="236">
        <v>71</v>
      </c>
      <c r="D32" s="1150">
        <v>169478</v>
      </c>
      <c r="E32" s="236">
        <v>39822340</v>
      </c>
      <c r="F32" s="235">
        <v>38252466</v>
      </c>
      <c r="G32" s="477">
        <v>0.96057805744212921</v>
      </c>
      <c r="H32" s="282">
        <v>78074806</v>
      </c>
      <c r="J32" s="7"/>
      <c r="K32" s="1181"/>
    </row>
    <row r="33" spans="1:13" ht="20" customHeight="1" thickBot="1">
      <c r="A33" s="896" t="s">
        <v>2402</v>
      </c>
      <c r="B33" s="235">
        <v>439785</v>
      </c>
      <c r="C33" s="236">
        <v>3254</v>
      </c>
      <c r="D33" s="1150">
        <v>443039</v>
      </c>
      <c r="E33" s="236">
        <v>104101316</v>
      </c>
      <c r="F33" s="235">
        <v>144765561</v>
      </c>
      <c r="G33" s="477">
        <v>1.3906218150018392</v>
      </c>
      <c r="H33" s="282">
        <v>248866877</v>
      </c>
      <c r="K33" s="1181"/>
    </row>
    <row r="34" spans="1:13" ht="20" customHeight="1" thickBot="1">
      <c r="A34" s="896" t="s">
        <v>2403</v>
      </c>
      <c r="B34" s="235">
        <v>68027</v>
      </c>
      <c r="C34" s="236">
        <v>37</v>
      </c>
      <c r="D34" s="1150">
        <v>68064</v>
      </c>
      <c r="E34" s="236">
        <v>15993053</v>
      </c>
      <c r="F34" s="235">
        <v>20839009</v>
      </c>
      <c r="G34" s="477">
        <v>1.303003810466957</v>
      </c>
      <c r="H34" s="282">
        <v>36832062</v>
      </c>
      <c r="K34" s="1181"/>
      <c r="L34" s="8"/>
      <c r="M34" s="8"/>
    </row>
    <row r="35" spans="1:13" s="217" customFormat="1" ht="30" customHeight="1" thickBot="1">
      <c r="A35" s="1101" t="s">
        <v>2404</v>
      </c>
      <c r="B35" s="430" t="s">
        <v>240</v>
      </c>
      <c r="C35" s="431" t="s">
        <v>241</v>
      </c>
      <c r="D35" s="688" t="s">
        <v>242</v>
      </c>
      <c r="E35" s="425">
        <v>1779031540.8</v>
      </c>
      <c r="F35" s="424">
        <v>1619222388.2</v>
      </c>
      <c r="G35" s="878">
        <v>0.91017070302860592</v>
      </c>
      <c r="H35" s="424">
        <v>3398253929</v>
      </c>
      <c r="I35" s="359"/>
      <c r="K35" s="1180"/>
    </row>
    <row r="36" spans="1:13" ht="20" customHeight="1">
      <c r="A36" s="1094" t="s">
        <v>235</v>
      </c>
      <c r="B36" s="585"/>
      <c r="C36" s="585"/>
      <c r="D36" s="1104"/>
      <c r="E36" s="585"/>
      <c r="F36" s="585"/>
      <c r="G36" s="585"/>
      <c r="H36" s="592"/>
      <c r="I36" s="586"/>
    </row>
    <row r="37" spans="1:13" ht="14.25" customHeight="1">
      <c r="A37" s="1095"/>
      <c r="B37" s="586"/>
      <c r="C37" s="586"/>
      <c r="D37" s="1105"/>
      <c r="E37" s="586"/>
      <c r="F37" s="586"/>
      <c r="G37" s="586"/>
      <c r="H37" s="593"/>
      <c r="I37" s="586"/>
    </row>
    <row r="38" spans="1:13" ht="15.75" customHeight="1">
      <c r="A38" s="1095" t="s">
        <v>192</v>
      </c>
      <c r="B38" s="586"/>
      <c r="C38" s="586"/>
      <c r="D38" s="1105"/>
      <c r="E38" s="586"/>
      <c r="F38" s="586"/>
      <c r="G38" s="586"/>
      <c r="H38" s="593"/>
      <c r="I38" s="586"/>
    </row>
    <row r="39" spans="1:13" ht="13.5" customHeight="1">
      <c r="A39" s="1095"/>
      <c r="B39" s="586"/>
      <c r="C39" s="586"/>
      <c r="D39" s="1105"/>
      <c r="E39" s="586"/>
      <c r="F39" s="586"/>
      <c r="G39" s="586"/>
      <c r="H39" s="593"/>
      <c r="I39" s="586"/>
    </row>
    <row r="40" spans="1:13">
      <c r="A40" s="2" t="s">
        <v>193</v>
      </c>
    </row>
    <row r="41" spans="1:13">
      <c r="A41" s="2" t="s">
        <v>194</v>
      </c>
    </row>
    <row r="44" spans="1:13">
      <c r="A44" s="2" t="s">
        <v>711</v>
      </c>
    </row>
  </sheetData>
  <mergeCells count="1">
    <mergeCell ref="A2:G2"/>
  </mergeCells>
  <phoneticPr fontId="0" type="noConversion"/>
  <pageMargins left="0.56000000000000005" right="0.51" top="0.81" bottom="0.49" header="0.42" footer="0.4921259845"/>
  <pageSetup paperSize="9" scale="84" orientation="portrait" horizontalDpi="1200" verticalDpi="1200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35B4-EF1C-5341-8968-7E86D0B1C602}">
  <sheetPr>
    <pageSetUpPr fitToPage="1"/>
  </sheetPr>
  <dimension ref="A1:L42"/>
  <sheetViews>
    <sheetView zoomScale="75" workbookViewId="0">
      <selection activeCell="A3" sqref="A3"/>
    </sheetView>
  </sheetViews>
  <sheetFormatPr baseColWidth="10" defaultColWidth="11.3984375" defaultRowHeight="13"/>
  <cols>
    <col min="1" max="1" width="11.796875" style="2" customWidth="1"/>
    <col min="2" max="2" width="18.3984375" style="2" customWidth="1"/>
    <col min="3" max="3" width="17.796875" style="2" customWidth="1"/>
    <col min="4" max="4" width="17.19921875" style="217" customWidth="1"/>
    <col min="5" max="5" width="16" style="92" customWidth="1"/>
    <col min="6" max="6" width="13.796875" style="1178" customWidth="1"/>
    <col min="7" max="7" width="13.19921875" style="92" customWidth="1"/>
    <col min="8" max="8" width="14.59765625" style="92" customWidth="1"/>
    <col min="9" max="9" width="7.3984375" style="2" customWidth="1"/>
    <col min="10" max="10" width="11.59765625" style="2" customWidth="1"/>
    <col min="11" max="16384" width="11.3984375" style="2"/>
  </cols>
  <sheetData>
    <row r="1" spans="1:10" s="1" customFormat="1" ht="14" customHeight="1">
      <c r="D1" s="16"/>
      <c r="E1" s="227"/>
      <c r="F1" s="1169"/>
      <c r="G1" s="227"/>
      <c r="H1" s="227"/>
    </row>
    <row r="2" spans="1:10" s="1" customFormat="1" ht="28" customHeight="1">
      <c r="A2" s="177" t="s">
        <v>228</v>
      </c>
      <c r="D2" s="16"/>
      <c r="E2" s="227"/>
      <c r="F2" s="1169"/>
      <c r="G2" s="227"/>
      <c r="H2" s="428">
        <v>2008</v>
      </c>
    </row>
    <row r="3" spans="1:10" ht="24" customHeight="1">
      <c r="A3" s="178" t="s">
        <v>2368</v>
      </c>
      <c r="B3" s="179" t="s">
        <v>2203</v>
      </c>
      <c r="C3" s="180" t="s">
        <v>2203</v>
      </c>
      <c r="D3" s="513" t="s">
        <v>164</v>
      </c>
      <c r="E3" s="228" t="s">
        <v>2372</v>
      </c>
      <c r="F3" s="1170"/>
      <c r="G3" s="228" t="s">
        <v>164</v>
      </c>
      <c r="H3" s="626" t="s">
        <v>164</v>
      </c>
    </row>
    <row r="4" spans="1:10" ht="15" customHeight="1">
      <c r="A4" s="274"/>
      <c r="B4" s="209" t="s">
        <v>229</v>
      </c>
      <c r="C4" s="245" t="s">
        <v>229</v>
      </c>
      <c r="D4" s="1148" t="s">
        <v>230</v>
      </c>
      <c r="E4" s="181" t="s">
        <v>2373</v>
      </c>
      <c r="F4" s="1160" t="s">
        <v>207</v>
      </c>
      <c r="G4" s="243" t="s">
        <v>2203</v>
      </c>
      <c r="H4" s="184" t="s">
        <v>2203</v>
      </c>
    </row>
    <row r="5" spans="1:10" ht="15.75" customHeight="1">
      <c r="A5" s="274"/>
      <c r="B5" s="182" t="s">
        <v>238</v>
      </c>
      <c r="C5" s="183" t="s">
        <v>239</v>
      </c>
      <c r="D5" s="1148" t="s">
        <v>234</v>
      </c>
      <c r="E5" s="181" t="s">
        <v>2377</v>
      </c>
      <c r="F5" s="1160" t="s">
        <v>210</v>
      </c>
      <c r="G5" s="243" t="s">
        <v>1890</v>
      </c>
      <c r="H5" s="184" t="s">
        <v>1891</v>
      </c>
    </row>
    <row r="6" spans="1:10" ht="15" customHeight="1">
      <c r="A6" s="274"/>
      <c r="B6" s="182" t="s">
        <v>768</v>
      </c>
      <c r="C6" s="183" t="s">
        <v>231</v>
      </c>
      <c r="D6" s="1148" t="s">
        <v>768</v>
      </c>
      <c r="E6" s="181"/>
      <c r="F6" s="1160" t="s">
        <v>1845</v>
      </c>
      <c r="G6" s="243" t="s">
        <v>768</v>
      </c>
      <c r="H6" s="184" t="s">
        <v>768</v>
      </c>
    </row>
    <row r="7" spans="1:10" ht="24" customHeight="1">
      <c r="A7" s="275"/>
      <c r="B7" s="188"/>
      <c r="C7" s="187" t="s">
        <v>768</v>
      </c>
      <c r="D7" s="380"/>
      <c r="E7" s="247"/>
      <c r="F7" s="1171"/>
      <c r="G7" s="247"/>
      <c r="H7" s="246"/>
    </row>
    <row r="8" spans="1:10" ht="30" customHeight="1" thickBot="1">
      <c r="A8" s="884" t="s">
        <v>2378</v>
      </c>
      <c r="B8" s="191">
        <v>563778939</v>
      </c>
      <c r="C8" s="192">
        <v>9304354</v>
      </c>
      <c r="D8" s="1149">
        <v>573083293</v>
      </c>
      <c r="E8" s="229">
        <v>4.7504986614557806E-2</v>
      </c>
      <c r="F8" s="1172">
        <v>0.46370890801732029</v>
      </c>
      <c r="G8" s="452">
        <v>2162.5621429272232</v>
      </c>
      <c r="H8" s="877">
        <v>1450.0985392317366</v>
      </c>
      <c r="I8" s="7"/>
      <c r="J8" s="194"/>
    </row>
    <row r="9" spans="1:10" ht="20" customHeight="1" thickBot="1">
      <c r="A9" s="896" t="s">
        <v>2379</v>
      </c>
      <c r="B9" s="235">
        <v>424839108</v>
      </c>
      <c r="C9" s="236">
        <v>41093035</v>
      </c>
      <c r="D9" s="282">
        <v>465932143</v>
      </c>
      <c r="E9" s="229">
        <v>-4.7313046759526592E-2</v>
      </c>
      <c r="F9" s="1173">
        <v>0.51239726124668761</v>
      </c>
      <c r="G9" s="782">
        <v>3380.2389944863612</v>
      </c>
      <c r="H9" s="877">
        <v>1602.8544010953287</v>
      </c>
      <c r="I9" s="7"/>
      <c r="J9" s="194"/>
    </row>
    <row r="10" spans="1:10" ht="20" customHeight="1" thickBot="1">
      <c r="A10" s="896" t="s">
        <v>2380</v>
      </c>
      <c r="B10" s="235">
        <v>151006020</v>
      </c>
      <c r="C10" s="236">
        <v>3788972</v>
      </c>
      <c r="D10" s="282">
        <v>154794992</v>
      </c>
      <c r="E10" s="229">
        <v>-2.1716621825121258E-2</v>
      </c>
      <c r="F10" s="1173">
        <v>0.45613537678273208</v>
      </c>
      <c r="G10" s="782">
        <v>2191.5702797598824</v>
      </c>
      <c r="H10" s="877">
        <v>1139.941911158242</v>
      </c>
      <c r="I10" s="7"/>
      <c r="J10" s="194"/>
    </row>
    <row r="11" spans="1:10" ht="20" customHeight="1" thickBot="1">
      <c r="A11" s="896" t="s">
        <v>2381</v>
      </c>
      <c r="B11" s="235">
        <v>14090031</v>
      </c>
      <c r="C11" s="236">
        <v>137171</v>
      </c>
      <c r="D11" s="282">
        <v>14227202</v>
      </c>
      <c r="E11" s="229">
        <v>-2.847397396098655E-2</v>
      </c>
      <c r="F11" s="1173">
        <v>0.42892312908750435</v>
      </c>
      <c r="G11" s="782">
        <v>2156.2900879054259</v>
      </c>
      <c r="H11" s="877">
        <v>982.9488738427525</v>
      </c>
      <c r="I11" s="7"/>
      <c r="J11" s="194"/>
    </row>
    <row r="12" spans="1:10" ht="20" customHeight="1" thickBot="1">
      <c r="A12" s="896" t="s">
        <v>2382</v>
      </c>
      <c r="B12" s="235">
        <v>38927325</v>
      </c>
      <c r="C12" s="236">
        <v>100699</v>
      </c>
      <c r="D12" s="282">
        <v>39028024</v>
      </c>
      <c r="E12" s="229">
        <v>-0.13327664443155904</v>
      </c>
      <c r="F12" s="1173">
        <v>0.16804676045090061</v>
      </c>
      <c r="G12" s="782">
        <v>2146.7559955995598</v>
      </c>
      <c r="H12" s="877">
        <v>1043.7254031503223</v>
      </c>
      <c r="I12" s="7"/>
      <c r="J12" s="194"/>
    </row>
    <row r="13" spans="1:10" ht="20" customHeight="1" thickBot="1">
      <c r="A13" s="896" t="s">
        <v>2383</v>
      </c>
      <c r="B13" s="235">
        <v>14208774</v>
      </c>
      <c r="C13" s="236">
        <v>1512</v>
      </c>
      <c r="D13" s="282">
        <v>14210286</v>
      </c>
      <c r="E13" s="229">
        <v>-0.26745178514695339</v>
      </c>
      <c r="F13" s="1173">
        <v>0.44758036537758633</v>
      </c>
      <c r="G13" s="782">
        <v>1741.8835498896788</v>
      </c>
      <c r="H13" s="877">
        <v>924.78758297540026</v>
      </c>
      <c r="I13" s="7"/>
      <c r="J13" s="194"/>
    </row>
    <row r="14" spans="1:10" ht="20" customHeight="1" thickBot="1">
      <c r="A14" s="896" t="s">
        <v>2384</v>
      </c>
      <c r="B14" s="235">
        <v>12739536</v>
      </c>
      <c r="C14" s="236">
        <v>146855</v>
      </c>
      <c r="D14" s="282">
        <v>12886391</v>
      </c>
      <c r="E14" s="229">
        <v>1.1484387184726249E-2</v>
      </c>
      <c r="F14" s="1173">
        <v>0.2820301665532266</v>
      </c>
      <c r="G14" s="782">
        <v>1530.8138512710857</v>
      </c>
      <c r="H14" s="877">
        <v>707.14981067881251</v>
      </c>
      <c r="I14" s="7"/>
      <c r="J14" s="194"/>
    </row>
    <row r="15" spans="1:10" ht="20" customHeight="1" thickBot="1">
      <c r="A15" s="896" t="s">
        <v>2385</v>
      </c>
      <c r="B15" s="235">
        <v>12182292</v>
      </c>
      <c r="C15" s="236">
        <v>0</v>
      </c>
      <c r="D15" s="282">
        <v>12182292</v>
      </c>
      <c r="E15" s="229">
        <v>-5.4763070659926694E-2</v>
      </c>
      <c r="F15" s="1173">
        <v>0.26697102647022414</v>
      </c>
      <c r="G15" s="782">
        <v>2699.3777974739642</v>
      </c>
      <c r="H15" s="877">
        <v>1293.6489327811405</v>
      </c>
      <c r="I15" s="7"/>
      <c r="J15" s="194"/>
    </row>
    <row r="16" spans="1:10" ht="20" customHeight="1" thickBot="1">
      <c r="A16" s="896" t="s">
        <v>2386</v>
      </c>
      <c r="B16" s="235">
        <v>34855542</v>
      </c>
      <c r="C16" s="236">
        <v>695406</v>
      </c>
      <c r="D16" s="282">
        <v>35550948</v>
      </c>
      <c r="E16" s="229">
        <v>-8.6684860035682307E-2</v>
      </c>
      <c r="F16" s="1173">
        <v>0.29017586253958683</v>
      </c>
      <c r="G16" s="782">
        <v>2648.7071971390255</v>
      </c>
      <c r="H16" s="877">
        <v>1196.8807191192809</v>
      </c>
      <c r="I16" s="7"/>
      <c r="J16" s="194"/>
    </row>
    <row r="17" spans="1:10" ht="20" customHeight="1" thickBot="1">
      <c r="A17" s="896" t="s">
        <v>2387</v>
      </c>
      <c r="B17" s="235">
        <v>121555620</v>
      </c>
      <c r="C17" s="236">
        <v>0</v>
      </c>
      <c r="D17" s="282">
        <v>121555620</v>
      </c>
      <c r="E17" s="229">
        <v>-6.5891923241523098E-3</v>
      </c>
      <c r="F17" s="1173">
        <v>0.49780238050696463</v>
      </c>
      <c r="G17" s="782">
        <v>3042.3892476347801</v>
      </c>
      <c r="H17" s="877">
        <v>1576.8014009599169</v>
      </c>
      <c r="I17" s="7"/>
      <c r="J17" s="194"/>
    </row>
    <row r="18" spans="1:10" ht="20" customHeight="1" thickBot="1">
      <c r="A18" s="896" t="s">
        <v>2388</v>
      </c>
      <c r="B18" s="235">
        <v>92771906</v>
      </c>
      <c r="C18" s="236">
        <v>3301464</v>
      </c>
      <c r="D18" s="282">
        <v>96073370</v>
      </c>
      <c r="E18" s="229">
        <v>6.6421723506160629E-2</v>
      </c>
      <c r="F18" s="1173">
        <v>0.39433976969892909</v>
      </c>
      <c r="G18" s="782">
        <v>3113.8059894989306</v>
      </c>
      <c r="H18" s="877">
        <v>1233.9087604834256</v>
      </c>
      <c r="I18" s="7"/>
      <c r="J18" s="194"/>
    </row>
    <row r="19" spans="1:10" ht="20" customHeight="1" thickBot="1">
      <c r="A19" s="896" t="s">
        <v>2389</v>
      </c>
      <c r="B19" s="235">
        <v>122208944</v>
      </c>
      <c r="C19" s="236">
        <v>-1330439</v>
      </c>
      <c r="D19" s="282">
        <v>120878505</v>
      </c>
      <c r="E19" s="229">
        <v>-0.19750542591761175</v>
      </c>
      <c r="F19" s="1173">
        <v>0.62458616608469797</v>
      </c>
      <c r="G19" s="782">
        <v>5534.476672313539</v>
      </c>
      <c r="H19" s="877">
        <v>2580.7234355985397</v>
      </c>
      <c r="I19" s="7"/>
      <c r="J19" s="194"/>
    </row>
    <row r="20" spans="1:10" ht="20" customHeight="1" thickBot="1">
      <c r="A20" s="896" t="s">
        <v>2390</v>
      </c>
      <c r="B20" s="235">
        <v>88749914</v>
      </c>
      <c r="C20" s="236">
        <v>3767417</v>
      </c>
      <c r="D20" s="280">
        <v>92517331</v>
      </c>
      <c r="E20" s="229">
        <v>-3.6617456382101619E-3</v>
      </c>
      <c r="F20" s="1173">
        <v>0.32213514244158215</v>
      </c>
      <c r="G20" s="782">
        <v>2838.2161241832068</v>
      </c>
      <c r="H20" s="877">
        <v>1511.1284953612962</v>
      </c>
      <c r="I20" s="7"/>
      <c r="J20" s="194"/>
    </row>
    <row r="21" spans="1:10" ht="20" customHeight="1" thickBot="1">
      <c r="A21" s="896" t="s">
        <v>2391</v>
      </c>
      <c r="B21" s="235">
        <v>34006766</v>
      </c>
      <c r="C21" s="236">
        <v>2084203</v>
      </c>
      <c r="D21" s="282">
        <v>36090969</v>
      </c>
      <c r="E21" s="229">
        <v>-2.2133597349270166E-2</v>
      </c>
      <c r="F21" s="1173">
        <v>0.50867525889925536</v>
      </c>
      <c r="G21" s="782">
        <v>3260.5446743156563</v>
      </c>
      <c r="H21" s="877">
        <v>1543.8665782606836</v>
      </c>
      <c r="I21" s="7"/>
      <c r="J21" s="194"/>
    </row>
    <row r="22" spans="1:10" ht="20" customHeight="1" thickBot="1">
      <c r="A22" s="896" t="s">
        <v>2392</v>
      </c>
      <c r="B22" s="235">
        <v>22426037</v>
      </c>
      <c r="C22" s="236">
        <v>619663</v>
      </c>
      <c r="D22" s="282">
        <v>23045700</v>
      </c>
      <c r="E22" s="229">
        <v>-4.7226645555388393E-2</v>
      </c>
      <c r="F22" s="1173">
        <v>0.46686067248987878</v>
      </c>
      <c r="G22" s="782">
        <v>3941.4571575166751</v>
      </c>
      <c r="H22" s="877">
        <v>1583.4615913151024</v>
      </c>
      <c r="I22" s="7"/>
      <c r="J22" s="194"/>
    </row>
    <row r="23" spans="1:10" ht="20" customHeight="1" thickBot="1">
      <c r="A23" s="896" t="s">
        <v>2393</v>
      </c>
      <c r="B23" s="235">
        <v>3734075</v>
      </c>
      <c r="C23" s="236">
        <v>166563</v>
      </c>
      <c r="D23" s="282">
        <v>3900638</v>
      </c>
      <c r="E23" s="229">
        <v>-0.40139311404680617</v>
      </c>
      <c r="F23" s="1173">
        <v>8.7775128068792854E-2</v>
      </c>
      <c r="G23" s="782">
        <v>1870.8095923261392</v>
      </c>
      <c r="H23" s="877">
        <v>618.46170921198666</v>
      </c>
      <c r="I23" s="7"/>
      <c r="J23" s="194"/>
    </row>
    <row r="24" spans="1:10" ht="20" customHeight="1" thickBot="1">
      <c r="A24" s="896" t="s">
        <v>2394</v>
      </c>
      <c r="B24" s="235">
        <v>140919655</v>
      </c>
      <c r="C24" s="236">
        <v>0</v>
      </c>
      <c r="D24" s="282">
        <v>140919655</v>
      </c>
      <c r="E24" s="229">
        <v>1.4855798302634398E-2</v>
      </c>
      <c r="F24" s="1173">
        <v>0.2276118047549861</v>
      </c>
      <c r="G24" s="782">
        <v>2187.1745304982151</v>
      </c>
      <c r="H24" s="877">
        <v>927.43247601121448</v>
      </c>
      <c r="I24" s="7"/>
      <c r="J24" s="194"/>
    </row>
    <row r="25" spans="1:10" ht="20" customHeight="1" thickBot="1">
      <c r="A25" s="896" t="s">
        <v>2395</v>
      </c>
      <c r="B25" s="235">
        <v>56310284</v>
      </c>
      <c r="C25" s="236">
        <v>5666740</v>
      </c>
      <c r="D25" s="282">
        <v>61977024</v>
      </c>
      <c r="E25" s="229">
        <v>7.585378509054495E-3</v>
      </c>
      <c r="F25" s="1173">
        <v>0.27390753708987381</v>
      </c>
      <c r="G25" s="782">
        <v>2230.4323604563283</v>
      </c>
      <c r="H25" s="877">
        <v>1066.0879676614777</v>
      </c>
      <c r="I25" s="7"/>
      <c r="J25" s="194"/>
    </row>
    <row r="26" spans="1:10" ht="20" customHeight="1" thickBot="1">
      <c r="A26" s="896" t="s">
        <v>2396</v>
      </c>
      <c r="B26" s="235">
        <v>168267704</v>
      </c>
      <c r="C26" s="236">
        <v>10185414</v>
      </c>
      <c r="D26" s="282">
        <v>178453118</v>
      </c>
      <c r="E26" s="229">
        <v>7.71012155845089E-2</v>
      </c>
      <c r="F26" s="1173">
        <v>0.24330956772635376</v>
      </c>
      <c r="G26" s="782">
        <v>2623.7703708060103</v>
      </c>
      <c r="H26" s="877">
        <v>1172.4524030090995</v>
      </c>
      <c r="I26" s="7"/>
      <c r="J26" s="194"/>
    </row>
    <row r="27" spans="1:10" ht="20" customHeight="1" thickBot="1">
      <c r="A27" s="896" t="s">
        <v>2397</v>
      </c>
      <c r="B27" s="235">
        <v>101095970</v>
      </c>
      <c r="C27" s="236">
        <v>3712212</v>
      </c>
      <c r="D27" s="282">
        <v>104808182</v>
      </c>
      <c r="E27" s="229">
        <v>-1.0270521904709957E-2</v>
      </c>
      <c r="F27" s="1173">
        <v>0.46908415031948553</v>
      </c>
      <c r="G27" s="782">
        <v>2044.7584134849874</v>
      </c>
      <c r="H27" s="877">
        <v>1127.1151331354583</v>
      </c>
      <c r="I27" s="7"/>
      <c r="J27" s="194"/>
    </row>
    <row r="28" spans="1:10" ht="20" customHeight="1" thickBot="1">
      <c r="A28" s="896" t="s">
        <v>2398</v>
      </c>
      <c r="B28" s="235">
        <v>233388799</v>
      </c>
      <c r="C28" s="236">
        <v>1950364</v>
      </c>
      <c r="D28" s="282">
        <v>235339163</v>
      </c>
      <c r="E28" s="229">
        <v>0.211227586458483</v>
      </c>
      <c r="F28" s="1173">
        <v>0.67546831548814512</v>
      </c>
      <c r="G28" s="782">
        <v>4091.5030337801422</v>
      </c>
      <c r="H28" s="877">
        <v>2329.8831094258926</v>
      </c>
      <c r="I28" s="7"/>
      <c r="J28" s="194"/>
    </row>
    <row r="29" spans="1:10" ht="20" customHeight="1" thickBot="1">
      <c r="A29" s="896" t="s">
        <v>2399</v>
      </c>
      <c r="B29" s="235">
        <v>338452001</v>
      </c>
      <c r="C29" s="236">
        <v>1585812</v>
      </c>
      <c r="D29" s="282">
        <v>340037813</v>
      </c>
      <c r="E29" s="229">
        <v>-2.8518102513375311E-2</v>
      </c>
      <c r="F29" s="1173">
        <v>0.53590299970550626</v>
      </c>
      <c r="G29" s="782">
        <v>4304.4395736546958</v>
      </c>
      <c r="H29" s="877">
        <v>2383.6208291274115</v>
      </c>
      <c r="I29" s="7"/>
      <c r="J29" s="194"/>
    </row>
    <row r="30" spans="1:10" ht="20" customHeight="1" thickBot="1">
      <c r="A30" s="896" t="s">
        <v>2400</v>
      </c>
      <c r="B30" s="235">
        <v>151199711</v>
      </c>
      <c r="C30" s="236">
        <v>5787814</v>
      </c>
      <c r="D30" s="282">
        <v>156987525</v>
      </c>
      <c r="E30" s="229">
        <v>2.5164478835358221E-2</v>
      </c>
      <c r="F30" s="1173">
        <v>0.56096056040121656</v>
      </c>
      <c r="G30" s="782">
        <v>2932.6483678603213</v>
      </c>
      <c r="H30" s="877">
        <v>1657.2977038796516</v>
      </c>
      <c r="I30" s="7"/>
      <c r="J30" s="194"/>
    </row>
    <row r="31" spans="1:10" ht="20" customHeight="1" thickBot="1">
      <c r="A31" s="896" t="s">
        <v>2401</v>
      </c>
      <c r="B31" s="235">
        <v>77314025</v>
      </c>
      <c r="C31" s="236">
        <v>760781</v>
      </c>
      <c r="D31" s="282">
        <v>78074806</v>
      </c>
      <c r="E31" s="229">
        <v>-0.1940512108823538</v>
      </c>
      <c r="F31" s="1173">
        <v>0.48994634709691115</v>
      </c>
      <c r="G31" s="782">
        <v>3028.5029480217222</v>
      </c>
      <c r="H31" s="877">
        <v>1788.1228042049333</v>
      </c>
      <c r="I31" s="7"/>
      <c r="J31" s="194"/>
    </row>
    <row r="32" spans="1:10" ht="20" customHeight="1" thickBot="1">
      <c r="A32" s="896" t="s">
        <v>2402</v>
      </c>
      <c r="B32" s="235">
        <v>215544364</v>
      </c>
      <c r="C32" s="236">
        <v>33322513</v>
      </c>
      <c r="D32" s="282">
        <v>248866877</v>
      </c>
      <c r="E32" s="229">
        <v>-2.6664361273744896E-2</v>
      </c>
      <c r="F32" s="1173">
        <v>0.58169878910804185</v>
      </c>
      <c r="G32" s="782">
        <v>2670.7899357165088</v>
      </c>
      <c r="H32" s="877">
        <v>1856.8413603229201</v>
      </c>
      <c r="J32" s="194"/>
    </row>
    <row r="33" spans="1:12" ht="20" customHeight="1" thickBot="1">
      <c r="A33" s="896" t="s">
        <v>2403</v>
      </c>
      <c r="B33" s="235">
        <v>33777737</v>
      </c>
      <c r="C33" s="236">
        <v>3054325</v>
      </c>
      <c r="D33" s="282">
        <v>36832062</v>
      </c>
      <c r="E33" s="229">
        <v>-4.4702809390841551E-3</v>
      </c>
      <c r="F33" s="1173">
        <v>0.5657844787511489</v>
      </c>
      <c r="G33" s="782">
        <v>2600.3997458345102</v>
      </c>
      <c r="H33" s="877">
        <v>1496.3258988421694</v>
      </c>
      <c r="J33" s="8"/>
      <c r="K33" s="8"/>
      <c r="L33" s="8"/>
    </row>
    <row r="34" spans="1:12" ht="30" customHeight="1" thickBot="1">
      <c r="A34" s="1101" t="s">
        <v>2404</v>
      </c>
      <c r="B34" s="424">
        <v>3268351079</v>
      </c>
      <c r="C34" s="425">
        <v>129902850</v>
      </c>
      <c r="D34" s="424">
        <v>3398253929</v>
      </c>
      <c r="E34" s="230">
        <v>-6.5095747457771082E-3</v>
      </c>
      <c r="F34" s="1174">
        <v>0.47648657870499</v>
      </c>
      <c r="G34" s="686">
        <v>2804.603564101531</v>
      </c>
      <c r="H34" s="1175">
        <v>1510.6835438930136</v>
      </c>
      <c r="J34" s="194"/>
    </row>
    <row r="35" spans="1:12" ht="20" customHeight="1">
      <c r="A35" s="1094" t="s">
        <v>235</v>
      </c>
      <c r="B35" s="585"/>
      <c r="C35" s="585"/>
      <c r="D35" s="592"/>
      <c r="E35" s="1104"/>
      <c r="F35" s="1176"/>
      <c r="G35" s="1104"/>
      <c r="H35" s="1104"/>
    </row>
    <row r="36" spans="1:12" ht="8.25" customHeight="1">
      <c r="A36" s="1095"/>
      <c r="B36" s="586"/>
      <c r="C36" s="586"/>
      <c r="D36" s="593"/>
      <c r="E36" s="1105"/>
      <c r="F36" s="1177"/>
      <c r="G36" s="1105"/>
      <c r="H36" s="1105"/>
    </row>
    <row r="37" spans="1:12" ht="14.25" customHeight="1">
      <c r="A37" s="1095" t="s">
        <v>232</v>
      </c>
      <c r="B37" s="586"/>
      <c r="C37" s="586"/>
      <c r="D37" s="593"/>
      <c r="E37" s="1105"/>
      <c r="F37" s="1177"/>
      <c r="G37" s="1105"/>
      <c r="H37" s="1105"/>
    </row>
    <row r="38" spans="1:12" ht="12.75" customHeight="1">
      <c r="A38" s="1095"/>
      <c r="B38" s="586"/>
      <c r="C38" s="586"/>
      <c r="D38" s="593"/>
      <c r="E38" s="1105"/>
      <c r="F38" s="1177"/>
      <c r="G38" s="1105"/>
      <c r="H38" s="1105"/>
    </row>
    <row r="39" spans="1:12" ht="11.25" customHeight="1">
      <c r="A39" s="202" t="s">
        <v>233</v>
      </c>
      <c r="B39" s="586"/>
      <c r="C39" s="586"/>
      <c r="D39" s="593"/>
      <c r="E39" s="1105"/>
      <c r="F39" s="1177"/>
      <c r="G39" s="1105"/>
      <c r="H39" s="1105"/>
    </row>
    <row r="42" spans="1:12">
      <c r="A42" s="2" t="s">
        <v>711</v>
      </c>
    </row>
  </sheetData>
  <phoneticPr fontId="0" type="noConversion"/>
  <pageMargins left="0.59" right="0.56999999999999995" top="0.87" bottom="0.49" header="0.42" footer="0.4921259845"/>
  <pageSetup paperSize="9" scale="74" orientation="portrait" horizontalDpi="1200" verticalDpi="1200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0CF4-9F1F-C848-8C8D-85D21440A7E1}">
  <sheetPr>
    <pageSetUpPr fitToPage="1"/>
  </sheetPr>
  <dimension ref="A1:L44"/>
  <sheetViews>
    <sheetView zoomScale="75" workbookViewId="0">
      <selection activeCell="I9" sqref="I9"/>
    </sheetView>
  </sheetViews>
  <sheetFormatPr baseColWidth="10" defaultColWidth="11.3984375" defaultRowHeight="13"/>
  <cols>
    <col min="1" max="1" width="14.59765625" style="2" customWidth="1"/>
    <col min="2" max="2" width="19.19921875" style="2" customWidth="1"/>
    <col min="3" max="3" width="19.3984375" style="2" customWidth="1"/>
    <col min="4" max="4" width="19" style="92" customWidth="1"/>
    <col min="5" max="7" width="16.796875" style="92" customWidth="1"/>
    <col min="8" max="8" width="13" style="2" customWidth="1"/>
    <col min="9" max="16384" width="11.3984375" style="2"/>
  </cols>
  <sheetData>
    <row r="1" spans="1:10" s="1" customFormat="1" ht="14" customHeight="1">
      <c r="D1" s="227"/>
      <c r="E1" s="227"/>
      <c r="F1" s="227"/>
      <c r="G1" s="227"/>
      <c r="J1" s="1098"/>
    </row>
    <row r="2" spans="1:10" s="1" customFormat="1" ht="28.5" customHeight="1">
      <c r="A2" s="2017" t="s">
        <v>2061</v>
      </c>
      <c r="B2" s="2021"/>
      <c r="C2" s="2021"/>
      <c r="D2" s="2021"/>
      <c r="E2" s="2021"/>
      <c r="F2" s="2021"/>
      <c r="G2" s="2021"/>
      <c r="J2" s="548"/>
    </row>
    <row r="3" spans="1:10" ht="24" customHeight="1">
      <c r="A3" s="178" t="s">
        <v>2368</v>
      </c>
      <c r="B3" s="1211" t="s">
        <v>2062</v>
      </c>
      <c r="C3" s="514"/>
      <c r="D3" s="1212"/>
      <c r="E3" s="1213" t="s">
        <v>2063</v>
      </c>
      <c r="F3" s="1192"/>
      <c r="G3" s="1192"/>
      <c r="J3" s="550"/>
    </row>
    <row r="4" spans="1:10" ht="18" customHeight="1">
      <c r="A4" s="274"/>
      <c r="B4" s="209"/>
      <c r="C4" s="245"/>
      <c r="D4" s="1122"/>
      <c r="E4" s="181" t="s">
        <v>2196</v>
      </c>
      <c r="F4" s="181" t="s">
        <v>2197</v>
      </c>
      <c r="G4" s="181" t="s">
        <v>2196</v>
      </c>
      <c r="J4" s="1151"/>
    </row>
    <row r="5" spans="1:10" ht="18.75" customHeight="1">
      <c r="A5" s="274"/>
      <c r="B5" s="1214">
        <v>2008</v>
      </c>
      <c r="C5" s="1215">
        <v>2009</v>
      </c>
      <c r="D5" s="1214">
        <v>2010</v>
      </c>
      <c r="E5" s="181" t="s">
        <v>2198</v>
      </c>
      <c r="F5" s="243" t="s">
        <v>196</v>
      </c>
      <c r="G5" s="181" t="s">
        <v>2198</v>
      </c>
      <c r="J5" s="1151"/>
    </row>
    <row r="6" spans="1:10" ht="15" customHeight="1">
      <c r="A6" s="274"/>
      <c r="B6" s="182"/>
      <c r="C6" s="183"/>
      <c r="D6" s="184"/>
      <c r="E6" s="181" t="s">
        <v>197</v>
      </c>
      <c r="F6" s="181"/>
      <c r="G6" s="181" t="s">
        <v>2201</v>
      </c>
      <c r="J6" s="1151"/>
    </row>
    <row r="7" spans="1:10" ht="18" customHeight="1">
      <c r="A7" s="274"/>
      <c r="B7" s="182"/>
      <c r="C7" s="183"/>
      <c r="D7" s="184"/>
      <c r="E7" s="181"/>
      <c r="F7" s="181"/>
      <c r="G7" s="181" t="s">
        <v>190</v>
      </c>
      <c r="J7" s="550"/>
    </row>
    <row r="8" spans="1:10" ht="20.25" customHeight="1">
      <c r="A8" s="275"/>
      <c r="B8" s="188"/>
      <c r="C8" s="187"/>
      <c r="D8" s="186"/>
      <c r="E8" s="379"/>
      <c r="F8" s="379"/>
      <c r="G8" s="924" t="s">
        <v>191</v>
      </c>
      <c r="J8" s="553"/>
    </row>
    <row r="9" spans="1:10" ht="30" customHeight="1" thickBot="1">
      <c r="A9" s="884" t="s">
        <v>2378</v>
      </c>
      <c r="B9" s="211">
        <v>307339465</v>
      </c>
      <c r="C9" s="257">
        <v>314913496</v>
      </c>
      <c r="D9" s="211">
        <v>345069805.33357358</v>
      </c>
      <c r="E9" s="779">
        <v>1347351</v>
      </c>
      <c r="F9" s="779">
        <v>2861</v>
      </c>
      <c r="G9" s="779">
        <v>1350212</v>
      </c>
      <c r="I9" s="7"/>
      <c r="J9" s="1181"/>
    </row>
    <row r="10" spans="1:10" ht="20" customHeight="1" thickBot="1">
      <c r="A10" s="896" t="s">
        <v>2379</v>
      </c>
      <c r="B10" s="211">
        <v>227189789</v>
      </c>
      <c r="C10" s="257">
        <v>230617608</v>
      </c>
      <c r="D10" s="211">
        <v>249114570.81444359</v>
      </c>
      <c r="E10" s="779">
        <v>974591</v>
      </c>
      <c r="F10" s="779">
        <v>161</v>
      </c>
      <c r="G10" s="779">
        <v>974752</v>
      </c>
      <c r="I10" s="7"/>
      <c r="J10" s="1181"/>
    </row>
    <row r="11" spans="1:10" ht="20" customHeight="1" thickBot="1">
      <c r="A11" s="896" t="s">
        <v>2380</v>
      </c>
      <c r="B11" s="211">
        <v>84187520</v>
      </c>
      <c r="C11" s="257">
        <v>86055658</v>
      </c>
      <c r="D11" s="211">
        <v>93675575.722159237</v>
      </c>
      <c r="E11" s="779">
        <v>366425</v>
      </c>
      <c r="F11" s="779">
        <v>115</v>
      </c>
      <c r="G11" s="779">
        <v>366540</v>
      </c>
      <c r="I11" s="7"/>
      <c r="J11" s="1181"/>
    </row>
    <row r="12" spans="1:10" ht="20" customHeight="1" thickBot="1">
      <c r="A12" s="896" t="s">
        <v>2381</v>
      </c>
      <c r="B12" s="211">
        <v>8124826</v>
      </c>
      <c r="C12" s="257">
        <v>8190705</v>
      </c>
      <c r="D12" s="211">
        <v>8856167.7456757352</v>
      </c>
      <c r="E12" s="779">
        <v>34648</v>
      </c>
      <c r="F12" s="779">
        <v>5</v>
      </c>
      <c r="G12" s="779">
        <v>34653</v>
      </c>
      <c r="I12" s="7"/>
      <c r="J12" s="1181"/>
    </row>
    <row r="13" spans="1:10" ht="20" customHeight="1" thickBot="1">
      <c r="A13" s="896" t="s">
        <v>2382</v>
      </c>
      <c r="B13" s="211">
        <v>32469491</v>
      </c>
      <c r="C13" s="257">
        <v>33262080</v>
      </c>
      <c r="D13" s="211">
        <v>36307399.848704845</v>
      </c>
      <c r="E13" s="779">
        <v>142033</v>
      </c>
      <c r="F13" s="779">
        <v>33</v>
      </c>
      <c r="G13" s="779">
        <v>142066</v>
      </c>
      <c r="I13" s="7"/>
      <c r="J13" s="1181"/>
    </row>
    <row r="14" spans="1:10" ht="20" customHeight="1" thickBot="1">
      <c r="A14" s="896" t="s">
        <v>2383</v>
      </c>
      <c r="B14" s="211">
        <v>7850041</v>
      </c>
      <c r="C14" s="257">
        <v>8033081.8048241045</v>
      </c>
      <c r="D14" s="211">
        <v>8725828.5095260628</v>
      </c>
      <c r="E14" s="779">
        <v>34137</v>
      </c>
      <c r="F14" s="779">
        <v>6</v>
      </c>
      <c r="G14" s="779">
        <v>34143</v>
      </c>
      <c r="I14" s="7"/>
      <c r="J14" s="1181"/>
    </row>
    <row r="15" spans="1:10" ht="20" customHeight="1" thickBot="1">
      <c r="A15" s="896" t="s">
        <v>2384</v>
      </c>
      <c r="B15" s="211">
        <v>9252040</v>
      </c>
      <c r="C15" s="257">
        <v>9407233</v>
      </c>
      <c r="D15" s="211">
        <v>10201473.116444126</v>
      </c>
      <c r="E15" s="779">
        <v>39913</v>
      </c>
      <c r="F15" s="779">
        <v>4</v>
      </c>
      <c r="G15" s="779">
        <v>39917</v>
      </c>
      <c r="I15" s="7"/>
      <c r="J15" s="1181"/>
    </row>
    <row r="16" spans="1:10" ht="20" customHeight="1" thickBot="1">
      <c r="A16" s="896" t="s">
        <v>2385</v>
      </c>
      <c r="B16" s="211">
        <v>8929973</v>
      </c>
      <c r="C16" s="257">
        <v>9043250</v>
      </c>
      <c r="D16" s="211">
        <v>9754997.3408490699</v>
      </c>
      <c r="E16" s="779">
        <v>38165</v>
      </c>
      <c r="F16" s="779">
        <v>5</v>
      </c>
      <c r="G16" s="779">
        <v>38170</v>
      </c>
      <c r="I16" s="7"/>
      <c r="J16" s="1181"/>
    </row>
    <row r="17" spans="1:10" ht="20" customHeight="1" thickBot="1">
      <c r="A17" s="896" t="s">
        <v>2386</v>
      </c>
      <c r="B17" s="211">
        <v>25234921</v>
      </c>
      <c r="C17" s="257">
        <v>25885643</v>
      </c>
      <c r="D17" s="211">
        <v>28233267.519927148</v>
      </c>
      <c r="E17" s="779">
        <v>110390</v>
      </c>
      <c r="F17" s="779">
        <v>83</v>
      </c>
      <c r="G17" s="779">
        <v>110473</v>
      </c>
      <c r="I17" s="7"/>
      <c r="J17" s="1181"/>
    </row>
    <row r="18" spans="1:10" ht="20" customHeight="1" thickBot="1">
      <c r="A18" s="896" t="s">
        <v>2387</v>
      </c>
      <c r="B18" s="211">
        <v>61044943</v>
      </c>
      <c r="C18" s="257">
        <v>62801587</v>
      </c>
      <c r="D18" s="211">
        <v>68707178.284216553</v>
      </c>
      <c r="E18" s="779">
        <v>268830</v>
      </c>
      <c r="F18" s="779">
        <v>12</v>
      </c>
      <c r="G18" s="779">
        <v>268842</v>
      </c>
      <c r="I18" s="7"/>
      <c r="J18" s="1181"/>
    </row>
    <row r="19" spans="1:10" ht="20" customHeight="1" thickBot="1">
      <c r="A19" s="896" t="s">
        <v>2388</v>
      </c>
      <c r="B19" s="211">
        <v>58187819.399999999</v>
      </c>
      <c r="C19" s="257">
        <v>59224038</v>
      </c>
      <c r="D19" s="211">
        <v>64077579.729606099</v>
      </c>
      <c r="E19" s="779">
        <v>250590</v>
      </c>
      <c r="F19" s="779">
        <v>137</v>
      </c>
      <c r="G19" s="779">
        <v>250727</v>
      </c>
      <c r="I19" s="7"/>
      <c r="J19" s="1181"/>
    </row>
    <row r="20" spans="1:10" ht="20" customHeight="1" thickBot="1">
      <c r="A20" s="896" t="s">
        <v>2389</v>
      </c>
      <c r="B20" s="211">
        <v>45379463</v>
      </c>
      <c r="C20" s="257">
        <v>45835330</v>
      </c>
      <c r="D20" s="211">
        <v>49548077.271603703</v>
      </c>
      <c r="E20" s="779">
        <v>190531</v>
      </c>
      <c r="F20" s="779">
        <v>3344</v>
      </c>
      <c r="G20" s="779">
        <v>193875</v>
      </c>
      <c r="I20" s="7"/>
      <c r="J20" s="1181"/>
    </row>
    <row r="21" spans="1:10" ht="20" customHeight="1" thickBot="1">
      <c r="A21" s="896" t="s">
        <v>2390</v>
      </c>
      <c r="B21" s="211">
        <v>62714247.399999999</v>
      </c>
      <c r="C21" s="257">
        <v>63870240</v>
      </c>
      <c r="D21" s="211">
        <v>69237480.078354925</v>
      </c>
      <c r="E21" s="779">
        <v>269249</v>
      </c>
      <c r="F21" s="779">
        <v>1668</v>
      </c>
      <c r="G21" s="779">
        <v>270917</v>
      </c>
      <c r="I21" s="7"/>
      <c r="J21" s="1181"/>
    </row>
    <row r="22" spans="1:10" ht="20" customHeight="1" thickBot="1">
      <c r="A22" s="896" t="s">
        <v>2391</v>
      </c>
      <c r="B22" s="211">
        <v>17732386</v>
      </c>
      <c r="C22" s="257">
        <v>18048698</v>
      </c>
      <c r="D22" s="211">
        <v>19552674.392358914</v>
      </c>
      <c r="E22" s="779">
        <v>75045</v>
      </c>
      <c r="F22" s="779">
        <v>1462</v>
      </c>
      <c r="G22" s="779">
        <v>76507</v>
      </c>
      <c r="I22" s="7"/>
      <c r="J22" s="1181"/>
    </row>
    <row r="23" spans="1:10" ht="20" customHeight="1" thickBot="1">
      <c r="A23" s="896" t="s">
        <v>2392</v>
      </c>
      <c r="B23" s="211">
        <v>12286569</v>
      </c>
      <c r="C23" s="257">
        <v>12446296</v>
      </c>
      <c r="D23" s="211">
        <v>13426474.72619457</v>
      </c>
      <c r="E23" s="779">
        <v>52517</v>
      </c>
      <c r="F23" s="779">
        <v>19</v>
      </c>
      <c r="G23" s="779">
        <v>52536</v>
      </c>
      <c r="I23" s="7"/>
      <c r="J23" s="1181"/>
    </row>
    <row r="24" spans="1:10" ht="20" customHeight="1" thickBot="1">
      <c r="A24" s="896" t="s">
        <v>2393</v>
      </c>
      <c r="B24" s="211">
        <v>3558259</v>
      </c>
      <c r="C24" s="257">
        <v>3573270</v>
      </c>
      <c r="D24" s="211">
        <v>3872353.1492938199</v>
      </c>
      <c r="E24" s="779">
        <v>15147</v>
      </c>
      <c r="F24" s="779">
        <v>5</v>
      </c>
      <c r="G24" s="779">
        <v>15152</v>
      </c>
      <c r="I24" s="7"/>
      <c r="J24" s="1181"/>
    </row>
    <row r="25" spans="1:10" ht="20" customHeight="1" thickBot="1">
      <c r="A25" s="896" t="s">
        <v>2394</v>
      </c>
      <c r="B25" s="211">
        <v>108844678</v>
      </c>
      <c r="C25" s="257">
        <v>110818205</v>
      </c>
      <c r="D25" s="211">
        <v>120279602.79021546</v>
      </c>
      <c r="E25" s="779">
        <v>470268</v>
      </c>
      <c r="F25" s="779">
        <v>370</v>
      </c>
      <c r="G25" s="779">
        <v>470638</v>
      </c>
      <c r="I25" s="7"/>
      <c r="J25" s="1181"/>
    </row>
    <row r="26" spans="1:10" ht="20" customHeight="1" thickBot="1">
      <c r="A26" s="896" t="s">
        <v>2395</v>
      </c>
      <c r="B26" s="211">
        <v>45001050</v>
      </c>
      <c r="C26" s="257">
        <v>45644661</v>
      </c>
      <c r="D26" s="211">
        <v>49348479.343303911</v>
      </c>
      <c r="E26" s="779">
        <v>193035</v>
      </c>
      <c r="F26" s="779">
        <v>59</v>
      </c>
      <c r="G26" s="779">
        <v>193094</v>
      </c>
      <c r="I26" s="7"/>
      <c r="J26" s="1181"/>
    </row>
    <row r="27" spans="1:10" ht="20" customHeight="1" thickBot="1">
      <c r="A27" s="896" t="s">
        <v>2396</v>
      </c>
      <c r="B27" s="211">
        <v>135033767</v>
      </c>
      <c r="C27" s="257">
        <v>138176187</v>
      </c>
      <c r="D27" s="211">
        <v>150913156.79233426</v>
      </c>
      <c r="E27" s="779">
        <v>587471</v>
      </c>
      <c r="F27" s="779">
        <v>3032</v>
      </c>
      <c r="G27" s="779">
        <v>590503</v>
      </c>
      <c r="I27" s="7"/>
      <c r="J27" s="1181"/>
    </row>
    <row r="28" spans="1:10" ht="20" customHeight="1" thickBot="1">
      <c r="A28" s="896" t="s">
        <v>2397</v>
      </c>
      <c r="B28" s="211">
        <v>55644325</v>
      </c>
      <c r="C28" s="257">
        <v>56885364</v>
      </c>
      <c r="D28" s="211">
        <v>61848012.090057567</v>
      </c>
      <c r="E28" s="779">
        <v>240656</v>
      </c>
      <c r="F28" s="779">
        <v>1347</v>
      </c>
      <c r="G28" s="779">
        <v>242003</v>
      </c>
      <c r="I28" s="7"/>
      <c r="J28" s="1181"/>
    </row>
    <row r="29" spans="1:10" ht="20" customHeight="1" thickBot="1">
      <c r="A29" s="896" t="s">
        <v>2398</v>
      </c>
      <c r="B29" s="211">
        <v>76375015</v>
      </c>
      <c r="C29" s="257">
        <v>77932234</v>
      </c>
      <c r="D29" s="211">
        <v>84796918.069069445</v>
      </c>
      <c r="E29" s="779">
        <v>331600</v>
      </c>
      <c r="F29" s="779">
        <v>199</v>
      </c>
      <c r="G29" s="779">
        <v>331799</v>
      </c>
      <c r="I29" s="7"/>
      <c r="J29" s="1181"/>
    </row>
    <row r="30" spans="1:10" ht="20" customHeight="1" thickBot="1">
      <c r="A30" s="896" t="s">
        <v>2399</v>
      </c>
      <c r="B30" s="211">
        <v>157810529</v>
      </c>
      <c r="C30" s="257">
        <v>161265502</v>
      </c>
      <c r="D30" s="211">
        <v>176630110.3531836</v>
      </c>
      <c r="E30" s="779">
        <v>690870</v>
      </c>
      <c r="F30" s="779">
        <v>260</v>
      </c>
      <c r="G30" s="779">
        <v>691130</v>
      </c>
      <c r="I30" s="7"/>
      <c r="J30" s="1181"/>
    </row>
    <row r="31" spans="1:10" ht="20" customHeight="1" thickBot="1">
      <c r="A31" s="896" t="s">
        <v>2400</v>
      </c>
      <c r="B31" s="211">
        <v>68923715</v>
      </c>
      <c r="C31" s="257">
        <v>70596689</v>
      </c>
      <c r="D31" s="211">
        <v>76943595.740357071</v>
      </c>
      <c r="E31" s="779">
        <v>301045</v>
      </c>
      <c r="F31" s="779">
        <v>25</v>
      </c>
      <c r="G31" s="779">
        <v>301070</v>
      </c>
      <c r="I31" s="7"/>
      <c r="J31" s="1181"/>
    </row>
    <row r="32" spans="1:10" ht="20" customHeight="1" thickBot="1">
      <c r="A32" s="896" t="s">
        <v>2401</v>
      </c>
      <c r="B32" s="211">
        <v>39822340</v>
      </c>
      <c r="C32" s="257">
        <v>40407906</v>
      </c>
      <c r="D32" s="211">
        <v>43747981.262943245</v>
      </c>
      <c r="E32" s="779">
        <v>171095</v>
      </c>
      <c r="F32" s="779">
        <v>85</v>
      </c>
      <c r="G32" s="779">
        <v>171180</v>
      </c>
      <c r="I32" s="7"/>
      <c r="J32" s="1181"/>
    </row>
    <row r="33" spans="1:12" ht="20" customHeight="1" thickBot="1">
      <c r="A33" s="896" t="s">
        <v>2402</v>
      </c>
      <c r="B33" s="211">
        <v>104101316</v>
      </c>
      <c r="C33" s="257">
        <v>105840352</v>
      </c>
      <c r="D33" s="211">
        <v>115266653.54104716</v>
      </c>
      <c r="E33" s="779">
        <v>446957</v>
      </c>
      <c r="F33" s="779">
        <v>4066</v>
      </c>
      <c r="G33" s="779">
        <v>451023</v>
      </c>
      <c r="J33" s="1181"/>
    </row>
    <row r="34" spans="1:12" ht="20" customHeight="1" thickBot="1">
      <c r="A34" s="896" t="s">
        <v>2403</v>
      </c>
      <c r="B34" s="211">
        <v>15993053</v>
      </c>
      <c r="C34" s="257">
        <v>16229255</v>
      </c>
      <c r="D34" s="211">
        <v>17511204.160273444</v>
      </c>
      <c r="E34" s="779">
        <v>68497</v>
      </c>
      <c r="F34" s="779">
        <v>22</v>
      </c>
      <c r="G34" s="779">
        <v>68519</v>
      </c>
      <c r="J34" s="1181"/>
      <c r="K34" s="8"/>
      <c r="L34" s="8"/>
    </row>
    <row r="35" spans="1:12" s="217" customFormat="1" ht="30" customHeight="1" thickBot="1">
      <c r="A35" s="1101" t="s">
        <v>2404</v>
      </c>
      <c r="B35" s="430">
        <v>1779031540.8</v>
      </c>
      <c r="C35" s="431">
        <v>1815004568.8048241</v>
      </c>
      <c r="D35" s="430">
        <v>1975646617.7257173</v>
      </c>
      <c r="E35" s="686">
        <v>7711056</v>
      </c>
      <c r="F35" s="686">
        <v>19385</v>
      </c>
      <c r="G35" s="686">
        <v>7730441</v>
      </c>
      <c r="H35" s="359"/>
      <c r="J35" s="1180"/>
    </row>
    <row r="36" spans="1:12" ht="20" customHeight="1">
      <c r="A36" s="1094" t="s">
        <v>235</v>
      </c>
      <c r="B36" s="585"/>
      <c r="C36" s="585"/>
      <c r="D36" s="1104"/>
      <c r="E36" s="1104"/>
      <c r="F36" s="1104"/>
      <c r="G36" s="1104"/>
      <c r="H36" s="586"/>
    </row>
    <row r="37" spans="1:12" ht="14.25" customHeight="1">
      <c r="A37" s="1095"/>
      <c r="B37" s="586"/>
      <c r="C37" s="586"/>
      <c r="D37" s="1105"/>
      <c r="E37" s="1105"/>
      <c r="F37" s="1105"/>
      <c r="G37" s="1105"/>
      <c r="H37" s="586"/>
    </row>
    <row r="38" spans="1:12" ht="15.75" customHeight="1">
      <c r="A38" s="1095" t="s">
        <v>2064</v>
      </c>
      <c r="B38" s="586"/>
      <c r="C38" s="586"/>
      <c r="D38" s="1105"/>
      <c r="E38" s="1105"/>
      <c r="F38" s="1105"/>
      <c r="G38" s="1105"/>
      <c r="H38" s="586"/>
    </row>
    <row r="39" spans="1:12" ht="15.75" customHeight="1">
      <c r="A39" s="1095"/>
      <c r="B39" s="586"/>
      <c r="C39" s="586"/>
      <c r="D39" s="1105"/>
      <c r="E39" s="1105"/>
      <c r="F39" s="1105"/>
      <c r="G39" s="1105"/>
      <c r="H39" s="586"/>
    </row>
    <row r="40" spans="1:12" ht="15.75" customHeight="1">
      <c r="A40" s="2" t="s">
        <v>2065</v>
      </c>
      <c r="B40" s="586"/>
      <c r="C40" s="586"/>
      <c r="D40" s="1105"/>
      <c r="E40" s="1105"/>
      <c r="F40" s="1105"/>
      <c r="G40" s="1105"/>
      <c r="H40" s="586"/>
    </row>
    <row r="41" spans="1:12" ht="15.75" customHeight="1">
      <c r="A41" s="2" t="s">
        <v>2066</v>
      </c>
      <c r="B41" s="586"/>
      <c r="C41" s="586"/>
      <c r="D41" s="1105"/>
      <c r="E41" s="1105"/>
      <c r="F41" s="1105"/>
      <c r="G41" s="1105"/>
      <c r="H41" s="586"/>
    </row>
    <row r="42" spans="1:12" ht="13.5" customHeight="1">
      <c r="A42" s="1095"/>
      <c r="B42" s="586"/>
      <c r="C42" s="586"/>
      <c r="D42" s="1105"/>
      <c r="E42" s="1105"/>
      <c r="F42" s="1105"/>
      <c r="G42" s="1105"/>
      <c r="H42" s="586"/>
    </row>
    <row r="44" spans="1:12">
      <c r="A44" s="2" t="s">
        <v>711</v>
      </c>
    </row>
  </sheetData>
  <mergeCells count="1">
    <mergeCell ref="A2:G2"/>
  </mergeCells>
  <phoneticPr fontId="0" type="noConversion"/>
  <pageMargins left="0.56000000000000005" right="0.51" top="0.81" bottom="0.49" header="0.42" footer="0.4921259845"/>
  <pageSetup paperSize="9" scale="75" orientation="portrait" horizontalDpi="1200" verticalDpi="1200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8B38-7420-BB4F-8045-CA94BC1B7457}">
  <dimension ref="A1:B9"/>
  <sheetViews>
    <sheetView workbookViewId="0">
      <selection activeCell="A10" sqref="A10"/>
    </sheetView>
  </sheetViews>
  <sheetFormatPr baseColWidth="10" defaultColWidth="11.3984375" defaultRowHeight="13"/>
  <cols>
    <col min="1" max="1" width="5.59765625" style="46" customWidth="1"/>
    <col min="2" max="16384" width="11.3984375" style="46"/>
  </cols>
  <sheetData>
    <row r="1" spans="1:2" ht="16">
      <c r="A1" s="45" t="s">
        <v>1442</v>
      </c>
    </row>
    <row r="2" spans="1:2" ht="16">
      <c r="A2" s="45"/>
    </row>
    <row r="3" spans="1:2">
      <c r="A3" s="46">
        <v>5.01</v>
      </c>
      <c r="B3" s="47" t="s">
        <v>1443</v>
      </c>
    </row>
    <row r="4" spans="1:2">
      <c r="A4" s="46">
        <v>5.0199999999999996</v>
      </c>
      <c r="B4" s="47" t="s">
        <v>1444</v>
      </c>
    </row>
    <row r="5" spans="1:2">
      <c r="A5" s="46">
        <v>5.03</v>
      </c>
      <c r="B5" s="46" t="s">
        <v>1453</v>
      </c>
    </row>
    <row r="6" spans="1:2">
      <c r="A6" s="46">
        <v>5.04</v>
      </c>
      <c r="B6" s="46" t="s">
        <v>1454</v>
      </c>
    </row>
    <row r="9" spans="1:2">
      <c r="A9" s="48" t="s">
        <v>711</v>
      </c>
    </row>
  </sheetData>
  <phoneticPr fontId="30" type="noConversion"/>
  <pageMargins left="0.54" right="0.51" top="0.78" bottom="0.984251969" header="0.36" footer="0.4921259845"/>
  <pageSetup paperSize="9" orientation="portrait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7E99-8573-404F-BAA0-4888472F3098}">
  <dimension ref="A1:AD109"/>
  <sheetViews>
    <sheetView topLeftCell="A3" zoomScale="75" workbookViewId="0">
      <selection activeCell="U3" sqref="U3"/>
    </sheetView>
  </sheetViews>
  <sheetFormatPr baseColWidth="10" defaultColWidth="11.3984375" defaultRowHeight="13"/>
  <cols>
    <col min="1" max="1" width="7.59765625" style="92" customWidth="1"/>
    <col min="2" max="2" width="38.59765625" style="92" customWidth="1"/>
    <col min="3" max="3" width="10.796875" style="92" customWidth="1"/>
    <col min="4" max="4" width="11.796875" style="92" customWidth="1"/>
    <col min="5" max="5" width="11.19921875" style="2" customWidth="1"/>
    <col min="6" max="6" width="10.796875" style="2" customWidth="1"/>
    <col min="7" max="7" width="11.19921875" style="2" customWidth="1"/>
    <col min="8" max="9" width="11.19921875" style="7" customWidth="1"/>
    <col min="10" max="16" width="10.796875" style="2" customWidth="1"/>
    <col min="17" max="17" width="3" style="2" customWidth="1"/>
    <col min="18" max="18" width="10.796875" style="2" customWidth="1"/>
    <col min="19" max="19" width="11.796875" style="818" customWidth="1"/>
    <col min="20" max="20" width="11.3984375" style="2"/>
    <col min="21" max="22" width="12.19921875" style="2" customWidth="1"/>
    <col min="23" max="28" width="11.3984375" style="2"/>
    <col min="29" max="29" width="11.796875" style="2" customWidth="1"/>
    <col min="30" max="30" width="12.3984375" style="2" customWidth="1"/>
    <col min="31" max="16384" width="11.3984375" style="2"/>
  </cols>
  <sheetData>
    <row r="1" spans="1:30" s="1" customFormat="1" ht="14" customHeight="1">
      <c r="A1" s="227"/>
      <c r="B1" s="227"/>
      <c r="C1" s="227"/>
      <c r="D1" s="227"/>
      <c r="H1" s="240"/>
      <c r="I1" s="240"/>
      <c r="S1" s="789"/>
    </row>
    <row r="2" spans="1:30" s="1" customFormat="1" ht="28.5" customHeight="1">
      <c r="A2" s="2030" t="s">
        <v>1496</v>
      </c>
      <c r="B2" s="2020"/>
      <c r="C2" s="50"/>
      <c r="D2" s="50"/>
      <c r="E2" s="49"/>
      <c r="F2" s="49"/>
      <c r="G2" s="49"/>
      <c r="H2" s="51"/>
      <c r="I2" s="240"/>
      <c r="J2" s="16"/>
      <c r="V2" s="790"/>
      <c r="AD2" s="790">
        <v>2008</v>
      </c>
    </row>
    <row r="3" spans="1:30" s="1" customFormat="1" ht="12" customHeight="1">
      <c r="A3" s="227"/>
      <c r="B3" s="227"/>
      <c r="C3" s="227"/>
      <c r="D3" s="227"/>
      <c r="H3" s="240"/>
      <c r="I3" s="240"/>
      <c r="S3" s="791"/>
      <c r="U3" s="792"/>
      <c r="W3" s="792"/>
      <c r="X3" s="792"/>
      <c r="Y3" s="792"/>
      <c r="Z3" s="792"/>
      <c r="AA3" s="792"/>
      <c r="AB3" s="792"/>
      <c r="AC3" s="792"/>
      <c r="AD3" s="792"/>
    </row>
    <row r="4" spans="1:30" ht="18" customHeight="1">
      <c r="A4" s="55" t="s">
        <v>1456</v>
      </c>
      <c r="B4" s="55" t="s">
        <v>1497</v>
      </c>
      <c r="C4" s="56" t="s">
        <v>1498</v>
      </c>
      <c r="D4" s="57" t="s">
        <v>769</v>
      </c>
      <c r="E4" s="1184" t="s">
        <v>1303</v>
      </c>
      <c r="F4" s="57" t="s">
        <v>1499</v>
      </c>
      <c r="G4" s="57" t="s">
        <v>1500</v>
      </c>
      <c r="H4" s="59" t="s">
        <v>1501</v>
      </c>
      <c r="I4" s="59" t="s">
        <v>1502</v>
      </c>
      <c r="J4" s="57" t="s">
        <v>1503</v>
      </c>
      <c r="K4" s="57" t="s">
        <v>1504</v>
      </c>
      <c r="L4" s="57" t="s">
        <v>1504</v>
      </c>
      <c r="M4" s="56" t="s">
        <v>1505</v>
      </c>
      <c r="N4" s="58" t="s">
        <v>1501</v>
      </c>
      <c r="O4" s="58" t="s">
        <v>1502</v>
      </c>
      <c r="P4" s="58" t="s">
        <v>2010</v>
      </c>
      <c r="Q4" s="57"/>
      <c r="R4" s="59" t="s">
        <v>1506</v>
      </c>
      <c r="S4" s="63" t="s">
        <v>1507</v>
      </c>
      <c r="T4" s="59" t="s">
        <v>769</v>
      </c>
      <c r="U4" s="1186" t="s">
        <v>1303</v>
      </c>
      <c r="V4" s="59" t="s">
        <v>1499</v>
      </c>
      <c r="W4" s="15" t="s">
        <v>1500</v>
      </c>
      <c r="X4" s="15" t="s">
        <v>1508</v>
      </c>
      <c r="Y4" s="15" t="s">
        <v>1504</v>
      </c>
      <c r="Z4" s="15" t="s">
        <v>1504</v>
      </c>
      <c r="AA4" s="15" t="s">
        <v>1783</v>
      </c>
      <c r="AB4" s="15" t="s">
        <v>1509</v>
      </c>
      <c r="AC4" s="15" t="s">
        <v>1510</v>
      </c>
      <c r="AD4" s="15" t="s">
        <v>1511</v>
      </c>
    </row>
    <row r="5" spans="1:30" ht="15" customHeight="1">
      <c r="A5" s="61" t="s">
        <v>158</v>
      </c>
      <c r="B5" s="61"/>
      <c r="C5" s="62" t="s">
        <v>1512</v>
      </c>
      <c r="D5" s="63" t="s">
        <v>1513</v>
      </c>
      <c r="E5" s="1185" t="s">
        <v>1515</v>
      </c>
      <c r="F5" s="63" t="s">
        <v>1514</v>
      </c>
      <c r="G5" s="63" t="s">
        <v>1515</v>
      </c>
      <c r="H5" s="65" t="s">
        <v>1516</v>
      </c>
      <c r="I5" s="65" t="s">
        <v>1517</v>
      </c>
      <c r="J5" s="63" t="s">
        <v>1518</v>
      </c>
      <c r="K5" s="63" t="s">
        <v>1519</v>
      </c>
      <c r="L5" s="63" t="s">
        <v>2010</v>
      </c>
      <c r="M5" s="62" t="s">
        <v>1303</v>
      </c>
      <c r="N5" s="64" t="s">
        <v>1520</v>
      </c>
      <c r="O5" s="64" t="s">
        <v>1517</v>
      </c>
      <c r="P5" s="64" t="s">
        <v>1521</v>
      </c>
      <c r="Q5" s="63"/>
      <c r="R5" s="65" t="s">
        <v>164</v>
      </c>
      <c r="S5" s="63" t="s">
        <v>164</v>
      </c>
      <c r="T5" s="65" t="s">
        <v>1993</v>
      </c>
      <c r="U5" s="1186" t="s">
        <v>1515</v>
      </c>
      <c r="V5" s="65" t="s">
        <v>1514</v>
      </c>
      <c r="W5" s="15" t="s">
        <v>1515</v>
      </c>
      <c r="X5" s="15" t="s">
        <v>1522</v>
      </c>
      <c r="Y5" s="15" t="s">
        <v>1519</v>
      </c>
      <c r="Z5" s="15" t="s">
        <v>2010</v>
      </c>
      <c r="AA5" s="15" t="s">
        <v>1779</v>
      </c>
      <c r="AB5" s="15" t="s">
        <v>1523</v>
      </c>
      <c r="AC5" s="15" t="s">
        <v>1524</v>
      </c>
      <c r="AD5" s="15" t="s">
        <v>1524</v>
      </c>
    </row>
    <row r="6" spans="1:30" ht="15" customHeight="1">
      <c r="A6" s="61"/>
      <c r="B6" s="61"/>
      <c r="C6" s="62" t="s">
        <v>1525</v>
      </c>
      <c r="D6" s="63" t="s">
        <v>1526</v>
      </c>
      <c r="E6" s="1185" t="s">
        <v>1527</v>
      </c>
      <c r="F6" s="63" t="s">
        <v>1527</v>
      </c>
      <c r="G6" s="63" t="s">
        <v>1527</v>
      </c>
      <c r="H6" s="65" t="s">
        <v>1527</v>
      </c>
      <c r="I6" s="65" t="s">
        <v>1528</v>
      </c>
      <c r="J6" s="63" t="s">
        <v>121</v>
      </c>
      <c r="K6" s="63" t="s">
        <v>1529</v>
      </c>
      <c r="L6" s="63" t="s">
        <v>1513</v>
      </c>
      <c r="M6" s="62" t="s">
        <v>1530</v>
      </c>
      <c r="N6" s="64" t="s">
        <v>1531</v>
      </c>
      <c r="O6" s="64" t="s">
        <v>1528</v>
      </c>
      <c r="P6" s="64" t="s">
        <v>769</v>
      </c>
      <c r="Q6" s="63"/>
      <c r="R6" s="65" t="s">
        <v>1993</v>
      </c>
      <c r="S6" s="63" t="s">
        <v>1993</v>
      </c>
      <c r="T6" s="65"/>
      <c r="U6" s="1186" t="s">
        <v>1993</v>
      </c>
      <c r="V6" s="65" t="s">
        <v>1993</v>
      </c>
      <c r="W6" s="15" t="s">
        <v>1993</v>
      </c>
      <c r="X6" s="15" t="s">
        <v>1993</v>
      </c>
      <c r="Y6" s="15" t="s">
        <v>1532</v>
      </c>
      <c r="Z6" s="15" t="s">
        <v>1533</v>
      </c>
      <c r="AA6" s="15" t="s">
        <v>1534</v>
      </c>
      <c r="AB6" s="15" t="s">
        <v>1535</v>
      </c>
      <c r="AC6" s="15" t="s">
        <v>1523</v>
      </c>
      <c r="AD6" s="15" t="s">
        <v>1523</v>
      </c>
    </row>
    <row r="7" spans="1:30" ht="15" customHeight="1">
      <c r="A7" s="61"/>
      <c r="B7" s="61"/>
      <c r="C7" s="655" t="s">
        <v>1536</v>
      </c>
      <c r="D7" s="63" t="s">
        <v>768</v>
      </c>
      <c r="E7" s="1185" t="s">
        <v>1526</v>
      </c>
      <c r="F7" s="63" t="s">
        <v>1526</v>
      </c>
      <c r="G7" s="63" t="s">
        <v>1526</v>
      </c>
      <c r="H7" s="65" t="s">
        <v>1526</v>
      </c>
      <c r="I7" s="65" t="s">
        <v>1537</v>
      </c>
      <c r="J7" s="63" t="s">
        <v>1538</v>
      </c>
      <c r="K7" s="63" t="s">
        <v>121</v>
      </c>
      <c r="L7" s="63" t="s">
        <v>1526</v>
      </c>
      <c r="M7" s="62" t="s">
        <v>769</v>
      </c>
      <c r="N7" s="64" t="s">
        <v>1539</v>
      </c>
      <c r="O7" s="64" t="s">
        <v>1540</v>
      </c>
      <c r="P7" s="64"/>
      <c r="Q7" s="63"/>
      <c r="R7" s="65"/>
      <c r="S7" s="63"/>
      <c r="T7" s="65"/>
      <c r="U7" s="63"/>
      <c r="V7" s="65"/>
      <c r="W7" s="15"/>
      <c r="X7" s="15"/>
      <c r="Y7" s="15" t="s">
        <v>1533</v>
      </c>
      <c r="Z7" s="15"/>
      <c r="AA7" s="15" t="s">
        <v>769</v>
      </c>
      <c r="AB7" s="15" t="s">
        <v>1993</v>
      </c>
      <c r="AC7" s="15" t="s">
        <v>1535</v>
      </c>
      <c r="AD7" s="15" t="s">
        <v>1535</v>
      </c>
    </row>
    <row r="8" spans="1:30" ht="15" customHeight="1">
      <c r="A8" s="61"/>
      <c r="B8" s="61"/>
      <c r="C8" s="655"/>
      <c r="D8" s="63"/>
      <c r="E8" s="1185" t="s">
        <v>768</v>
      </c>
      <c r="F8" s="63" t="s">
        <v>768</v>
      </c>
      <c r="G8" s="63" t="s">
        <v>768</v>
      </c>
      <c r="H8" s="65" t="s">
        <v>768</v>
      </c>
      <c r="I8" s="65" t="s">
        <v>121</v>
      </c>
      <c r="J8" s="63" t="s">
        <v>768</v>
      </c>
      <c r="K8" s="63" t="s">
        <v>1541</v>
      </c>
      <c r="L8" s="63" t="s">
        <v>768</v>
      </c>
      <c r="M8" s="62" t="s">
        <v>1845</v>
      </c>
      <c r="N8" s="64"/>
      <c r="O8" s="64" t="s">
        <v>1542</v>
      </c>
      <c r="P8" s="64"/>
      <c r="Q8" s="63"/>
      <c r="R8" s="65"/>
      <c r="S8" s="63"/>
      <c r="T8" s="65"/>
      <c r="U8" s="63"/>
      <c r="V8" s="65"/>
      <c r="W8" s="15"/>
      <c r="X8" s="15"/>
      <c r="Y8" s="15"/>
      <c r="Z8" s="15"/>
      <c r="AA8" s="15" t="s">
        <v>1993</v>
      </c>
      <c r="AB8" s="15"/>
      <c r="AC8" s="15" t="s">
        <v>1543</v>
      </c>
      <c r="AD8" s="15" t="s">
        <v>1544</v>
      </c>
    </row>
    <row r="9" spans="1:30" ht="15" customHeight="1">
      <c r="A9" s="61"/>
      <c r="B9" s="61"/>
      <c r="C9" s="62"/>
      <c r="D9" s="63"/>
      <c r="E9" s="63"/>
      <c r="F9" s="63"/>
      <c r="G9" s="63"/>
      <c r="H9" s="65"/>
      <c r="I9" s="65" t="s">
        <v>1545</v>
      </c>
      <c r="J9" s="63"/>
      <c r="K9" s="63" t="s">
        <v>768</v>
      </c>
      <c r="L9" s="63"/>
      <c r="M9" s="793"/>
      <c r="N9" s="64"/>
      <c r="O9" s="64" t="s">
        <v>1507</v>
      </c>
      <c r="P9" s="64"/>
      <c r="Q9" s="63"/>
      <c r="R9" s="65"/>
      <c r="S9" s="63"/>
      <c r="T9" s="65"/>
      <c r="U9" s="63"/>
      <c r="V9" s="65"/>
      <c r="W9" s="15"/>
      <c r="X9" s="15"/>
      <c r="Y9" s="15"/>
      <c r="Z9" s="15"/>
      <c r="AA9" s="15"/>
      <c r="AB9" s="15"/>
      <c r="AC9" s="15"/>
      <c r="AD9" s="15"/>
    </row>
    <row r="10" spans="1:30" ht="21" customHeight="1">
      <c r="A10" s="794">
        <v>0</v>
      </c>
      <c r="B10" s="794"/>
      <c r="C10" s="795">
        <v>1</v>
      </c>
      <c r="D10" s="796" t="s">
        <v>678</v>
      </c>
      <c r="E10" s="796" t="s">
        <v>600</v>
      </c>
      <c r="F10" s="796" t="s">
        <v>696</v>
      </c>
      <c r="G10" s="796" t="s">
        <v>694</v>
      </c>
      <c r="H10" s="797" t="s">
        <v>657</v>
      </c>
      <c r="I10" s="797" t="s">
        <v>682</v>
      </c>
      <c r="J10" s="796">
        <v>7</v>
      </c>
      <c r="K10" s="796" t="s">
        <v>689</v>
      </c>
      <c r="L10" s="796" t="s">
        <v>691</v>
      </c>
      <c r="M10" s="795">
        <v>15</v>
      </c>
      <c r="N10" s="798" t="s">
        <v>592</v>
      </c>
      <c r="O10" s="798" t="s">
        <v>698</v>
      </c>
      <c r="P10" s="798" t="s">
        <v>652</v>
      </c>
      <c r="Q10" s="794"/>
      <c r="R10" s="797">
        <v>2</v>
      </c>
      <c r="S10" s="796">
        <v>14</v>
      </c>
      <c r="T10" s="797" t="s">
        <v>676</v>
      </c>
      <c r="U10" s="796" t="s">
        <v>596</v>
      </c>
      <c r="V10" s="797" t="s">
        <v>728</v>
      </c>
      <c r="W10" s="796" t="s">
        <v>725</v>
      </c>
      <c r="X10" s="796" t="s">
        <v>654</v>
      </c>
      <c r="Y10" s="796" t="s">
        <v>701</v>
      </c>
      <c r="Z10" s="796" t="s">
        <v>703</v>
      </c>
      <c r="AA10" s="796">
        <v>10</v>
      </c>
      <c r="AB10" s="796" t="s">
        <v>590</v>
      </c>
      <c r="AC10" s="796" t="s">
        <v>594</v>
      </c>
      <c r="AD10" s="796" t="s">
        <v>598</v>
      </c>
    </row>
    <row r="11" spans="1:30" ht="14" thickBot="1">
      <c r="A11" s="75">
        <v>8</v>
      </c>
      <c r="B11" s="1083" t="s">
        <v>935</v>
      </c>
      <c r="C11" s="799">
        <v>920776.36</v>
      </c>
      <c r="D11" s="800">
        <v>2445.8712751487237</v>
      </c>
      <c r="E11" s="800">
        <v>2575.5424066816831</v>
      </c>
      <c r="F11" s="800">
        <v>421.25159722823474</v>
      </c>
      <c r="G11" s="800">
        <v>2996.794003909918</v>
      </c>
      <c r="H11" s="800">
        <v>-171.0254519675114</v>
      </c>
      <c r="I11" s="801">
        <v>134.11955902082457</v>
      </c>
      <c r="J11" s="800">
        <v>-48.731147984728892</v>
      </c>
      <c r="K11" s="801">
        <v>682.57616865836997</v>
      </c>
      <c r="L11" s="800">
        <v>373.17791302765414</v>
      </c>
      <c r="M11" s="802">
        <v>1.0530163352628092</v>
      </c>
      <c r="N11" s="802">
        <v>-6.8855892295358698E-2</v>
      </c>
      <c r="O11" s="802">
        <v>5.2958340286271346E-2</v>
      </c>
      <c r="P11" s="802">
        <v>0.15257463335022106</v>
      </c>
      <c r="Q11" s="800"/>
      <c r="R11" s="787">
        <v>2287.0401919199999</v>
      </c>
      <c r="S11" s="787">
        <v>2331.9106809700002</v>
      </c>
      <c r="T11" s="787">
        <v>2252.1004497600002</v>
      </c>
      <c r="U11" s="787">
        <v>2371.4985622499998</v>
      </c>
      <c r="V11" s="787">
        <v>387.87851234000004</v>
      </c>
      <c r="W11" s="787">
        <v>2759.3770745900001</v>
      </c>
      <c r="X11" s="787">
        <v>-157.47619312999998</v>
      </c>
      <c r="Y11" s="787">
        <v>628.5</v>
      </c>
      <c r="Z11" s="787">
        <v>343.61340038999998</v>
      </c>
      <c r="AA11" s="787" t="s">
        <v>1060</v>
      </c>
      <c r="AB11" s="787">
        <v>247.73104947360002</v>
      </c>
      <c r="AC11" s="787">
        <v>95.882350916399957</v>
      </c>
      <c r="AD11" s="787" t="s">
        <v>1491</v>
      </c>
    </row>
    <row r="12" spans="1:30" ht="14" thickBot="1">
      <c r="A12" s="75">
        <v>32</v>
      </c>
      <c r="B12" s="1083" t="s">
        <v>1308</v>
      </c>
      <c r="C12" s="799">
        <v>31973</v>
      </c>
      <c r="D12" s="800">
        <v>2485.1695946579921</v>
      </c>
      <c r="E12" s="800">
        <v>2650.7788161886597</v>
      </c>
      <c r="F12" s="800">
        <v>422.78668438995402</v>
      </c>
      <c r="G12" s="800">
        <v>3073.5655005786134</v>
      </c>
      <c r="H12" s="800">
        <v>-138.98097394676756</v>
      </c>
      <c r="I12" s="801">
        <v>124.53837644262346</v>
      </c>
      <c r="J12" s="800">
        <v>-111.22167391236356</v>
      </c>
      <c r="K12" s="801">
        <v>628.6554280173898</v>
      </c>
      <c r="L12" s="800">
        <v>607.72046914584178</v>
      </c>
      <c r="M12" s="802">
        <v>1.0666390019766272</v>
      </c>
      <c r="N12" s="802">
        <v>-5.664311106523711E-2</v>
      </c>
      <c r="O12" s="802">
        <v>4.8555868888917129E-2</v>
      </c>
      <c r="P12" s="802">
        <v>0.24453883165646728</v>
      </c>
      <c r="Q12" s="800"/>
      <c r="R12" s="787">
        <v>78.449763729999987</v>
      </c>
      <c r="S12" s="787">
        <v>82.005854310000004</v>
      </c>
      <c r="T12" s="788">
        <v>79.458327449999985</v>
      </c>
      <c r="U12" s="788">
        <v>84.75335109000001</v>
      </c>
      <c r="V12" s="788">
        <v>13.51775866</v>
      </c>
      <c r="W12" s="787">
        <v>98.271109750000008</v>
      </c>
      <c r="X12" s="787">
        <v>-4.4436386799999994</v>
      </c>
      <c r="Y12" s="788">
        <v>20.100000000000001</v>
      </c>
      <c r="Z12" s="787">
        <v>19.43064656</v>
      </c>
      <c r="AA12" s="787">
        <v>35.7137654</v>
      </c>
      <c r="AB12" s="788">
        <v>15.891665489999998</v>
      </c>
      <c r="AC12" s="788">
        <v>3.5389810700000019</v>
      </c>
      <c r="AD12" s="788" t="s">
        <v>1491</v>
      </c>
    </row>
    <row r="13" spans="1:30" ht="14" thickBot="1">
      <c r="A13" s="75">
        <v>57</v>
      </c>
      <c r="B13" s="1083" t="s">
        <v>1309</v>
      </c>
      <c r="C13" s="799">
        <v>8773.59</v>
      </c>
      <c r="D13" s="800">
        <v>3746.3337926663999</v>
      </c>
      <c r="E13" s="800">
        <v>4400.4929794986992</v>
      </c>
      <c r="F13" s="800">
        <v>539.34126737173733</v>
      </c>
      <c r="G13" s="800">
        <v>4939.8342468704359</v>
      </c>
      <c r="H13" s="800">
        <v>-304.2718146163657</v>
      </c>
      <c r="I13" s="801">
        <v>205.15077636406531</v>
      </c>
      <c r="J13" s="800">
        <v>-187.39861561800814</v>
      </c>
      <c r="K13" s="801">
        <v>1107.8078414879199</v>
      </c>
      <c r="L13" s="800">
        <v>786.01599345307909</v>
      </c>
      <c r="M13" s="802">
        <v>1.1746131613026161</v>
      </c>
      <c r="N13" s="802">
        <v>-7.686167140138761E-2</v>
      </c>
      <c r="O13" s="802">
        <v>4.9480513367974065E-2</v>
      </c>
      <c r="P13" s="802">
        <v>0.20980938617689041</v>
      </c>
      <c r="Q13" s="800"/>
      <c r="R13" s="787">
        <v>34.731955489999997</v>
      </c>
      <c r="S13" s="787">
        <v>36.376114100000002</v>
      </c>
      <c r="T13" s="788">
        <v>32.868796699999997</v>
      </c>
      <c r="U13" s="788">
        <v>38.608121199999992</v>
      </c>
      <c r="V13" s="788">
        <v>4.7319591500000007</v>
      </c>
      <c r="W13" s="787">
        <v>43.340080349999994</v>
      </c>
      <c r="X13" s="787">
        <v>-2.66955615</v>
      </c>
      <c r="Y13" s="788">
        <v>9.7194517999999999</v>
      </c>
      <c r="Z13" s="787">
        <v>6.8961820600000001</v>
      </c>
      <c r="AA13" s="787" t="s">
        <v>1060</v>
      </c>
      <c r="AB13" s="788">
        <v>6.5737593399999996</v>
      </c>
      <c r="AC13" s="788">
        <v>0.3224227200000005</v>
      </c>
      <c r="AD13" s="788" t="s">
        <v>1491</v>
      </c>
    </row>
    <row r="14" spans="1:30" ht="14" thickBot="1">
      <c r="A14" s="75">
        <v>62</v>
      </c>
      <c r="B14" s="1083" t="s">
        <v>936</v>
      </c>
      <c r="C14" s="799">
        <v>41701.08</v>
      </c>
      <c r="D14" s="800">
        <v>3798.430220512274</v>
      </c>
      <c r="E14" s="800">
        <v>4565.4865298452705</v>
      </c>
      <c r="F14" s="800">
        <v>614.13518043177771</v>
      </c>
      <c r="G14" s="800">
        <v>5179.6217102770479</v>
      </c>
      <c r="H14" s="800">
        <v>-1183.2931053584223</v>
      </c>
      <c r="I14" s="801">
        <v>305.37730317775947</v>
      </c>
      <c r="J14" s="800">
        <v>-189.02276991387274</v>
      </c>
      <c r="K14" s="801">
        <v>1592.3793340604127</v>
      </c>
      <c r="L14" s="800">
        <v>1587.8235263930815</v>
      </c>
      <c r="M14" s="802">
        <v>1.2019403450379951</v>
      </c>
      <c r="N14" s="802">
        <v>-0.35255691346509094</v>
      </c>
      <c r="O14" s="802">
        <v>8.613482462628444E-2</v>
      </c>
      <c r="P14" s="802">
        <v>0.4180209808300599</v>
      </c>
      <c r="Q14" s="800"/>
      <c r="R14" s="787">
        <v>139.96208432</v>
      </c>
      <c r="S14" s="787">
        <v>147.84453797</v>
      </c>
      <c r="T14" s="788">
        <v>158.39864249999999</v>
      </c>
      <c r="U14" s="788">
        <v>190.38571902000001</v>
      </c>
      <c r="V14" s="788">
        <v>25.610100289999998</v>
      </c>
      <c r="W14" s="787">
        <v>215.99581931</v>
      </c>
      <c r="X14" s="787">
        <v>-49.344600450000002</v>
      </c>
      <c r="Y14" s="788">
        <v>66.403937999999997</v>
      </c>
      <c r="Z14" s="787">
        <v>66.213955900000002</v>
      </c>
      <c r="AA14" s="787" t="s">
        <v>1060</v>
      </c>
      <c r="AB14" s="788">
        <v>31.6797285</v>
      </c>
      <c r="AC14" s="788">
        <v>34.534227400000006</v>
      </c>
      <c r="AD14" s="788" t="s">
        <v>1491</v>
      </c>
    </row>
    <row r="15" spans="1:30" ht="14" thickBot="1">
      <c r="A15" s="75">
        <v>97</v>
      </c>
      <c r="B15" s="1083" t="s">
        <v>1310</v>
      </c>
      <c r="C15" s="799">
        <v>963.42</v>
      </c>
      <c r="D15" s="800">
        <v>2077.2675987627408</v>
      </c>
      <c r="E15" s="800">
        <v>1988.5665130472694</v>
      </c>
      <c r="F15" s="800">
        <v>394.4503954661518</v>
      </c>
      <c r="G15" s="800">
        <v>2383.0169085134212</v>
      </c>
      <c r="H15" s="800">
        <v>82.540013701189508</v>
      </c>
      <c r="I15" s="801">
        <v>89.433009487035761</v>
      </c>
      <c r="J15" s="800">
        <v>-20.062029021610485</v>
      </c>
      <c r="K15" s="801">
        <v>363.28911585808885</v>
      </c>
      <c r="L15" s="800">
        <v>619.3892175790412</v>
      </c>
      <c r="M15" s="802">
        <v>0.95729915309500646</v>
      </c>
      <c r="N15" s="802">
        <v>4.2957353522737218E-2</v>
      </c>
      <c r="O15" s="802">
        <v>4.6063804813591701E-2</v>
      </c>
      <c r="P15" s="802">
        <v>0.29817497656438724</v>
      </c>
      <c r="Q15" s="800"/>
      <c r="R15" s="787">
        <v>1.85115454</v>
      </c>
      <c r="S15" s="787">
        <v>1.8704826999999999</v>
      </c>
      <c r="T15" s="788">
        <v>2.0012811500000001</v>
      </c>
      <c r="U15" s="788">
        <v>1.9158247500000003</v>
      </c>
      <c r="V15" s="788">
        <v>0.38002140000000001</v>
      </c>
      <c r="W15" s="787">
        <v>2.2958461500000005</v>
      </c>
      <c r="X15" s="787">
        <v>7.95207E-2</v>
      </c>
      <c r="Y15" s="788">
        <v>0.35</v>
      </c>
      <c r="Z15" s="787">
        <v>0.59673195999999995</v>
      </c>
      <c r="AA15" s="787">
        <v>0.18633</v>
      </c>
      <c r="AB15" s="788">
        <v>0.40025622999999999</v>
      </c>
      <c r="AC15" s="788">
        <v>0.19647572999999996</v>
      </c>
      <c r="AD15" s="788" t="s">
        <v>1491</v>
      </c>
    </row>
    <row r="16" spans="1:30" ht="14" thickBot="1">
      <c r="A16" s="75">
        <v>134</v>
      </c>
      <c r="B16" s="1083" t="s">
        <v>1311</v>
      </c>
      <c r="C16" s="799">
        <v>3588</v>
      </c>
      <c r="D16" s="800">
        <v>2006.2440078037905</v>
      </c>
      <c r="E16" s="800">
        <v>1978.6550445930882</v>
      </c>
      <c r="F16" s="800">
        <v>356.07180880713491</v>
      </c>
      <c r="G16" s="800">
        <v>2334.7268534002228</v>
      </c>
      <c r="H16" s="800">
        <v>79.460144927536234</v>
      </c>
      <c r="I16" s="801">
        <v>95.436156633221842</v>
      </c>
      <c r="J16" s="800">
        <v>19.790696767001119</v>
      </c>
      <c r="K16" s="801">
        <v>613.15496098104802</v>
      </c>
      <c r="L16" s="800">
        <v>874.78211538461528</v>
      </c>
      <c r="M16" s="802">
        <v>0.98624845078495527</v>
      </c>
      <c r="N16" s="802">
        <v>4.0612216380837035E-2</v>
      </c>
      <c r="O16" s="802">
        <v>4.9276013152991974E-2</v>
      </c>
      <c r="P16" s="802">
        <v>0.43602977104576029</v>
      </c>
      <c r="Q16" s="800"/>
      <c r="R16" s="787">
        <v>7.0201290500000004</v>
      </c>
      <c r="S16" s="787">
        <v>6.9491200300000004</v>
      </c>
      <c r="T16" s="788">
        <v>7.1984035000000004</v>
      </c>
      <c r="U16" s="788">
        <v>7.0994142999999994</v>
      </c>
      <c r="V16" s="788">
        <v>1.27758565</v>
      </c>
      <c r="W16" s="787">
        <v>8.3769999500000001</v>
      </c>
      <c r="X16" s="787">
        <v>0.285103</v>
      </c>
      <c r="Y16" s="788">
        <v>2.2000000000000002</v>
      </c>
      <c r="Z16" s="787">
        <v>3.1387182299999998</v>
      </c>
      <c r="AA16" s="787" t="s">
        <v>1060</v>
      </c>
      <c r="AB16" s="788">
        <v>1.4396807000000003</v>
      </c>
      <c r="AC16" s="788">
        <v>1.6990375299999996</v>
      </c>
      <c r="AD16" s="788" t="s">
        <v>1491</v>
      </c>
    </row>
    <row r="17" spans="1:30" ht="14" thickBot="1">
      <c r="A17" s="75">
        <v>160</v>
      </c>
      <c r="B17" s="1083" t="s">
        <v>937</v>
      </c>
      <c r="C17" s="799">
        <v>33172.83</v>
      </c>
      <c r="D17" s="800">
        <v>2525.5165703378329</v>
      </c>
      <c r="E17" s="800">
        <v>2160.3301855765694</v>
      </c>
      <c r="F17" s="800">
        <v>426.4368412342269</v>
      </c>
      <c r="G17" s="800">
        <v>2586.7670268107968</v>
      </c>
      <c r="H17" s="800">
        <v>269.75277207280783</v>
      </c>
      <c r="I17" s="801">
        <v>126.25343330671517</v>
      </c>
      <c r="J17" s="800">
        <v>-98.396743057496138</v>
      </c>
      <c r="K17" s="801">
        <v>564.37753426524057</v>
      </c>
      <c r="L17" s="800">
        <v>508.51810080719667</v>
      </c>
      <c r="M17" s="802">
        <v>0.85540131114150109</v>
      </c>
      <c r="N17" s="802">
        <v>0.10804628095092009</v>
      </c>
      <c r="O17" s="802">
        <v>4.8651868330758984E-2</v>
      </c>
      <c r="P17" s="802">
        <v>0.20135211416932944</v>
      </c>
      <c r="Q17" s="800"/>
      <c r="R17" s="787">
        <v>82.82064659000001</v>
      </c>
      <c r="S17" s="787">
        <v>86.08474502</v>
      </c>
      <c r="T17" s="788">
        <v>83.778531849999993</v>
      </c>
      <c r="U17" s="788">
        <v>71.664265990000004</v>
      </c>
      <c r="V17" s="788">
        <v>14.146116839999999</v>
      </c>
      <c r="W17" s="787">
        <v>85.810382830000009</v>
      </c>
      <c r="X17" s="787">
        <v>8.9484628500000021</v>
      </c>
      <c r="Y17" s="788">
        <v>18.722000000000001</v>
      </c>
      <c r="Z17" s="787">
        <v>16.868984510000001</v>
      </c>
      <c r="AA17" s="787">
        <v>9.0405534000000003</v>
      </c>
      <c r="AB17" s="788">
        <v>16.755706369999999</v>
      </c>
      <c r="AC17" s="788">
        <v>0.11327814000000203</v>
      </c>
      <c r="AD17" s="788" t="s">
        <v>1491</v>
      </c>
    </row>
    <row r="18" spans="1:30" ht="14" thickBot="1">
      <c r="A18" s="75">
        <v>182</v>
      </c>
      <c r="B18" s="1083" t="s">
        <v>938</v>
      </c>
      <c r="C18" s="799">
        <v>59999.75</v>
      </c>
      <c r="D18" s="800">
        <v>2191.2255267730279</v>
      </c>
      <c r="E18" s="800">
        <v>1991.287404530852</v>
      </c>
      <c r="F18" s="800">
        <v>397.02676177817403</v>
      </c>
      <c r="G18" s="800">
        <v>2388.3141663090264</v>
      </c>
      <c r="H18" s="800">
        <v>190.48721036337653</v>
      </c>
      <c r="I18" s="801">
        <v>129.78527893866223</v>
      </c>
      <c r="J18" s="800">
        <v>-157.78176942403928</v>
      </c>
      <c r="K18" s="801">
        <v>450.00187500781254</v>
      </c>
      <c r="L18" s="800">
        <v>261.71031245963525</v>
      </c>
      <c r="M18" s="802">
        <v>0.90875511452414459</v>
      </c>
      <c r="N18" s="802">
        <v>8.7287237373698728E-2</v>
      </c>
      <c r="O18" s="802">
        <v>5.5461782427033625E-2</v>
      </c>
      <c r="P18" s="802">
        <v>0.1194355894735539</v>
      </c>
      <c r="Q18" s="800"/>
      <c r="R18" s="787">
        <v>130.93764156</v>
      </c>
      <c r="S18" s="787">
        <v>140.40450827999996</v>
      </c>
      <c r="T18" s="788">
        <v>131.47298379999998</v>
      </c>
      <c r="U18" s="788">
        <v>119.47674644999999</v>
      </c>
      <c r="V18" s="788">
        <v>23.821506449999998</v>
      </c>
      <c r="W18" s="787">
        <v>143.29825289999999</v>
      </c>
      <c r="X18" s="787">
        <v>11.429185</v>
      </c>
      <c r="Y18" s="788">
        <v>27</v>
      </c>
      <c r="Z18" s="787">
        <v>15.70255332</v>
      </c>
      <c r="AA18" s="787" t="s">
        <v>1060</v>
      </c>
      <c r="AB18" s="788">
        <v>21.035677407999994</v>
      </c>
      <c r="AC18" s="788" t="s">
        <v>1491</v>
      </c>
      <c r="AD18" s="788">
        <v>-5.3331240879999946</v>
      </c>
    </row>
    <row r="19" spans="1:30" ht="14" thickBot="1">
      <c r="A19" s="75">
        <v>194</v>
      </c>
      <c r="B19" s="1083" t="s">
        <v>508</v>
      </c>
      <c r="C19" s="799">
        <v>23244.25</v>
      </c>
      <c r="D19" s="800">
        <v>2231.3017111758822</v>
      </c>
      <c r="E19" s="800">
        <v>1710.5751056712948</v>
      </c>
      <c r="F19" s="800">
        <v>355.9911504995859</v>
      </c>
      <c r="G19" s="800">
        <v>2066.5662561708809</v>
      </c>
      <c r="H19" s="800">
        <v>512.02106542478259</v>
      </c>
      <c r="I19" s="801">
        <v>83.712364563279081</v>
      </c>
      <c r="J19" s="800">
        <v>-114.57555223334805</v>
      </c>
      <c r="K19" s="801">
        <v>415.15643653806859</v>
      </c>
      <c r="L19" s="800">
        <v>369.61499338546088</v>
      </c>
      <c r="M19" s="802">
        <v>0.76662653782030765</v>
      </c>
      <c r="N19" s="802">
        <v>0.23455445582969253</v>
      </c>
      <c r="O19" s="802">
        <v>3.6435851539972121E-2</v>
      </c>
      <c r="P19" s="802">
        <v>0.16564993946545944</v>
      </c>
      <c r="Q19" s="800"/>
      <c r="R19" s="787">
        <v>50.741076769999992</v>
      </c>
      <c r="S19" s="787">
        <v>53.404299549999998</v>
      </c>
      <c r="T19" s="788">
        <v>51.8649348</v>
      </c>
      <c r="U19" s="788">
        <v>39.761035399999997</v>
      </c>
      <c r="V19" s="788">
        <v>8.2747472999999996</v>
      </c>
      <c r="W19" s="787">
        <v>48.035782699999999</v>
      </c>
      <c r="X19" s="787">
        <v>11.901545650000001</v>
      </c>
      <c r="Y19" s="788">
        <v>9.65</v>
      </c>
      <c r="Z19" s="787">
        <v>8.5914233099999997</v>
      </c>
      <c r="AA19" s="787">
        <v>7.8123037999999996</v>
      </c>
      <c r="AB19" s="788">
        <v>10.37298696</v>
      </c>
      <c r="AC19" s="788" t="s">
        <v>1491</v>
      </c>
      <c r="AD19" s="788">
        <v>-1.7815636500000007</v>
      </c>
    </row>
    <row r="20" spans="1:30" ht="14" thickBot="1">
      <c r="A20" s="75">
        <v>216</v>
      </c>
      <c r="B20" s="1083" t="s">
        <v>509</v>
      </c>
      <c r="C20" s="799">
        <v>1937.25</v>
      </c>
      <c r="D20" s="800">
        <v>2611.1594270228411</v>
      </c>
      <c r="E20" s="800">
        <v>2299.4030610401346</v>
      </c>
      <c r="F20" s="800">
        <v>437.94724996773783</v>
      </c>
      <c r="G20" s="800">
        <v>2737.3503110078723</v>
      </c>
      <c r="H20" s="800">
        <v>69.605884630274872</v>
      </c>
      <c r="I20" s="801">
        <v>145.61975996902825</v>
      </c>
      <c r="J20" s="800">
        <v>-71.392768099109574</v>
      </c>
      <c r="K20" s="801">
        <v>789.77932636469222</v>
      </c>
      <c r="L20" s="800">
        <v>1237.829810298103</v>
      </c>
      <c r="M20" s="802">
        <v>0.88060615420247967</v>
      </c>
      <c r="N20" s="802">
        <v>2.7674540807989749E-2</v>
      </c>
      <c r="O20" s="802">
        <v>5.6298788519811953E-2</v>
      </c>
      <c r="P20" s="802">
        <v>0.47405370866589941</v>
      </c>
      <c r="Q20" s="800"/>
      <c r="R20" s="787">
        <v>4.8724927699999991</v>
      </c>
      <c r="S20" s="787">
        <v>5.0107984100000005</v>
      </c>
      <c r="T20" s="788">
        <v>5.0584685999999994</v>
      </c>
      <c r="U20" s="788">
        <v>4.4545185800000002</v>
      </c>
      <c r="V20" s="788">
        <v>0.84841331000000009</v>
      </c>
      <c r="W20" s="787">
        <v>5.30293189</v>
      </c>
      <c r="X20" s="787">
        <v>0.13484399999999999</v>
      </c>
      <c r="Y20" s="788">
        <v>1.53</v>
      </c>
      <c r="Z20" s="787">
        <v>2.3979857999999998</v>
      </c>
      <c r="AA20" s="787">
        <v>0.49187945</v>
      </c>
      <c r="AB20" s="788">
        <v>1.01169372</v>
      </c>
      <c r="AC20" s="788">
        <v>1.3862920799999998</v>
      </c>
      <c r="AD20" s="788" t="s">
        <v>1491</v>
      </c>
    </row>
    <row r="21" spans="1:30" ht="14" thickBot="1">
      <c r="A21" s="75">
        <v>246</v>
      </c>
      <c r="B21" s="1083" t="s">
        <v>510</v>
      </c>
      <c r="C21" s="799">
        <v>8264</v>
      </c>
      <c r="D21" s="800">
        <v>2166.8398172797674</v>
      </c>
      <c r="E21" s="800">
        <v>1706.1782417715388</v>
      </c>
      <c r="F21" s="800">
        <v>323.29333857696037</v>
      </c>
      <c r="G21" s="800">
        <v>2029.4715803484994</v>
      </c>
      <c r="H21" s="800">
        <v>316.07538722168442</v>
      </c>
      <c r="I21" s="801">
        <v>97.2611495643756</v>
      </c>
      <c r="J21" s="800">
        <v>9.2792558083252974</v>
      </c>
      <c r="K21" s="801">
        <v>468.90125847047432</v>
      </c>
      <c r="L21" s="800">
        <v>454.64378388189732</v>
      </c>
      <c r="M21" s="802">
        <v>0.78740395490491799</v>
      </c>
      <c r="N21" s="802">
        <v>0.14770758918291574</v>
      </c>
      <c r="O21" s="802">
        <v>4.5649800257523888E-2</v>
      </c>
      <c r="P21" s="802">
        <v>0.20981882474942395</v>
      </c>
      <c r="Q21" s="800"/>
      <c r="R21" s="787">
        <v>17.683905170000003</v>
      </c>
      <c r="S21" s="787">
        <v>17.6072214</v>
      </c>
      <c r="T21" s="788">
        <v>17.906764249999998</v>
      </c>
      <c r="U21" s="788">
        <v>14.099856989999997</v>
      </c>
      <c r="V21" s="788">
        <v>2.6716961500000003</v>
      </c>
      <c r="W21" s="787">
        <v>16.771553139999998</v>
      </c>
      <c r="X21" s="787">
        <v>2.612047</v>
      </c>
      <c r="Y21" s="788">
        <v>3.875</v>
      </c>
      <c r="Z21" s="787">
        <v>3.7571762299999998</v>
      </c>
      <c r="AA21" s="787">
        <v>1.3771168500000002</v>
      </c>
      <c r="AB21" s="788">
        <v>3.58135285</v>
      </c>
      <c r="AC21" s="788">
        <v>0.17582337999999975</v>
      </c>
      <c r="AD21" s="788" t="s">
        <v>1491</v>
      </c>
    </row>
    <row r="22" spans="1:30" ht="14" thickBot="1">
      <c r="A22" s="75">
        <v>261</v>
      </c>
      <c r="B22" s="1083" t="s">
        <v>511</v>
      </c>
      <c r="C22" s="799">
        <v>21287</v>
      </c>
      <c r="D22" s="800">
        <v>2161.9091534739514</v>
      </c>
      <c r="E22" s="800">
        <v>1756.9282050077516</v>
      </c>
      <c r="F22" s="800">
        <v>371.40915347395128</v>
      </c>
      <c r="G22" s="800">
        <v>2128.3373584817027</v>
      </c>
      <c r="H22" s="800">
        <v>360.84523465025603</v>
      </c>
      <c r="I22" s="801">
        <v>197.67991732043032</v>
      </c>
      <c r="J22" s="800">
        <v>-232.81686663221689</v>
      </c>
      <c r="K22" s="801">
        <v>413.39784845210693</v>
      </c>
      <c r="L22" s="800">
        <v>173.0826058157561</v>
      </c>
      <c r="M22" s="802">
        <v>0.81267439114384632</v>
      </c>
      <c r="N22" s="802">
        <v>0.16876976463107879</v>
      </c>
      <c r="O22" s="802">
        <v>8.3377283827722651E-2</v>
      </c>
      <c r="P22" s="802">
        <v>8.0060073540847584E-2</v>
      </c>
      <c r="Q22" s="800"/>
      <c r="R22" s="787">
        <v>45.513558229999994</v>
      </c>
      <c r="S22" s="787">
        <v>50.469530870000007</v>
      </c>
      <c r="T22" s="788">
        <v>46.020560150000001</v>
      </c>
      <c r="U22" s="788">
        <v>37.399730700000006</v>
      </c>
      <c r="V22" s="788">
        <v>7.9061866500000004</v>
      </c>
      <c r="W22" s="787">
        <v>45.305917350000009</v>
      </c>
      <c r="X22" s="787">
        <v>7.6813125099999997</v>
      </c>
      <c r="Y22" s="788">
        <v>8.8000000000000007</v>
      </c>
      <c r="Z22" s="787">
        <v>3.6844094300000001</v>
      </c>
      <c r="AA22" s="787">
        <v>13.419561949999999</v>
      </c>
      <c r="AB22" s="788">
        <v>9.2041120299999992</v>
      </c>
      <c r="AC22" s="788" t="s">
        <v>1491</v>
      </c>
      <c r="AD22" s="788">
        <v>-5.5197025999999987</v>
      </c>
    </row>
    <row r="23" spans="1:30" ht="14" thickBot="1">
      <c r="A23" s="75">
        <v>263</v>
      </c>
      <c r="B23" s="1083" t="s">
        <v>1312</v>
      </c>
      <c r="C23" s="799">
        <v>70680.42</v>
      </c>
      <c r="D23" s="800">
        <v>2913.9790482286326</v>
      </c>
      <c r="E23" s="800">
        <v>2701.8488746954249</v>
      </c>
      <c r="F23" s="800">
        <v>483.10087857429255</v>
      </c>
      <c r="G23" s="800">
        <v>3184.9497532697173</v>
      </c>
      <c r="H23" s="800">
        <v>235.35601938981122</v>
      </c>
      <c r="I23" s="801">
        <v>160.03640484875442</v>
      </c>
      <c r="J23" s="800">
        <v>-217.3249073788752</v>
      </c>
      <c r="K23" s="801">
        <v>650.25080496126088</v>
      </c>
      <c r="L23" s="800">
        <v>344.16006257461402</v>
      </c>
      <c r="M23" s="802">
        <v>0.92720257420445129</v>
      </c>
      <c r="N23" s="802">
        <v>8.1074391879675065E-2</v>
      </c>
      <c r="O23" s="802">
        <v>5.1288974591016799E-2</v>
      </c>
      <c r="P23" s="802">
        <v>0.11810656730144445</v>
      </c>
      <c r="Q23" s="800"/>
      <c r="R23" s="787">
        <v>205.18269597</v>
      </c>
      <c r="S23" s="787">
        <v>220.5433117</v>
      </c>
      <c r="T23" s="788">
        <v>205.961263</v>
      </c>
      <c r="U23" s="788">
        <v>190.96781324</v>
      </c>
      <c r="V23" s="788">
        <v>34.145772999999998</v>
      </c>
      <c r="W23" s="787">
        <v>225.11358623999999</v>
      </c>
      <c r="X23" s="787">
        <v>16.635062300000001</v>
      </c>
      <c r="Y23" s="788">
        <v>45.96</v>
      </c>
      <c r="Z23" s="787">
        <v>24.325377769999999</v>
      </c>
      <c r="AA23" s="787">
        <v>27.202815899999997</v>
      </c>
      <c r="AB23" s="788">
        <v>32.953802080000003</v>
      </c>
      <c r="AC23" s="788" t="s">
        <v>1491</v>
      </c>
      <c r="AD23" s="788">
        <v>-8.6284243100000033</v>
      </c>
    </row>
    <row r="24" spans="1:30" ht="14" thickBot="1">
      <c r="A24" s="75">
        <v>290</v>
      </c>
      <c r="B24" s="1083" t="s">
        <v>1352</v>
      </c>
      <c r="C24" s="799">
        <v>523559.5</v>
      </c>
      <c r="D24" s="800">
        <v>2434.503937374835</v>
      </c>
      <c r="E24" s="800">
        <v>2564.3367921315535</v>
      </c>
      <c r="F24" s="800">
        <v>413.07174607661591</v>
      </c>
      <c r="G24" s="800">
        <v>2977.4085382081694</v>
      </c>
      <c r="H24" s="800">
        <v>-190.029289278487</v>
      </c>
      <c r="I24" s="801">
        <v>117.82967506080969</v>
      </c>
      <c r="J24" s="800">
        <v>-104.72262579515795</v>
      </c>
      <c r="K24" s="801">
        <v>655.32860830526431</v>
      </c>
      <c r="L24" s="800">
        <v>487.87698368571284</v>
      </c>
      <c r="M24" s="802">
        <v>1.0533303120867898</v>
      </c>
      <c r="N24" s="802">
        <v>-7.9649134839270871E-2</v>
      </c>
      <c r="O24" s="802">
        <v>4.731065606116349E-2</v>
      </c>
      <c r="P24" s="802">
        <v>0.20040098362371045</v>
      </c>
      <c r="Q24" s="800"/>
      <c r="R24" s="787">
        <v>1249.1239218199999</v>
      </c>
      <c r="S24" s="787">
        <v>1303.95244742</v>
      </c>
      <c r="T24" s="788">
        <v>1274.6076642</v>
      </c>
      <c r="U24" s="788">
        <v>1342.58288872</v>
      </c>
      <c r="V24" s="788">
        <v>216.26763683999997</v>
      </c>
      <c r="W24" s="787">
        <v>1558.8505255600001</v>
      </c>
      <c r="X24" s="787">
        <v>-99.491639680000006</v>
      </c>
      <c r="Y24" s="788">
        <v>343.10351850000001</v>
      </c>
      <c r="Z24" s="787">
        <v>255.43262963999999</v>
      </c>
      <c r="AA24" s="787">
        <v>464.57686310000003</v>
      </c>
      <c r="AB24" s="788">
        <v>140.20684306200002</v>
      </c>
      <c r="AC24" s="788">
        <v>115.22578657799997</v>
      </c>
      <c r="AD24" s="788" t="s">
        <v>1491</v>
      </c>
    </row>
    <row r="25" spans="1:30" ht="14" thickBot="1">
      <c r="A25" s="75">
        <v>294</v>
      </c>
      <c r="B25" s="1083" t="s">
        <v>512</v>
      </c>
      <c r="C25" s="799">
        <v>5265.33</v>
      </c>
      <c r="D25" s="800">
        <v>2062.7258025612832</v>
      </c>
      <c r="E25" s="800">
        <v>1743.4118279386093</v>
      </c>
      <c r="F25" s="800">
        <v>355.94759492757339</v>
      </c>
      <c r="G25" s="800">
        <v>2099.3594228661827</v>
      </c>
      <c r="H25" s="800">
        <v>178.52632218683348</v>
      </c>
      <c r="I25" s="801">
        <v>196.84784049622724</v>
      </c>
      <c r="J25" s="800">
        <v>24.092286713273449</v>
      </c>
      <c r="K25" s="801">
        <v>523.13910049322658</v>
      </c>
      <c r="L25" s="800">
        <v>141.83428199182197</v>
      </c>
      <c r="M25" s="802">
        <v>0.84519805093523226</v>
      </c>
      <c r="N25" s="802">
        <v>8.5644669379700888E-2</v>
      </c>
      <c r="O25" s="802">
        <v>9.5538290474223742E-2</v>
      </c>
      <c r="P25" s="802">
        <v>6.8760608809812052E-2</v>
      </c>
      <c r="Q25" s="800"/>
      <c r="R25" s="787">
        <v>10.97558093</v>
      </c>
      <c r="S25" s="787">
        <v>10.848727090000001</v>
      </c>
      <c r="T25" s="788">
        <v>10.860932050000001</v>
      </c>
      <c r="U25" s="788">
        <v>9.1796385999999988</v>
      </c>
      <c r="V25" s="788">
        <v>1.8741815500000001</v>
      </c>
      <c r="W25" s="787">
        <v>11.053820149999998</v>
      </c>
      <c r="X25" s="787">
        <v>0.94</v>
      </c>
      <c r="Y25" s="788">
        <v>2.7545000000000002</v>
      </c>
      <c r="Z25" s="787">
        <v>0.74680430000000009</v>
      </c>
      <c r="AA25" s="787" t="s">
        <v>1060</v>
      </c>
      <c r="AB25" s="788">
        <v>2.1721864100000001</v>
      </c>
      <c r="AC25" s="788" t="s">
        <v>1491</v>
      </c>
      <c r="AD25" s="788">
        <v>-1.4253821100000001</v>
      </c>
    </row>
    <row r="26" spans="1:30" ht="14" thickBot="1">
      <c r="A26" s="75">
        <v>312</v>
      </c>
      <c r="B26" s="1083" t="s">
        <v>1314</v>
      </c>
      <c r="C26" s="799">
        <v>161334.99</v>
      </c>
      <c r="D26" s="800">
        <v>2400.1890501248372</v>
      </c>
      <c r="E26" s="800">
        <v>2424.8983397215943</v>
      </c>
      <c r="F26" s="800">
        <v>408.21608598357994</v>
      </c>
      <c r="G26" s="800">
        <v>2833.1144257051742</v>
      </c>
      <c r="H26" s="800">
        <v>44.241091160696136</v>
      </c>
      <c r="I26" s="801">
        <v>96.403192140774919</v>
      </c>
      <c r="J26" s="800">
        <v>-211.16382267727542</v>
      </c>
      <c r="K26" s="801">
        <v>801.65499127002772</v>
      </c>
      <c r="L26" s="800">
        <v>349.01545244463097</v>
      </c>
      <c r="M26" s="802">
        <v>1.0102947264072686</v>
      </c>
      <c r="N26" s="802">
        <v>1.8544280380901574E-2</v>
      </c>
      <c r="O26" s="802">
        <v>3.712292819680077E-2</v>
      </c>
      <c r="P26" s="802">
        <v>0.1454116509807751</v>
      </c>
      <c r="Q26" s="800"/>
      <c r="R26" s="787">
        <v>384.89689830999993</v>
      </c>
      <c r="S26" s="787">
        <v>418.96501153000003</v>
      </c>
      <c r="T26" s="788">
        <v>387.23447640000006</v>
      </c>
      <c r="U26" s="788">
        <v>391.22094938999999</v>
      </c>
      <c r="V26" s="788">
        <v>65.859538150000006</v>
      </c>
      <c r="W26" s="787">
        <v>457.08048753999998</v>
      </c>
      <c r="X26" s="787">
        <v>7.1376359999999996</v>
      </c>
      <c r="Y26" s="788">
        <v>129.33500000000001</v>
      </c>
      <c r="Z26" s="787">
        <v>56.308404530000004</v>
      </c>
      <c r="AA26" s="787">
        <v>104.43797418000001</v>
      </c>
      <c r="AB26" s="788">
        <v>46.468137168000005</v>
      </c>
      <c r="AC26" s="788">
        <v>9.8402673619999987</v>
      </c>
      <c r="AD26" s="788" t="s">
        <v>1491</v>
      </c>
    </row>
    <row r="27" spans="1:30" ht="14" thickBot="1">
      <c r="A27" s="75">
        <v>343</v>
      </c>
      <c r="B27" s="1083" t="s">
        <v>513</v>
      </c>
      <c r="C27" s="799">
        <v>90810.25</v>
      </c>
      <c r="D27" s="800">
        <v>2667.5995980629937</v>
      </c>
      <c r="E27" s="800">
        <v>2542.9557586285687</v>
      </c>
      <c r="F27" s="800">
        <v>455.91912631008057</v>
      </c>
      <c r="G27" s="800">
        <v>2998.8748849386498</v>
      </c>
      <c r="H27" s="800">
        <v>118.07964794723061</v>
      </c>
      <c r="I27" s="801">
        <v>128.95270126444976</v>
      </c>
      <c r="J27" s="800">
        <v>-200.91159984693357</v>
      </c>
      <c r="K27" s="801">
        <v>664.03517224101904</v>
      </c>
      <c r="L27" s="800">
        <v>581.69202320222655</v>
      </c>
      <c r="M27" s="802">
        <v>0.95327490695195338</v>
      </c>
      <c r="N27" s="802">
        <v>4.5290702852074392E-2</v>
      </c>
      <c r="O27" s="802">
        <v>4.5922322137274811E-2</v>
      </c>
      <c r="P27" s="802">
        <v>0.21805822119054402</v>
      </c>
      <c r="Q27" s="800"/>
      <c r="R27" s="787">
        <v>236.75592725999999</v>
      </c>
      <c r="S27" s="787">
        <v>255.00075987</v>
      </c>
      <c r="T27" s="788">
        <v>242.24538639999997</v>
      </c>
      <c r="U27" s="788">
        <v>230.92644817999999</v>
      </c>
      <c r="V27" s="788">
        <v>41.402129839999994</v>
      </c>
      <c r="W27" s="787">
        <v>272.32857802000001</v>
      </c>
      <c r="X27" s="787">
        <v>10.722842349999999</v>
      </c>
      <c r="Y27" s="788">
        <v>60.301200000000001</v>
      </c>
      <c r="Z27" s="787">
        <v>52.823598049999994</v>
      </c>
      <c r="AA27" s="787">
        <v>27.383138550000002</v>
      </c>
      <c r="AB27" s="788">
        <v>38.759261823999992</v>
      </c>
      <c r="AC27" s="788">
        <v>14.064336226000002</v>
      </c>
      <c r="AD27" s="788" t="s">
        <v>1491</v>
      </c>
    </row>
    <row r="28" spans="1:30" ht="14" thickBot="1">
      <c r="A28" s="75">
        <v>360</v>
      </c>
      <c r="B28" s="1083" t="s">
        <v>1315</v>
      </c>
      <c r="C28" s="799">
        <v>15469</v>
      </c>
      <c r="D28" s="800">
        <v>1989.7255478699333</v>
      </c>
      <c r="E28" s="800">
        <v>1628.4479054883964</v>
      </c>
      <c r="F28" s="800">
        <v>331.57177904195487</v>
      </c>
      <c r="G28" s="800">
        <v>1960.0196845303512</v>
      </c>
      <c r="H28" s="800">
        <v>279.33453358329564</v>
      </c>
      <c r="I28" s="801">
        <v>84.165828431055658</v>
      </c>
      <c r="J28" s="800">
        <v>39.63908914603396</v>
      </c>
      <c r="K28" s="801">
        <v>530.16323291744777</v>
      </c>
      <c r="L28" s="800">
        <v>984.13080354256897</v>
      </c>
      <c r="M28" s="802">
        <v>0.81842840447603615</v>
      </c>
      <c r="N28" s="802">
        <v>0.1388150277718086</v>
      </c>
      <c r="O28" s="802">
        <v>4.2666600075948483E-2</v>
      </c>
      <c r="P28" s="802">
        <v>0.49460630617931878</v>
      </c>
      <c r="Q28" s="800"/>
      <c r="R28" s="787">
        <v>31.12794032</v>
      </c>
      <c r="S28" s="787">
        <v>30.514763250000001</v>
      </c>
      <c r="T28" s="788">
        <v>30.7790645</v>
      </c>
      <c r="U28" s="788">
        <v>25.190460650000002</v>
      </c>
      <c r="V28" s="788">
        <v>5.1290838499999998</v>
      </c>
      <c r="W28" s="787">
        <v>30.319544500000003</v>
      </c>
      <c r="X28" s="787">
        <v>4.3210259000000004</v>
      </c>
      <c r="Y28" s="788">
        <v>8.2010950499999993</v>
      </c>
      <c r="Z28" s="787">
        <v>15.223519400000001</v>
      </c>
      <c r="AA28" s="787">
        <v>5.9417799000000002</v>
      </c>
      <c r="AB28" s="788">
        <v>6.1558129000000008</v>
      </c>
      <c r="AC28" s="788">
        <v>9.0677064999999999</v>
      </c>
      <c r="AD28" s="788" t="s">
        <v>1491</v>
      </c>
    </row>
    <row r="29" spans="1:30" ht="14" thickBot="1">
      <c r="A29" s="75">
        <v>376</v>
      </c>
      <c r="B29" s="1083" t="s">
        <v>1316</v>
      </c>
      <c r="C29" s="799">
        <v>301394</v>
      </c>
      <c r="D29" s="800">
        <v>2755.5665719954609</v>
      </c>
      <c r="E29" s="800">
        <v>2607.3131919348102</v>
      </c>
      <c r="F29" s="800">
        <v>442.26796794229477</v>
      </c>
      <c r="G29" s="800">
        <v>3049.5811598771047</v>
      </c>
      <c r="H29" s="800">
        <v>-27.098007923183555</v>
      </c>
      <c r="I29" s="801">
        <v>154.33408272891961</v>
      </c>
      <c r="J29" s="800">
        <v>-80.119537847468763</v>
      </c>
      <c r="K29" s="801">
        <v>908.27952779418308</v>
      </c>
      <c r="L29" s="800">
        <v>347.85631654910185</v>
      </c>
      <c r="M29" s="802">
        <v>0.94619858523204103</v>
      </c>
      <c r="N29" s="802">
        <v>-9.9895575397788098E-3</v>
      </c>
      <c r="O29" s="802">
        <v>5.5262346313968841E-2</v>
      </c>
      <c r="P29" s="802">
        <v>0.12623767470702021</v>
      </c>
      <c r="Q29" s="800"/>
      <c r="R29" s="787">
        <v>817.57144573000005</v>
      </c>
      <c r="S29" s="787">
        <v>841.71899372000007</v>
      </c>
      <c r="T29" s="788">
        <v>830.51123140000004</v>
      </c>
      <c r="U29" s="788">
        <v>785.82855217000008</v>
      </c>
      <c r="V29" s="788">
        <v>133.29691192999999</v>
      </c>
      <c r="W29" s="787">
        <v>919.12546410000004</v>
      </c>
      <c r="X29" s="787">
        <v>-8.1671769999999846</v>
      </c>
      <c r="Y29" s="788">
        <v>273.75</v>
      </c>
      <c r="Z29" s="787">
        <v>104.84180667</v>
      </c>
      <c r="AA29" s="787" t="s">
        <v>1060</v>
      </c>
      <c r="AB29" s="788">
        <v>91.356235454000014</v>
      </c>
      <c r="AC29" s="788">
        <v>13.485571215999983</v>
      </c>
      <c r="AD29" s="788" t="s">
        <v>1491</v>
      </c>
    </row>
    <row r="30" spans="1:30" ht="14" thickBot="1">
      <c r="A30" s="75">
        <v>411</v>
      </c>
      <c r="B30" s="1083" t="s">
        <v>1317</v>
      </c>
      <c r="C30" s="799">
        <v>34584</v>
      </c>
      <c r="D30" s="800">
        <v>2369.1370937427714</v>
      </c>
      <c r="E30" s="800">
        <v>1890.0184802220681</v>
      </c>
      <c r="F30" s="800">
        <v>309.63508529956044</v>
      </c>
      <c r="G30" s="800">
        <v>2199.6535655216285</v>
      </c>
      <c r="H30" s="800">
        <v>286.05713624797596</v>
      </c>
      <c r="I30" s="801">
        <v>180.09797131621559</v>
      </c>
      <c r="J30" s="800">
        <v>-246.93152122368727</v>
      </c>
      <c r="K30" s="801">
        <v>541.66666666666663</v>
      </c>
      <c r="L30" s="800">
        <v>-79.053964550080963</v>
      </c>
      <c r="M30" s="802">
        <v>0.79776661520089998</v>
      </c>
      <c r="N30" s="802">
        <v>0.12754996705075436</v>
      </c>
      <c r="O30" s="802">
        <v>7.2339019597791931E-2</v>
      </c>
      <c r="P30" s="802">
        <v>-3.3368252415140416E-2</v>
      </c>
      <c r="Q30" s="800"/>
      <c r="R30" s="787">
        <v>77.561760530000001</v>
      </c>
      <c r="S30" s="787">
        <v>86.101640230000001</v>
      </c>
      <c r="T30" s="788">
        <v>81.934237249999995</v>
      </c>
      <c r="U30" s="788">
        <v>65.364399120000002</v>
      </c>
      <c r="V30" s="788">
        <v>10.708419789999999</v>
      </c>
      <c r="W30" s="787">
        <v>76.072818909999995</v>
      </c>
      <c r="X30" s="787">
        <v>9.8930000000000007</v>
      </c>
      <c r="Y30" s="788">
        <v>18.733000000000001</v>
      </c>
      <c r="Z30" s="787">
        <v>-2.7340023100000002</v>
      </c>
      <c r="AA30" s="787">
        <v>27.68939185</v>
      </c>
      <c r="AB30" s="788">
        <v>16.386847450000001</v>
      </c>
      <c r="AC30" s="788" t="s">
        <v>1491</v>
      </c>
      <c r="AD30" s="788">
        <v>-19.120849760000002</v>
      </c>
    </row>
    <row r="31" spans="1:30" ht="14" thickBot="1">
      <c r="A31" s="75">
        <v>445</v>
      </c>
      <c r="B31" s="1083" t="s">
        <v>514</v>
      </c>
      <c r="C31" s="799">
        <v>64805.5</v>
      </c>
      <c r="D31" s="800">
        <v>2585.0854904290532</v>
      </c>
      <c r="E31" s="800">
        <v>2006.5139793690353</v>
      </c>
      <c r="F31" s="800">
        <v>420.6487844395923</v>
      </c>
      <c r="G31" s="800">
        <v>2427.162763808627</v>
      </c>
      <c r="H31" s="800">
        <v>494.46769564311666</v>
      </c>
      <c r="I31" s="801">
        <v>123.09345842559659</v>
      </c>
      <c r="J31" s="800">
        <v>-129.99958568331391</v>
      </c>
      <c r="K31" s="801">
        <v>533.72013177893859</v>
      </c>
      <c r="L31" s="800">
        <v>560.01130120128698</v>
      </c>
      <c r="M31" s="802">
        <v>0.77618863546211347</v>
      </c>
      <c r="N31" s="802">
        <v>0.19581192923266219</v>
      </c>
      <c r="O31" s="802">
        <v>4.6359095301367406E-2</v>
      </c>
      <c r="P31" s="802">
        <v>0.21663163685481848</v>
      </c>
      <c r="Q31" s="800"/>
      <c r="R31" s="787">
        <v>163.64797781000001</v>
      </c>
      <c r="S31" s="787">
        <v>172.07266595999999</v>
      </c>
      <c r="T31" s="788">
        <v>167.52775775000001</v>
      </c>
      <c r="U31" s="788">
        <v>130.03314169000001</v>
      </c>
      <c r="V31" s="788">
        <v>27.260354799999998</v>
      </c>
      <c r="W31" s="787">
        <v>157.29349649</v>
      </c>
      <c r="X31" s="787">
        <v>32.044226249999994</v>
      </c>
      <c r="Y31" s="788">
        <v>34.588000000000001</v>
      </c>
      <c r="Z31" s="787">
        <v>36.291812380000003</v>
      </c>
      <c r="AA31" s="787">
        <v>25.8695728</v>
      </c>
      <c r="AB31" s="788">
        <v>26.804441240000003</v>
      </c>
      <c r="AC31" s="788">
        <v>9.4873711400000005</v>
      </c>
      <c r="AD31" s="788" t="s">
        <v>1491</v>
      </c>
    </row>
    <row r="32" spans="1:30" ht="14" thickBot="1">
      <c r="A32" s="75">
        <v>455</v>
      </c>
      <c r="B32" s="1083" t="s">
        <v>1318</v>
      </c>
      <c r="C32" s="799">
        <v>146676</v>
      </c>
      <c r="D32" s="800">
        <v>2199.8415504240643</v>
      </c>
      <c r="E32" s="800">
        <v>2012.1416145108951</v>
      </c>
      <c r="F32" s="800">
        <v>361.04875610188441</v>
      </c>
      <c r="G32" s="800">
        <v>2373.1903706127796</v>
      </c>
      <c r="H32" s="800">
        <v>177.33616883471049</v>
      </c>
      <c r="I32" s="801">
        <v>168.03769287408983</v>
      </c>
      <c r="J32" s="800">
        <v>-145.85411532902449</v>
      </c>
      <c r="K32" s="801">
        <v>580.81197469251958</v>
      </c>
      <c r="L32" s="800">
        <v>343.68055216940746</v>
      </c>
      <c r="M32" s="802">
        <v>0.91467570204000093</v>
      </c>
      <c r="N32" s="802">
        <v>8.001769542918917E-2</v>
      </c>
      <c r="O32" s="802">
        <v>7.1140134006062741E-2</v>
      </c>
      <c r="P32" s="802">
        <v>0.15622968486214656</v>
      </c>
      <c r="Q32" s="800"/>
      <c r="R32" s="787">
        <v>325.06509667</v>
      </c>
      <c r="S32" s="787">
        <v>346.45839488999997</v>
      </c>
      <c r="T32" s="788">
        <v>322.66395925</v>
      </c>
      <c r="U32" s="788">
        <v>295.13288345000007</v>
      </c>
      <c r="V32" s="788">
        <v>52.957187349999998</v>
      </c>
      <c r="W32" s="787">
        <v>348.09007080000003</v>
      </c>
      <c r="X32" s="787">
        <v>26.010959899999996</v>
      </c>
      <c r="Y32" s="788">
        <v>85.191177199999998</v>
      </c>
      <c r="Z32" s="787">
        <v>50.409688670000001</v>
      </c>
      <c r="AA32" s="787" t="s">
        <v>1060</v>
      </c>
      <c r="AB32" s="788">
        <v>51.626233480000003</v>
      </c>
      <c r="AC32" s="788" t="s">
        <v>1491</v>
      </c>
      <c r="AD32" s="788">
        <v>-1.216544810000002</v>
      </c>
    </row>
    <row r="33" spans="1:30" ht="14" thickBot="1">
      <c r="A33" s="75">
        <v>484</v>
      </c>
      <c r="B33" s="1083" t="s">
        <v>515</v>
      </c>
      <c r="C33" s="799">
        <v>20991.58</v>
      </c>
      <c r="D33" s="800">
        <v>2812.5173998336472</v>
      </c>
      <c r="E33" s="800">
        <v>3065.1869911650288</v>
      </c>
      <c r="F33" s="800">
        <v>456.36464001280507</v>
      </c>
      <c r="G33" s="800">
        <v>3521.5516311778338</v>
      </c>
      <c r="H33" s="800">
        <v>-338.77688101610261</v>
      </c>
      <c r="I33" s="801">
        <v>165.71620525944209</v>
      </c>
      <c r="J33" s="800">
        <v>-48.444351020742609</v>
      </c>
      <c r="K33" s="801">
        <v>685.98933477137018</v>
      </c>
      <c r="L33" s="800">
        <v>397.89715828918065</v>
      </c>
      <c r="M33" s="802">
        <v>1.0898375211283409</v>
      </c>
      <c r="N33" s="802">
        <v>-0.12044401910081799</v>
      </c>
      <c r="O33" s="802">
        <v>5.7918883827890726E-2</v>
      </c>
      <c r="P33" s="802">
        <v>0.14147366992741633</v>
      </c>
      <c r="Q33" s="800"/>
      <c r="R33" s="787">
        <v>59.043712200000002</v>
      </c>
      <c r="S33" s="787">
        <v>60.060635670000003</v>
      </c>
      <c r="T33" s="788">
        <v>59.039183999999999</v>
      </c>
      <c r="U33" s="788">
        <v>64.343117939999999</v>
      </c>
      <c r="V33" s="788">
        <v>9.57981485</v>
      </c>
      <c r="W33" s="787">
        <v>73.922932790000004</v>
      </c>
      <c r="X33" s="787">
        <v>-7.1114620000000004</v>
      </c>
      <c r="Y33" s="788">
        <v>14.4</v>
      </c>
      <c r="Z33" s="787">
        <v>8.3524900300000002</v>
      </c>
      <c r="AA33" s="787" t="s">
        <v>1060</v>
      </c>
      <c r="AB33" s="788">
        <v>11.8078368</v>
      </c>
      <c r="AC33" s="788" t="s">
        <v>1491</v>
      </c>
      <c r="AD33" s="788">
        <v>-3.4553467700000002</v>
      </c>
    </row>
    <row r="34" spans="1:30" ht="14" thickBot="1">
      <c r="A34" s="75">
        <v>509</v>
      </c>
      <c r="B34" s="1083" t="s">
        <v>1319</v>
      </c>
      <c r="C34" s="799">
        <v>134312</v>
      </c>
      <c r="D34" s="800">
        <v>3101.6567432545116</v>
      </c>
      <c r="E34" s="800">
        <v>3355.2028679492528</v>
      </c>
      <c r="F34" s="800">
        <v>404.32640553338496</v>
      </c>
      <c r="G34" s="800">
        <v>3759.5292734826376</v>
      </c>
      <c r="H34" s="800">
        <v>-121.26210859789153</v>
      </c>
      <c r="I34" s="801">
        <v>221.66439030019654</v>
      </c>
      <c r="J34" s="800">
        <v>-96.425660998272704</v>
      </c>
      <c r="K34" s="801">
        <v>951.38746493239614</v>
      </c>
      <c r="L34" s="800">
        <v>579.1227177765204</v>
      </c>
      <c r="M34" s="802">
        <v>1.0817453850256491</v>
      </c>
      <c r="N34" s="802">
        <v>-3.6433606596303444E-2</v>
      </c>
      <c r="O34" s="802">
        <v>6.4724643973556553E-2</v>
      </c>
      <c r="P34" s="802">
        <v>0.18671399375059713</v>
      </c>
      <c r="Q34" s="800"/>
      <c r="R34" s="787">
        <v>447.03113008999998</v>
      </c>
      <c r="S34" s="787">
        <v>459.98225347000005</v>
      </c>
      <c r="T34" s="788">
        <v>416.5897205</v>
      </c>
      <c r="U34" s="788">
        <v>450.64400760000001</v>
      </c>
      <c r="V34" s="788">
        <v>54.305888180000004</v>
      </c>
      <c r="W34" s="787">
        <v>504.94989578000002</v>
      </c>
      <c r="X34" s="787">
        <v>-16.286956330000006</v>
      </c>
      <c r="Y34" s="788">
        <v>127.78275318999999</v>
      </c>
      <c r="Z34" s="787">
        <v>77.783130470000003</v>
      </c>
      <c r="AA34" s="787">
        <v>22.166824600000002</v>
      </c>
      <c r="AB34" s="788">
        <v>66.654355280000004</v>
      </c>
      <c r="AC34" s="788">
        <v>11.128775189999999</v>
      </c>
      <c r="AD34" s="788" t="s">
        <v>1491</v>
      </c>
    </row>
    <row r="35" spans="1:30" ht="14" thickBot="1">
      <c r="A35" s="75">
        <v>556</v>
      </c>
      <c r="B35" s="1083" t="s">
        <v>1320</v>
      </c>
      <c r="C35" s="799">
        <v>2823.5</v>
      </c>
      <c r="D35" s="800">
        <v>2660.910571985125</v>
      </c>
      <c r="E35" s="800">
        <v>2370.947501328139</v>
      </c>
      <c r="F35" s="800">
        <v>321.24057021427308</v>
      </c>
      <c r="G35" s="800">
        <v>2692.1880715424122</v>
      </c>
      <c r="H35" s="800">
        <v>158.45865061094386</v>
      </c>
      <c r="I35" s="801">
        <v>221.14812466796533</v>
      </c>
      <c r="J35" s="800">
        <v>-83.743679829998243</v>
      </c>
      <c r="K35" s="801">
        <v>593.23534620152293</v>
      </c>
      <c r="L35" s="800">
        <v>839.49722684611299</v>
      </c>
      <c r="M35" s="802">
        <v>0.89102862993224752</v>
      </c>
      <c r="N35" s="802">
        <v>5.9504061639509047E-2</v>
      </c>
      <c r="O35" s="802">
        <v>8.0513164299782294E-2</v>
      </c>
      <c r="P35" s="802">
        <v>0.31549246174771711</v>
      </c>
      <c r="Q35" s="800"/>
      <c r="R35" s="787">
        <v>7.5189489199999997</v>
      </c>
      <c r="S35" s="787">
        <v>7.7553992000000003</v>
      </c>
      <c r="T35" s="788">
        <v>7.5130809999999997</v>
      </c>
      <c r="U35" s="788">
        <v>6.6943702700000003</v>
      </c>
      <c r="V35" s="788">
        <v>0.90702274999999999</v>
      </c>
      <c r="W35" s="787">
        <v>7.6013930200000006</v>
      </c>
      <c r="X35" s="787">
        <v>0.44740799999999997</v>
      </c>
      <c r="Y35" s="788">
        <v>1.675</v>
      </c>
      <c r="Z35" s="787">
        <v>2.3703204200000001</v>
      </c>
      <c r="AA35" s="787">
        <v>1.8557135</v>
      </c>
      <c r="AB35" s="788">
        <v>1.5026162000000003</v>
      </c>
      <c r="AC35" s="788">
        <v>0.8677042199999998</v>
      </c>
      <c r="AD35" s="788" t="s">
        <v>1491</v>
      </c>
    </row>
    <row r="36" spans="1:30" ht="14" thickBot="1">
      <c r="A36" s="75">
        <v>558</v>
      </c>
      <c r="B36" s="1083" t="s">
        <v>1321</v>
      </c>
      <c r="C36" s="799">
        <v>2139.33</v>
      </c>
      <c r="D36" s="800">
        <v>1841.4644304525248</v>
      </c>
      <c r="E36" s="800">
        <v>1090.0983952919842</v>
      </c>
      <c r="F36" s="800">
        <v>348.61054629253084</v>
      </c>
      <c r="G36" s="800">
        <v>1438.7089415845148</v>
      </c>
      <c r="H36" s="800">
        <v>454.10105032884127</v>
      </c>
      <c r="I36" s="801">
        <v>163.05436281452606</v>
      </c>
      <c r="J36" s="800">
        <v>112.8578339947554</v>
      </c>
      <c r="K36" s="801">
        <v>514.17967307521519</v>
      </c>
      <c r="L36" s="800">
        <v>1530.5912692291513</v>
      </c>
      <c r="M36" s="802">
        <v>0.59197363645199563</v>
      </c>
      <c r="N36" s="802">
        <v>0.24892407123995619</v>
      </c>
      <c r="O36" s="802">
        <v>9.5275567670527417E-2</v>
      </c>
      <c r="P36" s="802">
        <v>0.83118155524351933</v>
      </c>
      <c r="Q36" s="800"/>
      <c r="R36" s="787">
        <v>3.9026840399999996</v>
      </c>
      <c r="S36" s="787">
        <v>3.6612438900000002</v>
      </c>
      <c r="T36" s="788">
        <v>3.9395001000000001</v>
      </c>
      <c r="U36" s="788">
        <v>2.3320802</v>
      </c>
      <c r="V36" s="788">
        <v>0.74579300000000004</v>
      </c>
      <c r="W36" s="787">
        <v>3.0778732</v>
      </c>
      <c r="X36" s="787">
        <v>0.97147199999999989</v>
      </c>
      <c r="Y36" s="788">
        <v>1.1000000000000001</v>
      </c>
      <c r="Z36" s="787">
        <v>3.27443982</v>
      </c>
      <c r="AA36" s="787" t="s">
        <v>1060</v>
      </c>
      <c r="AB36" s="788">
        <v>0.78790002000000003</v>
      </c>
      <c r="AC36" s="788">
        <v>2.4865398000000001</v>
      </c>
      <c r="AD36" s="788" t="s">
        <v>1491</v>
      </c>
    </row>
    <row r="37" spans="1:30" ht="14" thickBot="1">
      <c r="A37" s="75">
        <v>591</v>
      </c>
      <c r="B37" s="1083" t="s">
        <v>1322</v>
      </c>
      <c r="C37" s="799">
        <v>8005.45</v>
      </c>
      <c r="D37" s="800">
        <v>2069.4663572940935</v>
      </c>
      <c r="E37" s="800">
        <v>2007.0784528040272</v>
      </c>
      <c r="F37" s="800">
        <v>344.04964742768988</v>
      </c>
      <c r="G37" s="800">
        <v>2351.1281002317169</v>
      </c>
      <c r="H37" s="800">
        <v>192.46600753236856</v>
      </c>
      <c r="I37" s="801">
        <v>65.257774391195994</v>
      </c>
      <c r="J37" s="800">
        <v>-201.28815494444413</v>
      </c>
      <c r="K37" s="801">
        <v>510.9019480478924</v>
      </c>
      <c r="L37" s="800">
        <v>300.49494656765074</v>
      </c>
      <c r="M37" s="802">
        <v>0.96985314389375199</v>
      </c>
      <c r="N37" s="802">
        <v>9.3056967697598664E-2</v>
      </c>
      <c r="O37" s="802">
        <v>2.8753641186560621E-2</v>
      </c>
      <c r="P37" s="802">
        <v>0.14520407423320447</v>
      </c>
      <c r="Q37" s="800"/>
      <c r="R37" s="787">
        <v>16.55735232</v>
      </c>
      <c r="S37" s="787">
        <v>18.168754580000002</v>
      </c>
      <c r="T37" s="788">
        <v>16.56700945</v>
      </c>
      <c r="U37" s="788">
        <v>16.067566199999998</v>
      </c>
      <c r="V37" s="788">
        <v>2.7542722500000001</v>
      </c>
      <c r="W37" s="787">
        <v>18.821838449999998</v>
      </c>
      <c r="X37" s="787">
        <v>1.5407770000000001</v>
      </c>
      <c r="Y37" s="788">
        <v>4.09</v>
      </c>
      <c r="Z37" s="787">
        <v>2.4055972699999999</v>
      </c>
      <c r="AA37" s="787">
        <v>2.5640672499999999</v>
      </c>
      <c r="AB37" s="788">
        <v>3.3134018900000002</v>
      </c>
      <c r="AC37" s="788" t="s">
        <v>1491</v>
      </c>
      <c r="AD37" s="788">
        <v>-0.90780462000000028</v>
      </c>
    </row>
    <row r="38" spans="1:30" ht="14" thickBot="1">
      <c r="A38" s="75">
        <v>623</v>
      </c>
      <c r="B38" s="1083" t="s">
        <v>516</v>
      </c>
      <c r="C38" s="799">
        <v>1368</v>
      </c>
      <c r="D38" s="800">
        <v>1820.834941520468</v>
      </c>
      <c r="E38" s="800">
        <v>1834.133442982456</v>
      </c>
      <c r="F38" s="800">
        <v>336.34952485380114</v>
      </c>
      <c r="G38" s="800">
        <v>2170.4829678362576</v>
      </c>
      <c r="H38" s="800">
        <v>237.73684210526315</v>
      </c>
      <c r="I38" s="801">
        <v>69.55529970760233</v>
      </c>
      <c r="J38" s="800">
        <v>-439.87306286549705</v>
      </c>
      <c r="K38" s="801">
        <v>304.82456140350877</v>
      </c>
      <c r="L38" s="800">
        <v>-223.98918128654969</v>
      </c>
      <c r="M38" s="802">
        <v>1.0073035183798063</v>
      </c>
      <c r="N38" s="802">
        <v>0.13010591528177634</v>
      </c>
      <c r="O38" s="802">
        <v>3.0679900098433532E-2</v>
      </c>
      <c r="P38" s="802">
        <v>-0.12301454468987179</v>
      </c>
      <c r="Q38" s="800"/>
      <c r="R38" s="787">
        <v>2.4996865000000001</v>
      </c>
      <c r="S38" s="787">
        <v>3.1014328500000001</v>
      </c>
      <c r="T38" s="788">
        <v>2.4909022000000003</v>
      </c>
      <c r="U38" s="788">
        <v>2.5090945499999999</v>
      </c>
      <c r="V38" s="788">
        <v>0.46012615000000001</v>
      </c>
      <c r="W38" s="787">
        <v>2.9692207000000002</v>
      </c>
      <c r="X38" s="787">
        <v>0.32522400000000001</v>
      </c>
      <c r="Y38" s="788">
        <v>0.41699999999999998</v>
      </c>
      <c r="Z38" s="787">
        <v>-0.3064172</v>
      </c>
      <c r="AA38" s="787">
        <v>6.4349799999999999E-2</v>
      </c>
      <c r="AB38" s="788">
        <v>0.49818044000000006</v>
      </c>
      <c r="AC38" s="788" t="s">
        <v>1491</v>
      </c>
      <c r="AD38" s="788">
        <v>-0.80459764000000011</v>
      </c>
    </row>
    <row r="39" spans="1:30" ht="14" thickBot="1">
      <c r="A39" s="75">
        <v>627</v>
      </c>
      <c r="B39" s="1083" t="s">
        <v>517</v>
      </c>
      <c r="C39" s="799">
        <v>2648.42</v>
      </c>
      <c r="D39" s="800">
        <v>1918.0839141827955</v>
      </c>
      <c r="E39" s="800">
        <v>1806.3459345572076</v>
      </c>
      <c r="F39" s="800">
        <v>317.36797788870348</v>
      </c>
      <c r="G39" s="800">
        <v>2123.7139124459109</v>
      </c>
      <c r="H39" s="800">
        <v>201.3030410584424</v>
      </c>
      <c r="I39" s="801">
        <v>84.21154122080334</v>
      </c>
      <c r="J39" s="800">
        <v>-236.73368649987538</v>
      </c>
      <c r="K39" s="801">
        <v>547.49624304302188</v>
      </c>
      <c r="L39" s="800">
        <v>1060.8252165442036</v>
      </c>
      <c r="M39" s="802">
        <v>0.94174499937183709</v>
      </c>
      <c r="N39" s="802">
        <v>0.10811035734778679</v>
      </c>
      <c r="O39" s="802">
        <v>4.0124654395308143E-2</v>
      </c>
      <c r="P39" s="802">
        <v>0.55306507118911463</v>
      </c>
      <c r="Q39" s="800"/>
      <c r="R39" s="787">
        <v>4.9313961500000003</v>
      </c>
      <c r="S39" s="787">
        <v>5.5583663799999998</v>
      </c>
      <c r="T39" s="788">
        <v>5.0798917999999995</v>
      </c>
      <c r="U39" s="788">
        <v>4.7839627</v>
      </c>
      <c r="V39" s="788">
        <v>0.8405237000000001</v>
      </c>
      <c r="W39" s="787">
        <v>5.6244864000000003</v>
      </c>
      <c r="X39" s="787">
        <v>0.53313500000000003</v>
      </c>
      <c r="Y39" s="788">
        <v>1.45</v>
      </c>
      <c r="Z39" s="787">
        <v>2.8095107199999996</v>
      </c>
      <c r="AA39" s="787" t="s">
        <v>1060</v>
      </c>
      <c r="AB39" s="788">
        <v>1.0159783600000001</v>
      </c>
      <c r="AC39" s="788">
        <v>1.7935323599999995</v>
      </c>
      <c r="AD39" s="788" t="s">
        <v>1491</v>
      </c>
    </row>
    <row r="40" spans="1:30" ht="14" thickBot="1">
      <c r="A40" s="75">
        <v>749</v>
      </c>
      <c r="B40" s="1083" t="s">
        <v>2344</v>
      </c>
      <c r="C40" s="799">
        <v>62699.5</v>
      </c>
      <c r="D40" s="800">
        <v>2798.0598960119301</v>
      </c>
      <c r="E40" s="800">
        <v>2392.2163344205296</v>
      </c>
      <c r="F40" s="800">
        <v>447.67913619725829</v>
      </c>
      <c r="G40" s="800">
        <v>2839.8954706177879</v>
      </c>
      <c r="H40" s="800">
        <v>380.85374365026837</v>
      </c>
      <c r="I40" s="801">
        <v>142.31780923292851</v>
      </c>
      <c r="J40" s="800">
        <v>-137.39972838698873</v>
      </c>
      <c r="K40" s="801">
        <v>672.98463305130019</v>
      </c>
      <c r="L40" s="800">
        <v>859.93550331342362</v>
      </c>
      <c r="M40" s="802">
        <v>0.85495537026571566</v>
      </c>
      <c r="N40" s="802">
        <v>0.1372641045119567</v>
      </c>
      <c r="O40" s="802">
        <v>4.8872785772451584E-2</v>
      </c>
      <c r="P40" s="802">
        <v>0.30733277173197338</v>
      </c>
      <c r="Q40" s="800"/>
      <c r="R40" s="787">
        <v>173.96637951999998</v>
      </c>
      <c r="S40" s="787">
        <v>182.58127379000001</v>
      </c>
      <c r="T40" s="788">
        <v>175.43695645</v>
      </c>
      <c r="U40" s="788">
        <v>149.99076805999999</v>
      </c>
      <c r="V40" s="788">
        <v>28.069257999999998</v>
      </c>
      <c r="W40" s="787">
        <v>178.06002605999998</v>
      </c>
      <c r="X40" s="787">
        <v>23.879339300000002</v>
      </c>
      <c r="Y40" s="788">
        <v>42.195799999999998</v>
      </c>
      <c r="Z40" s="787">
        <v>53.917526090000003</v>
      </c>
      <c r="AA40" s="787">
        <v>48.660600799999997</v>
      </c>
      <c r="AB40" s="788">
        <v>28.069913031999999</v>
      </c>
      <c r="AC40" s="788">
        <v>25.847613058000004</v>
      </c>
      <c r="AD40" s="788" t="s">
        <v>1491</v>
      </c>
    </row>
    <row r="41" spans="1:30" ht="14" thickBot="1">
      <c r="A41" s="75">
        <v>758</v>
      </c>
      <c r="B41" s="1083" t="s">
        <v>518</v>
      </c>
      <c r="C41" s="799">
        <v>1468.17</v>
      </c>
      <c r="D41" s="800">
        <v>2042.9845658200343</v>
      </c>
      <c r="E41" s="800">
        <v>1971.0572345164385</v>
      </c>
      <c r="F41" s="800">
        <v>314.21964077729422</v>
      </c>
      <c r="G41" s="800">
        <v>2285.2768752937327</v>
      </c>
      <c r="H41" s="800">
        <v>44.005292302662497</v>
      </c>
      <c r="I41" s="801">
        <v>126.02947887506214</v>
      </c>
      <c r="J41" s="800">
        <v>-152.89787286213448</v>
      </c>
      <c r="K41" s="801">
        <v>602.79122989844495</v>
      </c>
      <c r="L41" s="800">
        <v>897.99199002840271</v>
      </c>
      <c r="M41" s="802">
        <v>0.96479301287588293</v>
      </c>
      <c r="N41" s="802">
        <v>2.1406691554067877E-2</v>
      </c>
      <c r="O41" s="802">
        <v>5.7063652340205356E-2</v>
      </c>
      <c r="P41" s="802">
        <v>0.43954908179541602</v>
      </c>
      <c r="Q41" s="800"/>
      <c r="R41" s="787">
        <v>3.0180866499999999</v>
      </c>
      <c r="S41" s="787">
        <v>3.2425667199999997</v>
      </c>
      <c r="T41" s="788">
        <v>2.9994486499999997</v>
      </c>
      <c r="U41" s="788">
        <v>2.8938470999999995</v>
      </c>
      <c r="V41" s="788">
        <v>0.46132785000000004</v>
      </c>
      <c r="W41" s="787">
        <v>3.3551749499999994</v>
      </c>
      <c r="X41" s="787">
        <v>6.4607250000000005E-2</v>
      </c>
      <c r="Y41" s="788">
        <v>0.88500000000000001</v>
      </c>
      <c r="Z41" s="787">
        <v>1.3184049</v>
      </c>
      <c r="AA41" s="787" t="s">
        <v>1060</v>
      </c>
      <c r="AB41" s="788">
        <v>0.59988973000000001</v>
      </c>
      <c r="AC41" s="788">
        <v>0.71851516999999998</v>
      </c>
      <c r="AD41" s="788" t="s">
        <v>1491</v>
      </c>
    </row>
    <row r="42" spans="1:30" ht="14" thickBot="1">
      <c r="A42" s="75">
        <v>762</v>
      </c>
      <c r="B42" s="1083" t="s">
        <v>519</v>
      </c>
      <c r="C42" s="799">
        <v>34681.160000000003</v>
      </c>
      <c r="D42" s="800">
        <v>2340.9586790061226</v>
      </c>
      <c r="E42" s="800">
        <v>2168.7236888846855</v>
      </c>
      <c r="F42" s="800">
        <v>392.66254790785536</v>
      </c>
      <c r="G42" s="800">
        <v>2561.3862367925408</v>
      </c>
      <c r="H42" s="800">
        <v>113.39455052829834</v>
      </c>
      <c r="I42" s="801">
        <v>142.20701614363529</v>
      </c>
      <c r="J42" s="800">
        <v>-201.52484720810949</v>
      </c>
      <c r="K42" s="801">
        <v>490.1796825711711</v>
      </c>
      <c r="L42" s="800">
        <v>328.67498837985806</v>
      </c>
      <c r="M42" s="802">
        <v>0.92642544626436507</v>
      </c>
      <c r="N42" s="802">
        <v>5.0978769569249405E-2</v>
      </c>
      <c r="O42" s="802">
        <v>5.8620956146174769E-2</v>
      </c>
      <c r="P42" s="802">
        <v>0.1404018752348932</v>
      </c>
      <c r="Q42" s="800"/>
      <c r="R42" s="787">
        <v>77.142986840000006</v>
      </c>
      <c r="S42" s="787">
        <v>84.132102310000008</v>
      </c>
      <c r="T42" s="788">
        <v>81.187162499999999</v>
      </c>
      <c r="U42" s="788">
        <v>75.21385325</v>
      </c>
      <c r="V42" s="788">
        <v>13.61799265</v>
      </c>
      <c r="W42" s="787">
        <v>88.831845900000005</v>
      </c>
      <c r="X42" s="787">
        <v>3.9326545499999996</v>
      </c>
      <c r="Y42" s="788">
        <v>17</v>
      </c>
      <c r="Z42" s="787">
        <v>11.398829859999999</v>
      </c>
      <c r="AA42" s="787">
        <v>15.649575499999999</v>
      </c>
      <c r="AB42" s="788">
        <v>16.237432500000001</v>
      </c>
      <c r="AC42" s="788" t="s">
        <v>1491</v>
      </c>
      <c r="AD42" s="788">
        <v>-4.8386026400000013</v>
      </c>
    </row>
    <row r="43" spans="1:30" ht="14" thickBot="1">
      <c r="A43" s="75">
        <v>774</v>
      </c>
      <c r="B43" s="1083" t="s">
        <v>1323</v>
      </c>
      <c r="C43" s="799">
        <v>23028.5</v>
      </c>
      <c r="D43" s="800">
        <v>2045.4734307488545</v>
      </c>
      <c r="E43" s="800">
        <v>1410.3419028595004</v>
      </c>
      <c r="F43" s="800">
        <v>356.35308335323629</v>
      </c>
      <c r="G43" s="800">
        <v>1766.6949862127367</v>
      </c>
      <c r="H43" s="800">
        <v>516.51345072410277</v>
      </c>
      <c r="I43" s="801">
        <v>122.12658531819268</v>
      </c>
      <c r="J43" s="800">
        <v>-83.018656881690063</v>
      </c>
      <c r="K43" s="801">
        <v>386.47762555094778</v>
      </c>
      <c r="L43" s="800">
        <v>346.84347569316282</v>
      </c>
      <c r="M43" s="802">
        <v>0.68949411987383746</v>
      </c>
      <c r="N43" s="802">
        <v>0.2558515946051253</v>
      </c>
      <c r="O43" s="802">
        <v>5.8105168965657136E-2</v>
      </c>
      <c r="P43" s="802">
        <v>0.16956635587595106</v>
      </c>
      <c r="Q43" s="800"/>
      <c r="R43" s="787">
        <v>46.489958439999995</v>
      </c>
      <c r="S43" s="787">
        <v>48.401753579999998</v>
      </c>
      <c r="T43" s="788">
        <v>47.1041849</v>
      </c>
      <c r="U43" s="788">
        <v>32.478058510000004</v>
      </c>
      <c r="V43" s="788">
        <v>8.2062769800000019</v>
      </c>
      <c r="W43" s="787">
        <v>40.684335490000009</v>
      </c>
      <c r="X43" s="787">
        <v>11.894530000000001</v>
      </c>
      <c r="Y43" s="788">
        <v>8.9</v>
      </c>
      <c r="Z43" s="787">
        <v>7.9872849800000001</v>
      </c>
      <c r="AA43" s="787">
        <v>1.2828636</v>
      </c>
      <c r="AB43" s="788">
        <v>9.4208369800000007</v>
      </c>
      <c r="AC43" s="788" t="s">
        <v>1491</v>
      </c>
      <c r="AD43" s="788">
        <v>-1.4335520000000006</v>
      </c>
    </row>
    <row r="44" spans="1:30" ht="14" thickBot="1">
      <c r="A44" s="75">
        <v>780</v>
      </c>
      <c r="B44" s="1083" t="s">
        <v>520</v>
      </c>
      <c r="C44" s="799">
        <v>4145.76</v>
      </c>
      <c r="D44" s="800">
        <v>1717.8854299332331</v>
      </c>
      <c r="E44" s="800">
        <v>1215.7979646675155</v>
      </c>
      <c r="F44" s="800">
        <v>334.44198409941731</v>
      </c>
      <c r="G44" s="800">
        <v>1550.2399487669329</v>
      </c>
      <c r="H44" s="800">
        <v>353.8769731002277</v>
      </c>
      <c r="I44" s="801">
        <v>69.12362027710239</v>
      </c>
      <c r="J44" s="800">
        <v>2.2661080236193101</v>
      </c>
      <c r="K44" s="801">
        <v>325.63390065995139</v>
      </c>
      <c r="L44" s="800">
        <v>512.47071224576428</v>
      </c>
      <c r="M44" s="802">
        <v>0.7077293651153258</v>
      </c>
      <c r="N44" s="802">
        <v>0.2141347510422198</v>
      </c>
      <c r="O44" s="802">
        <v>4.1884878324512612E-2</v>
      </c>
      <c r="P44" s="802">
        <v>0.29831483713420975</v>
      </c>
      <c r="Q44" s="800"/>
      <c r="R44" s="787">
        <v>6.8512420000000001</v>
      </c>
      <c r="S44" s="787">
        <v>6.8418472599999998</v>
      </c>
      <c r="T44" s="788">
        <v>7.1219407000000006</v>
      </c>
      <c r="U44" s="788">
        <v>5.04040657</v>
      </c>
      <c r="V44" s="788">
        <v>1.3865162000000002</v>
      </c>
      <c r="W44" s="787">
        <v>6.42692277</v>
      </c>
      <c r="X44" s="787">
        <v>1.4670890000000001</v>
      </c>
      <c r="Y44" s="788">
        <v>1.35</v>
      </c>
      <c r="Z44" s="787">
        <v>2.1245805799999999</v>
      </c>
      <c r="AA44" s="787">
        <v>0.80113485000000006</v>
      </c>
      <c r="AB44" s="788">
        <v>1.42438814</v>
      </c>
      <c r="AC44" s="788">
        <v>0.70019243999999992</v>
      </c>
      <c r="AD44" s="788" t="s">
        <v>1491</v>
      </c>
    </row>
    <row r="45" spans="1:30" ht="14" thickBot="1">
      <c r="A45" s="75">
        <v>790</v>
      </c>
      <c r="B45" s="1083" t="s">
        <v>1324</v>
      </c>
      <c r="C45" s="799">
        <v>1480</v>
      </c>
      <c r="D45" s="800">
        <v>2220.5320270270272</v>
      </c>
      <c r="E45" s="800">
        <v>2660.2754054054058</v>
      </c>
      <c r="F45" s="800">
        <v>408.35148648648641</v>
      </c>
      <c r="G45" s="800">
        <v>3068.6268918918922</v>
      </c>
      <c r="H45" s="800">
        <v>-27.370270270270272</v>
      </c>
      <c r="I45" s="801">
        <v>148.96080405405405</v>
      </c>
      <c r="J45" s="800">
        <v>-286.77504054054054</v>
      </c>
      <c r="K45" s="801">
        <v>540.54054054054052</v>
      </c>
      <c r="L45" s="800">
        <v>0</v>
      </c>
      <c r="M45" s="802">
        <v>1.1980351433917986</v>
      </c>
      <c r="N45" s="802">
        <v>-1.0919441534344028E-2</v>
      </c>
      <c r="O45" s="802">
        <v>5.3327163215801512E-2</v>
      </c>
      <c r="P45" s="802">
        <v>0</v>
      </c>
      <c r="Q45" s="800"/>
      <c r="R45" s="787">
        <v>3.7097135300000001</v>
      </c>
      <c r="S45" s="787">
        <v>4.1341405900000003</v>
      </c>
      <c r="T45" s="788">
        <v>3.2863874000000002</v>
      </c>
      <c r="U45" s="788">
        <v>3.9372076000000003</v>
      </c>
      <c r="V45" s="788">
        <v>0.6043601999999999</v>
      </c>
      <c r="W45" s="787">
        <v>4.5415678000000002</v>
      </c>
      <c r="X45" s="787">
        <v>-4.0508000000000002E-2</v>
      </c>
      <c r="Y45" s="788">
        <v>0.8</v>
      </c>
      <c r="Z45" s="787">
        <v>0</v>
      </c>
      <c r="AA45" s="787" t="s">
        <v>1060</v>
      </c>
      <c r="AB45" s="788">
        <v>0.65727748000000008</v>
      </c>
      <c r="AC45" s="788" t="s">
        <v>1491</v>
      </c>
      <c r="AD45" s="788">
        <v>-0.65727748000000008</v>
      </c>
    </row>
    <row r="46" spans="1:30" ht="14" thickBot="1">
      <c r="A46" s="75">
        <v>820</v>
      </c>
      <c r="B46" s="1083" t="s">
        <v>1325</v>
      </c>
      <c r="C46" s="799">
        <v>2670.33</v>
      </c>
      <c r="D46" s="800">
        <v>2004.9260203795034</v>
      </c>
      <c r="E46" s="800">
        <v>2029.9523092651471</v>
      </c>
      <c r="F46" s="800">
        <v>334.00150917676842</v>
      </c>
      <c r="G46" s="800">
        <v>2363.9538184419157</v>
      </c>
      <c r="H46" s="800">
        <v>25.521302610538772</v>
      </c>
      <c r="I46" s="801">
        <v>71.090505667838812</v>
      </c>
      <c r="J46" s="800">
        <v>-71.731160568169472</v>
      </c>
      <c r="K46" s="801">
        <v>954.93815371133906</v>
      </c>
      <c r="L46" s="800">
        <v>448.73873641085561</v>
      </c>
      <c r="M46" s="802">
        <v>1.0124824001640254</v>
      </c>
      <c r="N46" s="802">
        <v>1.2641030829587473E-2</v>
      </c>
      <c r="O46" s="802">
        <v>3.4003908250234499E-2</v>
      </c>
      <c r="P46" s="802">
        <v>0.22381810193969945</v>
      </c>
      <c r="Q46" s="800"/>
      <c r="R46" s="787">
        <v>5.3911979899999993</v>
      </c>
      <c r="S46" s="787">
        <v>5.5827438599999999</v>
      </c>
      <c r="T46" s="788">
        <v>5.3538140999999992</v>
      </c>
      <c r="U46" s="788">
        <v>5.4206425500000002</v>
      </c>
      <c r="V46" s="788">
        <v>0.89189425</v>
      </c>
      <c r="W46" s="787">
        <v>6.3125368000000002</v>
      </c>
      <c r="X46" s="787">
        <v>6.8150299999999997E-2</v>
      </c>
      <c r="Y46" s="788">
        <v>2.5499999999999998</v>
      </c>
      <c r="Z46" s="787">
        <v>1.19828051</v>
      </c>
      <c r="AA46" s="787">
        <v>0.63497845000000008</v>
      </c>
      <c r="AB46" s="788">
        <v>1.0707628200000001</v>
      </c>
      <c r="AC46" s="788">
        <v>0.12751768999999991</v>
      </c>
      <c r="AD46" s="788" t="s">
        <v>1491</v>
      </c>
    </row>
    <row r="47" spans="1:30" ht="14" thickBot="1">
      <c r="A47" s="75">
        <v>829</v>
      </c>
      <c r="B47" s="1083" t="s">
        <v>521</v>
      </c>
      <c r="C47" s="799">
        <v>18575</v>
      </c>
      <c r="D47" s="800">
        <v>1605.083057873486</v>
      </c>
      <c r="E47" s="800">
        <v>1605.204067294751</v>
      </c>
      <c r="F47" s="800">
        <v>313.12444952893674</v>
      </c>
      <c r="G47" s="800">
        <v>1918.3285168236878</v>
      </c>
      <c r="H47" s="800">
        <v>128.62752086137283</v>
      </c>
      <c r="I47" s="801">
        <v>96.282018842530277</v>
      </c>
      <c r="J47" s="800">
        <v>-186.08865948855987</v>
      </c>
      <c r="K47" s="801">
        <v>403.7685060565276</v>
      </c>
      <c r="L47" s="800">
        <v>365.31360269179004</v>
      </c>
      <c r="M47" s="802">
        <v>1.0000753913765841</v>
      </c>
      <c r="N47" s="802">
        <v>7.8831127507679136E-2</v>
      </c>
      <c r="O47" s="802">
        <v>5.2967018311496708E-2</v>
      </c>
      <c r="P47" s="802">
        <v>0.22759794323402821</v>
      </c>
      <c r="Q47" s="800"/>
      <c r="R47" s="787">
        <v>30.308537699999999</v>
      </c>
      <c r="S47" s="787">
        <v>33.765134549999999</v>
      </c>
      <c r="T47" s="788">
        <v>29.814417800000001</v>
      </c>
      <c r="U47" s="788">
        <v>29.81666555</v>
      </c>
      <c r="V47" s="788">
        <v>5.8162866499999994</v>
      </c>
      <c r="W47" s="787">
        <v>35.632952199999998</v>
      </c>
      <c r="X47" s="787">
        <v>2.3892562000000002</v>
      </c>
      <c r="Y47" s="788">
        <v>7.5</v>
      </c>
      <c r="Z47" s="787">
        <v>6.7857001700000001</v>
      </c>
      <c r="AA47" s="787" t="s">
        <v>1060</v>
      </c>
      <c r="AB47" s="788">
        <v>5.9628835600000007</v>
      </c>
      <c r="AC47" s="788">
        <v>0.82281660999999939</v>
      </c>
      <c r="AD47" s="788" t="s">
        <v>1491</v>
      </c>
    </row>
    <row r="48" spans="1:30" ht="14" thickBot="1">
      <c r="A48" s="75">
        <v>881</v>
      </c>
      <c r="B48" s="1083" t="s">
        <v>1326</v>
      </c>
      <c r="C48" s="799">
        <v>127741.41</v>
      </c>
      <c r="D48" s="800">
        <v>2462.1673566934951</v>
      </c>
      <c r="E48" s="800">
        <v>2329.7681390083285</v>
      </c>
      <c r="F48" s="800">
        <v>423.22319402925018</v>
      </c>
      <c r="G48" s="800">
        <v>2752.9913330375789</v>
      </c>
      <c r="H48" s="800">
        <v>97.325244805110572</v>
      </c>
      <c r="I48" s="801">
        <v>190.6929734844793</v>
      </c>
      <c r="J48" s="800">
        <v>-90.14645830197118</v>
      </c>
      <c r="K48" s="801">
        <v>582.51603297630743</v>
      </c>
      <c r="L48" s="800">
        <v>392.56764693610319</v>
      </c>
      <c r="M48" s="802">
        <v>0.94622655632029462</v>
      </c>
      <c r="N48" s="802">
        <v>3.9122806662383082E-2</v>
      </c>
      <c r="O48" s="802">
        <v>7.3974163295080164E-2</v>
      </c>
      <c r="P48" s="802">
        <v>0.15943987148919558</v>
      </c>
      <c r="Q48" s="800"/>
      <c r="R48" s="787">
        <v>317.78047284000002</v>
      </c>
      <c r="S48" s="787">
        <v>329.29590852999996</v>
      </c>
      <c r="T48" s="788">
        <v>314.52072979999997</v>
      </c>
      <c r="U48" s="788">
        <v>297.60786704999992</v>
      </c>
      <c r="V48" s="788">
        <v>54.063127549999997</v>
      </c>
      <c r="W48" s="787">
        <v>351.67099459999991</v>
      </c>
      <c r="X48" s="787">
        <v>12.432464</v>
      </c>
      <c r="Y48" s="788">
        <v>74.4114194</v>
      </c>
      <c r="Z48" s="787">
        <v>50.147144740000002</v>
      </c>
      <c r="AA48" s="787">
        <v>83.358036150000004</v>
      </c>
      <c r="AB48" s="788">
        <v>50.323316767999991</v>
      </c>
      <c r="AC48" s="788" t="s">
        <v>1491</v>
      </c>
      <c r="AD48" s="788">
        <v>-0.17617202799998921</v>
      </c>
    </row>
    <row r="49" spans="1:30" ht="14" thickBot="1">
      <c r="A49" s="75">
        <v>895</v>
      </c>
      <c r="B49" s="1083" t="s">
        <v>522</v>
      </c>
      <c r="C49" s="799">
        <v>796.74</v>
      </c>
      <c r="D49" s="800">
        <v>1824.1614579411103</v>
      </c>
      <c r="E49" s="800">
        <v>1497.6193613976955</v>
      </c>
      <c r="F49" s="800">
        <v>328.77921279212791</v>
      </c>
      <c r="G49" s="800">
        <v>1826.3985741898234</v>
      </c>
      <c r="H49" s="800">
        <v>209.81123076536889</v>
      </c>
      <c r="I49" s="801">
        <v>85.525641991113787</v>
      </c>
      <c r="J49" s="800">
        <v>-72.242902326982417</v>
      </c>
      <c r="K49" s="801">
        <v>753.06875517734773</v>
      </c>
      <c r="L49" s="800">
        <v>1930.7199964856793</v>
      </c>
      <c r="M49" s="802">
        <v>0.82099057343752047</v>
      </c>
      <c r="N49" s="802">
        <v>0.12193270481758513</v>
      </c>
      <c r="O49" s="802">
        <v>4.7700908902252294E-2</v>
      </c>
      <c r="P49" s="802">
        <v>1.0584150805734265</v>
      </c>
      <c r="Q49" s="800"/>
      <c r="R49" s="787">
        <v>1.3709611400000001</v>
      </c>
      <c r="S49" s="787">
        <v>1.4285199499999999</v>
      </c>
      <c r="T49" s="788">
        <v>1.4533824000000002</v>
      </c>
      <c r="U49" s="788">
        <v>1.1932132499999999</v>
      </c>
      <c r="V49" s="788">
        <v>0.26195154999999998</v>
      </c>
      <c r="W49" s="787">
        <v>1.4551647999999999</v>
      </c>
      <c r="X49" s="787">
        <v>0.16716500000000001</v>
      </c>
      <c r="Y49" s="788">
        <v>0.6</v>
      </c>
      <c r="Z49" s="787">
        <v>1.5382818500000002</v>
      </c>
      <c r="AA49" s="787" t="s">
        <v>1060</v>
      </c>
      <c r="AB49" s="788">
        <v>0.29067648000000001</v>
      </c>
      <c r="AC49" s="788">
        <v>1.24760537</v>
      </c>
      <c r="AD49" s="788" t="s">
        <v>1491</v>
      </c>
    </row>
    <row r="50" spans="1:30" ht="14" thickBot="1">
      <c r="A50" s="75">
        <v>901</v>
      </c>
      <c r="B50" s="1083" t="s">
        <v>523</v>
      </c>
      <c r="C50" s="799">
        <v>2390</v>
      </c>
      <c r="D50" s="800">
        <v>1864.7473640167366</v>
      </c>
      <c r="E50" s="800">
        <v>1733.2597907949792</v>
      </c>
      <c r="F50" s="800">
        <v>333.96158995815898</v>
      </c>
      <c r="G50" s="800">
        <v>2067.2213807531384</v>
      </c>
      <c r="H50" s="800">
        <v>6.1898326359832634</v>
      </c>
      <c r="I50" s="801">
        <v>88.881464435146455</v>
      </c>
      <c r="J50" s="800">
        <v>-7.1932175732217241</v>
      </c>
      <c r="K50" s="801">
        <v>753.13807531380758</v>
      </c>
      <c r="L50" s="800">
        <v>1490.2245983263599</v>
      </c>
      <c r="M50" s="802">
        <v>0.92948772806492763</v>
      </c>
      <c r="N50" s="802">
        <v>3.3937379553008349E-3</v>
      </c>
      <c r="O50" s="802">
        <v>4.8540156063721779E-2</v>
      </c>
      <c r="P50" s="802">
        <v>0.7991562970312287</v>
      </c>
      <c r="Q50" s="800"/>
      <c r="R50" s="787">
        <v>4.35911676</v>
      </c>
      <c r="S50" s="787">
        <v>4.376308550000001</v>
      </c>
      <c r="T50" s="788">
        <v>4.4567462000000004</v>
      </c>
      <c r="U50" s="788">
        <v>4.1424909000000003</v>
      </c>
      <c r="V50" s="788">
        <v>0.79816819999999999</v>
      </c>
      <c r="W50" s="787">
        <v>4.9406591000000004</v>
      </c>
      <c r="X50" s="787">
        <v>1.47937E-2</v>
      </c>
      <c r="Y50" s="788">
        <v>1.8</v>
      </c>
      <c r="Z50" s="787">
        <v>3.5616367900000001</v>
      </c>
      <c r="AA50" s="787">
        <v>1.2893981499999998</v>
      </c>
      <c r="AB50" s="788">
        <v>0.89134924000000015</v>
      </c>
      <c r="AC50" s="788">
        <v>2.6702875499999998</v>
      </c>
      <c r="AD50" s="788" t="s">
        <v>1491</v>
      </c>
    </row>
    <row r="51" spans="1:30" ht="14" thickBot="1">
      <c r="A51" s="75">
        <v>923</v>
      </c>
      <c r="B51" s="1083" t="s">
        <v>524</v>
      </c>
      <c r="C51" s="799">
        <v>12372</v>
      </c>
      <c r="D51" s="800">
        <v>2490.6037019075329</v>
      </c>
      <c r="E51" s="800">
        <v>2759.1809893307473</v>
      </c>
      <c r="F51" s="800">
        <v>482.2839678305852</v>
      </c>
      <c r="G51" s="800">
        <v>3241.4649571613318</v>
      </c>
      <c r="H51" s="800">
        <v>-400.90171354671838</v>
      </c>
      <c r="I51" s="801">
        <v>175.02520934367928</v>
      </c>
      <c r="J51" s="800">
        <v>-26.013891852570328</v>
      </c>
      <c r="K51" s="801">
        <v>1062.8839314581312</v>
      </c>
      <c r="L51" s="800">
        <v>1554.1930973165213</v>
      </c>
      <c r="M51" s="802">
        <v>1.107836219474625</v>
      </c>
      <c r="N51" s="802">
        <v>-0.15947917697780903</v>
      </c>
      <c r="O51" s="802">
        <v>6.8912108691570495E-2</v>
      </c>
      <c r="P51" s="802">
        <v>0.62402264002345187</v>
      </c>
      <c r="Q51" s="800"/>
      <c r="R51" s="787">
        <v>31.100963109999999</v>
      </c>
      <c r="S51" s="787">
        <v>31.422806980000001</v>
      </c>
      <c r="T51" s="788">
        <v>30.813749000000001</v>
      </c>
      <c r="U51" s="788">
        <v>34.136587200000001</v>
      </c>
      <c r="V51" s="788">
        <v>5.9668172500000001</v>
      </c>
      <c r="W51" s="787">
        <v>40.103404449999999</v>
      </c>
      <c r="X51" s="787">
        <v>-4.959956</v>
      </c>
      <c r="Y51" s="788">
        <v>13.15</v>
      </c>
      <c r="Z51" s="787">
        <v>19.228477000000002</v>
      </c>
      <c r="AA51" s="787" t="s">
        <v>1060</v>
      </c>
      <c r="AB51" s="788">
        <v>6.1627498000000012</v>
      </c>
      <c r="AC51" s="788">
        <v>13.065727200000001</v>
      </c>
      <c r="AD51" s="788" t="s">
        <v>1491</v>
      </c>
    </row>
    <row r="52" spans="1:30" ht="14" thickBot="1">
      <c r="A52" s="75">
        <v>941</v>
      </c>
      <c r="B52" s="1083" t="s">
        <v>525</v>
      </c>
      <c r="C52" s="799">
        <v>14824.84</v>
      </c>
      <c r="D52" s="800">
        <v>1977.3028545333375</v>
      </c>
      <c r="E52" s="800">
        <v>1901.0439809131162</v>
      </c>
      <c r="F52" s="800">
        <v>352.85487060905882</v>
      </c>
      <c r="G52" s="800">
        <v>2253.8988515221749</v>
      </c>
      <c r="H52" s="800">
        <v>229.90650489313879</v>
      </c>
      <c r="I52" s="801">
        <v>51.277864718944691</v>
      </c>
      <c r="J52" s="800">
        <v>-239.58918882092493</v>
      </c>
      <c r="K52" s="801">
        <v>472.74385423384001</v>
      </c>
      <c r="L52" s="800">
        <v>661.33937971674561</v>
      </c>
      <c r="M52" s="802">
        <v>0.96143288143979388</v>
      </c>
      <c r="N52" s="802">
        <v>0.11917771972671995</v>
      </c>
      <c r="O52" s="802">
        <v>2.3644565139497958E-2</v>
      </c>
      <c r="P52" s="802">
        <v>0.33446539471710224</v>
      </c>
      <c r="Q52" s="800"/>
      <c r="R52" s="787">
        <v>28.598694100000003</v>
      </c>
      <c r="S52" s="787">
        <v>32.150565489999998</v>
      </c>
      <c r="T52" s="788">
        <v>29.313198450000002</v>
      </c>
      <c r="U52" s="788">
        <v>28.182672850000003</v>
      </c>
      <c r="V52" s="788">
        <v>5.2310169999999996</v>
      </c>
      <c r="W52" s="787">
        <v>33.413689850000004</v>
      </c>
      <c r="X52" s="787">
        <v>3.4083271499999999</v>
      </c>
      <c r="Y52" s="788">
        <v>7.0083520000000004</v>
      </c>
      <c r="Z52" s="787">
        <v>9.8042504899999994</v>
      </c>
      <c r="AA52" s="787">
        <v>7.0781535999999994</v>
      </c>
      <c r="AB52" s="788">
        <v>5.8626396900000017</v>
      </c>
      <c r="AC52" s="788">
        <v>3.9416107999999976</v>
      </c>
      <c r="AD52" s="788" t="s">
        <v>1491</v>
      </c>
    </row>
    <row r="53" spans="1:30" ht="14" thickBot="1">
      <c r="A53" s="75">
        <v>966</v>
      </c>
      <c r="B53" s="1083" t="s">
        <v>1327</v>
      </c>
      <c r="C53" s="799">
        <v>6298</v>
      </c>
      <c r="D53" s="800">
        <v>1814.7273181962528</v>
      </c>
      <c r="E53" s="800">
        <v>1722.7131708478883</v>
      </c>
      <c r="F53" s="800">
        <v>326.12785805017472</v>
      </c>
      <c r="G53" s="800">
        <v>2048.8410288980626</v>
      </c>
      <c r="H53" s="800">
        <v>206.35885995554148</v>
      </c>
      <c r="I53" s="801">
        <v>106.36273102572245</v>
      </c>
      <c r="J53" s="800">
        <v>-27.686771991108291</v>
      </c>
      <c r="K53" s="801">
        <v>407.27214988885356</v>
      </c>
      <c r="L53" s="800">
        <v>342.9389996824388</v>
      </c>
      <c r="M53" s="802">
        <v>0.94929588240297058</v>
      </c>
      <c r="N53" s="802">
        <v>0.11557773061554041</v>
      </c>
      <c r="O53" s="802">
        <v>5.866210851560516E-2</v>
      </c>
      <c r="P53" s="802">
        <v>0.18897549854669238</v>
      </c>
      <c r="Q53" s="800"/>
      <c r="R53" s="787">
        <v>11.244796840000001</v>
      </c>
      <c r="S53" s="787">
        <v>11.419168129999999</v>
      </c>
      <c r="T53" s="788">
        <v>11.429152649999999</v>
      </c>
      <c r="U53" s="788">
        <v>10.84964755</v>
      </c>
      <c r="V53" s="788">
        <v>2.0539532500000002</v>
      </c>
      <c r="W53" s="787">
        <v>12.9036008</v>
      </c>
      <c r="X53" s="787">
        <v>1.2996481000000002</v>
      </c>
      <c r="Y53" s="788">
        <v>2.5649999999999999</v>
      </c>
      <c r="Z53" s="787">
        <v>2.1598298199999997</v>
      </c>
      <c r="AA53" s="787">
        <v>2.2188186000000001</v>
      </c>
      <c r="AB53" s="788">
        <v>2.2858305299999997</v>
      </c>
      <c r="AC53" s="788" t="s">
        <v>1491</v>
      </c>
      <c r="AD53" s="788">
        <v>-0.12600071000000002</v>
      </c>
    </row>
    <row r="54" spans="1:30" ht="14" thickBot="1">
      <c r="A54" s="75">
        <v>979</v>
      </c>
      <c r="B54" s="1083" t="s">
        <v>1328</v>
      </c>
      <c r="C54" s="799">
        <v>2334.92</v>
      </c>
      <c r="D54" s="800">
        <v>1794.5687218405769</v>
      </c>
      <c r="E54" s="800">
        <v>1646.2264874171276</v>
      </c>
      <c r="F54" s="800">
        <v>316.72005893135525</v>
      </c>
      <c r="G54" s="800">
        <v>1962.946546348483</v>
      </c>
      <c r="H54" s="800">
        <v>120.61614530690558</v>
      </c>
      <c r="I54" s="801">
        <v>127.99564867318793</v>
      </c>
      <c r="J54" s="800">
        <v>-275.36504034399462</v>
      </c>
      <c r="K54" s="801">
        <v>381.16937625271959</v>
      </c>
      <c r="L54" s="800">
        <v>1617.3426969660632</v>
      </c>
      <c r="M54" s="802">
        <v>0.91733822582659086</v>
      </c>
      <c r="N54" s="802">
        <v>7.4054242903027409E-2</v>
      </c>
      <c r="O54" s="802">
        <v>6.72204022376547E-2</v>
      </c>
      <c r="P54" s="802">
        <v>0.90124311054928885</v>
      </c>
      <c r="Q54" s="800"/>
      <c r="R54" s="787">
        <v>3.8030103200000003</v>
      </c>
      <c r="S54" s="787">
        <v>4.4459656599999997</v>
      </c>
      <c r="T54" s="788">
        <v>4.1901744000000001</v>
      </c>
      <c r="U54" s="788">
        <v>3.84380715</v>
      </c>
      <c r="V54" s="788">
        <v>0.73951599999999995</v>
      </c>
      <c r="W54" s="787">
        <v>4.58332315</v>
      </c>
      <c r="X54" s="787">
        <v>0.28162904999999999</v>
      </c>
      <c r="Y54" s="788">
        <v>0.89</v>
      </c>
      <c r="Z54" s="787">
        <v>3.7763658100000002</v>
      </c>
      <c r="AA54" s="787" t="s">
        <v>1060</v>
      </c>
      <c r="AB54" s="788">
        <v>0.83803488000000015</v>
      </c>
      <c r="AC54" s="788">
        <v>2.9383309300000002</v>
      </c>
      <c r="AD54" s="788" t="s">
        <v>1491</v>
      </c>
    </row>
    <row r="55" spans="1:30" ht="14" thickBot="1">
      <c r="A55" s="75">
        <v>994</v>
      </c>
      <c r="B55" s="1083" t="s">
        <v>526</v>
      </c>
      <c r="C55" s="799">
        <v>271522.83</v>
      </c>
      <c r="D55" s="800">
        <v>2354.9298110954423</v>
      </c>
      <c r="E55" s="800">
        <v>1705.7942690491257</v>
      </c>
      <c r="F55" s="800">
        <v>395.05918938750017</v>
      </c>
      <c r="G55" s="800">
        <v>2100.8534584366257</v>
      </c>
      <c r="H55" s="800">
        <v>687.522650194829</v>
      </c>
      <c r="I55" s="801">
        <v>148.94875845246605</v>
      </c>
      <c r="J55" s="800">
        <v>-53.195697135301657</v>
      </c>
      <c r="K55" s="801">
        <v>369.92141692100068</v>
      </c>
      <c r="L55" s="800">
        <v>239.31040918364027</v>
      </c>
      <c r="M55" s="802">
        <v>0.72435036535362451</v>
      </c>
      <c r="N55" s="802">
        <v>0.28449726949828646</v>
      </c>
      <c r="O55" s="802">
        <v>6.0307567312460855E-2</v>
      </c>
      <c r="P55" s="802">
        <v>0.10162103688021183</v>
      </c>
      <c r="Q55" s="800"/>
      <c r="R55" s="787">
        <v>656.16832105000003</v>
      </c>
      <c r="S55" s="787">
        <v>670.6121672999999</v>
      </c>
      <c r="T55" s="803">
        <v>639.41720676</v>
      </c>
      <c r="U55" s="803">
        <v>463.16208733000002</v>
      </c>
      <c r="V55" s="803">
        <v>107.26758912000001</v>
      </c>
      <c r="W55" s="787">
        <v>570.42967644999999</v>
      </c>
      <c r="X55" s="787">
        <v>186.67809567</v>
      </c>
      <c r="Y55" s="803">
        <v>100.44211</v>
      </c>
      <c r="Z55" s="787">
        <v>64.978239549999998</v>
      </c>
      <c r="AA55" s="787">
        <v>6.5487599999999993E-2</v>
      </c>
      <c r="AB55" s="803">
        <v>70.335892743599999</v>
      </c>
      <c r="AC55" s="803" t="s">
        <v>1491</v>
      </c>
      <c r="AD55" s="803">
        <v>-5.3576531936000009</v>
      </c>
    </row>
    <row r="56" spans="1:30" ht="14" thickBot="1">
      <c r="A56" s="75">
        <v>1003</v>
      </c>
      <c r="B56" s="1083" t="s">
        <v>527</v>
      </c>
      <c r="C56" s="799">
        <v>202.16</v>
      </c>
      <c r="D56" s="800">
        <v>1920.0237435694501</v>
      </c>
      <c r="E56" s="800">
        <v>1606.1876731301941</v>
      </c>
      <c r="F56" s="800">
        <v>298.66491887613768</v>
      </c>
      <c r="G56" s="800">
        <v>1904.8525920063316</v>
      </c>
      <c r="H56" s="800">
        <v>-215.62129006727343</v>
      </c>
      <c r="I56" s="801">
        <v>177.1725366046696</v>
      </c>
      <c r="J56" s="800">
        <v>112.15166204986149</v>
      </c>
      <c r="K56" s="801">
        <v>1310.842896715473</v>
      </c>
      <c r="L56" s="800">
        <v>6015.4074990106847</v>
      </c>
      <c r="M56" s="802">
        <v>0.83654573466064841</v>
      </c>
      <c r="N56" s="802">
        <v>-0.12959295385361103</v>
      </c>
      <c r="O56" s="802">
        <v>0.11418086042737328</v>
      </c>
      <c r="P56" s="802">
        <v>3.132985995177147</v>
      </c>
      <c r="Q56" s="800"/>
      <c r="R56" s="787">
        <v>0.33636088000000003</v>
      </c>
      <c r="S56" s="787">
        <v>0.31368830000000003</v>
      </c>
      <c r="T56" s="788">
        <v>0.388152</v>
      </c>
      <c r="U56" s="788">
        <v>0.32470690000000002</v>
      </c>
      <c r="V56" s="788">
        <v>6.0378099999999997E-2</v>
      </c>
      <c r="W56" s="787">
        <v>0.38508500000000001</v>
      </c>
      <c r="X56" s="787">
        <v>-4.3589999999999997E-2</v>
      </c>
      <c r="Y56" s="788">
        <v>0.26500000000000001</v>
      </c>
      <c r="Z56" s="787">
        <v>1.21607478</v>
      </c>
      <c r="AA56" s="787" t="s">
        <v>1060</v>
      </c>
      <c r="AB56" s="788">
        <v>7.7630400000000002E-2</v>
      </c>
      <c r="AC56" s="788">
        <v>1.1384443799999999</v>
      </c>
      <c r="AD56" s="788" t="s">
        <v>1491</v>
      </c>
    </row>
    <row r="57" spans="1:30" ht="14" thickBot="1">
      <c r="A57" s="75">
        <v>1040</v>
      </c>
      <c r="B57" s="1083" t="s">
        <v>1329</v>
      </c>
      <c r="C57" s="799">
        <v>3064.08</v>
      </c>
      <c r="D57" s="800">
        <v>1701.6015410824784</v>
      </c>
      <c r="E57" s="800">
        <v>1323.542368345474</v>
      </c>
      <c r="F57" s="800">
        <v>302.82226638991148</v>
      </c>
      <c r="G57" s="800">
        <v>1626.3646347353856</v>
      </c>
      <c r="H57" s="800">
        <v>338.83173742199949</v>
      </c>
      <c r="I57" s="801">
        <v>96.175122712200732</v>
      </c>
      <c r="J57" s="800">
        <v>-83.167626171640435</v>
      </c>
      <c r="K57" s="801">
        <v>407.95279496618889</v>
      </c>
      <c r="L57" s="800">
        <v>910.45109461893946</v>
      </c>
      <c r="M57" s="802">
        <v>0.77782156185842366</v>
      </c>
      <c r="N57" s="802">
        <v>0.20106293348771878</v>
      </c>
      <c r="O57" s="802">
        <v>5.4386311384283938E-2</v>
      </c>
      <c r="P57" s="802">
        <v>0.53505540083123904</v>
      </c>
      <c r="Q57" s="800"/>
      <c r="R57" s="787">
        <v>5.1635949600000011</v>
      </c>
      <c r="S57" s="787">
        <v>5.4184272200000008</v>
      </c>
      <c r="T57" s="788">
        <v>5.21384325</v>
      </c>
      <c r="U57" s="788">
        <v>4.0554397</v>
      </c>
      <c r="V57" s="788">
        <v>0.92787165000000005</v>
      </c>
      <c r="W57" s="787">
        <v>4.9833113500000001</v>
      </c>
      <c r="X57" s="787">
        <v>1.0382075500000001</v>
      </c>
      <c r="Y57" s="788">
        <v>1.25</v>
      </c>
      <c r="Z57" s="787">
        <v>2.7896949900000001</v>
      </c>
      <c r="AA57" s="787" t="s">
        <v>1060</v>
      </c>
      <c r="AB57" s="788">
        <v>1.04276865</v>
      </c>
      <c r="AC57" s="788">
        <v>1.7469263400000001</v>
      </c>
      <c r="AD57" s="788" t="s">
        <v>1491</v>
      </c>
    </row>
    <row r="58" spans="1:30" ht="14" thickBot="1">
      <c r="A58" s="75">
        <v>1058</v>
      </c>
      <c r="B58" s="1083" t="s">
        <v>1347</v>
      </c>
      <c r="C58" s="799">
        <v>85</v>
      </c>
      <c r="D58" s="800">
        <v>1587.5952941176472</v>
      </c>
      <c r="E58" s="800">
        <v>1860.1464705882354</v>
      </c>
      <c r="F58" s="800">
        <v>305.11823529411771</v>
      </c>
      <c r="G58" s="800">
        <v>2165.2647058823536</v>
      </c>
      <c r="H58" s="800">
        <v>489.83529411764698</v>
      </c>
      <c r="I58" s="801">
        <v>133.65352941176471</v>
      </c>
      <c r="J58" s="800">
        <v>-221.1464705882353</v>
      </c>
      <c r="K58" s="801">
        <v>705.88235294117646</v>
      </c>
      <c r="L58" s="800">
        <v>4855.9838823529408</v>
      </c>
      <c r="M58" s="802">
        <v>1.1716754751544325</v>
      </c>
      <c r="N58" s="802">
        <v>0.21568307497053754</v>
      </c>
      <c r="O58" s="802">
        <v>5.362798660026119E-2</v>
      </c>
      <c r="P58" s="802">
        <v>3.0587038777107223</v>
      </c>
      <c r="Q58" s="800"/>
      <c r="R58" s="787">
        <v>0.19304250000000001</v>
      </c>
      <c r="S58" s="787">
        <v>0.21183995</v>
      </c>
      <c r="T58" s="788">
        <v>0.1349456</v>
      </c>
      <c r="U58" s="788">
        <v>0.15811245000000002</v>
      </c>
      <c r="V58" s="788">
        <v>2.5935050000000005E-2</v>
      </c>
      <c r="W58" s="787">
        <v>0.18404750000000003</v>
      </c>
      <c r="X58" s="787">
        <v>4.1635999999999999E-2</v>
      </c>
      <c r="Y58" s="788">
        <v>0.06</v>
      </c>
      <c r="Z58" s="787">
        <v>0.41275863000000002</v>
      </c>
      <c r="AA58" s="787" t="s">
        <v>1060</v>
      </c>
      <c r="AB58" s="788">
        <v>2.6989120000000002E-2</v>
      </c>
      <c r="AC58" s="788">
        <v>0.38576951000000004</v>
      </c>
      <c r="AD58" s="788" t="s">
        <v>1491</v>
      </c>
    </row>
    <row r="59" spans="1:30" ht="14" thickBot="1">
      <c r="A59" s="75">
        <v>1060</v>
      </c>
      <c r="B59" s="1083" t="s">
        <v>1330</v>
      </c>
      <c r="C59" s="799">
        <v>245766.14</v>
      </c>
      <c r="D59" s="800">
        <v>2819.7011439411463</v>
      </c>
      <c r="E59" s="800">
        <v>3360.9709507176203</v>
      </c>
      <c r="F59" s="800">
        <v>486.47990296791897</v>
      </c>
      <c r="G59" s="800">
        <v>3847.4508536855396</v>
      </c>
      <c r="H59" s="800">
        <v>-533.55514718178824</v>
      </c>
      <c r="I59" s="801">
        <v>164.93959180056294</v>
      </c>
      <c r="J59" s="800">
        <v>-192.06004403210304</v>
      </c>
      <c r="K59" s="801">
        <v>708.33191260602462</v>
      </c>
      <c r="L59" s="800">
        <v>426.71743992073112</v>
      </c>
      <c r="M59" s="802">
        <v>1.1919599911996104</v>
      </c>
      <c r="N59" s="802">
        <v>-0.19032446244787643</v>
      </c>
      <c r="O59" s="802">
        <v>5.5063235633579885E-2</v>
      </c>
      <c r="P59" s="802">
        <v>0.15133427910884928</v>
      </c>
      <c r="Q59" s="800"/>
      <c r="R59" s="787">
        <v>688.98021470000003</v>
      </c>
      <c r="S59" s="787">
        <v>736.18207037000002</v>
      </c>
      <c r="T59" s="788">
        <v>692.98706609999999</v>
      </c>
      <c r="U59" s="788">
        <v>826.01285720999988</v>
      </c>
      <c r="V59" s="788">
        <v>119.56028793999999</v>
      </c>
      <c r="W59" s="787">
        <v>945.57314514999985</v>
      </c>
      <c r="X59" s="787">
        <v>-131.12978899999999</v>
      </c>
      <c r="Y59" s="788">
        <v>174.084</v>
      </c>
      <c r="Z59" s="787">
        <v>104.87269807999999</v>
      </c>
      <c r="AA59" s="787" t="s">
        <v>1060</v>
      </c>
      <c r="AB59" s="788">
        <v>83.158447932000001</v>
      </c>
      <c r="AC59" s="788">
        <v>21.714250147999991</v>
      </c>
      <c r="AD59" s="788" t="s">
        <v>1491</v>
      </c>
    </row>
    <row r="60" spans="1:30" ht="14" thickBot="1">
      <c r="A60" s="75">
        <v>1097</v>
      </c>
      <c r="B60" s="1083" t="s">
        <v>1331</v>
      </c>
      <c r="C60" s="799">
        <v>13343.83</v>
      </c>
      <c r="D60" s="800">
        <v>1927.5664333253642</v>
      </c>
      <c r="E60" s="800">
        <v>1204.9537771389475</v>
      </c>
      <c r="F60" s="800">
        <v>343.3134669731254</v>
      </c>
      <c r="G60" s="800">
        <v>1548.2672441120728</v>
      </c>
      <c r="H60" s="800">
        <v>543.54237126821909</v>
      </c>
      <c r="I60" s="801">
        <v>104.68023873205819</v>
      </c>
      <c r="J60" s="800">
        <v>-9.9200784182652271</v>
      </c>
      <c r="K60" s="801">
        <v>322.9957216181561</v>
      </c>
      <c r="L60" s="800">
        <v>291.03980641240184</v>
      </c>
      <c r="M60" s="802">
        <v>0.62511660107102363</v>
      </c>
      <c r="N60" s="802">
        <v>0.28659899119653393</v>
      </c>
      <c r="O60" s="802">
        <v>5.490858240074456E-2</v>
      </c>
      <c r="P60" s="802">
        <v>0.15098821051283356</v>
      </c>
      <c r="Q60" s="800"/>
      <c r="R60" s="787">
        <v>25.306917409999997</v>
      </c>
      <c r="S60" s="787">
        <v>25.439289249999995</v>
      </c>
      <c r="T60" s="788">
        <v>25.721118799999996</v>
      </c>
      <c r="U60" s="788">
        <v>16.078698360000001</v>
      </c>
      <c r="V60" s="788">
        <v>4.58111654</v>
      </c>
      <c r="W60" s="787">
        <v>20.659814900000001</v>
      </c>
      <c r="X60" s="787">
        <v>7.2529370000000002</v>
      </c>
      <c r="Y60" s="788">
        <v>4.3099999999999996</v>
      </c>
      <c r="Z60" s="787">
        <v>3.8835857000000003</v>
      </c>
      <c r="AA60" s="787">
        <v>0.4067287</v>
      </c>
      <c r="AB60" s="788">
        <v>5.14422376</v>
      </c>
      <c r="AC60" s="788" t="s">
        <v>1491</v>
      </c>
      <c r="AD60" s="788">
        <v>-1.2606380599999998</v>
      </c>
    </row>
    <row r="61" spans="1:30" ht="14" thickBot="1">
      <c r="A61" s="75">
        <v>1113</v>
      </c>
      <c r="B61" s="1083" t="s">
        <v>1348</v>
      </c>
      <c r="C61" s="799">
        <v>4586.75</v>
      </c>
      <c r="D61" s="800">
        <v>1992.4239821224182</v>
      </c>
      <c r="E61" s="800">
        <v>1584.0472992859868</v>
      </c>
      <c r="F61" s="800">
        <v>313.28612852237421</v>
      </c>
      <c r="G61" s="800">
        <v>1897.3334278083607</v>
      </c>
      <c r="H61" s="800">
        <v>101.34044802965064</v>
      </c>
      <c r="I61" s="801">
        <v>43.573929252738864</v>
      </c>
      <c r="J61" s="800">
        <v>33.662950891153876</v>
      </c>
      <c r="K61" s="801">
        <v>238.73112770480188</v>
      </c>
      <c r="L61" s="800">
        <v>725.62672044475937</v>
      </c>
      <c r="M61" s="802">
        <v>0.79503525027769917</v>
      </c>
      <c r="N61" s="802">
        <v>0.10421720156307832</v>
      </c>
      <c r="O61" s="802">
        <v>4.6417779173043044E-2</v>
      </c>
      <c r="P61" s="802">
        <v>0.36419292628258254</v>
      </c>
      <c r="Q61" s="800"/>
      <c r="R61" s="787">
        <v>4.4601399100000005</v>
      </c>
      <c r="S61" s="787">
        <v>4.30573637</v>
      </c>
      <c r="T61" s="788">
        <v>9.138750700000001</v>
      </c>
      <c r="U61" s="788">
        <v>7.26562895</v>
      </c>
      <c r="V61" s="788">
        <v>1.4369651499999998</v>
      </c>
      <c r="W61" s="787">
        <v>8.7025940999999989</v>
      </c>
      <c r="X61" s="787">
        <v>0.46482330000000005</v>
      </c>
      <c r="Y61" s="788">
        <v>1.095</v>
      </c>
      <c r="Z61" s="787">
        <v>3.32826836</v>
      </c>
      <c r="AA61" s="787" t="s">
        <v>1060</v>
      </c>
      <c r="AB61" s="788">
        <v>1.8277501400000005</v>
      </c>
      <c r="AC61" s="788">
        <v>1.5005182199999996</v>
      </c>
      <c r="AD61" s="788" t="s">
        <v>1491</v>
      </c>
    </row>
    <row r="62" spans="1:30" ht="14" thickBot="1">
      <c r="A62" s="75">
        <v>1142</v>
      </c>
      <c r="B62" s="1083" t="s">
        <v>1349</v>
      </c>
      <c r="C62" s="799">
        <v>954.66</v>
      </c>
      <c r="D62" s="800">
        <v>3471.8183960781848</v>
      </c>
      <c r="E62" s="800">
        <v>7730.2274631806094</v>
      </c>
      <c r="F62" s="800">
        <v>697.61265790962227</v>
      </c>
      <c r="G62" s="800">
        <v>8427.8401210902302</v>
      </c>
      <c r="H62" s="800">
        <v>-4661.4261098192028</v>
      </c>
      <c r="I62" s="801">
        <v>188.58405086627704</v>
      </c>
      <c r="J62" s="800">
        <v>540.68331133597303</v>
      </c>
      <c r="K62" s="801">
        <v>2094.986696834475</v>
      </c>
      <c r="L62" s="800">
        <v>15600.173192550228</v>
      </c>
      <c r="M62" s="802">
        <v>2.2265644631391965</v>
      </c>
      <c r="N62" s="802">
        <v>-1.2403717496450362</v>
      </c>
      <c r="O62" s="802">
        <v>5.8613719069746252E-2</v>
      </c>
      <c r="P62" s="802">
        <v>4.4933724673423017</v>
      </c>
      <c r="Q62" s="800"/>
      <c r="R62" s="787">
        <v>3.5876962300000002</v>
      </c>
      <c r="S62" s="787">
        <v>3.0715275000000002</v>
      </c>
      <c r="T62" s="788">
        <v>3.3144061499999999</v>
      </c>
      <c r="U62" s="788">
        <v>7.3797389500000001</v>
      </c>
      <c r="V62" s="788">
        <v>0.66598290000000004</v>
      </c>
      <c r="W62" s="787">
        <v>8.0457218499999996</v>
      </c>
      <c r="X62" s="787">
        <v>-4.45007705</v>
      </c>
      <c r="Y62" s="788">
        <v>2</v>
      </c>
      <c r="Z62" s="787">
        <v>14.89286134</v>
      </c>
      <c r="AA62" s="787" t="s">
        <v>1060</v>
      </c>
      <c r="AB62" s="788">
        <v>0.66288122999999999</v>
      </c>
      <c r="AC62" s="788">
        <v>14.22998011</v>
      </c>
      <c r="AD62" s="788" t="s">
        <v>1491</v>
      </c>
    </row>
    <row r="63" spans="1:30" ht="14" thickBot="1">
      <c r="A63" s="75">
        <v>1147</v>
      </c>
      <c r="B63" s="1083" t="s">
        <v>528</v>
      </c>
      <c r="C63" s="799">
        <v>407</v>
      </c>
      <c r="D63" s="800">
        <v>2363.707616707617</v>
      </c>
      <c r="E63" s="800">
        <v>2601.7361179361183</v>
      </c>
      <c r="F63" s="800">
        <v>360.4899262899263</v>
      </c>
      <c r="G63" s="800">
        <v>2962.2260442260445</v>
      </c>
      <c r="H63" s="800">
        <v>-522.55528255528259</v>
      </c>
      <c r="I63" s="801">
        <v>216.89103194103197</v>
      </c>
      <c r="J63" s="800">
        <v>117.64361179361181</v>
      </c>
      <c r="K63" s="801">
        <v>1437.3464373464371</v>
      </c>
      <c r="L63" s="800">
        <v>2631.8696560196558</v>
      </c>
      <c r="M63" s="802">
        <v>1.1007013302093804</v>
      </c>
      <c r="N63" s="802">
        <v>-0.22004924000085047</v>
      </c>
      <c r="O63" s="802">
        <v>9.6093802727975366E-2</v>
      </c>
      <c r="P63" s="802">
        <v>1.1134497504752974</v>
      </c>
      <c r="Q63" s="800"/>
      <c r="R63" s="787">
        <v>0.96651095000000009</v>
      </c>
      <c r="S63" s="787">
        <v>0.91862999999999995</v>
      </c>
      <c r="T63" s="788">
        <v>0.96202900000000002</v>
      </c>
      <c r="U63" s="788">
        <v>1.0589066</v>
      </c>
      <c r="V63" s="788">
        <v>0.1467194</v>
      </c>
      <c r="W63" s="787">
        <v>1.2056260000000001</v>
      </c>
      <c r="X63" s="787">
        <v>-0.21268000000000001</v>
      </c>
      <c r="Y63" s="788">
        <v>0.58499999999999996</v>
      </c>
      <c r="Z63" s="787">
        <v>1.07117095</v>
      </c>
      <c r="AA63" s="787" t="s">
        <v>1060</v>
      </c>
      <c r="AB63" s="788">
        <v>0.19240580000000002</v>
      </c>
      <c r="AC63" s="788">
        <v>0.87876514999999999</v>
      </c>
      <c r="AD63" s="788" t="s">
        <v>1491</v>
      </c>
    </row>
    <row r="64" spans="1:30" ht="14" thickBot="1">
      <c r="A64" s="75">
        <v>1159</v>
      </c>
      <c r="B64" s="1083" t="s">
        <v>1350</v>
      </c>
      <c r="C64" s="799">
        <v>21070.799999999999</v>
      </c>
      <c r="D64" s="800">
        <v>2903.1524246824993</v>
      </c>
      <c r="E64" s="800">
        <v>2878.8883070410238</v>
      </c>
      <c r="F64" s="800">
        <v>447.79699157127396</v>
      </c>
      <c r="G64" s="800">
        <v>3326.6852986122976</v>
      </c>
      <c r="H64" s="800">
        <v>331.65916813789704</v>
      </c>
      <c r="I64" s="801">
        <v>138.65724319911916</v>
      </c>
      <c r="J64" s="800">
        <v>-34.398244490005098</v>
      </c>
      <c r="K64" s="801">
        <v>759.34468553638214</v>
      </c>
      <c r="L64" s="800">
        <v>496.09138998044693</v>
      </c>
      <c r="M64" s="802">
        <v>0.9916421482264649</v>
      </c>
      <c r="N64" s="802">
        <v>0.11601354719419268</v>
      </c>
      <c r="O64" s="802">
        <v>4.7925299414485832E-2</v>
      </c>
      <c r="P64" s="802">
        <v>0.1708802423747012</v>
      </c>
      <c r="Q64" s="800"/>
      <c r="R64" s="787">
        <v>60.23713755</v>
      </c>
      <c r="S64" s="787">
        <v>60.961936090000002</v>
      </c>
      <c r="T64" s="788">
        <v>61.171744109999999</v>
      </c>
      <c r="U64" s="788">
        <v>60.66047974</v>
      </c>
      <c r="V64" s="788">
        <v>9.4354408499999991</v>
      </c>
      <c r="W64" s="787">
        <v>70.095920589999992</v>
      </c>
      <c r="X64" s="787">
        <v>6.9883240000000004</v>
      </c>
      <c r="Y64" s="788">
        <v>16</v>
      </c>
      <c r="Z64" s="787">
        <v>10.453042460000001</v>
      </c>
      <c r="AA64" s="787" t="s">
        <v>1060</v>
      </c>
      <c r="AB64" s="788">
        <v>12.234348822000001</v>
      </c>
      <c r="AC64" s="788" t="s">
        <v>1491</v>
      </c>
      <c r="AD64" s="788">
        <v>-1.7813063620000005</v>
      </c>
    </row>
    <row r="65" spans="1:30" ht="14" thickBot="1">
      <c r="A65" s="75">
        <v>1215</v>
      </c>
      <c r="B65" s="1083" t="s">
        <v>1332</v>
      </c>
      <c r="C65" s="799">
        <v>8920.5</v>
      </c>
      <c r="D65" s="800">
        <v>2520.9923546886384</v>
      </c>
      <c r="E65" s="800">
        <v>2063.6595246903203</v>
      </c>
      <c r="F65" s="800">
        <v>414.42483044672383</v>
      </c>
      <c r="G65" s="800">
        <v>2478.0843551370435</v>
      </c>
      <c r="H65" s="800">
        <v>388.63864133176389</v>
      </c>
      <c r="I65" s="801">
        <v>169.39278291575584</v>
      </c>
      <c r="J65" s="800">
        <v>-101.78567344879775</v>
      </c>
      <c r="K65" s="801">
        <v>582.92696597724341</v>
      </c>
      <c r="L65" s="800">
        <v>1041.2421725239619</v>
      </c>
      <c r="M65" s="802">
        <v>0.81859015591707252</v>
      </c>
      <c r="N65" s="802">
        <v>0.15472982349391221</v>
      </c>
      <c r="O65" s="802">
        <v>6.4814288620680199E-2</v>
      </c>
      <c r="P65" s="802">
        <v>0.41302869109754325</v>
      </c>
      <c r="Q65" s="800"/>
      <c r="R65" s="787">
        <v>22.405835679999999</v>
      </c>
      <c r="S65" s="787">
        <v>23.313814780000001</v>
      </c>
      <c r="T65" s="788">
        <v>22.4885123</v>
      </c>
      <c r="U65" s="788">
        <v>18.408874789999999</v>
      </c>
      <c r="V65" s="788">
        <v>3.6968767000000002</v>
      </c>
      <c r="W65" s="787">
        <v>22.105751489999999</v>
      </c>
      <c r="X65" s="787">
        <v>3.4668510000000001</v>
      </c>
      <c r="Y65" s="788">
        <v>5.2</v>
      </c>
      <c r="Z65" s="787">
        <v>9.2884008000000016</v>
      </c>
      <c r="AA65" s="787">
        <v>0.97763500000000003</v>
      </c>
      <c r="AB65" s="788">
        <v>4.4977024600000002</v>
      </c>
      <c r="AC65" s="788">
        <v>4.7906983400000014</v>
      </c>
      <c r="AD65" s="788" t="s">
        <v>1491</v>
      </c>
    </row>
    <row r="66" spans="1:30" ht="14" thickBot="1">
      <c r="A66" s="75">
        <v>1318</v>
      </c>
      <c r="B66" s="1083" t="s">
        <v>1333</v>
      </c>
      <c r="C66" s="799">
        <v>4428.25</v>
      </c>
      <c r="D66" s="800">
        <v>2428.2213741319933</v>
      </c>
      <c r="E66" s="800">
        <v>2436.9191215491446</v>
      </c>
      <c r="F66" s="800">
        <v>449.07445379100102</v>
      </c>
      <c r="G66" s="800">
        <v>2885.9935753401455</v>
      </c>
      <c r="H66" s="800">
        <v>-313.22599220911195</v>
      </c>
      <c r="I66" s="801">
        <v>174.51112516231015</v>
      </c>
      <c r="J66" s="800">
        <v>111.37858070343817</v>
      </c>
      <c r="K66" s="801">
        <v>1004.9116468130751</v>
      </c>
      <c r="L66" s="800">
        <v>2224.7551154519278</v>
      </c>
      <c r="M66" s="802">
        <v>1.0035819417083669</v>
      </c>
      <c r="N66" s="802">
        <v>-0.1303048782969311</v>
      </c>
      <c r="O66" s="802">
        <v>7.612546036868835E-2</v>
      </c>
      <c r="P66" s="802">
        <v>0.91620769800990731</v>
      </c>
      <c r="Q66" s="800"/>
      <c r="R66" s="787">
        <v>10.644597640000001</v>
      </c>
      <c r="S66" s="787">
        <v>10.15138544</v>
      </c>
      <c r="T66" s="788">
        <v>10.752771300000001</v>
      </c>
      <c r="U66" s="788">
        <v>10.7912871</v>
      </c>
      <c r="V66" s="788">
        <v>1.9886139500000002</v>
      </c>
      <c r="W66" s="787">
        <v>12.779901049999999</v>
      </c>
      <c r="X66" s="787">
        <v>-1.387043</v>
      </c>
      <c r="Y66" s="788">
        <v>4.45</v>
      </c>
      <c r="Z66" s="787">
        <v>9.8517718399999996</v>
      </c>
      <c r="AA66" s="787">
        <v>0.88990690000000006</v>
      </c>
      <c r="AB66" s="788">
        <v>2.1505542600000003</v>
      </c>
      <c r="AC66" s="788">
        <v>7.7012175799999998</v>
      </c>
      <c r="AD66" s="788" t="s">
        <v>1491</v>
      </c>
    </row>
    <row r="67" spans="1:30" ht="14" thickBot="1">
      <c r="A67" s="75">
        <v>1322</v>
      </c>
      <c r="B67" s="1083" t="s">
        <v>1334</v>
      </c>
      <c r="C67" s="799">
        <v>5390.59</v>
      </c>
      <c r="D67" s="800">
        <v>2134.1485069352329</v>
      </c>
      <c r="E67" s="800">
        <v>2011.249186081672</v>
      </c>
      <c r="F67" s="800">
        <v>390.82334215735199</v>
      </c>
      <c r="G67" s="800">
        <v>2402.072528239024</v>
      </c>
      <c r="H67" s="800">
        <v>-86.401516346077145</v>
      </c>
      <c r="I67" s="801">
        <v>127.23303015068853</v>
      </c>
      <c r="J67" s="800">
        <v>-29.471291639690673</v>
      </c>
      <c r="K67" s="801">
        <v>603.54728888674526</v>
      </c>
      <c r="L67" s="800">
        <v>662.26909299353133</v>
      </c>
      <c r="M67" s="802">
        <v>0.94241294808951603</v>
      </c>
      <c r="N67" s="802">
        <v>-4.2694695087186527E-2</v>
      </c>
      <c r="O67" s="802">
        <v>6.1968843290862517E-2</v>
      </c>
      <c r="P67" s="802">
        <v>0.31032006012767593</v>
      </c>
      <c r="Q67" s="800"/>
      <c r="R67" s="787">
        <v>10.908970050000001</v>
      </c>
      <c r="S67" s="787">
        <v>11.0678377</v>
      </c>
      <c r="T67" s="788">
        <v>11.504319599999999</v>
      </c>
      <c r="U67" s="788">
        <v>10.841819750000001</v>
      </c>
      <c r="V67" s="788">
        <v>2.1067684</v>
      </c>
      <c r="W67" s="787">
        <v>12.948588150000001</v>
      </c>
      <c r="X67" s="787">
        <v>-0.46575515000000001</v>
      </c>
      <c r="Y67" s="788">
        <v>3.2534759800000002</v>
      </c>
      <c r="Z67" s="787">
        <v>3.5700211500000001</v>
      </c>
      <c r="AA67" s="787">
        <v>0.93918590000000002</v>
      </c>
      <c r="AB67" s="788">
        <v>2.3008639199999998</v>
      </c>
      <c r="AC67" s="788">
        <v>1.2691572300000002</v>
      </c>
      <c r="AD67" s="788" t="s">
        <v>1491</v>
      </c>
    </row>
    <row r="68" spans="1:30" ht="14" thickBot="1">
      <c r="A68" s="75">
        <v>1328</v>
      </c>
      <c r="B68" s="1083" t="s">
        <v>529</v>
      </c>
      <c r="C68" s="799">
        <v>7470.3</v>
      </c>
      <c r="D68" s="800">
        <v>2289.3171894033703</v>
      </c>
      <c r="E68" s="800">
        <v>2549.1457237326476</v>
      </c>
      <c r="F68" s="800">
        <v>426.09645529630677</v>
      </c>
      <c r="G68" s="800">
        <v>2975.2421790289545</v>
      </c>
      <c r="H68" s="800">
        <v>-155.27462083182735</v>
      </c>
      <c r="I68" s="801">
        <v>188.58102485843943</v>
      </c>
      <c r="J68" s="800">
        <v>-413.13795296038984</v>
      </c>
      <c r="K68" s="801">
        <v>764.74365152671248</v>
      </c>
      <c r="L68" s="800">
        <v>984.7407841719878</v>
      </c>
      <c r="M68" s="802">
        <v>1.1134960832565943</v>
      </c>
      <c r="N68" s="802">
        <v>-6.9297599674750271E-2</v>
      </c>
      <c r="O68" s="802">
        <v>7.105993355652257E-2</v>
      </c>
      <c r="P68" s="802">
        <v>0.430146066578317</v>
      </c>
      <c r="Q68" s="800"/>
      <c r="R68" s="787">
        <v>16.738646150000001</v>
      </c>
      <c r="S68" s="787">
        <v>19.824910600000003</v>
      </c>
      <c r="T68" s="788">
        <v>17.101886199999999</v>
      </c>
      <c r="U68" s="788">
        <v>19.0428833</v>
      </c>
      <c r="V68" s="788">
        <v>3.1830683500000005</v>
      </c>
      <c r="W68" s="787">
        <v>22.225951649999999</v>
      </c>
      <c r="X68" s="787">
        <v>-1.159948</v>
      </c>
      <c r="Y68" s="788">
        <v>5.7128645000000002</v>
      </c>
      <c r="Z68" s="787">
        <v>7.3563090799999999</v>
      </c>
      <c r="AA68" s="787">
        <v>6.0763931500000004</v>
      </c>
      <c r="AB68" s="788">
        <v>3.4203772400000001</v>
      </c>
      <c r="AC68" s="788">
        <v>3.9359318399999998</v>
      </c>
      <c r="AD68" s="788" t="s">
        <v>1491</v>
      </c>
    </row>
    <row r="69" spans="1:30" ht="14" thickBot="1">
      <c r="A69" s="75">
        <v>1331</v>
      </c>
      <c r="B69" s="1083" t="s">
        <v>1335</v>
      </c>
      <c r="C69" s="799">
        <v>1233</v>
      </c>
      <c r="D69" s="800">
        <v>1838.198621248986</v>
      </c>
      <c r="E69" s="800">
        <v>1538.1366585563667</v>
      </c>
      <c r="F69" s="800">
        <v>329.73053527980539</v>
      </c>
      <c r="G69" s="800">
        <v>1867.8671938361722</v>
      </c>
      <c r="H69" s="800">
        <v>139.93106244931062</v>
      </c>
      <c r="I69" s="801">
        <v>185.69484184914842</v>
      </c>
      <c r="J69" s="800">
        <v>-156.08013787510137</v>
      </c>
      <c r="K69" s="801">
        <v>446.0665044606651</v>
      </c>
      <c r="L69" s="800">
        <v>860.47421735604212</v>
      </c>
      <c r="M69" s="802">
        <v>0.83676303571115795</v>
      </c>
      <c r="N69" s="802">
        <v>8.0197175680769256E-2</v>
      </c>
      <c r="O69" s="802">
        <v>9.7686932995789205E-2</v>
      </c>
      <c r="P69" s="802">
        <v>0.46810731300156377</v>
      </c>
      <c r="Q69" s="800"/>
      <c r="R69" s="787">
        <v>2.1513849899999999</v>
      </c>
      <c r="S69" s="787">
        <v>2.3438317999999998</v>
      </c>
      <c r="T69" s="788">
        <v>2.2664988999999998</v>
      </c>
      <c r="U69" s="788">
        <v>1.8965225000000001</v>
      </c>
      <c r="V69" s="788">
        <v>0.40655775</v>
      </c>
      <c r="W69" s="787">
        <v>2.3030802500000003</v>
      </c>
      <c r="X69" s="787">
        <v>0.17253499999999999</v>
      </c>
      <c r="Y69" s="788">
        <v>0.55000000000000004</v>
      </c>
      <c r="Z69" s="787">
        <v>1.0609647099999999</v>
      </c>
      <c r="AA69" s="787" t="s">
        <v>1060</v>
      </c>
      <c r="AB69" s="788">
        <v>0.45329978000000004</v>
      </c>
      <c r="AC69" s="788">
        <v>0.60766492999999988</v>
      </c>
      <c r="AD69" s="788" t="s">
        <v>1491</v>
      </c>
    </row>
    <row r="70" spans="1:30" ht="14" thickBot="1">
      <c r="A70" s="75">
        <v>1362</v>
      </c>
      <c r="B70" s="1083" t="s">
        <v>530</v>
      </c>
      <c r="C70" s="799">
        <v>603.58000000000004</v>
      </c>
      <c r="D70" s="800">
        <v>1795.1597965472679</v>
      </c>
      <c r="E70" s="800">
        <v>1320.6448192451703</v>
      </c>
      <c r="F70" s="800">
        <v>275.39348553630003</v>
      </c>
      <c r="G70" s="800">
        <v>1596.0383047814703</v>
      </c>
      <c r="H70" s="800">
        <v>270.18895589648429</v>
      </c>
      <c r="I70" s="801">
        <v>78.334686371317801</v>
      </c>
      <c r="J70" s="800">
        <v>185.14654229762417</v>
      </c>
      <c r="K70" s="801">
        <v>422.4792073958713</v>
      </c>
      <c r="L70" s="800">
        <v>2354.4595911063984</v>
      </c>
      <c r="M70" s="802">
        <v>0.73566978370685499</v>
      </c>
      <c r="N70" s="802">
        <v>0.14755392656959435</v>
      </c>
      <c r="O70" s="802">
        <v>4.7591704969024436E-2</v>
      </c>
      <c r="P70" s="802">
        <v>1.3115598932389547</v>
      </c>
      <c r="Q70" s="800"/>
      <c r="R70" s="787">
        <v>1.1052274499999999</v>
      </c>
      <c r="S70" s="787">
        <v>0.9934767000000001</v>
      </c>
      <c r="T70" s="788">
        <v>1.0835225500000001</v>
      </c>
      <c r="U70" s="788">
        <v>0.79711480000000001</v>
      </c>
      <c r="V70" s="788">
        <v>0.16622200000000001</v>
      </c>
      <c r="W70" s="787">
        <v>0.96333679999999999</v>
      </c>
      <c r="X70" s="787">
        <v>0.16308064999999999</v>
      </c>
      <c r="Y70" s="788">
        <v>0.255</v>
      </c>
      <c r="Z70" s="787">
        <v>1.42110472</v>
      </c>
      <c r="AA70" s="787" t="s">
        <v>1060</v>
      </c>
      <c r="AB70" s="788">
        <v>0.21670451000000002</v>
      </c>
      <c r="AC70" s="788">
        <v>1.20440021</v>
      </c>
      <c r="AD70" s="788" t="s">
        <v>1491</v>
      </c>
    </row>
    <row r="71" spans="1:30" ht="14" thickBot="1">
      <c r="A71" s="75">
        <v>1384</v>
      </c>
      <c r="B71" s="1083" t="s">
        <v>531</v>
      </c>
      <c r="C71" s="799">
        <v>602311.92000000004</v>
      </c>
      <c r="D71" s="800">
        <v>2362.3633576768657</v>
      </c>
      <c r="E71" s="800">
        <v>2255.5864335376259</v>
      </c>
      <c r="F71" s="800">
        <v>417.52759170032692</v>
      </c>
      <c r="G71" s="800">
        <v>2673.1140252379532</v>
      </c>
      <c r="H71" s="800">
        <v>114.37308116033955</v>
      </c>
      <c r="I71" s="801">
        <v>137.08686784747675</v>
      </c>
      <c r="J71" s="800">
        <v>-153.02305559551266</v>
      </c>
      <c r="K71" s="801">
        <v>445.44406140924457</v>
      </c>
      <c r="L71" s="800">
        <v>283.04616385476817</v>
      </c>
      <c r="M71" s="802">
        <v>0.95480080412174884</v>
      </c>
      <c r="N71" s="802">
        <v>4.8862346013182158E-2</v>
      </c>
      <c r="O71" s="802">
        <v>5.4972325883372287E-2</v>
      </c>
      <c r="P71" s="802">
        <v>0.11981482989691901</v>
      </c>
      <c r="Q71" s="800"/>
      <c r="R71" s="787">
        <v>1409.8436880500001</v>
      </c>
      <c r="S71" s="787">
        <v>1502.0112984699997</v>
      </c>
      <c r="T71" s="788">
        <v>1422.8796096999997</v>
      </c>
      <c r="U71" s="788">
        <v>1358.5665955100001</v>
      </c>
      <c r="V71" s="788">
        <v>251.48184541000001</v>
      </c>
      <c r="W71" s="787">
        <v>1610.0484409200001</v>
      </c>
      <c r="X71" s="787">
        <v>68.888270109999951</v>
      </c>
      <c r="Y71" s="788">
        <v>268.29626788000002</v>
      </c>
      <c r="Z71" s="787">
        <v>170.48207840000001</v>
      </c>
      <c r="AA71" s="787">
        <v>880.6476047000001</v>
      </c>
      <c r="AB71" s="788">
        <v>156.51675706699996</v>
      </c>
      <c r="AC71" s="788">
        <v>13.965321333000048</v>
      </c>
      <c r="AD71" s="788" t="s">
        <v>1491</v>
      </c>
    </row>
    <row r="72" spans="1:30" ht="14" thickBot="1">
      <c r="A72" s="75">
        <v>1386</v>
      </c>
      <c r="B72" s="1083" t="s">
        <v>1336</v>
      </c>
      <c r="C72" s="799">
        <v>11102.83</v>
      </c>
      <c r="D72" s="800">
        <v>2989.0007052256046</v>
      </c>
      <c r="E72" s="800">
        <v>3626.5627024821606</v>
      </c>
      <c r="F72" s="800">
        <v>514.33835157342764</v>
      </c>
      <c r="G72" s="800">
        <v>4140.9010540555882</v>
      </c>
      <c r="H72" s="800">
        <v>-1051.7260013888351</v>
      </c>
      <c r="I72" s="801">
        <v>261.96932673921873</v>
      </c>
      <c r="J72" s="800">
        <v>-35.109865682893471</v>
      </c>
      <c r="K72" s="801">
        <v>963.71825921859556</v>
      </c>
      <c r="L72" s="800">
        <v>732.62550899185169</v>
      </c>
      <c r="M72" s="802">
        <v>1.2133027256038851</v>
      </c>
      <c r="N72" s="802">
        <v>-0.40017311733738986</v>
      </c>
      <c r="O72" s="802">
        <v>9.836314534327735E-2</v>
      </c>
      <c r="P72" s="802">
        <v>0.24510717167480711</v>
      </c>
      <c r="Q72" s="800"/>
      <c r="R72" s="787">
        <v>29.180208499999999</v>
      </c>
      <c r="S72" s="787">
        <v>29.570027370000002</v>
      </c>
      <c r="T72" s="788">
        <v>33.186366700000001</v>
      </c>
      <c r="U72" s="788">
        <v>40.265109170000002</v>
      </c>
      <c r="V72" s="788">
        <v>5.7106112799999993</v>
      </c>
      <c r="W72" s="787">
        <v>45.975720450000004</v>
      </c>
      <c r="X72" s="787">
        <v>-11.677135</v>
      </c>
      <c r="Y72" s="788">
        <v>10.7</v>
      </c>
      <c r="Z72" s="787">
        <v>8.134216480000001</v>
      </c>
      <c r="AA72" s="787">
        <v>14.3926186</v>
      </c>
      <c r="AB72" s="788">
        <v>6.6372733400000001</v>
      </c>
      <c r="AC72" s="788">
        <v>1.4969431400000008</v>
      </c>
      <c r="AD72" s="788" t="s">
        <v>1491</v>
      </c>
    </row>
    <row r="73" spans="1:30" ht="14" thickBot="1">
      <c r="A73" s="75">
        <v>1395</v>
      </c>
      <c r="B73" s="1083" t="s">
        <v>1337</v>
      </c>
      <c r="C73" s="799">
        <v>19598.75</v>
      </c>
      <c r="D73" s="800">
        <v>2514.078867274699</v>
      </c>
      <c r="E73" s="800">
        <v>1832.5587162446584</v>
      </c>
      <c r="F73" s="800">
        <v>318.94250449646023</v>
      </c>
      <c r="G73" s="800">
        <v>2151.5012207411187</v>
      </c>
      <c r="H73" s="800">
        <v>591.9150114165443</v>
      </c>
      <c r="I73" s="801">
        <v>217.48225626634351</v>
      </c>
      <c r="J73" s="800">
        <v>-242.82843599719368</v>
      </c>
      <c r="K73" s="801">
        <v>577.55879839275462</v>
      </c>
      <c r="L73" s="800">
        <v>312.81715721665927</v>
      </c>
      <c r="M73" s="802">
        <v>0.72891854750411267</v>
      </c>
      <c r="N73" s="802">
        <v>0.24109530751556069</v>
      </c>
      <c r="O73" s="802">
        <v>8.0610593966729663E-2</v>
      </c>
      <c r="P73" s="802">
        <v>0.12442615117948068</v>
      </c>
      <c r="Q73" s="800"/>
      <c r="R73" s="787">
        <v>48.117047360000001</v>
      </c>
      <c r="S73" s="787">
        <v>52.876181159999994</v>
      </c>
      <c r="T73" s="788">
        <v>49.272803200000006</v>
      </c>
      <c r="U73" s="788">
        <v>35.915860139999999</v>
      </c>
      <c r="V73" s="788">
        <v>6.2508744099999998</v>
      </c>
      <c r="W73" s="787">
        <v>42.166734550000001</v>
      </c>
      <c r="X73" s="787">
        <v>11.600794329999998</v>
      </c>
      <c r="Y73" s="788">
        <v>11.319430499999999</v>
      </c>
      <c r="Z73" s="787">
        <v>6.1308252599999999</v>
      </c>
      <c r="AA73" s="787" t="s">
        <v>1060</v>
      </c>
      <c r="AB73" s="788">
        <v>9.8545606400000008</v>
      </c>
      <c r="AC73" s="788" t="s">
        <v>1491</v>
      </c>
      <c r="AD73" s="788">
        <v>-3.7237353800000008</v>
      </c>
    </row>
    <row r="74" spans="1:30" ht="14" thickBot="1">
      <c r="A74" s="75">
        <v>1401</v>
      </c>
      <c r="B74" s="1083" t="s">
        <v>1338</v>
      </c>
      <c r="C74" s="799">
        <v>8963</v>
      </c>
      <c r="D74" s="800">
        <v>2288.91002119826</v>
      </c>
      <c r="E74" s="800">
        <v>2194.6406961954699</v>
      </c>
      <c r="F74" s="800">
        <v>406.63524489568232</v>
      </c>
      <c r="G74" s="800">
        <v>2601.2759410911526</v>
      </c>
      <c r="H74" s="800">
        <v>90.230168470378231</v>
      </c>
      <c r="I74" s="801">
        <v>128.58041057681581</v>
      </c>
      <c r="J74" s="800">
        <v>-2.4580821153631378</v>
      </c>
      <c r="K74" s="801">
        <v>635.94778533972999</v>
      </c>
      <c r="L74" s="800">
        <v>520.07293205399981</v>
      </c>
      <c r="M74" s="802">
        <v>0.95881475281695894</v>
      </c>
      <c r="N74" s="802">
        <v>3.9539708690657323E-2</v>
      </c>
      <c r="O74" s="802">
        <v>5.6284518438889625E-2</v>
      </c>
      <c r="P74" s="802">
        <v>0.22721423176859445</v>
      </c>
      <c r="Q74" s="800"/>
      <c r="R74" s="787">
        <v>20.453691410000001</v>
      </c>
      <c r="S74" s="787">
        <v>20.475723200000004</v>
      </c>
      <c r="T74" s="788">
        <v>20.515500520000003</v>
      </c>
      <c r="U74" s="788">
        <v>19.670564559999999</v>
      </c>
      <c r="V74" s="788">
        <v>3.6446717000000004</v>
      </c>
      <c r="W74" s="787">
        <v>23.315236259999999</v>
      </c>
      <c r="X74" s="787">
        <v>0.80873300000000004</v>
      </c>
      <c r="Y74" s="788">
        <v>5.7</v>
      </c>
      <c r="Z74" s="787">
        <v>4.6614136900000007</v>
      </c>
      <c r="AA74" s="787">
        <v>12.3170632</v>
      </c>
      <c r="AB74" s="788">
        <v>4.103100104000001</v>
      </c>
      <c r="AC74" s="788">
        <v>0.5583135859999997</v>
      </c>
      <c r="AD74" s="788" t="s">
        <v>1491</v>
      </c>
    </row>
    <row r="75" spans="1:30" ht="14" thickBot="1">
      <c r="A75" s="75">
        <v>1423</v>
      </c>
      <c r="B75" s="1083" t="s">
        <v>972</v>
      </c>
      <c r="C75" s="799">
        <v>4875.67</v>
      </c>
      <c r="D75" s="800">
        <v>2225.3254424520119</v>
      </c>
      <c r="E75" s="800">
        <v>1949.6094998225885</v>
      </c>
      <c r="F75" s="800">
        <v>359.62028808348396</v>
      </c>
      <c r="G75" s="800">
        <v>2309.2297879060725</v>
      </c>
      <c r="H75" s="800">
        <v>259.39696492994807</v>
      </c>
      <c r="I75" s="801">
        <v>118.78663240129048</v>
      </c>
      <c r="J75" s="800">
        <v>-71.274797104808172</v>
      </c>
      <c r="K75" s="801">
        <v>471.73003915359317</v>
      </c>
      <c r="L75" s="800">
        <v>448.90814185537579</v>
      </c>
      <c r="M75" s="802">
        <v>0.87610084468111726</v>
      </c>
      <c r="N75" s="802">
        <v>0.11720722988230675</v>
      </c>
      <c r="O75" s="802">
        <v>5.1998528613400881E-2</v>
      </c>
      <c r="P75" s="802">
        <v>0.20172696239914414</v>
      </c>
      <c r="Q75" s="800"/>
      <c r="R75" s="787">
        <v>10.79058008</v>
      </c>
      <c r="S75" s="787">
        <v>11.13809247</v>
      </c>
      <c r="T75" s="788">
        <v>10.849952500000001</v>
      </c>
      <c r="U75" s="788">
        <v>9.5056525500000006</v>
      </c>
      <c r="V75" s="788">
        <v>1.75338985</v>
      </c>
      <c r="W75" s="787">
        <v>11.2590424</v>
      </c>
      <c r="X75" s="787">
        <v>1.264734</v>
      </c>
      <c r="Y75" s="788">
        <v>2.2999999999999998</v>
      </c>
      <c r="Z75" s="787">
        <v>2.18872796</v>
      </c>
      <c r="AA75" s="787">
        <v>3.0507932000000002</v>
      </c>
      <c r="AB75" s="788">
        <v>2.1699904999999999</v>
      </c>
      <c r="AC75" s="788">
        <v>1.8737460000000095E-2</v>
      </c>
      <c r="AD75" s="788" t="s">
        <v>1491</v>
      </c>
    </row>
    <row r="76" spans="1:30" ht="14" thickBot="1">
      <c r="A76" s="75">
        <v>1442</v>
      </c>
      <c r="B76" s="1083" t="s">
        <v>532</v>
      </c>
      <c r="C76" s="799">
        <v>1148.33</v>
      </c>
      <c r="D76" s="800">
        <v>2277.3900359652716</v>
      </c>
      <c r="E76" s="800">
        <v>1499.0753093622914</v>
      </c>
      <c r="F76" s="800">
        <v>301.55325559725873</v>
      </c>
      <c r="G76" s="800">
        <v>1800.6285649595504</v>
      </c>
      <c r="H76" s="800">
        <v>817.4427211690022</v>
      </c>
      <c r="I76" s="801">
        <v>129.13093797079236</v>
      </c>
      <c r="J76" s="800">
        <v>-54.917906873459714</v>
      </c>
      <c r="K76" s="801">
        <v>374.45681990368627</v>
      </c>
      <c r="L76" s="800">
        <v>570.69770884676018</v>
      </c>
      <c r="M76" s="802">
        <v>0.65824267503080924</v>
      </c>
      <c r="N76" s="802">
        <v>0.36578803730176479</v>
      </c>
      <c r="O76" s="802">
        <v>5.6397375628457737E-2</v>
      </c>
      <c r="P76" s="802">
        <v>0.25059287159165511</v>
      </c>
      <c r="Q76" s="800"/>
      <c r="R76" s="787">
        <v>2.5662238900000003</v>
      </c>
      <c r="S76" s="787">
        <v>2.6292877699999999</v>
      </c>
      <c r="T76" s="788">
        <v>2.6151953000000003</v>
      </c>
      <c r="U76" s="788">
        <v>1.72143315</v>
      </c>
      <c r="V76" s="788">
        <v>0.34628265000000008</v>
      </c>
      <c r="W76" s="787">
        <v>2.0677158000000002</v>
      </c>
      <c r="X76" s="787">
        <v>0.93869400000000014</v>
      </c>
      <c r="Y76" s="788">
        <v>0.43</v>
      </c>
      <c r="Z76" s="787">
        <v>0.65534930000000002</v>
      </c>
      <c r="AA76" s="787" t="s">
        <v>1060</v>
      </c>
      <c r="AB76" s="788">
        <v>0.52303906000000011</v>
      </c>
      <c r="AC76" s="788">
        <v>0.13231023999999991</v>
      </c>
      <c r="AD76" s="788" t="s">
        <v>1491</v>
      </c>
    </row>
    <row r="77" spans="1:30" ht="14" thickBot="1">
      <c r="A77" s="75">
        <v>1454</v>
      </c>
      <c r="B77" s="1083" t="s">
        <v>533</v>
      </c>
      <c r="C77" s="799">
        <v>6966</v>
      </c>
      <c r="D77" s="800">
        <v>2144.2855067470573</v>
      </c>
      <c r="E77" s="800">
        <v>1651.8374031007752</v>
      </c>
      <c r="F77" s="800">
        <v>288.1905971863336</v>
      </c>
      <c r="G77" s="800">
        <v>1940.0280002871089</v>
      </c>
      <c r="H77" s="800">
        <v>524.05670399081259</v>
      </c>
      <c r="I77" s="801">
        <v>44.781739879414296</v>
      </c>
      <c r="J77" s="800">
        <v>-91.69286247487797</v>
      </c>
      <c r="K77" s="801">
        <v>519.66695377548092</v>
      </c>
      <c r="L77" s="800">
        <v>497.13194085558422</v>
      </c>
      <c r="M77" s="802">
        <v>0.77034396674473637</v>
      </c>
      <c r="N77" s="802">
        <v>0.24521785289849748</v>
      </c>
      <c r="O77" s="802">
        <v>2.0092314109014311E-2</v>
      </c>
      <c r="P77" s="802">
        <v>0.23184036794136978</v>
      </c>
      <c r="Q77" s="800"/>
      <c r="R77" s="787">
        <v>14.887084919999999</v>
      </c>
      <c r="S77" s="787">
        <v>15.525817400000001</v>
      </c>
      <c r="T77" s="788">
        <v>14.93709284</v>
      </c>
      <c r="U77" s="788">
        <v>11.50669935</v>
      </c>
      <c r="V77" s="788">
        <v>2.0075357</v>
      </c>
      <c r="W77" s="787">
        <v>13.51423505</v>
      </c>
      <c r="X77" s="787">
        <v>3.650579</v>
      </c>
      <c r="Y77" s="788">
        <v>3.62</v>
      </c>
      <c r="Z77" s="787">
        <v>3.4630211000000002</v>
      </c>
      <c r="AA77" s="787">
        <v>2.3726631</v>
      </c>
      <c r="AB77" s="788">
        <v>2.9874185679999998</v>
      </c>
      <c r="AC77" s="788">
        <v>0.47560253200000036</v>
      </c>
      <c r="AD77" s="788" t="s">
        <v>1491</v>
      </c>
    </row>
    <row r="78" spans="1:30" ht="14" thickBot="1">
      <c r="A78" s="75">
        <v>1479</v>
      </c>
      <c r="B78" s="1083" t="s">
        <v>534</v>
      </c>
      <c r="C78" s="799">
        <v>304771.25</v>
      </c>
      <c r="D78" s="800">
        <v>2898.167113859985</v>
      </c>
      <c r="E78" s="800">
        <v>2573.823470750604</v>
      </c>
      <c r="F78" s="800">
        <v>472.31696808672075</v>
      </c>
      <c r="G78" s="800">
        <v>3046.1404388373253</v>
      </c>
      <c r="H78" s="800">
        <v>250.28816464807619</v>
      </c>
      <c r="I78" s="801">
        <v>163.8930010950836</v>
      </c>
      <c r="J78" s="800">
        <v>-143.57555110595246</v>
      </c>
      <c r="K78" s="801">
        <v>614.86147397433319</v>
      </c>
      <c r="L78" s="800">
        <v>433.41299456559631</v>
      </c>
      <c r="M78" s="802">
        <v>0.88808663187217074</v>
      </c>
      <c r="N78" s="802">
        <v>8.7304694950103734E-2</v>
      </c>
      <c r="O78" s="802">
        <v>5.4442074390916709E-2</v>
      </c>
      <c r="P78" s="802">
        <v>0.14954727506667001</v>
      </c>
      <c r="Q78" s="800"/>
      <c r="R78" s="787">
        <v>873.72891966000009</v>
      </c>
      <c r="S78" s="787">
        <v>917.48661984</v>
      </c>
      <c r="T78" s="788">
        <v>883.27801399999987</v>
      </c>
      <c r="U78" s="788">
        <v>784.42739646000007</v>
      </c>
      <c r="V78" s="788">
        <v>143.94863275999998</v>
      </c>
      <c r="W78" s="787">
        <v>928.37602922000008</v>
      </c>
      <c r="X78" s="787">
        <v>76.280636799999996</v>
      </c>
      <c r="Y78" s="788">
        <v>187.3921</v>
      </c>
      <c r="Z78" s="787">
        <v>132.09182011999999</v>
      </c>
      <c r="AA78" s="787">
        <v>122.00243095</v>
      </c>
      <c r="AB78" s="788">
        <v>97.160581539999995</v>
      </c>
      <c r="AC78" s="788">
        <v>34.931238579999999</v>
      </c>
      <c r="AD78" s="788" t="s">
        <v>1491</v>
      </c>
    </row>
    <row r="79" spans="1:30" ht="14" thickBot="1">
      <c r="A79" s="75">
        <v>1507</v>
      </c>
      <c r="B79" s="1083" t="s">
        <v>1340</v>
      </c>
      <c r="C79" s="799">
        <v>7644.42</v>
      </c>
      <c r="D79" s="800">
        <v>2021.2033483246601</v>
      </c>
      <c r="E79" s="800">
        <v>1738.6778185918615</v>
      </c>
      <c r="F79" s="800">
        <v>334.19072342963881</v>
      </c>
      <c r="G79" s="800">
        <v>2072.8685420215006</v>
      </c>
      <c r="H79" s="800">
        <v>212.06684091140988</v>
      </c>
      <c r="I79" s="801">
        <v>170.14545904071207</v>
      </c>
      <c r="J79" s="800">
        <v>-97.538188639556694</v>
      </c>
      <c r="K79" s="801">
        <v>569.04251728711915</v>
      </c>
      <c r="L79" s="800">
        <v>691.5672019590761</v>
      </c>
      <c r="M79" s="802">
        <v>0.86021914619972351</v>
      </c>
      <c r="N79" s="802">
        <v>0.1063568651613029</v>
      </c>
      <c r="O79" s="802">
        <v>8.1352638694805274E-2</v>
      </c>
      <c r="P79" s="802">
        <v>0.34215617272369153</v>
      </c>
      <c r="Q79" s="800"/>
      <c r="R79" s="787">
        <v>15.2423447</v>
      </c>
      <c r="S79" s="787">
        <v>15.987967579999999</v>
      </c>
      <c r="T79" s="788">
        <v>15.450927299999998</v>
      </c>
      <c r="U79" s="788">
        <v>13.291183489999998</v>
      </c>
      <c r="V79" s="788">
        <v>2.5546942499999998</v>
      </c>
      <c r="W79" s="787">
        <v>15.845877739999999</v>
      </c>
      <c r="X79" s="787">
        <v>1.6211279999999999</v>
      </c>
      <c r="Y79" s="788">
        <v>4.3499999999999996</v>
      </c>
      <c r="Z79" s="787">
        <v>5.2866301500000006</v>
      </c>
      <c r="AA79" s="787" t="s">
        <v>1060</v>
      </c>
      <c r="AB79" s="788">
        <v>3.0901854599999998</v>
      </c>
      <c r="AC79" s="788">
        <v>2.1964446900000008</v>
      </c>
      <c r="AD79" s="788" t="s">
        <v>1491</v>
      </c>
    </row>
    <row r="80" spans="1:30" ht="14" thickBot="1">
      <c r="A80" s="75">
        <v>1509</v>
      </c>
      <c r="B80" s="1083" t="s">
        <v>535</v>
      </c>
      <c r="C80" s="799">
        <v>351494.74</v>
      </c>
      <c r="D80" s="800">
        <v>2508.8224282957972</v>
      </c>
      <c r="E80" s="800">
        <v>2070.9803202744943</v>
      </c>
      <c r="F80" s="800">
        <v>419.83589208191285</v>
      </c>
      <c r="G80" s="800">
        <v>2490.816212356407</v>
      </c>
      <c r="H80" s="800">
        <v>464.4374238715493</v>
      </c>
      <c r="I80" s="801">
        <v>165.06252861707119</v>
      </c>
      <c r="J80" s="800">
        <v>-116.34538306320029</v>
      </c>
      <c r="K80" s="801">
        <v>515.42734323705668</v>
      </c>
      <c r="L80" s="800">
        <v>234.54239400566846</v>
      </c>
      <c r="M80" s="802">
        <v>0.82547903626693819</v>
      </c>
      <c r="N80" s="802">
        <v>0.183144497791461</v>
      </c>
      <c r="O80" s="802">
        <v>6.2234848502106282E-2</v>
      </c>
      <c r="P80" s="802">
        <v>9.348704450357985E-2</v>
      </c>
      <c r="Q80" s="800"/>
      <c r="R80" s="787">
        <v>891.35799064999992</v>
      </c>
      <c r="S80" s="787">
        <v>932.25278082</v>
      </c>
      <c r="T80" s="788">
        <v>881.83788713999991</v>
      </c>
      <c r="U80" s="788">
        <v>727.93868922000001</v>
      </c>
      <c r="V80" s="788">
        <v>147.57010773000002</v>
      </c>
      <c r="W80" s="787">
        <v>875.50879695000003</v>
      </c>
      <c r="X80" s="787">
        <v>163.24731155000001</v>
      </c>
      <c r="Y80" s="788">
        <v>181.17</v>
      </c>
      <c r="Z80" s="787">
        <v>82.440417799999992</v>
      </c>
      <c r="AA80" s="787" t="s">
        <v>1060</v>
      </c>
      <c r="AB80" s="788">
        <v>97.002167585399988</v>
      </c>
      <c r="AC80" s="788" t="s">
        <v>1491</v>
      </c>
      <c r="AD80" s="788">
        <v>-14.561749785399996</v>
      </c>
    </row>
    <row r="81" spans="1:30" ht="14" thickBot="1">
      <c r="A81" s="75">
        <v>1520</v>
      </c>
      <c r="B81" s="1083" t="s">
        <v>1341</v>
      </c>
      <c r="C81" s="799">
        <v>6865.29</v>
      </c>
      <c r="D81" s="800">
        <v>3701.8008270590171</v>
      </c>
      <c r="E81" s="800">
        <v>3448.3731277192956</v>
      </c>
      <c r="F81" s="800">
        <v>411.89667151715372</v>
      </c>
      <c r="G81" s="800">
        <v>3860.2697992364492</v>
      </c>
      <c r="H81" s="800">
        <v>89.030907652844959</v>
      </c>
      <c r="I81" s="801">
        <v>265.89370441743904</v>
      </c>
      <c r="J81" s="800">
        <v>35.88185204121018</v>
      </c>
      <c r="K81" s="801">
        <v>990.48984092441844</v>
      </c>
      <c r="L81" s="800">
        <v>730.24059435216861</v>
      </c>
      <c r="M81" s="802">
        <v>0.93153934769065816</v>
      </c>
      <c r="N81" s="802">
        <v>2.4468819022381759E-2</v>
      </c>
      <c r="O81" s="802">
        <v>7.3804757098194007E-2</v>
      </c>
      <c r="P81" s="802">
        <v>0.19726631130836003</v>
      </c>
      <c r="Q81" s="800"/>
      <c r="R81" s="787">
        <v>24.979669000000001</v>
      </c>
      <c r="S81" s="787">
        <v>24.733329690000001</v>
      </c>
      <c r="T81" s="788">
        <v>25.413936199999998</v>
      </c>
      <c r="U81" s="788">
        <v>23.67408155</v>
      </c>
      <c r="V81" s="788">
        <v>2.8277901000000001</v>
      </c>
      <c r="W81" s="787">
        <v>26.501871650000002</v>
      </c>
      <c r="X81" s="787">
        <v>0.61122299999999996</v>
      </c>
      <c r="Y81" s="788">
        <v>6.8</v>
      </c>
      <c r="Z81" s="787">
        <v>5.0133134500000001</v>
      </c>
      <c r="AA81" s="787">
        <v>7.4542999999999998E-2</v>
      </c>
      <c r="AB81" s="788">
        <v>5.08278724</v>
      </c>
      <c r="AC81" s="788" t="s">
        <v>1491</v>
      </c>
      <c r="AD81" s="788">
        <v>-6.947378999999998E-2</v>
      </c>
    </row>
    <row r="82" spans="1:30" ht="14" thickBot="1">
      <c r="A82" s="75">
        <v>1529</v>
      </c>
      <c r="B82" s="1083" t="s">
        <v>536</v>
      </c>
      <c r="C82" s="799">
        <v>315203</v>
      </c>
      <c r="D82" s="800">
        <v>2903.62527958173</v>
      </c>
      <c r="E82" s="800">
        <v>2723.335938902866</v>
      </c>
      <c r="F82" s="800">
        <v>473.43138501219852</v>
      </c>
      <c r="G82" s="800">
        <v>3196.767323915064</v>
      </c>
      <c r="H82" s="800">
        <v>173.31637652560411</v>
      </c>
      <c r="I82" s="801">
        <v>130.75105884144503</v>
      </c>
      <c r="J82" s="800">
        <v>-133.94296171038982</v>
      </c>
      <c r="K82" s="801">
        <v>559.58344939610345</v>
      </c>
      <c r="L82" s="800">
        <v>216.00847165160229</v>
      </c>
      <c r="M82" s="802">
        <v>0.93790888171877507</v>
      </c>
      <c r="N82" s="802">
        <v>6.0259663416766758E-2</v>
      </c>
      <c r="O82" s="802">
        <v>4.343741778854121E-2</v>
      </c>
      <c r="P82" s="802">
        <v>7.4392681855531495E-2</v>
      </c>
      <c r="Q82" s="800"/>
      <c r="R82" s="787">
        <v>906.57396228999994</v>
      </c>
      <c r="S82" s="787">
        <v>948.79318565000005</v>
      </c>
      <c r="T82" s="788">
        <v>915.23139900000001</v>
      </c>
      <c r="U82" s="788">
        <v>858.40365795000002</v>
      </c>
      <c r="V82" s="788">
        <v>149.22699285000002</v>
      </c>
      <c r="W82" s="787">
        <v>1007.6306508</v>
      </c>
      <c r="X82" s="787">
        <v>54.629841829999997</v>
      </c>
      <c r="Y82" s="788">
        <v>176.38238200000001</v>
      </c>
      <c r="Z82" s="787">
        <v>68.086518290000001</v>
      </c>
      <c r="AA82" s="787" t="s">
        <v>1060</v>
      </c>
      <c r="AB82" s="788">
        <v>100.67545389</v>
      </c>
      <c r="AC82" s="788" t="s">
        <v>1491</v>
      </c>
      <c r="AD82" s="788">
        <v>-32.588935599999999</v>
      </c>
    </row>
    <row r="83" spans="1:30" ht="14" thickBot="1">
      <c r="A83" s="75">
        <v>1535</v>
      </c>
      <c r="B83" s="1083" t="s">
        <v>1343</v>
      </c>
      <c r="C83" s="799">
        <v>102138.5</v>
      </c>
      <c r="D83" s="800">
        <v>3031.263904404314</v>
      </c>
      <c r="E83" s="800">
        <v>3182.6882201128856</v>
      </c>
      <c r="F83" s="800">
        <v>499.7089622424453</v>
      </c>
      <c r="G83" s="800">
        <v>3682.3971823553311</v>
      </c>
      <c r="H83" s="800">
        <v>-170.19368847202568</v>
      </c>
      <c r="I83" s="801">
        <v>173.93714113678976</v>
      </c>
      <c r="J83" s="800">
        <v>-175.55748322131222</v>
      </c>
      <c r="K83" s="801">
        <v>784.57192929208873</v>
      </c>
      <c r="L83" s="800">
        <v>665.88839605046087</v>
      </c>
      <c r="M83" s="802">
        <v>1.0499541842887905</v>
      </c>
      <c r="N83" s="802">
        <v>-5.6220473680993324E-2</v>
      </c>
      <c r="O83" s="802">
        <v>5.4307632087378016E-2</v>
      </c>
      <c r="P83" s="802">
        <v>0.21967351476159824</v>
      </c>
      <c r="Q83" s="800"/>
      <c r="R83" s="787">
        <v>309.19924560999999</v>
      </c>
      <c r="S83" s="787">
        <v>327.13042361000004</v>
      </c>
      <c r="T83" s="788">
        <v>309.6087483</v>
      </c>
      <c r="U83" s="788">
        <v>325.07500076999997</v>
      </c>
      <c r="V83" s="788">
        <v>51.039523840000001</v>
      </c>
      <c r="W83" s="787">
        <v>376.11452460999999</v>
      </c>
      <c r="X83" s="787">
        <v>-17.383328049999996</v>
      </c>
      <c r="Y83" s="788">
        <v>80.135000000000005</v>
      </c>
      <c r="Z83" s="787">
        <v>68.012841940000001</v>
      </c>
      <c r="AA83" s="787">
        <v>27.871203949999998</v>
      </c>
      <c r="AB83" s="788">
        <v>49.537399727999997</v>
      </c>
      <c r="AC83" s="788">
        <v>18.475442212000004</v>
      </c>
      <c r="AD83" s="788" t="s">
        <v>1491</v>
      </c>
    </row>
    <row r="84" spans="1:30" ht="14" thickBot="1">
      <c r="A84" s="75">
        <v>1542</v>
      </c>
      <c r="B84" s="1083" t="s">
        <v>1351</v>
      </c>
      <c r="C84" s="799">
        <v>389735.83</v>
      </c>
      <c r="D84" s="800">
        <v>2402.0446506034614</v>
      </c>
      <c r="E84" s="800">
        <v>1521.5696767217937</v>
      </c>
      <c r="F84" s="800">
        <v>339.95494412202231</v>
      </c>
      <c r="G84" s="800">
        <v>1861.5246208438161</v>
      </c>
      <c r="H84" s="800">
        <v>636.61356960687954</v>
      </c>
      <c r="I84" s="801">
        <v>156.58092541812232</v>
      </c>
      <c r="J84" s="800">
        <v>-25.08648045010386</v>
      </c>
      <c r="K84" s="801">
        <v>765.79859490978799</v>
      </c>
      <c r="L84" s="800">
        <v>833.06590566743625</v>
      </c>
      <c r="M84" s="802">
        <v>0.6334477072853465</v>
      </c>
      <c r="N84" s="802">
        <v>0.27075312625415243</v>
      </c>
      <c r="O84" s="802">
        <v>6.58911906567788E-2</v>
      </c>
      <c r="P84" s="802">
        <v>0.34681532895658146</v>
      </c>
      <c r="Q84" s="800"/>
      <c r="R84" s="787">
        <v>916.37397274999989</v>
      </c>
      <c r="S84" s="787">
        <v>926.15107303000002</v>
      </c>
      <c r="T84" s="788">
        <v>936.16286560000003</v>
      </c>
      <c r="U84" s="788">
        <v>593.01022086</v>
      </c>
      <c r="V84" s="788">
        <v>132.49262231</v>
      </c>
      <c r="W84" s="787">
        <v>725.50284317000001</v>
      </c>
      <c r="X84" s="787">
        <v>248.11111793999999</v>
      </c>
      <c r="Y84" s="788">
        <v>298.45915100000002</v>
      </c>
      <c r="Z84" s="787">
        <v>324.67563218999999</v>
      </c>
      <c r="AA84" s="787" t="s">
        <v>1060</v>
      </c>
      <c r="AB84" s="788">
        <v>102.977915216</v>
      </c>
      <c r="AC84" s="788">
        <v>221.697716974</v>
      </c>
      <c r="AD84" s="788" t="s">
        <v>1491</v>
      </c>
    </row>
    <row r="85" spans="1:30" ht="14" thickBot="1">
      <c r="A85" s="75">
        <v>1551</v>
      </c>
      <c r="B85" s="1083" t="s">
        <v>1344</v>
      </c>
      <c r="C85" s="799">
        <v>67746</v>
      </c>
      <c r="D85" s="800">
        <v>2621.5412858323734</v>
      </c>
      <c r="E85" s="800">
        <v>2406.604008649957</v>
      </c>
      <c r="F85" s="800">
        <v>443.58756118442415</v>
      </c>
      <c r="G85" s="800">
        <v>2850.1915698343819</v>
      </c>
      <c r="H85" s="800">
        <v>261.35205251970598</v>
      </c>
      <c r="I85" s="801">
        <v>125.98698860449325</v>
      </c>
      <c r="J85" s="800">
        <v>-270.52625011070762</v>
      </c>
      <c r="K85" s="801">
        <v>635.57257993091844</v>
      </c>
      <c r="L85" s="800">
        <v>553.12616582528858</v>
      </c>
      <c r="M85" s="802">
        <v>0.91801110348938442</v>
      </c>
      <c r="N85" s="802">
        <v>0.10210225959149218</v>
      </c>
      <c r="O85" s="802">
        <v>4.4514673273165391E-2</v>
      </c>
      <c r="P85" s="802">
        <v>0.21099273500461532</v>
      </c>
      <c r="Q85" s="800"/>
      <c r="R85" s="787">
        <v>173.41003246</v>
      </c>
      <c r="S85" s="787">
        <v>191.7371038</v>
      </c>
      <c r="T85" s="788">
        <v>177.59893595</v>
      </c>
      <c r="U85" s="788">
        <v>163.03779517000001</v>
      </c>
      <c r="V85" s="788">
        <v>30.051282919999998</v>
      </c>
      <c r="W85" s="787">
        <v>193.08907809000002</v>
      </c>
      <c r="X85" s="787">
        <v>17.705556150000003</v>
      </c>
      <c r="Y85" s="788">
        <v>43.057499999999997</v>
      </c>
      <c r="Z85" s="787">
        <v>37.472085229999998</v>
      </c>
      <c r="AA85" s="787">
        <v>30.39139355</v>
      </c>
      <c r="AB85" s="788">
        <v>28.415829752</v>
      </c>
      <c r="AC85" s="788">
        <v>9.0562554779999971</v>
      </c>
      <c r="AD85" s="788" t="s">
        <v>1491</v>
      </c>
    </row>
    <row r="86" spans="1:30" ht="14" thickBot="1">
      <c r="A86" s="75">
        <v>1552</v>
      </c>
      <c r="B86" s="1083" t="s">
        <v>537</v>
      </c>
      <c r="C86" s="799">
        <v>81717.25</v>
      </c>
      <c r="D86" s="800">
        <v>1940.2973876384729</v>
      </c>
      <c r="E86" s="800">
        <v>1550.2704624788526</v>
      </c>
      <c r="F86" s="800">
        <v>312.25024593950479</v>
      </c>
      <c r="G86" s="800">
        <v>1862.5207084183573</v>
      </c>
      <c r="H86" s="800">
        <v>620.43203840070487</v>
      </c>
      <c r="I86" s="801">
        <v>79.927155527137785</v>
      </c>
      <c r="J86" s="800">
        <v>4.5956660313459077</v>
      </c>
      <c r="K86" s="801">
        <v>426.4321180656471</v>
      </c>
      <c r="L86" s="800">
        <v>145.8741795642903</v>
      </c>
      <c r="M86" s="802">
        <v>0.7989860071737146</v>
      </c>
      <c r="N86" s="802">
        <v>0.25286903532970095</v>
      </c>
      <c r="O86" s="802">
        <v>3.2636983508962318E-2</v>
      </c>
      <c r="P86" s="802">
        <v>7.5181351319466086E-2</v>
      </c>
      <c r="Q86" s="800"/>
      <c r="R86" s="787">
        <v>200.49904459000001</v>
      </c>
      <c r="S86" s="787">
        <v>200.12349940999999</v>
      </c>
      <c r="T86" s="788">
        <v>158.55576669999999</v>
      </c>
      <c r="U86" s="788">
        <v>126.68383895000002</v>
      </c>
      <c r="V86" s="788">
        <v>25.51623141</v>
      </c>
      <c r="W86" s="787">
        <v>152.20007036000001</v>
      </c>
      <c r="X86" s="787">
        <v>50.699999990000002</v>
      </c>
      <c r="Y86" s="788">
        <v>34.84686</v>
      </c>
      <c r="Z86" s="787">
        <v>11.920436800000001</v>
      </c>
      <c r="AA86" s="787">
        <v>0.3567476</v>
      </c>
      <c r="AB86" s="788">
        <v>25.368922672</v>
      </c>
      <c r="AC86" s="788" t="s">
        <v>1491</v>
      </c>
      <c r="AD86" s="788">
        <v>-13.448485871999999</v>
      </c>
    </row>
    <row r="87" spans="1:30" ht="14" thickBot="1">
      <c r="A87" s="75">
        <v>1555</v>
      </c>
      <c r="B87" s="1083" t="s">
        <v>538</v>
      </c>
      <c r="C87" s="799">
        <v>431482.08</v>
      </c>
      <c r="D87" s="800">
        <v>3032.1401903179853</v>
      </c>
      <c r="E87" s="800">
        <v>3864.7966661326936</v>
      </c>
      <c r="F87" s="800">
        <v>540.99925329459791</v>
      </c>
      <c r="G87" s="800">
        <v>4405.7959194272917</v>
      </c>
      <c r="H87" s="800">
        <v>-812.11664241073447</v>
      </c>
      <c r="I87" s="801">
        <v>170.74303602596891</v>
      </c>
      <c r="J87" s="800">
        <v>1.1506564305057816</v>
      </c>
      <c r="K87" s="801">
        <v>1203.732665467822</v>
      </c>
      <c r="L87" s="800">
        <v>579.2366973618</v>
      </c>
      <c r="M87" s="802">
        <v>1.2746101510983852</v>
      </c>
      <c r="N87" s="802">
        <v>-0.26041225769535709</v>
      </c>
      <c r="O87" s="802">
        <v>5.4770446592715578E-2</v>
      </c>
      <c r="P87" s="802">
        <v>0.19103229435478533</v>
      </c>
      <c r="Q87" s="800"/>
      <c r="R87" s="787">
        <v>1345.6116895999999</v>
      </c>
      <c r="S87" s="787">
        <v>1345.1152019600001</v>
      </c>
      <c r="T87" s="788">
        <v>1308.3141561700002</v>
      </c>
      <c r="U87" s="788">
        <v>1667.5905042800002</v>
      </c>
      <c r="V87" s="788">
        <v>233.43148308999997</v>
      </c>
      <c r="W87" s="787">
        <v>1901.0219873700003</v>
      </c>
      <c r="X87" s="787">
        <v>-350.41377806999998</v>
      </c>
      <c r="Y87" s="788">
        <v>519.38907426000003</v>
      </c>
      <c r="Z87" s="787">
        <v>249.93025499000001</v>
      </c>
      <c r="AA87" s="787" t="s">
        <v>1060</v>
      </c>
      <c r="AB87" s="788">
        <v>143.91455717869999</v>
      </c>
      <c r="AC87" s="788">
        <v>106.01569781130002</v>
      </c>
      <c r="AD87" s="788" t="s">
        <v>1491</v>
      </c>
    </row>
    <row r="88" spans="1:30" ht="14" thickBot="1">
      <c r="A88" s="75">
        <v>1560</v>
      </c>
      <c r="B88" s="1083" t="s">
        <v>539</v>
      </c>
      <c r="C88" s="799">
        <v>93383</v>
      </c>
      <c r="D88" s="800">
        <v>1855.5527328314574</v>
      </c>
      <c r="E88" s="800">
        <v>1447.6056291830423</v>
      </c>
      <c r="F88" s="800">
        <v>323.58318730389902</v>
      </c>
      <c r="G88" s="800">
        <v>1771.1888164869413</v>
      </c>
      <c r="H88" s="800">
        <v>363.24458413201552</v>
      </c>
      <c r="I88" s="801">
        <v>124.47176145551117</v>
      </c>
      <c r="J88" s="800">
        <v>-208.52708180289775</v>
      </c>
      <c r="K88" s="801">
        <v>395.15647387640149</v>
      </c>
      <c r="L88" s="800">
        <v>728.84197659102824</v>
      </c>
      <c r="M88" s="802">
        <v>0.78014793304962382</v>
      </c>
      <c r="N88" s="802">
        <v>0.20718630016767794</v>
      </c>
      <c r="O88" s="802">
        <v>6.3449222413468009E-2</v>
      </c>
      <c r="P88" s="802">
        <v>0.39278968670368142</v>
      </c>
      <c r="Q88" s="800"/>
      <c r="R88" s="787">
        <v>163.72158281</v>
      </c>
      <c r="S88" s="787">
        <v>183.19446729000001</v>
      </c>
      <c r="T88" s="788">
        <v>173.27708085</v>
      </c>
      <c r="U88" s="788">
        <v>135.18175647000004</v>
      </c>
      <c r="V88" s="788">
        <v>30.217168780000002</v>
      </c>
      <c r="W88" s="787">
        <v>165.39892525000005</v>
      </c>
      <c r="X88" s="787">
        <v>33.920869000000003</v>
      </c>
      <c r="Y88" s="788">
        <v>36.900897000000001</v>
      </c>
      <c r="Z88" s="787">
        <v>68.06145029999999</v>
      </c>
      <c r="AA88" s="787">
        <v>11.96707743</v>
      </c>
      <c r="AB88" s="788">
        <v>27.724332936</v>
      </c>
      <c r="AC88" s="788">
        <v>40.337117363999994</v>
      </c>
      <c r="AD88" s="788" t="s">
        <v>1491</v>
      </c>
    </row>
    <row r="89" spans="1:30" ht="14" thickBot="1">
      <c r="A89" s="75">
        <v>1562</v>
      </c>
      <c r="B89" s="1083" t="s">
        <v>540</v>
      </c>
      <c r="C89" s="799">
        <v>712622.42</v>
      </c>
      <c r="D89" s="800">
        <v>3154.7467860609831</v>
      </c>
      <c r="E89" s="800">
        <v>3884.1364530462001</v>
      </c>
      <c r="F89" s="800">
        <v>538.0519252257036</v>
      </c>
      <c r="G89" s="800">
        <v>4422.1883782719042</v>
      </c>
      <c r="H89" s="800">
        <v>-844.43735055374748</v>
      </c>
      <c r="I89" s="801">
        <v>251.74494604028868</v>
      </c>
      <c r="J89" s="800">
        <v>-78.774563295384397</v>
      </c>
      <c r="K89" s="801">
        <v>989.62346708092628</v>
      </c>
      <c r="L89" s="800">
        <v>396.03180123072758</v>
      </c>
      <c r="M89" s="802">
        <v>1.2312038703733599</v>
      </c>
      <c r="N89" s="802">
        <v>-0.26855744561569023</v>
      </c>
      <c r="O89" s="802">
        <v>7.8105982463955587E-2</v>
      </c>
      <c r="P89" s="802">
        <v>0.12553521029978221</v>
      </c>
      <c r="Q89" s="800"/>
      <c r="R89" s="787">
        <v>2240.7309799599998</v>
      </c>
      <c r="S89" s="787">
        <v>2296.8674999099999</v>
      </c>
      <c r="T89" s="788">
        <v>2248.1432891700001</v>
      </c>
      <c r="U89" s="788">
        <v>2767.9227187799997</v>
      </c>
      <c r="V89" s="788">
        <v>383.42786503999997</v>
      </c>
      <c r="W89" s="787">
        <v>3151.3505838199999</v>
      </c>
      <c r="X89" s="787">
        <v>-601.76498828999991</v>
      </c>
      <c r="Y89" s="788">
        <v>705.22787000000005</v>
      </c>
      <c r="Z89" s="787">
        <v>282.22114059000006</v>
      </c>
      <c r="AA89" s="787" t="s">
        <v>1060</v>
      </c>
      <c r="AB89" s="788">
        <v>247.29576180870001</v>
      </c>
      <c r="AC89" s="788">
        <v>34.925378781300054</v>
      </c>
      <c r="AD89" s="788" t="s">
        <v>1491</v>
      </c>
    </row>
    <row r="90" spans="1:30" ht="14" thickBot="1">
      <c r="A90" s="75">
        <v>1563</v>
      </c>
      <c r="B90" s="1083" t="s">
        <v>541</v>
      </c>
      <c r="C90" s="799">
        <v>38824</v>
      </c>
      <c r="D90" s="800">
        <v>2546.4099435915928</v>
      </c>
      <c r="E90" s="800">
        <v>2554.1379597671539</v>
      </c>
      <c r="F90" s="800">
        <v>421.14978363898621</v>
      </c>
      <c r="G90" s="800">
        <v>2975.2877434061402</v>
      </c>
      <c r="H90" s="800">
        <v>-53.982124459097442</v>
      </c>
      <c r="I90" s="801">
        <v>204.0528971770039</v>
      </c>
      <c r="J90" s="800">
        <v>-250.54012492272821</v>
      </c>
      <c r="K90" s="801">
        <v>573.09911395013387</v>
      </c>
      <c r="L90" s="800">
        <v>715.59510586235319</v>
      </c>
      <c r="M90" s="802">
        <v>1.003034867262834</v>
      </c>
      <c r="N90" s="802">
        <v>-2.2353215929170337E-2</v>
      </c>
      <c r="O90" s="802">
        <v>7.6553322212536093E-2</v>
      </c>
      <c r="P90" s="802">
        <v>0.28102117165511836</v>
      </c>
      <c r="Q90" s="800"/>
      <c r="R90" s="787">
        <v>93.758410720000001</v>
      </c>
      <c r="S90" s="787">
        <v>103.48538053</v>
      </c>
      <c r="T90" s="788">
        <v>98.861819650000001</v>
      </c>
      <c r="U90" s="788">
        <v>99.161852149999987</v>
      </c>
      <c r="V90" s="788">
        <v>16.3507192</v>
      </c>
      <c r="W90" s="787">
        <v>115.51257134999999</v>
      </c>
      <c r="X90" s="787">
        <v>-2.0958019999999991</v>
      </c>
      <c r="Y90" s="788">
        <v>22.25</v>
      </c>
      <c r="Z90" s="787">
        <v>27.782264390000002</v>
      </c>
      <c r="AA90" s="787" t="s">
        <v>1060</v>
      </c>
      <c r="AB90" s="788">
        <v>19.772363930000004</v>
      </c>
      <c r="AC90" s="788">
        <v>8.0099004599999972</v>
      </c>
      <c r="AD90" s="788" t="s">
        <v>1491</v>
      </c>
    </row>
    <row r="91" spans="1:30" ht="14" thickBot="1">
      <c r="A91" s="75">
        <v>1565</v>
      </c>
      <c r="B91" s="1083" t="s">
        <v>542</v>
      </c>
      <c r="C91" s="799">
        <v>158035.82999999999</v>
      </c>
      <c r="D91" s="800">
        <v>1945.7821815470579</v>
      </c>
      <c r="E91" s="800">
        <v>1218.3393124837573</v>
      </c>
      <c r="F91" s="800">
        <v>320.49078794346815</v>
      </c>
      <c r="G91" s="800">
        <v>1538.8301004272255</v>
      </c>
      <c r="H91" s="800">
        <v>813.49595841651842</v>
      </c>
      <c r="I91" s="801">
        <v>78.356799341010188</v>
      </c>
      <c r="J91" s="800">
        <v>12.338145659753256</v>
      </c>
      <c r="K91" s="801">
        <v>329.42725709733037</v>
      </c>
      <c r="L91" s="800">
        <v>147.72005481288639</v>
      </c>
      <c r="M91" s="802">
        <v>0.62614372977507515</v>
      </c>
      <c r="N91" s="802">
        <v>0.35399185173266029</v>
      </c>
      <c r="O91" s="802">
        <v>3.4280925031952514E-2</v>
      </c>
      <c r="P91" s="802">
        <v>7.5918083850185489E-2</v>
      </c>
      <c r="Q91" s="800"/>
      <c r="R91" s="787">
        <v>363.17646397999999</v>
      </c>
      <c r="S91" s="787">
        <v>361.22659492000003</v>
      </c>
      <c r="T91" s="788">
        <v>307.50330206000001</v>
      </c>
      <c r="U91" s="788">
        <v>192.54126446999999</v>
      </c>
      <c r="V91" s="788">
        <v>50.649027679999989</v>
      </c>
      <c r="W91" s="787">
        <v>243.19029214999998</v>
      </c>
      <c r="X91" s="787">
        <v>128.56150898999999</v>
      </c>
      <c r="Y91" s="788">
        <v>52.061309999999999</v>
      </c>
      <c r="Z91" s="787">
        <v>23.345061469999997</v>
      </c>
      <c r="AA91" s="787" t="s">
        <v>1060</v>
      </c>
      <c r="AB91" s="788">
        <v>36.9003962472</v>
      </c>
      <c r="AC91" s="788" t="s">
        <v>1491</v>
      </c>
      <c r="AD91" s="788">
        <v>-13.555334777200002</v>
      </c>
    </row>
    <row r="92" spans="1:30" ht="14" thickBot="1">
      <c r="A92" s="75">
        <v>1566</v>
      </c>
      <c r="B92" s="1083" t="s">
        <v>543</v>
      </c>
      <c r="C92" s="799">
        <v>151889.75</v>
      </c>
      <c r="D92" s="800">
        <v>1980.6648571743649</v>
      </c>
      <c r="E92" s="800">
        <v>1377.287478253141</v>
      </c>
      <c r="F92" s="800">
        <v>346.03045037601288</v>
      </c>
      <c r="G92" s="800">
        <v>1723.3179286291538</v>
      </c>
      <c r="H92" s="800">
        <v>656.33547049751553</v>
      </c>
      <c r="I92" s="801">
        <v>82.363002967613028</v>
      </c>
      <c r="J92" s="800">
        <v>-70.502237116066084</v>
      </c>
      <c r="K92" s="801">
        <v>316.56309922163939</v>
      </c>
      <c r="L92" s="800">
        <v>146.06600985254104</v>
      </c>
      <c r="M92" s="802">
        <v>0.69536624192847662</v>
      </c>
      <c r="N92" s="802">
        <v>0.31620056690660314</v>
      </c>
      <c r="O92" s="802">
        <v>3.8376276892938849E-2</v>
      </c>
      <c r="P92" s="802">
        <v>7.3745949156143548E-2</v>
      </c>
      <c r="Q92" s="800"/>
      <c r="R92" s="787">
        <v>315.27657115</v>
      </c>
      <c r="S92" s="787">
        <v>325.98513828999995</v>
      </c>
      <c r="T92" s="788">
        <v>300.84268999</v>
      </c>
      <c r="U92" s="788">
        <v>209.19585075000001</v>
      </c>
      <c r="V92" s="788">
        <v>52.558478600000008</v>
      </c>
      <c r="W92" s="787">
        <v>261.75432935000003</v>
      </c>
      <c r="X92" s="787">
        <v>99.690630530000007</v>
      </c>
      <c r="Y92" s="788">
        <v>48.082689999999999</v>
      </c>
      <c r="Z92" s="787">
        <v>22.185929719999997</v>
      </c>
      <c r="AA92" s="787" t="s">
        <v>1060</v>
      </c>
      <c r="AB92" s="788">
        <v>36.101122798799999</v>
      </c>
      <c r="AC92" s="788" t="s">
        <v>1491</v>
      </c>
      <c r="AD92" s="788">
        <v>-13.915193078800002</v>
      </c>
    </row>
    <row r="93" spans="1:30" ht="14" thickBot="1">
      <c r="A93" s="75">
        <v>1568</v>
      </c>
      <c r="B93" s="1083" t="s">
        <v>544</v>
      </c>
      <c r="C93" s="799">
        <v>25813.33</v>
      </c>
      <c r="D93" s="800">
        <v>1871.3470799776703</v>
      </c>
      <c r="E93" s="800">
        <v>1058.2751063113515</v>
      </c>
      <c r="F93" s="800">
        <v>302.8742514042163</v>
      </c>
      <c r="G93" s="800">
        <v>1361.1493577155677</v>
      </c>
      <c r="H93" s="800">
        <v>916.40865397839002</v>
      </c>
      <c r="I93" s="801">
        <v>79.412258317698644</v>
      </c>
      <c r="J93" s="800">
        <v>-104.42710684750863</v>
      </c>
      <c r="K93" s="801">
        <v>340.90913493144819</v>
      </c>
      <c r="L93" s="800">
        <v>463.97095996525826</v>
      </c>
      <c r="M93" s="802">
        <v>0.56551514020797211</v>
      </c>
      <c r="N93" s="802">
        <v>0.42550687476830468</v>
      </c>
      <c r="O93" s="802">
        <v>3.5167512422140196E-2</v>
      </c>
      <c r="P93" s="802">
        <v>0.24793421002949093</v>
      </c>
      <c r="Q93" s="800"/>
      <c r="R93" s="787">
        <v>55.593835029999994</v>
      </c>
      <c r="S93" s="787">
        <v>58.289446390000002</v>
      </c>
      <c r="T93" s="788">
        <v>48.30569972</v>
      </c>
      <c r="U93" s="788">
        <v>27.317604550000002</v>
      </c>
      <c r="V93" s="788">
        <v>7.8181929999999999</v>
      </c>
      <c r="W93" s="787">
        <v>35.135797549999999</v>
      </c>
      <c r="X93" s="787">
        <v>23.655558999999997</v>
      </c>
      <c r="Y93" s="788">
        <v>8.8000000000000007</v>
      </c>
      <c r="Z93" s="787">
        <v>11.9766355</v>
      </c>
      <c r="AA93" s="787" t="s">
        <v>1060</v>
      </c>
      <c r="AB93" s="788">
        <v>9.6611399440000003</v>
      </c>
      <c r="AC93" s="788">
        <v>2.3154955560000001</v>
      </c>
      <c r="AD93" s="788" t="s">
        <v>1491</v>
      </c>
    </row>
    <row r="94" spans="1:30" ht="14" thickBot="1">
      <c r="A94" s="75">
        <v>1569</v>
      </c>
      <c r="B94" s="1083" t="s">
        <v>545</v>
      </c>
      <c r="C94" s="799">
        <v>66525.03</v>
      </c>
      <c r="D94" s="800">
        <v>2204.0322812330937</v>
      </c>
      <c r="E94" s="800">
        <v>1497.7982512747458</v>
      </c>
      <c r="F94" s="800">
        <v>354.89674863731744</v>
      </c>
      <c r="G94" s="800">
        <v>1852.6949999120634</v>
      </c>
      <c r="H94" s="800">
        <v>675.94511434267679</v>
      </c>
      <c r="I94" s="801">
        <v>92.549133461495614</v>
      </c>
      <c r="J94" s="800">
        <v>-19.121717194265084</v>
      </c>
      <c r="K94" s="801">
        <v>438.93253411535477</v>
      </c>
      <c r="L94" s="800">
        <v>347.7135984756415</v>
      </c>
      <c r="M94" s="802">
        <v>0.67957183024414236</v>
      </c>
      <c r="N94" s="802">
        <v>0.3113630383196595</v>
      </c>
      <c r="O94" s="802">
        <v>4.2259019559782535E-2</v>
      </c>
      <c r="P94" s="802">
        <v>0.15776247990392661</v>
      </c>
      <c r="Q94" s="800"/>
      <c r="R94" s="787">
        <v>144.42070340999999</v>
      </c>
      <c r="S94" s="787">
        <v>145.69277621999998</v>
      </c>
      <c r="T94" s="788">
        <v>146.62331362999998</v>
      </c>
      <c r="U94" s="788">
        <v>99.641073599999999</v>
      </c>
      <c r="V94" s="788">
        <v>23.609516850000002</v>
      </c>
      <c r="W94" s="787">
        <v>123.25059045</v>
      </c>
      <c r="X94" s="787">
        <v>44.967269010000003</v>
      </c>
      <c r="Y94" s="788">
        <v>29.2</v>
      </c>
      <c r="Z94" s="787">
        <v>23.131657570000002</v>
      </c>
      <c r="AA94" s="787" t="s">
        <v>1060</v>
      </c>
      <c r="AB94" s="788">
        <v>23.459730180799998</v>
      </c>
      <c r="AC94" s="788" t="s">
        <v>1491</v>
      </c>
      <c r="AD94" s="788">
        <v>-0.32807261079999606</v>
      </c>
    </row>
    <row r="95" spans="1:30" ht="14" thickBot="1">
      <c r="A95" s="75">
        <v>1570</v>
      </c>
      <c r="B95" s="1083" t="s">
        <v>2341</v>
      </c>
      <c r="C95" s="799">
        <v>683.08</v>
      </c>
      <c r="D95" s="800">
        <v>1976.1480353692098</v>
      </c>
      <c r="E95" s="800">
        <v>775.80421034139488</v>
      </c>
      <c r="F95" s="800">
        <v>310.29484101422969</v>
      </c>
      <c r="G95" s="800">
        <v>1086.0990513556244</v>
      </c>
      <c r="H95" s="800">
        <v>1350.6661006031502</v>
      </c>
      <c r="I95" s="801">
        <v>74.733793991918958</v>
      </c>
      <c r="J95" s="800">
        <v>-61.771051706974319</v>
      </c>
      <c r="K95" s="801">
        <v>439.18721086841947</v>
      </c>
      <c r="L95" s="800">
        <v>18171.9346050243</v>
      </c>
      <c r="M95" s="802">
        <v>0.39258405567599547</v>
      </c>
      <c r="N95" s="802">
        <v>0.59976602953702718</v>
      </c>
      <c r="O95" s="802">
        <v>3.2299725939433852E-2</v>
      </c>
      <c r="P95" s="802">
        <v>9.1956342742456432</v>
      </c>
      <c r="Q95" s="800"/>
      <c r="R95" s="787">
        <v>1.5382881899999998</v>
      </c>
      <c r="S95" s="787">
        <v>1.58048276</v>
      </c>
      <c r="T95" s="788">
        <v>1.3498672</v>
      </c>
      <c r="U95" s="788">
        <v>0.52993634000000001</v>
      </c>
      <c r="V95" s="788">
        <v>0.21195620000000001</v>
      </c>
      <c r="W95" s="787">
        <v>0.74189254000000004</v>
      </c>
      <c r="X95" s="787">
        <v>0.92261300000000002</v>
      </c>
      <c r="Y95" s="788">
        <v>0.3</v>
      </c>
      <c r="Z95" s="787">
        <v>12.41288509</v>
      </c>
      <c r="AA95" s="787" t="s">
        <v>1060</v>
      </c>
      <c r="AB95" s="788">
        <v>0.26997344000000001</v>
      </c>
      <c r="AC95" s="788">
        <v>12.14291165</v>
      </c>
      <c r="AD95" s="788" t="s">
        <v>1491</v>
      </c>
    </row>
    <row r="96" spans="1:30" ht="14" thickBot="1">
      <c r="A96" s="75">
        <v>1571</v>
      </c>
      <c r="B96" s="1083" t="s">
        <v>2342</v>
      </c>
      <c r="C96" s="799">
        <v>6918.42</v>
      </c>
      <c r="D96" s="800">
        <v>2290.8962017339222</v>
      </c>
      <c r="E96" s="800">
        <v>1745.9910759971208</v>
      </c>
      <c r="F96" s="800">
        <v>342.94127127292069</v>
      </c>
      <c r="G96" s="800">
        <v>2088.9323472700416</v>
      </c>
      <c r="H96" s="800">
        <v>673.87878879859841</v>
      </c>
      <c r="I96" s="801">
        <v>206.14385799069731</v>
      </c>
      <c r="J96" s="800">
        <v>-440.40949523157019</v>
      </c>
      <c r="K96" s="801">
        <v>445.04149791426369</v>
      </c>
      <c r="L96" s="800">
        <v>508.44274415256672</v>
      </c>
      <c r="M96" s="802">
        <v>0.76214324973589975</v>
      </c>
      <c r="N96" s="802">
        <v>0.29160773506508941</v>
      </c>
      <c r="O96" s="802">
        <v>7.4925493741090962E-2</v>
      </c>
      <c r="P96" s="802">
        <v>0.22194054177039493</v>
      </c>
      <c r="Q96" s="800"/>
      <c r="R96" s="787">
        <v>15.98783547</v>
      </c>
      <c r="S96" s="787">
        <v>19.034773329999997</v>
      </c>
      <c r="T96" s="788">
        <v>15.849382100000003</v>
      </c>
      <c r="U96" s="788">
        <v>12.07949958</v>
      </c>
      <c r="V96" s="788">
        <v>2.3726117499999999</v>
      </c>
      <c r="W96" s="787">
        <v>14.452111330000001</v>
      </c>
      <c r="X96" s="787">
        <v>4.6621764899999993</v>
      </c>
      <c r="Y96" s="788">
        <v>3.0789840000000002</v>
      </c>
      <c r="Z96" s="787">
        <v>3.5176204500000003</v>
      </c>
      <c r="AA96" s="787" t="s">
        <v>1060</v>
      </c>
      <c r="AB96" s="788">
        <v>3.1698764200000009</v>
      </c>
      <c r="AC96" s="788">
        <v>0.34774402999999943</v>
      </c>
      <c r="AD96" s="788" t="s">
        <v>1491</v>
      </c>
    </row>
    <row r="97" spans="1:30" ht="14" thickBot="1">
      <c r="A97" s="75"/>
      <c r="B97" s="76"/>
      <c r="C97" s="799"/>
      <c r="D97" s="800"/>
      <c r="E97" s="800"/>
      <c r="F97" s="800"/>
      <c r="G97" s="800"/>
      <c r="H97" s="800"/>
      <c r="I97" s="801"/>
      <c r="J97" s="800"/>
      <c r="K97" s="801"/>
      <c r="L97" s="800"/>
      <c r="M97" s="802"/>
      <c r="N97" s="802"/>
      <c r="O97" s="802"/>
      <c r="P97" s="802"/>
      <c r="Q97" s="800"/>
      <c r="R97" s="787"/>
      <c r="S97" s="787"/>
      <c r="T97" s="788"/>
      <c r="U97" s="788"/>
      <c r="V97" s="788"/>
      <c r="W97" s="787"/>
      <c r="X97" s="787"/>
      <c r="Y97" s="788"/>
      <c r="Z97" s="787"/>
      <c r="AA97" s="787"/>
      <c r="AB97" s="788"/>
      <c r="AC97" s="788"/>
      <c r="AD97" s="788"/>
    </row>
    <row r="98" spans="1:30" ht="14" thickBot="1">
      <c r="A98" s="75"/>
      <c r="B98" s="76"/>
      <c r="C98" s="799"/>
      <c r="D98" s="800"/>
      <c r="E98" s="800"/>
      <c r="F98" s="800"/>
      <c r="G98" s="800"/>
      <c r="H98" s="800"/>
      <c r="I98" s="801"/>
      <c r="J98" s="800"/>
      <c r="K98" s="801"/>
      <c r="L98" s="800"/>
      <c r="M98" s="802"/>
      <c r="N98" s="802"/>
      <c r="O98" s="802"/>
      <c r="P98" s="802"/>
      <c r="Q98" s="800"/>
      <c r="R98" s="787"/>
      <c r="S98" s="787"/>
      <c r="T98" s="788"/>
      <c r="U98" s="788"/>
      <c r="V98" s="788"/>
      <c r="W98" s="787"/>
      <c r="X98" s="787"/>
      <c r="Y98" s="788"/>
      <c r="Z98" s="787"/>
      <c r="AA98" s="787"/>
      <c r="AB98" s="788"/>
      <c r="AC98" s="788"/>
      <c r="AD98" s="788"/>
    </row>
    <row r="99" spans="1:30" ht="14" thickBot="1">
      <c r="A99" s="75"/>
      <c r="B99" s="76"/>
      <c r="C99" s="799"/>
      <c r="D99" s="800"/>
      <c r="E99" s="800"/>
      <c r="F99" s="800"/>
      <c r="G99" s="800"/>
      <c r="H99" s="800"/>
      <c r="I99" s="801"/>
      <c r="J99" s="800"/>
      <c r="K99" s="801"/>
      <c r="L99" s="800"/>
      <c r="M99" s="802"/>
      <c r="N99" s="802"/>
      <c r="O99" s="802"/>
      <c r="P99" s="802"/>
      <c r="Q99" s="800"/>
      <c r="R99" s="787"/>
      <c r="S99" s="787"/>
      <c r="T99" s="788"/>
      <c r="U99" s="788"/>
      <c r="V99" s="788"/>
      <c r="W99" s="787"/>
      <c r="X99" s="787"/>
      <c r="Y99" s="788"/>
      <c r="Z99" s="787"/>
      <c r="AA99" s="787"/>
      <c r="AB99" s="788"/>
      <c r="AC99" s="788"/>
      <c r="AD99" s="788"/>
    </row>
    <row r="100" spans="1:30" ht="14" thickBot="1">
      <c r="A100" s="75"/>
      <c r="B100" s="76"/>
      <c r="C100" s="799"/>
      <c r="D100" s="800"/>
      <c r="E100" s="800"/>
      <c r="F100" s="800"/>
      <c r="G100" s="800"/>
      <c r="H100" s="800"/>
      <c r="I100" s="801"/>
      <c r="J100" s="800"/>
      <c r="K100" s="801"/>
      <c r="L100" s="800"/>
      <c r="M100" s="802"/>
      <c r="N100" s="802"/>
      <c r="O100" s="802"/>
      <c r="P100" s="802"/>
      <c r="Q100" s="800"/>
      <c r="R100" s="787"/>
      <c r="S100" s="787"/>
      <c r="T100" s="788"/>
      <c r="U100" s="788"/>
      <c r="V100" s="788"/>
      <c r="W100" s="787"/>
      <c r="X100" s="787"/>
      <c r="Y100" s="788"/>
      <c r="Z100" s="787"/>
      <c r="AA100" s="787"/>
      <c r="AB100" s="788"/>
      <c r="AC100" s="788"/>
      <c r="AD100" s="788"/>
    </row>
    <row r="101" spans="1:30" ht="14" thickBot="1">
      <c r="A101" s="75"/>
      <c r="B101" s="76"/>
      <c r="C101" s="799"/>
      <c r="D101" s="800"/>
      <c r="E101" s="800"/>
      <c r="F101" s="800"/>
      <c r="G101" s="800"/>
      <c r="H101" s="800"/>
      <c r="I101" s="801"/>
      <c r="J101" s="800"/>
      <c r="K101" s="801"/>
      <c r="L101" s="800"/>
      <c r="M101" s="802"/>
      <c r="N101" s="802"/>
      <c r="O101" s="802"/>
      <c r="P101" s="802"/>
      <c r="Q101" s="800"/>
      <c r="R101" s="787"/>
      <c r="S101" s="787"/>
      <c r="T101" s="788"/>
      <c r="U101" s="788"/>
      <c r="V101" s="788"/>
      <c r="W101" s="787"/>
      <c r="X101" s="787"/>
      <c r="Y101" s="788"/>
      <c r="Z101" s="787"/>
      <c r="AA101" s="787"/>
      <c r="AB101" s="788"/>
      <c r="AC101" s="788"/>
      <c r="AD101" s="788"/>
    </row>
    <row r="102" spans="1:30" ht="14" thickBot="1">
      <c r="A102" s="75"/>
      <c r="B102" s="76"/>
      <c r="C102" s="799"/>
      <c r="D102" s="800"/>
      <c r="E102" s="800"/>
      <c r="F102" s="800"/>
      <c r="G102" s="800"/>
      <c r="H102" s="800"/>
      <c r="I102" s="801"/>
      <c r="J102" s="800"/>
      <c r="K102" s="801"/>
      <c r="L102" s="800"/>
      <c r="M102" s="802"/>
      <c r="N102" s="802"/>
      <c r="O102" s="802"/>
      <c r="P102" s="802"/>
      <c r="Q102" s="800"/>
      <c r="R102" s="787"/>
      <c r="S102" s="787"/>
      <c r="T102" s="788"/>
      <c r="U102" s="788"/>
      <c r="V102" s="788"/>
      <c r="W102" s="787"/>
      <c r="X102" s="787"/>
      <c r="Y102" s="788"/>
      <c r="Z102" s="787"/>
      <c r="AA102" s="787"/>
      <c r="AB102" s="788"/>
      <c r="AC102" s="788"/>
      <c r="AD102" s="788"/>
    </row>
    <row r="103" spans="1:30" s="217" customFormat="1" ht="14" thickBot="1">
      <c r="A103" s="804" t="s">
        <v>2343</v>
      </c>
      <c r="B103" s="805">
        <v>86</v>
      </c>
      <c r="C103" s="806">
        <v>7615563.3200000012</v>
      </c>
      <c r="D103" s="807">
        <v>2585.7925932089806</v>
      </c>
      <c r="E103" s="807">
        <v>2551.545622862734</v>
      </c>
      <c r="F103" s="807">
        <v>432.06970918600405</v>
      </c>
      <c r="G103" s="807">
        <v>2983.6153320487388</v>
      </c>
      <c r="H103" s="808">
        <v>-1.7825893580778516</v>
      </c>
      <c r="I103" s="809">
        <v>153.4512229674429</v>
      </c>
      <c r="J103" s="807">
        <v>-99.180936976307549</v>
      </c>
      <c r="K103" s="809">
        <v>681.63705744882441</v>
      </c>
      <c r="L103" s="807">
        <v>427.0103905182944</v>
      </c>
      <c r="M103" s="810">
        <v>0.98675571643441617</v>
      </c>
      <c r="N103" s="810" t="s">
        <v>1060</v>
      </c>
      <c r="O103" s="810">
        <v>5.6945041751302432E-2</v>
      </c>
      <c r="P103" s="810">
        <v>0.16513713885628103</v>
      </c>
      <c r="Q103" s="807"/>
      <c r="R103" s="811">
        <v>19766.52953783</v>
      </c>
      <c r="S103" s="811">
        <v>20521.848243500001</v>
      </c>
      <c r="T103" s="811">
        <v>19692.267225969998</v>
      </c>
      <c r="U103" s="811">
        <v>19431.457254779994</v>
      </c>
      <c r="V103" s="811">
        <v>3290.4542289600004</v>
      </c>
      <c r="W103" s="811">
        <v>22721.911483739997</v>
      </c>
      <c r="X103" s="811">
        <v>-13.575422130000035</v>
      </c>
      <c r="Y103" s="811">
        <v>5191.0501722600002</v>
      </c>
      <c r="Z103" s="811">
        <v>3251.9246672899994</v>
      </c>
      <c r="AA103" s="811">
        <v>2053.5670385099997</v>
      </c>
      <c r="AB103" s="811">
        <v>2462.3611987738</v>
      </c>
      <c r="AC103" s="811">
        <v>945.57899224200003</v>
      </c>
      <c r="AD103" s="811">
        <v>-156.01552372580002</v>
      </c>
    </row>
    <row r="104" spans="1:30" ht="15.75" customHeight="1" thickBot="1">
      <c r="A104" s="94" t="s">
        <v>764</v>
      </c>
      <c r="C104" s="812"/>
      <c r="D104" s="813"/>
      <c r="E104" s="813"/>
      <c r="F104" s="813"/>
      <c r="G104" s="813"/>
      <c r="H104" s="814"/>
      <c r="I104" s="813"/>
      <c r="J104" s="815"/>
      <c r="K104" s="816"/>
      <c r="L104" s="817"/>
      <c r="M104" s="817"/>
      <c r="N104" s="813"/>
      <c r="O104" s="817"/>
      <c r="P104" s="813"/>
      <c r="Q104" s="817"/>
      <c r="R104" s="814"/>
    </row>
    <row r="106" spans="1:30">
      <c r="A106" s="98" t="s">
        <v>1546</v>
      </c>
    </row>
    <row r="108" spans="1:30" ht="7.5" customHeight="1"/>
    <row r="109" spans="1:30" ht="24.75" customHeight="1">
      <c r="A109" s="2029" t="s">
        <v>711</v>
      </c>
      <c r="B109" s="2020"/>
    </row>
  </sheetData>
  <mergeCells count="2">
    <mergeCell ref="A109:B109"/>
    <mergeCell ref="A2:B2"/>
  </mergeCells>
  <phoneticPr fontId="0" type="noConversion"/>
  <pageMargins left="0.36" right="0.43" top="0.43307086614173229" bottom="0.43307086614173229" header="0.31496062992125984" footer="0.27559055118110237"/>
  <pageSetup paperSize="9" scale="46" fitToHeight="2" pageOrder="overThenDown" orientation="portrait"/>
  <headerFooter alignWithMargins="0">
    <oddFooter>&amp;R&amp;P/&amp;N</oddFooter>
  </headerFooter>
  <colBreaks count="1" manualBreakCount="1">
    <brk id="17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0F00-7608-B641-9F3A-A35C6DBB4B82}">
  <sheetPr>
    <pageSetUpPr fitToPage="1"/>
  </sheetPr>
  <dimension ref="A1:K97"/>
  <sheetViews>
    <sheetView topLeftCell="A70" zoomScale="75" workbookViewId="0">
      <selection activeCell="B87" sqref="B87"/>
    </sheetView>
  </sheetViews>
  <sheetFormatPr baseColWidth="10" defaultColWidth="11.3984375" defaultRowHeight="13"/>
  <cols>
    <col min="1" max="1" width="14" style="736" customWidth="1"/>
    <col min="2" max="2" width="11.796875" style="2" customWidth="1"/>
    <col min="3" max="3" width="12.796875" style="92" customWidth="1"/>
    <col min="4" max="4" width="12.19921875" style="2" customWidth="1"/>
    <col min="5" max="5" width="12.3984375" style="92" customWidth="1"/>
    <col min="6" max="6" width="9.796875" style="2" customWidth="1"/>
    <col min="7" max="7" width="11.19921875" style="92" customWidth="1"/>
    <col min="8" max="8" width="11.3984375" style="2"/>
    <col min="9" max="9" width="11.796875" style="2" customWidth="1"/>
    <col min="10" max="10" width="10.796875" style="2" customWidth="1"/>
    <col min="11" max="11" width="18" style="2" customWidth="1"/>
    <col min="12" max="16384" width="11.3984375" style="2"/>
  </cols>
  <sheetData>
    <row r="1" spans="1:11" s="1" customFormat="1" ht="21" customHeight="1">
      <c r="A1" s="2031" t="s">
        <v>417</v>
      </c>
      <c r="B1" s="2032"/>
      <c r="C1" s="2032"/>
      <c r="D1" s="2032"/>
      <c r="E1" s="2032"/>
      <c r="F1" s="2032"/>
      <c r="G1" s="2032"/>
      <c r="H1" s="2032"/>
      <c r="I1" s="712"/>
      <c r="K1" s="713">
        <v>2008</v>
      </c>
    </row>
    <row r="2" spans="1:11" s="1" customFormat="1" ht="9.75" customHeight="1">
      <c r="A2" s="714"/>
      <c r="B2" s="23"/>
      <c r="C2"/>
      <c r="D2"/>
      <c r="E2"/>
      <c r="F2"/>
      <c r="G2"/>
      <c r="H2"/>
      <c r="I2"/>
      <c r="J2"/>
    </row>
    <row r="3" spans="1:11" s="1" customFormat="1" ht="13.5" customHeight="1">
      <c r="A3" s="715" t="s">
        <v>418</v>
      </c>
      <c r="B3" s="23"/>
      <c r="C3"/>
      <c r="D3"/>
      <c r="E3"/>
      <c r="F3"/>
      <c r="G3"/>
      <c r="H3"/>
      <c r="I3"/>
      <c r="J3"/>
    </row>
    <row r="4" spans="1:11" s="1" customFormat="1" ht="13.5" customHeight="1">
      <c r="A4" s="716" t="s">
        <v>1346</v>
      </c>
      <c r="B4" s="23"/>
      <c r="C4"/>
      <c r="D4"/>
      <c r="E4"/>
      <c r="F4"/>
      <c r="G4"/>
      <c r="H4"/>
      <c r="I4"/>
      <c r="J4"/>
    </row>
    <row r="5" spans="1:11" s="1" customFormat="1" ht="10.5" customHeight="1">
      <c r="A5" s="714"/>
      <c r="B5" s="23"/>
      <c r="C5"/>
      <c r="D5"/>
      <c r="E5"/>
      <c r="F5"/>
      <c r="G5"/>
      <c r="H5"/>
      <c r="I5"/>
      <c r="J5"/>
    </row>
    <row r="6" spans="1:11" ht="14.25" customHeight="1">
      <c r="A6" s="715" t="s">
        <v>419</v>
      </c>
      <c r="B6"/>
      <c r="C6"/>
      <c r="D6"/>
      <c r="E6"/>
      <c r="F6"/>
      <c r="G6"/>
      <c r="H6"/>
      <c r="I6"/>
      <c r="J6"/>
    </row>
    <row r="7" spans="1:11" ht="15" customHeight="1">
      <c r="A7" s="717" t="s">
        <v>420</v>
      </c>
      <c r="B7"/>
      <c r="C7"/>
      <c r="D7"/>
      <c r="E7"/>
      <c r="F7"/>
      <c r="G7"/>
      <c r="H7"/>
      <c r="I7"/>
      <c r="J7"/>
    </row>
    <row r="8" spans="1:11" ht="11.25" customHeight="1">
      <c r="A8" s="717"/>
      <c r="B8"/>
      <c r="C8"/>
      <c r="D8"/>
      <c r="E8"/>
      <c r="F8"/>
      <c r="G8"/>
      <c r="H8"/>
      <c r="I8"/>
      <c r="J8"/>
    </row>
    <row r="9" spans="1:11" ht="13.5" customHeight="1">
      <c r="A9" s="715" t="s">
        <v>421</v>
      </c>
      <c r="B9"/>
      <c r="C9"/>
      <c r="D9"/>
      <c r="E9"/>
      <c r="F9"/>
      <c r="G9"/>
      <c r="H9"/>
      <c r="I9"/>
      <c r="J9"/>
    </row>
    <row r="10" spans="1:11" ht="17.25" customHeight="1">
      <c r="A10" s="717" t="s">
        <v>422</v>
      </c>
      <c r="B10" s="510"/>
      <c r="C10" s="510"/>
      <c r="D10" s="510"/>
      <c r="E10" s="510"/>
      <c r="F10" s="510"/>
      <c r="G10" s="510"/>
      <c r="H10" s="510"/>
      <c r="I10" s="510"/>
      <c r="J10" s="510"/>
    </row>
    <row r="11" spans="1:11" ht="8.25" customHeight="1">
      <c r="A11" s="717"/>
      <c r="B11"/>
      <c r="C11"/>
      <c r="D11"/>
      <c r="E11"/>
      <c r="F11"/>
      <c r="G11"/>
      <c r="H11"/>
      <c r="I11"/>
      <c r="J11"/>
    </row>
    <row r="12" spans="1:11" ht="15.75" customHeight="1">
      <c r="A12" s="715" t="s">
        <v>423</v>
      </c>
      <c r="B12"/>
      <c r="C12"/>
      <c r="D12"/>
      <c r="E12"/>
      <c r="F12"/>
      <c r="G12"/>
      <c r="H12"/>
      <c r="I12"/>
      <c r="J12"/>
      <c r="K12" s="8"/>
    </row>
    <row r="13" spans="1:11" ht="14.25" customHeight="1">
      <c r="A13" s="717" t="s">
        <v>424</v>
      </c>
      <c r="B13"/>
      <c r="C13"/>
      <c r="D13"/>
      <c r="E13"/>
      <c r="F13"/>
      <c r="G13"/>
      <c r="H13"/>
      <c r="I13"/>
      <c r="J13"/>
    </row>
    <row r="14" spans="1:11" ht="9.75" customHeight="1">
      <c r="A14" s="717"/>
      <c r="B14"/>
      <c r="C14"/>
      <c r="D14"/>
      <c r="E14"/>
      <c r="F14"/>
      <c r="G14"/>
      <c r="H14"/>
      <c r="I14"/>
      <c r="J14"/>
    </row>
    <row r="15" spans="1:11" ht="16.5" customHeight="1">
      <c r="A15" s="715" t="s">
        <v>425</v>
      </c>
      <c r="B15"/>
      <c r="C15"/>
      <c r="D15"/>
      <c r="E15"/>
      <c r="F15"/>
      <c r="G15"/>
      <c r="H15"/>
      <c r="I15"/>
      <c r="J15"/>
    </row>
    <row r="16" spans="1:11" ht="15.75" customHeight="1">
      <c r="A16" s="717" t="s">
        <v>426</v>
      </c>
      <c r="B16" s="510"/>
      <c r="C16" s="510"/>
      <c r="D16" s="510"/>
      <c r="E16" s="510"/>
      <c r="F16" s="510"/>
      <c r="G16" s="510"/>
      <c r="H16" s="510"/>
      <c r="I16" s="510"/>
      <c r="J16" s="510"/>
    </row>
    <row r="17" spans="1:10" ht="12.75" customHeight="1">
      <c r="A17" s="717" t="s">
        <v>427</v>
      </c>
      <c r="B17" s="510"/>
      <c r="C17" s="510"/>
      <c r="D17" s="510"/>
      <c r="E17" s="510"/>
      <c r="F17" s="510"/>
      <c r="G17" s="510"/>
      <c r="H17" s="510"/>
      <c r="I17" s="510"/>
      <c r="J17" s="510"/>
    </row>
    <row r="18" spans="1:10" ht="15.75" customHeight="1">
      <c r="A18" s="717" t="s">
        <v>428</v>
      </c>
      <c r="B18" s="510"/>
      <c r="C18" s="510"/>
      <c r="D18" s="510"/>
      <c r="E18" s="510"/>
      <c r="F18" s="510"/>
      <c r="G18" s="510"/>
      <c r="H18" s="510"/>
      <c r="I18" s="510"/>
      <c r="J18" s="510"/>
    </row>
    <row r="19" spans="1:10" ht="15.75" customHeight="1">
      <c r="A19" s="717" t="s">
        <v>429</v>
      </c>
      <c r="B19" s="510"/>
      <c r="C19" s="510"/>
      <c r="D19" s="510"/>
      <c r="E19" s="510"/>
      <c r="F19" s="510"/>
      <c r="G19" s="510"/>
      <c r="H19" s="510"/>
      <c r="I19" s="510"/>
      <c r="J19" s="510"/>
    </row>
    <row r="20" spans="1:10" ht="12" customHeight="1">
      <c r="A20" s="717"/>
      <c r="B20"/>
      <c r="C20"/>
      <c r="D20"/>
      <c r="E20"/>
      <c r="F20"/>
      <c r="G20"/>
      <c r="H20"/>
      <c r="I20"/>
      <c r="J20"/>
    </row>
    <row r="21" spans="1:10" ht="14.25" customHeight="1">
      <c r="A21" s="715" t="s">
        <v>430</v>
      </c>
      <c r="B21"/>
      <c r="C21"/>
      <c r="D21"/>
      <c r="E21"/>
      <c r="F21"/>
      <c r="G21"/>
      <c r="H21"/>
      <c r="I21"/>
      <c r="J21"/>
    </row>
    <row r="22" spans="1:10" ht="17.25" customHeight="1">
      <c r="A22" s="717" t="s">
        <v>431</v>
      </c>
      <c r="B22" s="510"/>
      <c r="C22" s="510"/>
      <c r="D22" s="510"/>
      <c r="E22" s="510"/>
      <c r="F22" s="510"/>
      <c r="G22" s="510"/>
      <c r="H22" s="510"/>
      <c r="I22" s="510"/>
      <c r="J22" s="510"/>
    </row>
    <row r="23" spans="1:10" ht="13.5" customHeight="1">
      <c r="A23" s="717" t="s">
        <v>432</v>
      </c>
      <c r="B23" s="510"/>
      <c r="C23" s="510"/>
      <c r="D23" s="510"/>
      <c r="E23" s="510"/>
      <c r="F23" s="510"/>
      <c r="G23" s="510"/>
      <c r="H23" s="510"/>
      <c r="I23" s="510"/>
      <c r="J23" s="510"/>
    </row>
    <row r="24" spans="1:10" ht="13.5" customHeight="1">
      <c r="A24" s="717"/>
      <c r="B24"/>
      <c r="C24"/>
      <c r="D24"/>
      <c r="E24"/>
      <c r="F24"/>
      <c r="G24"/>
      <c r="H24"/>
      <c r="I24"/>
      <c r="J24"/>
    </row>
    <row r="25" spans="1:10" ht="15.75" customHeight="1">
      <c r="A25" s="715" t="s">
        <v>433</v>
      </c>
      <c r="B25"/>
      <c r="C25"/>
      <c r="D25"/>
      <c r="E25"/>
      <c r="F25"/>
      <c r="G25"/>
      <c r="H25"/>
      <c r="I25"/>
      <c r="J25"/>
    </row>
    <row r="26" spans="1:10" ht="15.75" customHeight="1">
      <c r="A26" s="717" t="s">
        <v>434</v>
      </c>
      <c r="B26" s="510"/>
      <c r="C26" s="510"/>
      <c r="D26" s="510"/>
      <c r="E26" s="510"/>
      <c r="F26" s="510"/>
      <c r="G26" s="510"/>
      <c r="H26" s="510"/>
      <c r="I26" s="510"/>
      <c r="J26" s="510"/>
    </row>
    <row r="27" spans="1:10" ht="14.25" customHeight="1">
      <c r="A27" s="717" t="s">
        <v>435</v>
      </c>
      <c r="B27" s="510"/>
      <c r="C27" s="510"/>
      <c r="D27" s="510"/>
      <c r="E27" s="510"/>
      <c r="F27" s="510"/>
      <c r="G27" s="510"/>
      <c r="H27" s="510"/>
      <c r="I27" s="510"/>
      <c r="J27" s="510"/>
    </row>
    <row r="28" spans="1:10" ht="9.75" customHeight="1">
      <c r="A28" s="717"/>
      <c r="B28"/>
      <c r="C28"/>
      <c r="D28"/>
      <c r="E28"/>
      <c r="F28"/>
      <c r="G28"/>
      <c r="H28"/>
      <c r="I28"/>
      <c r="J28"/>
    </row>
    <row r="29" spans="1:10">
      <c r="A29" s="715" t="s">
        <v>436</v>
      </c>
      <c r="B29"/>
      <c r="C29"/>
      <c r="D29"/>
      <c r="E29"/>
      <c r="F29"/>
      <c r="G29"/>
      <c r="H29"/>
      <c r="I29"/>
      <c r="J29"/>
    </row>
    <row r="30" spans="1:10" ht="18" customHeight="1">
      <c r="A30" s="717" t="s">
        <v>437</v>
      </c>
      <c r="B30" s="510"/>
      <c r="C30" s="510"/>
      <c r="D30" s="510"/>
      <c r="E30" s="510"/>
      <c r="F30" s="510"/>
      <c r="G30" s="510"/>
      <c r="H30" s="510"/>
      <c r="I30" s="510"/>
      <c r="J30" s="510"/>
    </row>
    <row r="31" spans="1:10" ht="10.5" customHeight="1">
      <c r="A31" s="717"/>
      <c r="B31"/>
      <c r="C31"/>
      <c r="D31"/>
      <c r="E31"/>
      <c r="F31"/>
      <c r="G31"/>
      <c r="H31"/>
      <c r="I31"/>
      <c r="J31"/>
    </row>
    <row r="32" spans="1:10">
      <c r="A32" s="715" t="s">
        <v>438</v>
      </c>
      <c r="B32"/>
      <c r="C32"/>
      <c r="D32"/>
      <c r="E32"/>
      <c r="F32"/>
      <c r="G32"/>
      <c r="H32"/>
      <c r="I32"/>
      <c r="J32"/>
    </row>
    <row r="33" spans="1:11" ht="17.25" customHeight="1">
      <c r="A33" s="717" t="s">
        <v>439</v>
      </c>
      <c r="B33" s="510"/>
      <c r="C33" s="510"/>
      <c r="D33" s="510"/>
      <c r="E33" s="510"/>
      <c r="F33" s="510"/>
      <c r="G33" s="510"/>
      <c r="H33" s="510"/>
      <c r="I33" s="510"/>
      <c r="J33" s="510"/>
    </row>
    <row r="34" spans="1:11" ht="14.25" customHeight="1">
      <c r="A34" s="717" t="s">
        <v>1919</v>
      </c>
      <c r="B34" s="510"/>
      <c r="C34" s="510"/>
      <c r="D34" s="510"/>
      <c r="E34" s="510"/>
      <c r="F34" s="510"/>
      <c r="G34" s="510"/>
      <c r="H34" s="510"/>
      <c r="I34" s="510"/>
      <c r="J34" s="510"/>
    </row>
    <row r="35" spans="1:11" ht="14.25" customHeight="1">
      <c r="A35" s="717" t="s">
        <v>1738</v>
      </c>
      <c r="B35" s="510"/>
      <c r="C35" s="510"/>
      <c r="D35" s="510"/>
      <c r="E35" s="510"/>
      <c r="F35" s="510"/>
      <c r="G35" s="510"/>
      <c r="H35" s="510"/>
      <c r="I35" s="510"/>
      <c r="J35" s="510"/>
      <c r="K35" s="3"/>
    </row>
    <row r="36" spans="1:11" ht="10.5" customHeight="1">
      <c r="A36" s="717"/>
      <c r="B36"/>
      <c r="C36"/>
      <c r="D36"/>
      <c r="E36"/>
      <c r="F36"/>
      <c r="G36"/>
      <c r="H36"/>
      <c r="I36"/>
      <c r="J36"/>
    </row>
    <row r="37" spans="1:11">
      <c r="A37" s="715" t="s">
        <v>1739</v>
      </c>
      <c r="B37"/>
      <c r="C37"/>
      <c r="D37"/>
      <c r="E37"/>
      <c r="F37"/>
      <c r="G37"/>
      <c r="H37"/>
      <c r="I37"/>
      <c r="J37"/>
    </row>
    <row r="38" spans="1:11" ht="16.5" customHeight="1">
      <c r="A38" s="717" t="s">
        <v>1740</v>
      </c>
      <c r="B38" s="510"/>
      <c r="C38" s="510"/>
      <c r="D38" s="510"/>
      <c r="E38" s="510"/>
      <c r="F38" s="510"/>
      <c r="G38" s="510"/>
      <c r="H38" s="510"/>
      <c r="I38" s="510"/>
      <c r="J38" s="510"/>
    </row>
    <row r="39" spans="1:11" ht="13.5" customHeight="1">
      <c r="A39" s="717" t="s">
        <v>1741</v>
      </c>
      <c r="B39" s="510"/>
      <c r="C39" s="510"/>
      <c r="D39" s="510"/>
      <c r="E39" s="510"/>
      <c r="F39" s="510"/>
      <c r="G39" s="510"/>
      <c r="H39" s="510"/>
      <c r="I39" s="510"/>
      <c r="J39" s="510"/>
    </row>
    <row r="40" spans="1:11" ht="9.75" customHeight="1">
      <c r="A40" s="717"/>
      <c r="B40"/>
      <c r="C40"/>
      <c r="D40"/>
      <c r="E40"/>
      <c r="F40"/>
      <c r="G40"/>
      <c r="H40"/>
      <c r="I40"/>
      <c r="J40"/>
    </row>
    <row r="41" spans="1:11" ht="18" customHeight="1">
      <c r="A41" s="718" t="s">
        <v>1785</v>
      </c>
      <c r="B41" s="719" t="s">
        <v>1742</v>
      </c>
      <c r="C41" s="719" t="s">
        <v>1743</v>
      </c>
      <c r="D41" s="719" t="s">
        <v>1744</v>
      </c>
      <c r="E41" s="719" t="s">
        <v>1745</v>
      </c>
      <c r="F41" s="719" t="s">
        <v>1746</v>
      </c>
      <c r="G41" s="719" t="s">
        <v>1747</v>
      </c>
      <c r="H41" s="719" t="s">
        <v>1748</v>
      </c>
      <c r="I41" s="720" t="s">
        <v>612</v>
      </c>
      <c r="J41" s="720" t="s">
        <v>613</v>
      </c>
    </row>
    <row r="42" spans="1:11" ht="16.5" customHeight="1">
      <c r="A42" s="721" t="s">
        <v>1749</v>
      </c>
      <c r="B42" s="722">
        <v>1.82</v>
      </c>
      <c r="C42" s="722">
        <v>0.96</v>
      </c>
      <c r="D42" s="722">
        <v>0.73</v>
      </c>
      <c r="E42" s="722">
        <v>0.52</v>
      </c>
      <c r="F42" s="722">
        <v>0.42</v>
      </c>
      <c r="G42" s="722">
        <v>0.34</v>
      </c>
      <c r="H42" s="722">
        <v>0.24</v>
      </c>
      <c r="I42" s="722">
        <v>0.2</v>
      </c>
      <c r="J42" s="722">
        <v>0.15</v>
      </c>
    </row>
    <row r="43" spans="1:11" ht="12.75" customHeight="1">
      <c r="A43" s="717"/>
      <c r="B43"/>
      <c r="C43"/>
      <c r="D43"/>
      <c r="E43"/>
      <c r="F43"/>
      <c r="G43"/>
      <c r="H43"/>
      <c r="I43"/>
      <c r="J43"/>
    </row>
    <row r="44" spans="1:11" ht="16.5" customHeight="1">
      <c r="A44" s="718" t="s">
        <v>1785</v>
      </c>
      <c r="B44" s="723" t="s">
        <v>1750</v>
      </c>
      <c r="C44" s="723" t="s">
        <v>1751</v>
      </c>
      <c r="D44" s="723" t="s">
        <v>1752</v>
      </c>
      <c r="E44" s="723" t="s">
        <v>1753</v>
      </c>
      <c r="G44" s="2"/>
    </row>
    <row r="45" spans="1:11" ht="15.75" customHeight="1">
      <c r="A45" s="724" t="s">
        <v>1754</v>
      </c>
      <c r="B45" s="725" t="s">
        <v>1755</v>
      </c>
      <c r="C45" s="726">
        <v>0.2</v>
      </c>
      <c r="D45" s="726">
        <v>0.2</v>
      </c>
      <c r="E45" s="726">
        <v>0.15</v>
      </c>
      <c r="G45" s="2"/>
    </row>
    <row r="46" spans="1:11" ht="14.25" customHeight="1">
      <c r="A46" s="727">
        <v>2007</v>
      </c>
      <c r="B46" s="728" t="s">
        <v>1755</v>
      </c>
      <c r="C46" s="729">
        <v>0.18</v>
      </c>
      <c r="D46" s="729">
        <v>0.16</v>
      </c>
      <c r="E46" s="729">
        <v>0.13</v>
      </c>
      <c r="F46"/>
      <c r="G46"/>
      <c r="H46"/>
      <c r="I46"/>
      <c r="J46"/>
    </row>
    <row r="47" spans="1:11" ht="14.25" customHeight="1">
      <c r="A47" s="730">
        <v>2008</v>
      </c>
      <c r="B47" s="731" t="s">
        <v>1755</v>
      </c>
      <c r="C47" s="732">
        <v>0.16</v>
      </c>
      <c r="D47" s="732">
        <v>0.12</v>
      </c>
      <c r="E47" s="732">
        <v>0.11</v>
      </c>
      <c r="G47" s="2"/>
    </row>
    <row r="48" spans="1:11" ht="14.25" customHeight="1">
      <c r="A48" s="727">
        <v>2009</v>
      </c>
      <c r="B48" s="728" t="s">
        <v>1755</v>
      </c>
      <c r="C48" s="729">
        <v>0.15</v>
      </c>
      <c r="D48" s="729">
        <v>0.1</v>
      </c>
      <c r="E48" s="729">
        <v>0.1</v>
      </c>
      <c r="G48" s="2"/>
    </row>
    <row r="49" spans="1:7" ht="9" customHeight="1">
      <c r="A49" s="733"/>
      <c r="C49" s="2"/>
      <c r="E49" s="2"/>
      <c r="G49" s="2"/>
    </row>
    <row r="50" spans="1:7" ht="15" customHeight="1">
      <c r="A50" s="733" t="s">
        <v>628</v>
      </c>
      <c r="C50" s="2"/>
      <c r="E50" s="2"/>
      <c r="G50" s="2"/>
    </row>
    <row r="51" spans="1:7" ht="15" customHeight="1">
      <c r="A51" s="717" t="s">
        <v>629</v>
      </c>
      <c r="C51" s="2"/>
      <c r="E51" s="2"/>
      <c r="G51" s="2"/>
    </row>
    <row r="52" spans="1:7" ht="11.25" customHeight="1">
      <c r="A52" s="733"/>
      <c r="C52" s="2"/>
      <c r="E52" s="2"/>
      <c r="G52" s="2"/>
    </row>
    <row r="53" spans="1:7" ht="14.25" customHeight="1">
      <c r="A53" s="734" t="s">
        <v>630</v>
      </c>
      <c r="C53" s="2"/>
      <c r="E53" s="2"/>
      <c r="G53" s="2"/>
    </row>
    <row r="54" spans="1:7" ht="16.5" customHeight="1">
      <c r="A54" s="733" t="s">
        <v>631</v>
      </c>
      <c r="C54" s="2"/>
      <c r="E54" s="2"/>
      <c r="G54" s="2"/>
    </row>
    <row r="55" spans="1:7" ht="11.25" customHeight="1">
      <c r="A55" s="733"/>
      <c r="C55" s="2"/>
      <c r="E55" s="2"/>
      <c r="G55" s="2"/>
    </row>
    <row r="56" spans="1:7" ht="13.5" customHeight="1">
      <c r="A56" s="734" t="s">
        <v>632</v>
      </c>
      <c r="C56" s="2"/>
      <c r="E56" s="2"/>
      <c r="G56" s="2"/>
    </row>
    <row r="57" spans="1:7" ht="13.5" customHeight="1">
      <c r="A57" s="733" t="s">
        <v>633</v>
      </c>
      <c r="C57" s="2"/>
      <c r="E57" s="2"/>
      <c r="G57" s="2"/>
    </row>
    <row r="58" spans="1:7" ht="16.5" customHeight="1">
      <c r="A58" s="733" t="s">
        <v>634</v>
      </c>
      <c r="C58" s="2"/>
      <c r="E58" s="2"/>
      <c r="G58" s="2"/>
    </row>
    <row r="59" spans="1:7" ht="11.25" customHeight="1">
      <c r="A59" s="733"/>
      <c r="C59" s="2"/>
      <c r="E59" s="2"/>
      <c r="G59" s="2"/>
    </row>
    <row r="60" spans="1:7" ht="17.25" customHeight="1">
      <c r="A60" s="715" t="s">
        <v>635</v>
      </c>
      <c r="C60" s="2"/>
      <c r="E60" s="2"/>
      <c r="G60" s="2"/>
    </row>
    <row r="61" spans="1:7" ht="16.5" customHeight="1">
      <c r="A61" s="717" t="s">
        <v>636</v>
      </c>
      <c r="C61" s="2"/>
      <c r="E61" s="2"/>
      <c r="G61" s="2"/>
    </row>
    <row r="62" spans="1:7" ht="16.5" customHeight="1">
      <c r="A62" s="715" t="s">
        <v>614</v>
      </c>
      <c r="C62" s="2"/>
      <c r="E62" s="2"/>
      <c r="G62" s="2"/>
    </row>
    <row r="63" spans="1:7" ht="10.5" customHeight="1">
      <c r="A63" s="735"/>
      <c r="C63" s="2"/>
      <c r="E63" s="2"/>
      <c r="G63" s="2"/>
    </row>
    <row r="64" spans="1:7" ht="17.25" customHeight="1">
      <c r="A64" s="715" t="s">
        <v>637</v>
      </c>
      <c r="C64" s="2"/>
      <c r="E64" s="2"/>
      <c r="G64" s="2"/>
    </row>
    <row r="65" spans="1:10" ht="17.25" customHeight="1">
      <c r="A65" s="717" t="s">
        <v>638</v>
      </c>
      <c r="C65" s="2"/>
      <c r="E65" s="2"/>
      <c r="G65" s="2"/>
    </row>
    <row r="66" spans="1:10" ht="16.5" customHeight="1">
      <c r="A66" s="266" t="s">
        <v>639</v>
      </c>
      <c r="C66" s="2"/>
      <c r="E66" s="2"/>
      <c r="G66" s="2"/>
    </row>
    <row r="67" spans="1:10" ht="10.5" customHeight="1">
      <c r="A67" s="266"/>
      <c r="C67" s="2"/>
      <c r="E67" s="2"/>
      <c r="G67" s="2"/>
    </row>
    <row r="68" spans="1:10" ht="14.25" customHeight="1">
      <c r="A68" s="715" t="s">
        <v>640</v>
      </c>
      <c r="C68" s="2"/>
      <c r="E68" s="2"/>
      <c r="G68" s="2"/>
    </row>
    <row r="69" spans="1:10" ht="17.25" customHeight="1">
      <c r="A69" s="736" t="s">
        <v>641</v>
      </c>
      <c r="C69" s="2"/>
      <c r="E69" s="2"/>
      <c r="G69" s="2"/>
    </row>
    <row r="70" spans="1:10" ht="9.75" customHeight="1">
      <c r="C70" s="2"/>
      <c r="E70" s="2"/>
      <c r="G70" s="2"/>
    </row>
    <row r="71" spans="1:10" ht="18" customHeight="1">
      <c r="A71" s="715" t="s">
        <v>642</v>
      </c>
      <c r="C71" s="2"/>
      <c r="E71" s="2"/>
      <c r="G71" s="2"/>
    </row>
    <row r="72" spans="1:10" ht="12" customHeight="1">
      <c r="A72" s="733"/>
      <c r="C72" s="2"/>
      <c r="E72" s="2"/>
      <c r="G72" s="2"/>
    </row>
    <row r="73" spans="1:10" ht="15" customHeight="1">
      <c r="B73" s="737" t="s">
        <v>643</v>
      </c>
      <c r="C73" s="2"/>
      <c r="E73" s="2"/>
      <c r="G73" s="2"/>
    </row>
    <row r="74" spans="1:10">
      <c r="A74" s="738">
        <v>0</v>
      </c>
      <c r="B74" s="739" t="s">
        <v>644</v>
      </c>
      <c r="C74" s="202"/>
      <c r="D74" s="202"/>
      <c r="E74" s="202"/>
      <c r="G74" s="2"/>
    </row>
    <row r="75" spans="1:10">
      <c r="A75" s="738">
        <v>1</v>
      </c>
      <c r="B75" s="739" t="s">
        <v>645</v>
      </c>
      <c r="C75" s="202"/>
      <c r="D75" s="202"/>
      <c r="E75" s="202"/>
      <c r="G75" s="740" t="s">
        <v>689</v>
      </c>
      <c r="H75" s="741" t="s">
        <v>646</v>
      </c>
      <c r="I75" s="202"/>
      <c r="J75" s="202"/>
    </row>
    <row r="76" spans="1:10">
      <c r="A76" s="738">
        <v>2</v>
      </c>
      <c r="B76" s="739" t="s">
        <v>647</v>
      </c>
      <c r="C76" s="202"/>
      <c r="D76" s="202"/>
      <c r="E76" s="202"/>
      <c r="G76" s="738" t="s">
        <v>703</v>
      </c>
      <c r="H76" s="739" t="s">
        <v>648</v>
      </c>
      <c r="I76" s="202"/>
      <c r="J76" s="202"/>
    </row>
    <row r="77" spans="1:10">
      <c r="A77" s="738" t="s">
        <v>676</v>
      </c>
      <c r="B77" s="739" t="s">
        <v>649</v>
      </c>
      <c r="C77" s="202"/>
      <c r="D77" s="202"/>
      <c r="E77" s="202"/>
      <c r="G77" s="742" t="s">
        <v>691</v>
      </c>
      <c r="H77" s="741" t="s">
        <v>650</v>
      </c>
      <c r="I77" s="202"/>
      <c r="J77" s="202"/>
    </row>
    <row r="78" spans="1:10">
      <c r="A78" s="738" t="s">
        <v>678</v>
      </c>
      <c r="B78" s="741" t="s">
        <v>651</v>
      </c>
      <c r="C78" s="202"/>
      <c r="D78" s="202"/>
      <c r="E78" s="202"/>
      <c r="G78" s="740" t="s">
        <v>652</v>
      </c>
      <c r="H78" s="741" t="s">
        <v>653</v>
      </c>
      <c r="I78" s="202"/>
      <c r="J78" s="202"/>
    </row>
    <row r="79" spans="1:10">
      <c r="A79" s="738" t="s">
        <v>654</v>
      </c>
      <c r="B79" s="739" t="s">
        <v>655</v>
      </c>
      <c r="C79" s="202"/>
      <c r="D79" s="202"/>
      <c r="E79" s="202"/>
      <c r="G79" s="743">
        <v>10</v>
      </c>
      <c r="H79" s="744" t="s">
        <v>656</v>
      </c>
      <c r="I79" s="202"/>
      <c r="J79" s="202"/>
    </row>
    <row r="80" spans="1:10">
      <c r="A80" s="738" t="s">
        <v>657</v>
      </c>
      <c r="B80" s="739" t="s">
        <v>589</v>
      </c>
      <c r="C80" s="202"/>
      <c r="D80" s="202"/>
      <c r="E80" s="202"/>
      <c r="G80" s="743" t="s">
        <v>590</v>
      </c>
      <c r="H80" s="744" t="s">
        <v>591</v>
      </c>
      <c r="I80" s="202"/>
      <c r="J80" s="202"/>
    </row>
    <row r="81" spans="1:10">
      <c r="A81" s="738" t="s">
        <v>592</v>
      </c>
      <c r="B81" s="739" t="s">
        <v>593</v>
      </c>
      <c r="C81" s="202"/>
      <c r="D81" s="202"/>
      <c r="E81" s="202"/>
      <c r="G81" s="743" t="s">
        <v>594</v>
      </c>
      <c r="H81" s="744" t="s">
        <v>595</v>
      </c>
      <c r="I81" s="202"/>
      <c r="J81" s="202"/>
    </row>
    <row r="82" spans="1:10">
      <c r="A82" s="738" t="s">
        <v>596</v>
      </c>
      <c r="B82" s="739" t="s">
        <v>597</v>
      </c>
      <c r="C82" s="202"/>
      <c r="D82" s="202"/>
      <c r="E82" s="202"/>
      <c r="G82" s="743" t="s">
        <v>598</v>
      </c>
      <c r="H82" s="744" t="s">
        <v>599</v>
      </c>
      <c r="I82" s="202"/>
      <c r="J82" s="202"/>
    </row>
    <row r="83" spans="1:10">
      <c r="A83" s="742" t="s">
        <v>600</v>
      </c>
      <c r="B83" s="741" t="s">
        <v>601</v>
      </c>
      <c r="C83" s="202"/>
      <c r="D83" s="202"/>
      <c r="E83" s="202"/>
      <c r="G83" s="743" t="s">
        <v>725</v>
      </c>
      <c r="H83" s="741" t="s">
        <v>602</v>
      </c>
      <c r="I83" s="202"/>
      <c r="J83" s="202"/>
    </row>
    <row r="84" spans="1:10">
      <c r="A84" s="745" t="s">
        <v>698</v>
      </c>
      <c r="B84" s="739" t="s">
        <v>603</v>
      </c>
      <c r="C84" s="202"/>
      <c r="D84" s="202"/>
      <c r="E84" s="202"/>
      <c r="G84" s="743" t="s">
        <v>694</v>
      </c>
      <c r="H84" s="741" t="s">
        <v>604</v>
      </c>
      <c r="I84" s="202"/>
      <c r="J84" s="202"/>
    </row>
    <row r="85" spans="1:10">
      <c r="A85" s="740" t="s">
        <v>682</v>
      </c>
      <c r="B85" s="739" t="s">
        <v>605</v>
      </c>
      <c r="C85" s="202"/>
      <c r="D85" s="202"/>
      <c r="E85" s="202"/>
      <c r="G85" s="743" t="s">
        <v>728</v>
      </c>
      <c r="H85" s="741" t="s">
        <v>606</v>
      </c>
      <c r="I85" s="202"/>
      <c r="J85" s="202"/>
    </row>
    <row r="86" spans="1:10">
      <c r="A86" s="738">
        <v>7</v>
      </c>
      <c r="B86" s="739" t="s">
        <v>1357</v>
      </c>
      <c r="C86" s="202"/>
      <c r="D86" s="202"/>
      <c r="E86" s="202"/>
      <c r="G86" s="743" t="s">
        <v>696</v>
      </c>
      <c r="H86" s="741" t="s">
        <v>607</v>
      </c>
      <c r="I86" s="202"/>
      <c r="J86" s="202"/>
    </row>
    <row r="87" spans="1:10">
      <c r="A87" s="738"/>
      <c r="B87" s="739" t="s">
        <v>608</v>
      </c>
      <c r="C87" s="202"/>
      <c r="D87" s="202"/>
      <c r="E87" s="202"/>
      <c r="G87" s="743">
        <v>14</v>
      </c>
      <c r="H87" s="744" t="s">
        <v>609</v>
      </c>
      <c r="I87" s="202"/>
      <c r="J87" s="202"/>
    </row>
    <row r="88" spans="1:10">
      <c r="A88" s="738" t="s">
        <v>701</v>
      </c>
      <c r="B88" s="739" t="s">
        <v>610</v>
      </c>
      <c r="C88" s="202"/>
      <c r="D88" s="202"/>
      <c r="E88" s="202"/>
      <c r="G88" s="743">
        <v>15</v>
      </c>
      <c r="H88" s="741" t="s">
        <v>611</v>
      </c>
      <c r="I88" s="202"/>
      <c r="J88" s="202"/>
    </row>
    <row r="89" spans="1:10">
      <c r="E89" s="202"/>
      <c r="G89" s="2"/>
    </row>
    <row r="90" spans="1:10" ht="6.75" customHeight="1">
      <c r="E90" s="202"/>
      <c r="G90" s="2"/>
    </row>
    <row r="91" spans="1:10">
      <c r="A91" s="746" t="s">
        <v>764</v>
      </c>
      <c r="B91" s="744"/>
      <c r="C91" s="202"/>
      <c r="D91" s="202"/>
      <c r="E91" s="202"/>
      <c r="G91" s="2"/>
    </row>
    <row r="92" spans="1:10">
      <c r="A92" s="746"/>
      <c r="B92" s="744"/>
      <c r="C92" s="202"/>
      <c r="D92" s="202"/>
      <c r="E92" s="202"/>
      <c r="G92" s="2"/>
    </row>
    <row r="93" spans="1:10">
      <c r="A93" s="841" t="s">
        <v>933</v>
      </c>
      <c r="B93" s="744"/>
      <c r="C93" s="202"/>
      <c r="D93" s="202"/>
      <c r="E93" s="202"/>
      <c r="G93" s="2"/>
    </row>
    <row r="94" spans="1:10">
      <c r="A94" s="743"/>
      <c r="B94" s="744"/>
      <c r="C94" s="202"/>
      <c r="D94" s="202"/>
      <c r="E94" s="202"/>
      <c r="G94" s="2"/>
    </row>
    <row r="95" spans="1:10" ht="7.5" customHeight="1">
      <c r="A95" s="743"/>
      <c r="B95" s="744"/>
      <c r="C95" s="202"/>
      <c r="D95" s="202"/>
      <c r="E95" s="202"/>
      <c r="G95" s="2"/>
    </row>
    <row r="96" spans="1:10">
      <c r="A96" s="747" t="s">
        <v>711</v>
      </c>
      <c r="B96" s="744"/>
      <c r="C96" s="202"/>
      <c r="D96" s="202"/>
      <c r="E96" s="202"/>
      <c r="G96" s="2"/>
    </row>
    <row r="97" spans="3:7">
      <c r="C97" s="2"/>
      <c r="E97" s="2"/>
      <c r="G97" s="2"/>
    </row>
  </sheetData>
  <mergeCells count="1">
    <mergeCell ref="A1:H1"/>
  </mergeCells>
  <phoneticPr fontId="0" type="noConversion"/>
  <pageMargins left="0.51181102362204722" right="0.51181102362204722" top="0.3" bottom="0.25" header="0.23622047244094491" footer="0.3"/>
  <pageSetup paperSize="9" scale="61" orientation="portrait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5E2E-F925-554B-A740-BC4FFD9FA1CA}">
  <sheetPr>
    <pageSetUpPr fitToPage="1"/>
  </sheetPr>
  <dimension ref="A1:I120"/>
  <sheetViews>
    <sheetView zoomScale="75" workbookViewId="0">
      <selection activeCell="B84" sqref="B84"/>
    </sheetView>
  </sheetViews>
  <sheetFormatPr baseColWidth="10" defaultColWidth="11.3984375" defaultRowHeight="13"/>
  <cols>
    <col min="1" max="1" width="5.796875" style="2" customWidth="1"/>
    <col min="2" max="2" width="52.59765625" style="92" customWidth="1"/>
    <col min="3" max="3" width="12.796875" style="92" customWidth="1"/>
    <col min="4" max="4" width="10.796875" style="92" customWidth="1"/>
    <col min="5" max="5" width="10.796875" style="2" customWidth="1"/>
    <col min="6" max="7" width="10.796875" style="7" customWidth="1"/>
    <col min="8" max="9" width="10.796875" style="2" customWidth="1"/>
    <col min="10" max="10" width="6.19921875" style="2" customWidth="1"/>
    <col min="11" max="16384" width="11.3984375" style="2"/>
  </cols>
  <sheetData>
    <row r="1" spans="1:9" s="1" customFormat="1" ht="14" customHeight="1">
      <c r="B1" s="227"/>
      <c r="C1" s="227"/>
      <c r="D1" s="227"/>
      <c r="F1" s="240"/>
      <c r="G1" s="240"/>
    </row>
    <row r="2" spans="1:9" s="1" customFormat="1" ht="19.5" customHeight="1">
      <c r="A2" s="53" t="s">
        <v>1547</v>
      </c>
      <c r="C2" s="227"/>
      <c r="D2" s="227"/>
      <c r="F2" s="240"/>
      <c r="G2" s="240"/>
      <c r="H2" s="16"/>
      <c r="I2" s="819">
        <v>2008</v>
      </c>
    </row>
    <row r="3" spans="1:9" s="1" customFormat="1" ht="14.25" customHeight="1" thickBot="1">
      <c r="A3" s="820"/>
      <c r="B3" s="821"/>
      <c r="C3" s="821"/>
      <c r="D3" s="821"/>
      <c r="E3" s="820"/>
      <c r="F3" s="822"/>
      <c r="G3" s="822"/>
      <c r="H3" s="820"/>
      <c r="I3" s="820"/>
    </row>
    <row r="4" spans="1:9" ht="18" customHeight="1">
      <c r="A4" s="61" t="s">
        <v>1456</v>
      </c>
      <c r="B4" s="61" t="s">
        <v>1563</v>
      </c>
      <c r="C4" s="62" t="s">
        <v>1548</v>
      </c>
      <c r="D4" s="63" t="s">
        <v>769</v>
      </c>
      <c r="E4" s="64" t="s">
        <v>177</v>
      </c>
      <c r="F4" s="65" t="s">
        <v>1502</v>
      </c>
      <c r="G4" s="64" t="s">
        <v>1036</v>
      </c>
      <c r="H4" s="65" t="s">
        <v>1504</v>
      </c>
      <c r="I4" s="62" t="s">
        <v>1504</v>
      </c>
    </row>
    <row r="5" spans="1:9" ht="15" customHeight="1">
      <c r="A5" s="61" t="s">
        <v>158</v>
      </c>
      <c r="B5" s="61"/>
      <c r="C5" s="62" t="s">
        <v>1549</v>
      </c>
      <c r="D5" s="63"/>
      <c r="E5" s="62"/>
      <c r="F5" s="65" t="s">
        <v>1517</v>
      </c>
      <c r="G5" s="64" t="s">
        <v>1799</v>
      </c>
      <c r="H5" s="65" t="s">
        <v>1519</v>
      </c>
      <c r="I5" s="62" t="s">
        <v>2010</v>
      </c>
    </row>
    <row r="6" spans="1:9" ht="15" customHeight="1">
      <c r="A6" s="61"/>
      <c r="B6" s="61"/>
      <c r="C6" s="62" t="s">
        <v>1550</v>
      </c>
      <c r="D6" s="63"/>
      <c r="E6" s="62"/>
      <c r="F6" s="65" t="s">
        <v>1528</v>
      </c>
      <c r="G6" s="64"/>
      <c r="H6" s="65" t="s">
        <v>1532</v>
      </c>
      <c r="I6" s="62"/>
    </row>
    <row r="7" spans="1:9" ht="15" customHeight="1">
      <c r="A7" s="61"/>
      <c r="B7" s="61"/>
      <c r="C7" s="62" t="s">
        <v>402</v>
      </c>
      <c r="D7" s="63" t="s">
        <v>1551</v>
      </c>
      <c r="E7" s="62" t="s">
        <v>1551</v>
      </c>
      <c r="F7" s="63" t="s">
        <v>1540</v>
      </c>
      <c r="G7" s="62" t="s">
        <v>1551</v>
      </c>
      <c r="H7" s="63" t="s">
        <v>1551</v>
      </c>
      <c r="I7" s="62" t="s">
        <v>1551</v>
      </c>
    </row>
    <row r="8" spans="1:9" ht="15" customHeight="1">
      <c r="A8" s="61"/>
      <c r="B8" s="61"/>
      <c r="C8" s="62" t="s">
        <v>404</v>
      </c>
      <c r="D8" s="63" t="s">
        <v>1552</v>
      </c>
      <c r="E8" s="62" t="s">
        <v>1552</v>
      </c>
      <c r="F8" s="63" t="s">
        <v>1551</v>
      </c>
      <c r="G8" s="62" t="s">
        <v>1552</v>
      </c>
      <c r="H8" s="63" t="s">
        <v>1552</v>
      </c>
      <c r="I8" s="62" t="s">
        <v>1552</v>
      </c>
    </row>
    <row r="9" spans="1:9" ht="15" customHeight="1">
      <c r="A9" s="61"/>
      <c r="B9" s="61"/>
      <c r="C9" s="62"/>
      <c r="D9" s="63"/>
      <c r="E9" s="62"/>
      <c r="F9" s="63" t="s">
        <v>1552</v>
      </c>
      <c r="G9" s="64"/>
      <c r="H9" s="63"/>
      <c r="I9" s="62"/>
    </row>
    <row r="10" spans="1:9" ht="18" customHeight="1" thickBot="1">
      <c r="A10" s="823">
        <v>0</v>
      </c>
      <c r="B10" s="823"/>
      <c r="C10" s="824">
        <v>1</v>
      </c>
      <c r="D10" s="825">
        <v>2</v>
      </c>
      <c r="E10" s="824">
        <v>3</v>
      </c>
      <c r="F10" s="826">
        <v>4</v>
      </c>
      <c r="G10" s="827">
        <v>5</v>
      </c>
      <c r="H10" s="825">
        <v>6</v>
      </c>
      <c r="I10" s="824">
        <v>7</v>
      </c>
    </row>
    <row r="11" spans="1:9" ht="15.75" customHeight="1" thickBot="1">
      <c r="A11" s="75">
        <v>8</v>
      </c>
      <c r="B11" s="1081" t="s">
        <v>935</v>
      </c>
      <c r="C11" s="828" t="s">
        <v>1491</v>
      </c>
      <c r="D11" s="787">
        <v>1122.8</v>
      </c>
      <c r="E11" s="829">
        <v>854.32295000000011</v>
      </c>
      <c r="F11" s="787">
        <v>62.000009999999996</v>
      </c>
      <c r="G11" s="829">
        <v>221.46873000000002</v>
      </c>
      <c r="H11" s="787">
        <v>2000</v>
      </c>
      <c r="I11" s="830">
        <v>9487.4502200000006</v>
      </c>
    </row>
    <row r="12" spans="1:9" ht="14" thickBot="1">
      <c r="A12" s="831">
        <v>32</v>
      </c>
      <c r="B12" s="1082" t="s">
        <v>1308</v>
      </c>
      <c r="C12" s="828" t="s">
        <v>1491</v>
      </c>
      <c r="D12" s="788">
        <v>1782.6</v>
      </c>
      <c r="E12" s="833">
        <v>858.51855</v>
      </c>
      <c r="F12" s="788">
        <v>141.35113000000001</v>
      </c>
      <c r="G12" s="833">
        <v>74.66516</v>
      </c>
      <c r="H12" s="788">
        <v>1500</v>
      </c>
      <c r="I12" s="834">
        <v>895.90197000000001</v>
      </c>
    </row>
    <row r="13" spans="1:9" ht="14" thickBot="1">
      <c r="A13" s="831">
        <v>57</v>
      </c>
      <c r="B13" s="1082" t="s">
        <v>1309</v>
      </c>
      <c r="C13" s="828" t="s">
        <v>1491</v>
      </c>
      <c r="D13" s="788">
        <v>32943.4</v>
      </c>
      <c r="E13" s="833">
        <v>23486.889300000003</v>
      </c>
      <c r="F13" s="788">
        <v>5663.088279999999</v>
      </c>
      <c r="G13" s="833">
        <v>4537.5902500000002</v>
      </c>
      <c r="H13" s="788">
        <v>2400</v>
      </c>
      <c r="I13" s="834">
        <v>34377.049880000006</v>
      </c>
    </row>
    <row r="14" spans="1:9" ht="14" thickBot="1">
      <c r="A14" s="831">
        <v>97</v>
      </c>
      <c r="B14" s="1082" t="s">
        <v>1310</v>
      </c>
      <c r="C14" s="828" t="s">
        <v>1491</v>
      </c>
      <c r="D14" s="788">
        <v>51.1</v>
      </c>
      <c r="E14" s="833">
        <v>51.529000000000003</v>
      </c>
      <c r="F14" s="788">
        <v>0</v>
      </c>
      <c r="G14" s="833">
        <v>-2.7882000000000002</v>
      </c>
      <c r="H14" s="788">
        <v>30</v>
      </c>
      <c r="I14" s="834">
        <v>37.211800000000004</v>
      </c>
    </row>
    <row r="15" spans="1:9" ht="14" thickBot="1">
      <c r="A15" s="831">
        <v>134</v>
      </c>
      <c r="B15" s="1082" t="s">
        <v>1311</v>
      </c>
      <c r="C15" s="828" t="s">
        <v>1491</v>
      </c>
      <c r="D15" s="788">
        <v>110.2</v>
      </c>
      <c r="E15" s="833">
        <v>125.346</v>
      </c>
      <c r="F15" s="788">
        <v>16.344100000000001</v>
      </c>
      <c r="G15" s="833">
        <v>-25.379250000000003</v>
      </c>
      <c r="H15" s="788">
        <v>100</v>
      </c>
      <c r="I15" s="834">
        <v>344.17770000000002</v>
      </c>
    </row>
    <row r="16" spans="1:9" ht="14" thickBot="1">
      <c r="A16" s="831">
        <v>160</v>
      </c>
      <c r="B16" s="1082" t="s">
        <v>937</v>
      </c>
      <c r="C16" s="828" t="s">
        <v>1491</v>
      </c>
      <c r="D16" s="788">
        <v>1351.9</v>
      </c>
      <c r="E16" s="833">
        <v>834.94313999999997</v>
      </c>
      <c r="F16" s="788">
        <v>209.39239999999998</v>
      </c>
      <c r="G16" s="833">
        <v>339.73472000000004</v>
      </c>
      <c r="H16" s="788">
        <v>80</v>
      </c>
      <c r="I16" s="834">
        <v>2242.8312000000001</v>
      </c>
    </row>
    <row r="17" spans="1:9" ht="14" thickBot="1">
      <c r="A17" s="831">
        <v>182</v>
      </c>
      <c r="B17" s="1082" t="s">
        <v>938</v>
      </c>
      <c r="C17" s="828" t="s">
        <v>1491</v>
      </c>
      <c r="D17" s="788">
        <v>4.2</v>
      </c>
      <c r="E17" s="833">
        <v>0.59860000000000002</v>
      </c>
      <c r="F17" s="788">
        <v>7.79488</v>
      </c>
      <c r="G17" s="833">
        <v>-4.3122199999999999</v>
      </c>
      <c r="H17" s="788">
        <v>0</v>
      </c>
      <c r="I17" s="834">
        <v>370.76079999999996</v>
      </c>
    </row>
    <row r="18" spans="1:9" ht="14" thickBot="1">
      <c r="A18" s="831">
        <v>194</v>
      </c>
      <c r="B18" s="1082" t="s">
        <v>508</v>
      </c>
      <c r="C18" s="828" t="s">
        <v>1491</v>
      </c>
      <c r="D18" s="788">
        <v>1317.4</v>
      </c>
      <c r="E18" s="833">
        <v>876.78575000000001</v>
      </c>
      <c r="F18" s="788">
        <v>216.20346000000001</v>
      </c>
      <c r="G18" s="833">
        <v>133.83378999999996</v>
      </c>
      <c r="H18" s="788">
        <v>550</v>
      </c>
      <c r="I18" s="834">
        <v>1446.73181</v>
      </c>
    </row>
    <row r="19" spans="1:9" ht="14" thickBot="1">
      <c r="A19" s="831">
        <v>216</v>
      </c>
      <c r="B19" s="1082" t="s">
        <v>509</v>
      </c>
      <c r="C19" s="828" t="s">
        <v>1491</v>
      </c>
      <c r="D19" s="788">
        <v>117.1</v>
      </c>
      <c r="E19" s="833">
        <v>75.363559999999993</v>
      </c>
      <c r="F19" s="788">
        <v>18.46809</v>
      </c>
      <c r="G19" s="833">
        <v>3.9959099999999999</v>
      </c>
      <c r="H19" s="788">
        <v>15</v>
      </c>
      <c r="I19" s="834">
        <v>256.00398000000001</v>
      </c>
    </row>
    <row r="20" spans="1:9" ht="14" thickBot="1">
      <c r="A20" s="831">
        <v>246</v>
      </c>
      <c r="B20" s="1082" t="s">
        <v>510</v>
      </c>
      <c r="C20" s="828" t="s">
        <v>1491</v>
      </c>
      <c r="D20" s="788">
        <v>33.4</v>
      </c>
      <c r="E20" s="833">
        <v>0.14599999999999999</v>
      </c>
      <c r="F20" s="788">
        <v>26.532299999999999</v>
      </c>
      <c r="G20" s="833">
        <v>0.19690000000000005</v>
      </c>
      <c r="H20" s="788">
        <v>28.349450000000001</v>
      </c>
      <c r="I20" s="834">
        <v>229.31820000000002</v>
      </c>
    </row>
    <row r="21" spans="1:9" ht="14" thickBot="1">
      <c r="A21" s="831">
        <v>261</v>
      </c>
      <c r="B21" s="1082" t="s">
        <v>511</v>
      </c>
      <c r="C21" s="828" t="s">
        <v>1491</v>
      </c>
      <c r="D21" s="788">
        <v>252.6</v>
      </c>
      <c r="E21" s="833">
        <v>137.44110000000001</v>
      </c>
      <c r="F21" s="788">
        <v>113.36032</v>
      </c>
      <c r="G21" s="833">
        <v>200.18835000000001</v>
      </c>
      <c r="H21" s="788">
        <v>100</v>
      </c>
      <c r="I21" s="834">
        <v>1188.5176000000001</v>
      </c>
    </row>
    <row r="22" spans="1:9" ht="14" thickBot="1">
      <c r="A22" s="831">
        <v>263</v>
      </c>
      <c r="B22" s="1082" t="s">
        <v>1312</v>
      </c>
      <c r="C22" s="828" t="s">
        <v>1491</v>
      </c>
      <c r="D22" s="788">
        <v>7469</v>
      </c>
      <c r="E22" s="833">
        <v>4900.0270199999995</v>
      </c>
      <c r="F22" s="788">
        <v>1659.6892700000001</v>
      </c>
      <c r="G22" s="833">
        <v>824.80798000000004</v>
      </c>
      <c r="H22" s="788">
        <v>1100</v>
      </c>
      <c r="I22" s="834">
        <v>18030.251670000001</v>
      </c>
    </row>
    <row r="23" spans="1:9" ht="14" thickBot="1">
      <c r="A23" s="831">
        <v>290</v>
      </c>
      <c r="B23" s="1082" t="s">
        <v>1313</v>
      </c>
      <c r="C23" s="828" t="s">
        <v>1491</v>
      </c>
      <c r="D23" s="788">
        <v>10141.4</v>
      </c>
      <c r="E23" s="833">
        <v>7585.3195999999998</v>
      </c>
      <c r="F23" s="788">
        <v>2578.9866499999998</v>
      </c>
      <c r="G23" s="833">
        <v>-73.125320000000002</v>
      </c>
      <c r="H23" s="788">
        <v>1168.1387500000001</v>
      </c>
      <c r="I23" s="834">
        <v>4294.5613700000004</v>
      </c>
    </row>
    <row r="24" spans="1:9" ht="14" thickBot="1">
      <c r="A24" s="831">
        <v>294</v>
      </c>
      <c r="B24" s="1082" t="s">
        <v>512</v>
      </c>
      <c r="C24" s="828" t="s">
        <v>1491</v>
      </c>
      <c r="D24" s="788">
        <v>69.599999999999994</v>
      </c>
      <c r="E24" s="833">
        <v>24.629000000000001</v>
      </c>
      <c r="F24" s="788">
        <v>26.00882</v>
      </c>
      <c r="G24" s="833">
        <v>18.928999999999998</v>
      </c>
      <c r="H24" s="788">
        <v>51</v>
      </c>
      <c r="I24" s="834">
        <v>128.53399999999999</v>
      </c>
    </row>
    <row r="25" spans="1:9" ht="14" thickBot="1">
      <c r="A25" s="831">
        <v>312</v>
      </c>
      <c r="B25" s="1082" t="s">
        <v>1314</v>
      </c>
      <c r="C25" s="828" t="s">
        <v>1491</v>
      </c>
      <c r="D25" s="788">
        <v>540.79999999999995</v>
      </c>
      <c r="E25" s="833">
        <v>433.26710000000003</v>
      </c>
      <c r="F25" s="788">
        <v>21.72297</v>
      </c>
      <c r="G25" s="833">
        <v>112.97648999999998</v>
      </c>
      <c r="H25" s="788">
        <v>143</v>
      </c>
      <c r="I25" s="834">
        <v>2912.4156800000001</v>
      </c>
    </row>
    <row r="26" spans="1:9" ht="14" thickBot="1">
      <c r="A26" s="831">
        <v>343</v>
      </c>
      <c r="B26" s="1082" t="s">
        <v>513</v>
      </c>
      <c r="C26" s="828" t="s">
        <v>1491</v>
      </c>
      <c r="D26" s="788">
        <v>1291.7</v>
      </c>
      <c r="E26" s="833">
        <v>560.38082000000009</v>
      </c>
      <c r="F26" s="788">
        <v>199.95388</v>
      </c>
      <c r="G26" s="833">
        <v>378.41088999999999</v>
      </c>
      <c r="H26" s="788">
        <v>115</v>
      </c>
      <c r="I26" s="834">
        <v>8148.2305999999999</v>
      </c>
    </row>
    <row r="27" spans="1:9" ht="14" thickBot="1">
      <c r="A27" s="831">
        <v>360</v>
      </c>
      <c r="B27" s="1082" t="s">
        <v>1315</v>
      </c>
      <c r="C27" s="828" t="s">
        <v>1491</v>
      </c>
      <c r="D27" s="788">
        <v>1089.3</v>
      </c>
      <c r="E27" s="833">
        <v>786.63409999999999</v>
      </c>
      <c r="F27" s="788">
        <v>46.973999999999997</v>
      </c>
      <c r="G27" s="833">
        <v>225.93965</v>
      </c>
      <c r="H27" s="788">
        <v>523.55430000000001</v>
      </c>
      <c r="I27" s="834">
        <v>2117.5729999999999</v>
      </c>
    </row>
    <row r="28" spans="1:9" ht="14" thickBot="1">
      <c r="A28" s="831">
        <v>376</v>
      </c>
      <c r="B28" s="1082" t="s">
        <v>1316</v>
      </c>
      <c r="C28" s="828" t="s">
        <v>1491</v>
      </c>
      <c r="D28" s="788">
        <v>937.3</v>
      </c>
      <c r="E28" s="833">
        <v>585.80799999999999</v>
      </c>
      <c r="F28" s="788">
        <v>40.667340000000003</v>
      </c>
      <c r="G28" s="833">
        <v>378.30804999999998</v>
      </c>
      <c r="H28" s="788">
        <v>180</v>
      </c>
      <c r="I28" s="834">
        <v>4438.89779</v>
      </c>
    </row>
    <row r="29" spans="1:9" ht="14" thickBot="1">
      <c r="A29" s="831">
        <v>411</v>
      </c>
      <c r="B29" s="1082" t="s">
        <v>1317</v>
      </c>
      <c r="C29" s="828" t="s">
        <v>1491</v>
      </c>
      <c r="D29" s="788">
        <v>5606.3</v>
      </c>
      <c r="E29" s="833">
        <v>3614.6181499999998</v>
      </c>
      <c r="F29" s="788">
        <v>1995.52494</v>
      </c>
      <c r="G29" s="833">
        <v>-424.34962999999999</v>
      </c>
      <c r="H29" s="788">
        <v>705</v>
      </c>
      <c r="I29" s="834">
        <v>626.85543000000007</v>
      </c>
    </row>
    <row r="30" spans="1:9" ht="14" thickBot="1">
      <c r="A30" s="831">
        <v>445</v>
      </c>
      <c r="B30" s="1082" t="s">
        <v>514</v>
      </c>
      <c r="C30" s="828" t="s">
        <v>1491</v>
      </c>
      <c r="D30" s="788">
        <v>1826.8</v>
      </c>
      <c r="E30" s="833">
        <v>1084.8185800000001</v>
      </c>
      <c r="F30" s="788">
        <v>414.18675999999994</v>
      </c>
      <c r="G30" s="833">
        <v>298.00229000000002</v>
      </c>
      <c r="H30" s="788">
        <v>150</v>
      </c>
      <c r="I30" s="834">
        <v>1163.54522</v>
      </c>
    </row>
    <row r="31" spans="1:9" ht="14" thickBot="1">
      <c r="A31" s="831">
        <v>455</v>
      </c>
      <c r="B31" s="1082" t="s">
        <v>1318</v>
      </c>
      <c r="C31" s="828" t="s">
        <v>1491</v>
      </c>
      <c r="D31" s="788">
        <v>3295.8</v>
      </c>
      <c r="E31" s="833">
        <v>2269.1382000000003</v>
      </c>
      <c r="F31" s="788">
        <v>251.97004999999999</v>
      </c>
      <c r="G31" s="833">
        <v>628.74680000000001</v>
      </c>
      <c r="H31" s="788">
        <v>630.846</v>
      </c>
      <c r="I31" s="834">
        <v>12333.064619999999</v>
      </c>
    </row>
    <row r="32" spans="1:9" ht="14" thickBot="1">
      <c r="A32" s="831">
        <v>484</v>
      </c>
      <c r="B32" s="1082" t="s">
        <v>515</v>
      </c>
      <c r="C32" s="828" t="s">
        <v>1491</v>
      </c>
      <c r="D32" s="788">
        <v>10.1</v>
      </c>
      <c r="E32" s="833">
        <v>40.744399999999999</v>
      </c>
      <c r="F32" s="788">
        <v>1.8292200000000003</v>
      </c>
      <c r="G32" s="833">
        <v>-30.569960000000002</v>
      </c>
      <c r="H32" s="788">
        <v>10</v>
      </c>
      <c r="I32" s="834">
        <v>305.64256</v>
      </c>
    </row>
    <row r="33" spans="1:9" ht="14" thickBot="1">
      <c r="A33" s="831">
        <v>509</v>
      </c>
      <c r="B33" s="1082" t="s">
        <v>1319</v>
      </c>
      <c r="C33" s="828" t="s">
        <v>1491</v>
      </c>
      <c r="D33" s="788">
        <v>21.1</v>
      </c>
      <c r="E33" s="833">
        <v>3.8795000000000002</v>
      </c>
      <c r="F33" s="788">
        <v>151.47501</v>
      </c>
      <c r="G33" s="833">
        <v>1244.2877100000003</v>
      </c>
      <c r="H33" s="788">
        <v>127.06477000000001</v>
      </c>
      <c r="I33" s="834">
        <v>4572.5074100000002</v>
      </c>
    </row>
    <row r="34" spans="1:9" ht="14" thickBot="1">
      <c r="A34" s="831">
        <v>556</v>
      </c>
      <c r="B34" s="1082" t="s">
        <v>1320</v>
      </c>
      <c r="C34" s="828" t="s">
        <v>1491</v>
      </c>
      <c r="D34" s="788">
        <v>404.4</v>
      </c>
      <c r="E34" s="833">
        <v>256.93914999999998</v>
      </c>
      <c r="F34" s="788">
        <v>85.147050000000007</v>
      </c>
      <c r="G34" s="833">
        <v>82.992720000000006</v>
      </c>
      <c r="H34" s="788">
        <v>37</v>
      </c>
      <c r="I34" s="834">
        <v>1255.9110900000001</v>
      </c>
    </row>
    <row r="35" spans="1:9" ht="14" thickBot="1">
      <c r="A35" s="831">
        <v>558</v>
      </c>
      <c r="B35" s="1082" t="s">
        <v>1321</v>
      </c>
      <c r="C35" s="828" t="s">
        <v>1491</v>
      </c>
      <c r="D35" s="788">
        <v>10.199999999999999</v>
      </c>
      <c r="E35" s="833">
        <v>1.0209999999999999</v>
      </c>
      <c r="F35" s="788">
        <v>0.55825999999999998</v>
      </c>
      <c r="G35" s="833">
        <v>7.1989099999999997</v>
      </c>
      <c r="H35" s="788">
        <v>24.6</v>
      </c>
      <c r="I35" s="834">
        <v>138.97608000000002</v>
      </c>
    </row>
    <row r="36" spans="1:9" ht="14" thickBot="1">
      <c r="A36" s="831">
        <v>591</v>
      </c>
      <c r="B36" s="1082" t="s">
        <v>1322</v>
      </c>
      <c r="C36" s="828" t="s">
        <v>1491</v>
      </c>
      <c r="D36" s="788">
        <v>1074.9000000000001</v>
      </c>
      <c r="E36" s="833">
        <v>905.84665000000007</v>
      </c>
      <c r="F36" s="788">
        <v>29.452999999999999</v>
      </c>
      <c r="G36" s="833">
        <v>143.92805000000001</v>
      </c>
      <c r="H36" s="788">
        <v>90</v>
      </c>
      <c r="I36" s="834">
        <v>955.50615000000005</v>
      </c>
    </row>
    <row r="37" spans="1:9" ht="14" thickBot="1">
      <c r="A37" s="831">
        <v>623</v>
      </c>
      <c r="B37" s="1082" t="s">
        <v>516</v>
      </c>
      <c r="C37" s="828" t="s">
        <v>1491</v>
      </c>
      <c r="D37" s="788">
        <v>44.9</v>
      </c>
      <c r="E37" s="833">
        <v>0.1</v>
      </c>
      <c r="F37" s="788">
        <v>3.8841000000000001</v>
      </c>
      <c r="G37" s="833">
        <v>5.6280000000000001</v>
      </c>
      <c r="H37" s="788">
        <v>0</v>
      </c>
      <c r="I37" s="834">
        <v>0</v>
      </c>
    </row>
    <row r="38" spans="1:9" ht="14" thickBot="1">
      <c r="A38" s="831">
        <v>627</v>
      </c>
      <c r="B38" s="1082" t="s">
        <v>517</v>
      </c>
      <c r="C38" s="828" t="s">
        <v>1491</v>
      </c>
      <c r="D38" s="788">
        <v>130.1</v>
      </c>
      <c r="E38" s="833">
        <v>215.02099999999999</v>
      </c>
      <c r="F38" s="788">
        <v>5.6951999999999998</v>
      </c>
      <c r="G38" s="833">
        <v>-30.016650000000002</v>
      </c>
      <c r="H38" s="788">
        <v>10</v>
      </c>
      <c r="I38" s="834">
        <v>-2.0181</v>
      </c>
    </row>
    <row r="39" spans="1:9" ht="14" thickBot="1">
      <c r="A39" s="831">
        <v>749</v>
      </c>
      <c r="B39" s="1082" t="s">
        <v>2344</v>
      </c>
      <c r="C39" s="828" t="s">
        <v>1491</v>
      </c>
      <c r="D39" s="788">
        <v>4947.5</v>
      </c>
      <c r="E39" s="833">
        <v>3118.7868199999998</v>
      </c>
      <c r="F39" s="788">
        <v>942.33361000000002</v>
      </c>
      <c r="G39" s="833">
        <v>998.48720000000003</v>
      </c>
      <c r="H39" s="788">
        <v>600</v>
      </c>
      <c r="I39" s="834">
        <v>3991.96515</v>
      </c>
    </row>
    <row r="40" spans="1:9" ht="14" thickBot="1">
      <c r="A40" s="831">
        <v>758</v>
      </c>
      <c r="B40" s="1082" t="s">
        <v>518</v>
      </c>
      <c r="C40" s="828" t="s">
        <v>1491</v>
      </c>
      <c r="D40" s="788">
        <v>25.1</v>
      </c>
      <c r="E40" s="833">
        <v>50.491999999999997</v>
      </c>
      <c r="F40" s="788">
        <v>2.2004999999999999</v>
      </c>
      <c r="G40" s="833">
        <v>-1.35425</v>
      </c>
      <c r="H40" s="788">
        <v>20</v>
      </c>
      <c r="I40" s="834">
        <v>83.738919999999993</v>
      </c>
    </row>
    <row r="41" spans="1:9" ht="14" thickBot="1">
      <c r="A41" s="831">
        <v>762</v>
      </c>
      <c r="B41" s="1082" t="s">
        <v>519</v>
      </c>
      <c r="C41" s="828" t="s">
        <v>1491</v>
      </c>
      <c r="D41" s="788">
        <v>306.2</v>
      </c>
      <c r="E41" s="833">
        <v>108.73355000000001</v>
      </c>
      <c r="F41" s="788">
        <v>83.5916</v>
      </c>
      <c r="G41" s="833">
        <v>6.0262999999999991</v>
      </c>
      <c r="H41" s="788">
        <v>200</v>
      </c>
      <c r="I41" s="834">
        <v>1363.1709499999999</v>
      </c>
    </row>
    <row r="42" spans="1:9" ht="14" thickBot="1">
      <c r="A42" s="831">
        <v>774</v>
      </c>
      <c r="B42" s="1082" t="s">
        <v>1323</v>
      </c>
      <c r="C42" s="828" t="s">
        <v>1491</v>
      </c>
      <c r="D42" s="788">
        <v>524.70000000000005</v>
      </c>
      <c r="E42" s="833">
        <v>413.85629999999998</v>
      </c>
      <c r="F42" s="788">
        <v>149.65139000000002</v>
      </c>
      <c r="G42" s="833">
        <v>5.1395800000000014</v>
      </c>
      <c r="H42" s="788">
        <v>85</v>
      </c>
      <c r="I42" s="834">
        <v>762.12870000000009</v>
      </c>
    </row>
    <row r="43" spans="1:9" ht="14" thickBot="1">
      <c r="A43" s="831">
        <v>780</v>
      </c>
      <c r="B43" s="1082" t="s">
        <v>520</v>
      </c>
      <c r="C43" s="828" t="s">
        <v>1491</v>
      </c>
      <c r="D43" s="788">
        <v>147.4</v>
      </c>
      <c r="E43" s="833">
        <v>96.487499999999997</v>
      </c>
      <c r="F43" s="788">
        <v>40.925750000000001</v>
      </c>
      <c r="G43" s="833">
        <v>-8.0018999999999991</v>
      </c>
      <c r="H43" s="788">
        <v>18</v>
      </c>
      <c r="I43" s="834">
        <v>154.93914999999998</v>
      </c>
    </row>
    <row r="44" spans="1:9" ht="14" thickBot="1">
      <c r="A44" s="831">
        <v>790</v>
      </c>
      <c r="B44" s="1082" t="s">
        <v>1324</v>
      </c>
      <c r="C44" s="828" t="s">
        <v>1491</v>
      </c>
      <c r="D44" s="788">
        <v>63</v>
      </c>
      <c r="E44" s="833">
        <v>21.878</v>
      </c>
      <c r="F44" s="788">
        <v>36.499749999999999</v>
      </c>
      <c r="G44" s="833">
        <v>-17.357900000000001</v>
      </c>
      <c r="H44" s="788">
        <v>2</v>
      </c>
      <c r="I44" s="834">
        <v>25.251560000000001</v>
      </c>
    </row>
    <row r="45" spans="1:9" ht="14" thickBot="1">
      <c r="A45" s="831">
        <v>820</v>
      </c>
      <c r="B45" s="1082" t="s">
        <v>1325</v>
      </c>
      <c r="C45" s="828" t="s">
        <v>1491</v>
      </c>
      <c r="D45" s="788">
        <v>323.89999999999998</v>
      </c>
      <c r="E45" s="833">
        <v>362.38745</v>
      </c>
      <c r="F45" s="788">
        <v>20</v>
      </c>
      <c r="G45" s="833">
        <v>-14.363099999999999</v>
      </c>
      <c r="H45" s="788">
        <v>240</v>
      </c>
      <c r="I45" s="834">
        <v>126.05030000000001</v>
      </c>
    </row>
    <row r="46" spans="1:9" ht="14" thickBot="1">
      <c r="A46" s="831">
        <v>829</v>
      </c>
      <c r="B46" s="1082" t="s">
        <v>521</v>
      </c>
      <c r="C46" s="828" t="s">
        <v>1491</v>
      </c>
      <c r="D46" s="788">
        <v>664.5</v>
      </c>
      <c r="E46" s="833">
        <v>-53.790450000000007</v>
      </c>
      <c r="F46" s="788">
        <v>270.76112000000001</v>
      </c>
      <c r="G46" s="833">
        <v>477.36295000000001</v>
      </c>
      <c r="H46" s="788">
        <v>390</v>
      </c>
      <c r="I46" s="834">
        <v>2046.02198</v>
      </c>
    </row>
    <row r="47" spans="1:9" ht="14" thickBot="1">
      <c r="A47" s="831">
        <v>881</v>
      </c>
      <c r="B47" s="1082" t="s">
        <v>1326</v>
      </c>
      <c r="C47" s="828" t="s">
        <v>1491</v>
      </c>
      <c r="D47" s="788">
        <v>453.5</v>
      </c>
      <c r="E47" s="833">
        <v>475.7672</v>
      </c>
      <c r="F47" s="788">
        <v>113.60096</v>
      </c>
      <c r="G47" s="833">
        <v>-57.713560000000008</v>
      </c>
      <c r="H47" s="788">
        <v>136.52169000000001</v>
      </c>
      <c r="I47" s="834">
        <v>5180.5582599999998</v>
      </c>
    </row>
    <row r="48" spans="1:9" ht="14" thickBot="1">
      <c r="A48" s="831">
        <v>895</v>
      </c>
      <c r="B48" s="1082" t="s">
        <v>522</v>
      </c>
      <c r="C48" s="828" t="s">
        <v>1491</v>
      </c>
      <c r="D48" s="788">
        <v>7.5</v>
      </c>
      <c r="E48" s="833">
        <v>0.56000000000000005</v>
      </c>
      <c r="F48" s="788">
        <v>0</v>
      </c>
      <c r="G48" s="833">
        <v>0.87009999999999998</v>
      </c>
      <c r="H48" s="788">
        <v>0</v>
      </c>
      <c r="I48" s="834">
        <v>0</v>
      </c>
    </row>
    <row r="49" spans="1:9" ht="14" thickBot="1">
      <c r="A49" s="831">
        <v>901</v>
      </c>
      <c r="B49" s="1082" t="s">
        <v>523</v>
      </c>
      <c r="C49" s="828" t="s">
        <v>1491</v>
      </c>
      <c r="D49" s="788">
        <v>253.5</v>
      </c>
      <c r="E49" s="833">
        <v>126.015</v>
      </c>
      <c r="F49" s="788">
        <v>21.048299999999998</v>
      </c>
      <c r="G49" s="833">
        <v>106.44575000000002</v>
      </c>
      <c r="H49" s="788">
        <v>50</v>
      </c>
      <c r="I49" s="834">
        <v>604.64089999999999</v>
      </c>
    </row>
    <row r="50" spans="1:9" ht="14" thickBot="1">
      <c r="A50" s="831">
        <v>923</v>
      </c>
      <c r="B50" s="1082" t="s">
        <v>524</v>
      </c>
      <c r="C50" s="828" t="s">
        <v>1491</v>
      </c>
      <c r="D50" s="788">
        <v>135.5</v>
      </c>
      <c r="E50" s="833">
        <v>28.475000000000001</v>
      </c>
      <c r="F50" s="788">
        <v>1.5375300000000001</v>
      </c>
      <c r="G50" s="833">
        <v>103.7914</v>
      </c>
      <c r="H50" s="788">
        <v>10</v>
      </c>
      <c r="I50" s="834">
        <v>3955.7211600000001</v>
      </c>
    </row>
    <row r="51" spans="1:9" ht="14" thickBot="1">
      <c r="A51" s="831">
        <v>941</v>
      </c>
      <c r="B51" s="1082" t="s">
        <v>525</v>
      </c>
      <c r="C51" s="828" t="s">
        <v>1491</v>
      </c>
      <c r="D51" s="788">
        <v>288.60000000000002</v>
      </c>
      <c r="E51" s="833">
        <v>299.83969999999999</v>
      </c>
      <c r="F51" s="788">
        <v>49.9</v>
      </c>
      <c r="G51" s="833">
        <v>-800</v>
      </c>
      <c r="H51" s="788">
        <v>83.230800000000002</v>
      </c>
      <c r="I51" s="834">
        <v>634.85550000000001</v>
      </c>
    </row>
    <row r="52" spans="1:9" ht="14" thickBot="1">
      <c r="A52" s="831">
        <v>966</v>
      </c>
      <c r="B52" s="1082" t="s">
        <v>1327</v>
      </c>
      <c r="C52" s="828" t="s">
        <v>1491</v>
      </c>
      <c r="D52" s="788">
        <v>990.9</v>
      </c>
      <c r="E52" s="833">
        <v>517.88975000000005</v>
      </c>
      <c r="F52" s="788">
        <v>282.12870999999996</v>
      </c>
      <c r="G52" s="833">
        <v>-72.858910000000009</v>
      </c>
      <c r="H52" s="788">
        <v>410</v>
      </c>
      <c r="I52" s="834">
        <v>750.75366000000008</v>
      </c>
    </row>
    <row r="53" spans="1:9" ht="14" thickBot="1">
      <c r="A53" s="831">
        <v>979</v>
      </c>
      <c r="B53" s="1082" t="s">
        <v>1328</v>
      </c>
      <c r="C53" s="828" t="s">
        <v>1491</v>
      </c>
      <c r="D53" s="788">
        <v>10</v>
      </c>
      <c r="E53" s="833">
        <v>26.82</v>
      </c>
      <c r="F53" s="788">
        <v>1.3411999999999999</v>
      </c>
      <c r="G53" s="833">
        <v>-3.02</v>
      </c>
      <c r="H53" s="788">
        <v>8.0176800000000004</v>
      </c>
      <c r="I53" s="834">
        <v>43.762149999999998</v>
      </c>
    </row>
    <row r="54" spans="1:9" ht="14" thickBot="1">
      <c r="A54" s="831">
        <v>994</v>
      </c>
      <c r="B54" s="1082" t="s">
        <v>526</v>
      </c>
      <c r="C54" s="828" t="s">
        <v>1491</v>
      </c>
      <c r="D54" s="788">
        <v>732.6</v>
      </c>
      <c r="E54" s="833">
        <v>335.84440000000001</v>
      </c>
      <c r="F54" s="788">
        <v>93.573809999999995</v>
      </c>
      <c r="G54" s="833">
        <v>334.83138000000002</v>
      </c>
      <c r="H54" s="788">
        <v>401</v>
      </c>
      <c r="I54" s="834">
        <v>1550.80404</v>
      </c>
    </row>
    <row r="55" spans="1:9" ht="14" thickBot="1">
      <c r="A55" s="831">
        <v>1003</v>
      </c>
      <c r="B55" s="1082" t="s">
        <v>527</v>
      </c>
      <c r="C55" s="828" t="s">
        <v>1491</v>
      </c>
      <c r="D55" s="788">
        <v>0.5</v>
      </c>
      <c r="E55" s="833">
        <v>1E-3</v>
      </c>
      <c r="F55" s="788">
        <v>2.5000000000000001E-2</v>
      </c>
      <c r="G55" s="833">
        <v>3.9200000000000006E-2</v>
      </c>
      <c r="H55" s="788">
        <v>0</v>
      </c>
      <c r="I55" s="834">
        <v>5.6978200000000001</v>
      </c>
    </row>
    <row r="56" spans="1:9" ht="14" thickBot="1">
      <c r="A56" s="831">
        <v>1040</v>
      </c>
      <c r="B56" s="1082" t="s">
        <v>1329</v>
      </c>
      <c r="C56" s="828" t="s">
        <v>1491</v>
      </c>
      <c r="D56" s="788">
        <v>143.5</v>
      </c>
      <c r="E56" s="833">
        <v>96.361449999999991</v>
      </c>
      <c r="F56" s="788">
        <v>6.9512</v>
      </c>
      <c r="G56" s="833">
        <v>9.3210499999999996</v>
      </c>
      <c r="H56" s="788">
        <v>0</v>
      </c>
      <c r="I56" s="834">
        <v>626.98302999999999</v>
      </c>
    </row>
    <row r="57" spans="1:9" ht="14" thickBot="1">
      <c r="A57" s="831">
        <v>1060</v>
      </c>
      <c r="B57" s="1082" t="s">
        <v>1330</v>
      </c>
      <c r="C57" s="828" t="s">
        <v>1491</v>
      </c>
      <c r="D57" s="788">
        <v>5719</v>
      </c>
      <c r="E57" s="833">
        <v>3296.6883499999999</v>
      </c>
      <c r="F57" s="788">
        <v>334.53300000000002</v>
      </c>
      <c r="G57" s="833">
        <v>2356.86346</v>
      </c>
      <c r="H57" s="788">
        <v>707</v>
      </c>
      <c r="I57" s="834">
        <v>10754.8151</v>
      </c>
    </row>
    <row r="58" spans="1:9" ht="14" thickBot="1">
      <c r="A58" s="831">
        <v>1097</v>
      </c>
      <c r="B58" s="1082" t="s">
        <v>1331</v>
      </c>
      <c r="C58" s="828" t="s">
        <v>1491</v>
      </c>
      <c r="D58" s="788">
        <v>83.7</v>
      </c>
      <c r="E58" s="833">
        <v>0.14699999999999999</v>
      </c>
      <c r="F58" s="788">
        <v>13.936590000000001</v>
      </c>
      <c r="G58" s="833">
        <v>57.1126</v>
      </c>
      <c r="H58" s="788">
        <v>10</v>
      </c>
      <c r="I58" s="834">
        <v>364.49968999999999</v>
      </c>
    </row>
    <row r="59" spans="1:9" ht="14" thickBot="1">
      <c r="A59" s="831">
        <v>1147</v>
      </c>
      <c r="B59" s="1082" t="s">
        <v>528</v>
      </c>
      <c r="C59" s="828" t="s">
        <v>1491</v>
      </c>
      <c r="D59" s="788">
        <v>13.3</v>
      </c>
      <c r="E59" s="833">
        <v>1E-3</v>
      </c>
      <c r="F59" s="788">
        <v>1</v>
      </c>
      <c r="G59" s="833">
        <v>15.13945</v>
      </c>
      <c r="H59" s="788">
        <v>31</v>
      </c>
      <c r="I59" s="834">
        <v>145.99725000000001</v>
      </c>
    </row>
    <row r="60" spans="1:9" ht="14" thickBot="1">
      <c r="A60" s="831">
        <v>1179</v>
      </c>
      <c r="B60" s="1082" t="s">
        <v>2345</v>
      </c>
      <c r="C60" s="828" t="s">
        <v>2346</v>
      </c>
      <c r="D60" s="788">
        <v>857.1</v>
      </c>
      <c r="E60" s="833">
        <v>1096.86248</v>
      </c>
      <c r="F60" s="788">
        <v>84.103200000000001</v>
      </c>
      <c r="G60" s="833">
        <v>-190.20879000000002</v>
      </c>
      <c r="H60" s="788">
        <v>60</v>
      </c>
      <c r="I60" s="834">
        <v>1605.0136</v>
      </c>
    </row>
    <row r="61" spans="1:9" ht="14" thickBot="1">
      <c r="A61" s="831">
        <v>1215</v>
      </c>
      <c r="B61" s="1082" t="s">
        <v>1332</v>
      </c>
      <c r="C61" s="828" t="s">
        <v>1491</v>
      </c>
      <c r="D61" s="788">
        <v>80.8</v>
      </c>
      <c r="E61" s="833">
        <v>51.302900000000001</v>
      </c>
      <c r="F61" s="788">
        <v>13.770300000000001</v>
      </c>
      <c r="G61" s="833">
        <v>4.9791000000000007</v>
      </c>
      <c r="H61" s="788">
        <v>10</v>
      </c>
      <c r="I61" s="834">
        <v>269.36146000000002</v>
      </c>
    </row>
    <row r="62" spans="1:9" ht="14" thickBot="1">
      <c r="A62" s="831">
        <v>1318</v>
      </c>
      <c r="B62" s="1082" t="s">
        <v>1333</v>
      </c>
      <c r="C62" s="828" t="s">
        <v>1491</v>
      </c>
      <c r="D62" s="788">
        <v>38.5</v>
      </c>
      <c r="E62" s="833">
        <v>4.8</v>
      </c>
      <c r="F62" s="788">
        <v>3.4175500000000003</v>
      </c>
      <c r="G62" s="833">
        <v>29.17334</v>
      </c>
      <c r="H62" s="788">
        <v>20</v>
      </c>
      <c r="I62" s="834">
        <v>232.71848</v>
      </c>
    </row>
    <row r="63" spans="1:9" ht="14" thickBot="1">
      <c r="A63" s="831">
        <v>1322</v>
      </c>
      <c r="B63" s="1082" t="s">
        <v>1334</v>
      </c>
      <c r="C63" s="828" t="s">
        <v>1491</v>
      </c>
      <c r="D63" s="788">
        <v>96.8</v>
      </c>
      <c r="E63" s="833">
        <v>22.08</v>
      </c>
      <c r="F63" s="788">
        <v>9.1516000000000002</v>
      </c>
      <c r="G63" s="833">
        <v>35.923300000000005</v>
      </c>
      <c r="H63" s="788">
        <v>34.549999999999997</v>
      </c>
      <c r="I63" s="834">
        <v>273.26508000000001</v>
      </c>
    </row>
    <row r="64" spans="1:9" ht="14" thickBot="1">
      <c r="A64" s="831">
        <v>1328</v>
      </c>
      <c r="B64" s="1082" t="s">
        <v>529</v>
      </c>
      <c r="C64" s="828" t="s">
        <v>1491</v>
      </c>
      <c r="D64" s="788">
        <v>74.3</v>
      </c>
      <c r="E64" s="833">
        <v>11.175000000000001</v>
      </c>
      <c r="F64" s="788">
        <v>3.3330500000000001</v>
      </c>
      <c r="G64" s="833">
        <v>60.12218</v>
      </c>
      <c r="H64" s="788">
        <v>255.46148000000002</v>
      </c>
      <c r="I64" s="834">
        <v>327.94630999999998</v>
      </c>
    </row>
    <row r="65" spans="1:9" ht="14" thickBot="1">
      <c r="A65" s="831">
        <v>1331</v>
      </c>
      <c r="B65" s="1082" t="s">
        <v>1335</v>
      </c>
      <c r="C65" s="828" t="s">
        <v>1491</v>
      </c>
      <c r="D65" s="788">
        <v>1.8</v>
      </c>
      <c r="E65" s="833">
        <v>1.21</v>
      </c>
      <c r="F65" s="788">
        <v>5.8708100000000005</v>
      </c>
      <c r="G65" s="833">
        <v>108.27553</v>
      </c>
      <c r="H65" s="788">
        <v>20</v>
      </c>
      <c r="I65" s="834">
        <v>664.46483000000001</v>
      </c>
    </row>
    <row r="66" spans="1:9" ht="14" thickBot="1">
      <c r="A66" s="831">
        <v>1362</v>
      </c>
      <c r="B66" s="1082" t="s">
        <v>530</v>
      </c>
      <c r="C66" s="828" t="s">
        <v>1491</v>
      </c>
      <c r="D66" s="788">
        <v>15.8</v>
      </c>
      <c r="E66" s="833">
        <v>2.2000000000000002</v>
      </c>
      <c r="F66" s="788">
        <v>0</v>
      </c>
      <c r="G66" s="833">
        <v>1.3591000000000002</v>
      </c>
      <c r="H66" s="788">
        <v>1.5</v>
      </c>
      <c r="I66" s="834">
        <v>16.050899999999999</v>
      </c>
    </row>
    <row r="67" spans="1:9" ht="14" thickBot="1">
      <c r="A67" s="831">
        <v>1384</v>
      </c>
      <c r="B67" s="1082" t="s">
        <v>531</v>
      </c>
      <c r="C67" s="828" t="s">
        <v>1491</v>
      </c>
      <c r="D67" s="788">
        <v>4678.1000000000004</v>
      </c>
      <c r="E67" s="833">
        <v>3601.3866000000003</v>
      </c>
      <c r="F67" s="788">
        <v>1532.6044500000003</v>
      </c>
      <c r="G67" s="833">
        <v>-500.15713</v>
      </c>
      <c r="H67" s="788">
        <v>1093.5889999999999</v>
      </c>
      <c r="I67" s="834">
        <v>5766.3246900000004</v>
      </c>
    </row>
    <row r="68" spans="1:9" ht="14" thickBot="1">
      <c r="A68" s="831">
        <v>1386</v>
      </c>
      <c r="B68" s="1082" t="s">
        <v>1336</v>
      </c>
      <c r="C68" s="828" t="s">
        <v>1491</v>
      </c>
      <c r="D68" s="788">
        <v>1100.3</v>
      </c>
      <c r="E68" s="833">
        <v>871.43580000000009</v>
      </c>
      <c r="F68" s="788">
        <v>55.130400000000002</v>
      </c>
      <c r="G68" s="833">
        <v>40.463279999999997</v>
      </c>
      <c r="H68" s="788">
        <v>100</v>
      </c>
      <c r="I68" s="834">
        <v>284.21253999999999</v>
      </c>
    </row>
    <row r="69" spans="1:9" ht="14" thickBot="1">
      <c r="A69" s="831">
        <v>1395</v>
      </c>
      <c r="B69" s="1082" t="s">
        <v>1337</v>
      </c>
      <c r="C69" s="828" t="s">
        <v>1491</v>
      </c>
      <c r="D69" s="788">
        <v>2.4</v>
      </c>
      <c r="E69" s="833">
        <v>2E-3</v>
      </c>
      <c r="F69" s="788">
        <v>0.20094000000000001</v>
      </c>
      <c r="G69" s="833">
        <v>2.1335600000000001</v>
      </c>
      <c r="H69" s="788">
        <v>16.870999999999999</v>
      </c>
      <c r="I69" s="834">
        <v>81.269670000000005</v>
      </c>
    </row>
    <row r="70" spans="1:9" ht="14" thickBot="1">
      <c r="A70" s="831">
        <v>1401</v>
      </c>
      <c r="B70" s="1082" t="s">
        <v>1338</v>
      </c>
      <c r="C70" s="828" t="s">
        <v>1491</v>
      </c>
      <c r="D70" s="788">
        <v>43.4</v>
      </c>
      <c r="E70" s="833">
        <v>45.346499999999999</v>
      </c>
      <c r="F70" s="788">
        <v>23.660580000000003</v>
      </c>
      <c r="G70" s="833">
        <v>-25.608470000000001</v>
      </c>
      <c r="H70" s="788">
        <v>110</v>
      </c>
      <c r="I70" s="834">
        <v>200.49002999999999</v>
      </c>
    </row>
    <row r="71" spans="1:9" ht="14" thickBot="1">
      <c r="A71" s="831">
        <v>1402</v>
      </c>
      <c r="B71" s="1082" t="s">
        <v>1339</v>
      </c>
      <c r="C71" s="828" t="s">
        <v>2346</v>
      </c>
      <c r="D71" s="788">
        <v>0</v>
      </c>
      <c r="E71" s="833">
        <v>116.96860000000001</v>
      </c>
      <c r="F71" s="788">
        <v>1.4399000000000002</v>
      </c>
      <c r="G71" s="833">
        <v>132.99214999999998</v>
      </c>
      <c r="H71" s="788">
        <v>20</v>
      </c>
      <c r="I71" s="834">
        <v>1409.0517</v>
      </c>
    </row>
    <row r="72" spans="1:9" ht="14" thickBot="1">
      <c r="A72" s="831">
        <v>1423</v>
      </c>
      <c r="B72" s="1082" t="s">
        <v>972</v>
      </c>
      <c r="C72" s="828" t="s">
        <v>1491</v>
      </c>
      <c r="D72" s="788">
        <v>64.5</v>
      </c>
      <c r="E72" s="833">
        <v>1E-3</v>
      </c>
      <c r="F72" s="788">
        <v>1.6895</v>
      </c>
      <c r="G72" s="833">
        <v>46.880699999999997</v>
      </c>
      <c r="H72" s="788">
        <v>120</v>
      </c>
      <c r="I72" s="834">
        <v>346.89578</v>
      </c>
    </row>
    <row r="73" spans="1:9" ht="14" thickBot="1">
      <c r="A73" s="831">
        <v>1442</v>
      </c>
      <c r="B73" s="1082" t="s">
        <v>532</v>
      </c>
      <c r="C73" s="828" t="s">
        <v>1491</v>
      </c>
      <c r="D73" s="788">
        <v>45.5</v>
      </c>
      <c r="E73" s="833">
        <v>30.075170000000004</v>
      </c>
      <c r="F73" s="788">
        <v>7.9528500000000006</v>
      </c>
      <c r="G73" s="833">
        <v>10.02915</v>
      </c>
      <c r="H73" s="788">
        <v>10</v>
      </c>
      <c r="I73" s="834">
        <v>304.26360000000005</v>
      </c>
    </row>
    <row r="74" spans="1:9" ht="14" thickBot="1">
      <c r="A74" s="831">
        <v>1454</v>
      </c>
      <c r="B74" s="1082" t="s">
        <v>533</v>
      </c>
      <c r="C74" s="828" t="s">
        <v>1491</v>
      </c>
      <c r="D74" s="788">
        <v>2292.3000000000002</v>
      </c>
      <c r="E74" s="833">
        <v>1227.8720000000001</v>
      </c>
      <c r="F74" s="788">
        <v>169.92574999999999</v>
      </c>
      <c r="G74" s="833">
        <v>116.34754999999998</v>
      </c>
      <c r="H74" s="788">
        <v>4400</v>
      </c>
      <c r="I74" s="834">
        <v>1864.8234500000001</v>
      </c>
    </row>
    <row r="75" spans="1:9" ht="14" thickBot="1">
      <c r="A75" s="831">
        <v>1479</v>
      </c>
      <c r="B75" s="1082" t="s">
        <v>534</v>
      </c>
      <c r="C75" s="828" t="s">
        <v>1491</v>
      </c>
      <c r="D75" s="788">
        <v>15990.8</v>
      </c>
      <c r="E75" s="833">
        <v>10460.258029999999</v>
      </c>
      <c r="F75" s="788">
        <v>3755.6084599999999</v>
      </c>
      <c r="G75" s="833">
        <v>690.64730999999995</v>
      </c>
      <c r="H75" s="788">
        <v>1680</v>
      </c>
      <c r="I75" s="834">
        <v>29888.953510000003</v>
      </c>
    </row>
    <row r="76" spans="1:9" ht="14" thickBot="1">
      <c r="A76" s="831">
        <v>1491</v>
      </c>
      <c r="B76" s="1082" t="s">
        <v>2347</v>
      </c>
      <c r="C76" s="828" t="s">
        <v>2346</v>
      </c>
      <c r="D76" s="788">
        <v>1702.1</v>
      </c>
      <c r="E76" s="833">
        <v>1487.6040500000001</v>
      </c>
      <c r="F76" s="788">
        <v>154.00970000000001</v>
      </c>
      <c r="G76" s="833">
        <v>12.56814</v>
      </c>
      <c r="H76" s="788">
        <v>0</v>
      </c>
      <c r="I76" s="834">
        <v>2384.7140300000001</v>
      </c>
    </row>
    <row r="77" spans="1:9" ht="14" thickBot="1">
      <c r="A77" s="831">
        <v>1507</v>
      </c>
      <c r="B77" s="1082" t="s">
        <v>1340</v>
      </c>
      <c r="C77" s="828" t="s">
        <v>1491</v>
      </c>
      <c r="D77" s="788">
        <v>367.9</v>
      </c>
      <c r="E77" s="833">
        <v>209.70748</v>
      </c>
      <c r="F77" s="788">
        <v>80.004859999999994</v>
      </c>
      <c r="G77" s="833">
        <v>54.107370000000003</v>
      </c>
      <c r="H77" s="788">
        <v>70</v>
      </c>
      <c r="I77" s="834">
        <v>1833.16714</v>
      </c>
    </row>
    <row r="78" spans="1:9" ht="14" thickBot="1">
      <c r="A78" s="831">
        <v>1509</v>
      </c>
      <c r="B78" s="1082" t="s">
        <v>535</v>
      </c>
      <c r="C78" s="828" t="s">
        <v>1491</v>
      </c>
      <c r="D78" s="788">
        <v>5563.2</v>
      </c>
      <c r="E78" s="833">
        <v>3645.26755</v>
      </c>
      <c r="F78" s="788">
        <v>366.02175</v>
      </c>
      <c r="G78" s="833">
        <v>4471.8718399999998</v>
      </c>
      <c r="H78" s="788">
        <v>994</v>
      </c>
      <c r="I78" s="834">
        <v>19950.42657</v>
      </c>
    </row>
    <row r="79" spans="1:9" ht="14" thickBot="1">
      <c r="A79" s="831">
        <v>1520</v>
      </c>
      <c r="B79" s="1082" t="s">
        <v>1341</v>
      </c>
      <c r="C79" s="828" t="s">
        <v>1491</v>
      </c>
      <c r="D79" s="788">
        <v>23629.7</v>
      </c>
      <c r="E79" s="833">
        <v>17543.099429999998</v>
      </c>
      <c r="F79" s="788">
        <v>2619.1678000000002</v>
      </c>
      <c r="G79" s="833">
        <v>1917.20848</v>
      </c>
      <c r="H79" s="788">
        <v>3500</v>
      </c>
      <c r="I79" s="834">
        <v>19568.003989999997</v>
      </c>
    </row>
    <row r="80" spans="1:9" ht="14" thickBot="1">
      <c r="A80" s="831">
        <v>1522</v>
      </c>
      <c r="B80" s="1082" t="s">
        <v>1342</v>
      </c>
      <c r="C80" s="828" t="s">
        <v>2346</v>
      </c>
      <c r="D80" s="788">
        <v>2826.5</v>
      </c>
      <c r="E80" s="833">
        <v>2510.7220000000002</v>
      </c>
      <c r="F80" s="788">
        <v>337.56412999999998</v>
      </c>
      <c r="G80" s="833">
        <v>115.63299999999998</v>
      </c>
      <c r="H80" s="788">
        <v>350</v>
      </c>
      <c r="I80" s="834">
        <v>5387.3939900000005</v>
      </c>
    </row>
    <row r="81" spans="1:9" ht="14" thickBot="1">
      <c r="A81" s="831">
        <v>1529</v>
      </c>
      <c r="B81" s="1082" t="s">
        <v>536</v>
      </c>
      <c r="C81" s="828" t="s">
        <v>1491</v>
      </c>
      <c r="D81" s="788">
        <v>730.3</v>
      </c>
      <c r="E81" s="833">
        <v>547.4113000000001</v>
      </c>
      <c r="F81" s="788">
        <v>32.9435</v>
      </c>
      <c r="G81" s="833">
        <v>68.932749999999999</v>
      </c>
      <c r="H81" s="788">
        <v>199</v>
      </c>
      <c r="I81" s="834">
        <v>7201.4681100000007</v>
      </c>
    </row>
    <row r="82" spans="1:9" ht="14" thickBot="1">
      <c r="A82" s="831">
        <v>1535</v>
      </c>
      <c r="B82" s="1082" t="s">
        <v>1343</v>
      </c>
      <c r="C82" s="828" t="s">
        <v>1491</v>
      </c>
      <c r="D82" s="788">
        <v>19984.5</v>
      </c>
      <c r="E82" s="833">
        <v>14523.967329999999</v>
      </c>
      <c r="F82" s="788">
        <v>4490.6016800000007</v>
      </c>
      <c r="G82" s="833">
        <v>-361.86421000000001</v>
      </c>
      <c r="H82" s="788">
        <v>1651</v>
      </c>
      <c r="I82" s="834">
        <v>34131.38248</v>
      </c>
    </row>
    <row r="83" spans="1:9" ht="14" thickBot="1">
      <c r="A83" s="831">
        <v>1540</v>
      </c>
      <c r="B83" s="1082" t="s">
        <v>1345</v>
      </c>
      <c r="C83" s="828" t="s">
        <v>2346</v>
      </c>
      <c r="D83" s="788">
        <v>1792.7</v>
      </c>
      <c r="E83" s="833">
        <v>1959.2713999999999</v>
      </c>
      <c r="F83" s="788">
        <v>134.88146</v>
      </c>
      <c r="G83" s="833">
        <v>-198.17698000000001</v>
      </c>
      <c r="H83" s="788">
        <v>18</v>
      </c>
      <c r="I83" s="834">
        <v>2552.66302</v>
      </c>
    </row>
    <row r="84" spans="1:9" ht="14" thickBot="1">
      <c r="A84" s="831">
        <v>1551</v>
      </c>
      <c r="B84" s="1082" t="s">
        <v>1344</v>
      </c>
      <c r="C84" s="828" t="s">
        <v>1491</v>
      </c>
      <c r="D84" s="788">
        <v>683.3</v>
      </c>
      <c r="E84" s="833">
        <v>307.87175999999999</v>
      </c>
      <c r="F84" s="788">
        <v>127.26316</v>
      </c>
      <c r="G84" s="833">
        <v>262.71125999999998</v>
      </c>
      <c r="H84" s="788">
        <v>120</v>
      </c>
      <c r="I84" s="834">
        <v>1698.6955700000001</v>
      </c>
    </row>
    <row r="85" spans="1:9" ht="14" thickBot="1">
      <c r="A85" s="831">
        <v>1552</v>
      </c>
      <c r="B85" s="1082" t="s">
        <v>537</v>
      </c>
      <c r="C85" s="828" t="s">
        <v>1491</v>
      </c>
      <c r="D85" s="788">
        <v>56.1</v>
      </c>
      <c r="E85" s="833">
        <v>51.258000000000003</v>
      </c>
      <c r="F85" s="788">
        <v>4.455280000000001</v>
      </c>
      <c r="G85" s="833">
        <v>-47.573210000000003</v>
      </c>
      <c r="H85" s="788">
        <v>44</v>
      </c>
      <c r="I85" s="834">
        <v>-45.842660000000002</v>
      </c>
    </row>
    <row r="86" spans="1:9" ht="14" thickBot="1">
      <c r="A86" s="831">
        <v>1555</v>
      </c>
      <c r="B86" s="1082" t="s">
        <v>538</v>
      </c>
      <c r="C86" s="828" t="s">
        <v>1491</v>
      </c>
      <c r="D86" s="788">
        <v>2807.4</v>
      </c>
      <c r="E86" s="833">
        <v>1837.9998000000001</v>
      </c>
      <c r="F86" s="788">
        <v>125.18651</v>
      </c>
      <c r="G86" s="833">
        <v>1008.2448400000001</v>
      </c>
      <c r="H86" s="788">
        <v>500</v>
      </c>
      <c r="I86" s="834">
        <v>48364.182509999999</v>
      </c>
    </row>
    <row r="87" spans="1:9" ht="14" thickBot="1">
      <c r="A87" s="831">
        <v>1560</v>
      </c>
      <c r="B87" s="1082" t="s">
        <v>539</v>
      </c>
      <c r="C87" s="828" t="s">
        <v>1491</v>
      </c>
      <c r="D87" s="788">
        <v>16344.6</v>
      </c>
      <c r="E87" s="833">
        <v>12454.225</v>
      </c>
      <c r="F87" s="788">
        <v>1514.664</v>
      </c>
      <c r="G87" s="833">
        <v>242.2521899999999</v>
      </c>
      <c r="H87" s="788">
        <v>2846.3</v>
      </c>
      <c r="I87" s="834">
        <v>29685.90036</v>
      </c>
    </row>
    <row r="88" spans="1:9" ht="14" thickBot="1">
      <c r="A88" s="831">
        <v>1562</v>
      </c>
      <c r="B88" s="1082" t="s">
        <v>540</v>
      </c>
      <c r="C88" s="828" t="s">
        <v>1491</v>
      </c>
      <c r="D88" s="788">
        <v>88549.9</v>
      </c>
      <c r="E88" s="833">
        <v>62816.772499999999</v>
      </c>
      <c r="F88" s="788">
        <v>16916.12945</v>
      </c>
      <c r="G88" s="833">
        <v>5500.3821400000006</v>
      </c>
      <c r="H88" s="788">
        <v>66553</v>
      </c>
      <c r="I88" s="834">
        <v>99850.983800000002</v>
      </c>
    </row>
    <row r="89" spans="1:9" ht="14" thickBot="1">
      <c r="A89" s="831">
        <v>1563</v>
      </c>
      <c r="B89" s="1082" t="s">
        <v>541</v>
      </c>
      <c r="C89" s="828" t="s">
        <v>1491</v>
      </c>
      <c r="D89" s="788">
        <v>1347.7</v>
      </c>
      <c r="E89" s="833">
        <v>817.69275000000005</v>
      </c>
      <c r="F89" s="788">
        <v>554.13099999999997</v>
      </c>
      <c r="G89" s="833">
        <v>-215.90591999999998</v>
      </c>
      <c r="H89" s="788">
        <v>125.34</v>
      </c>
      <c r="I89" s="834">
        <v>2245.4703999999997</v>
      </c>
    </row>
    <row r="90" spans="1:9" ht="14" thickBot="1">
      <c r="A90" s="831">
        <v>1565</v>
      </c>
      <c r="B90" s="1082" t="s">
        <v>542</v>
      </c>
      <c r="C90" s="828" t="s">
        <v>1491</v>
      </c>
      <c r="D90" s="788">
        <v>129.1</v>
      </c>
      <c r="E90" s="833">
        <v>53.467100000000002</v>
      </c>
      <c r="F90" s="788">
        <v>19.680859999999999</v>
      </c>
      <c r="G90" s="833">
        <v>17.888249999999999</v>
      </c>
      <c r="H90" s="788">
        <v>46</v>
      </c>
      <c r="I90" s="834">
        <v>34.563270000000003</v>
      </c>
    </row>
    <row r="91" spans="1:9" ht="14" thickBot="1">
      <c r="A91" s="831">
        <v>1566</v>
      </c>
      <c r="B91" s="1082" t="s">
        <v>543</v>
      </c>
      <c r="C91" s="828" t="s">
        <v>1491</v>
      </c>
      <c r="D91" s="788">
        <v>214.9</v>
      </c>
      <c r="E91" s="833">
        <v>85.93</v>
      </c>
      <c r="F91" s="788">
        <v>34.322499999999998</v>
      </c>
      <c r="G91" s="833">
        <v>81.353149999999999</v>
      </c>
      <c r="H91" s="788">
        <v>73.400000000000006</v>
      </c>
      <c r="I91" s="834">
        <v>289.44243</v>
      </c>
    </row>
    <row r="92" spans="1:9" ht="14" thickBot="1">
      <c r="A92" s="831">
        <v>1568</v>
      </c>
      <c r="B92" s="1082" t="s">
        <v>544</v>
      </c>
      <c r="C92" s="828" t="s">
        <v>1491</v>
      </c>
      <c r="D92" s="788">
        <v>1.1000000000000001</v>
      </c>
      <c r="E92" s="833">
        <v>1E-3</v>
      </c>
      <c r="F92" s="788">
        <v>2.3910000000000004E-2</v>
      </c>
      <c r="G92" s="833">
        <v>1.1081800000000002</v>
      </c>
      <c r="H92" s="788">
        <v>0</v>
      </c>
      <c r="I92" s="834">
        <v>1.1081800000000002</v>
      </c>
    </row>
    <row r="93" spans="1:9" ht="14" thickBot="1">
      <c r="A93" s="831">
        <v>1570</v>
      </c>
      <c r="B93" s="1082" t="s">
        <v>2341</v>
      </c>
      <c r="C93" s="828" t="s">
        <v>1491</v>
      </c>
      <c r="D93" s="788">
        <v>0.3</v>
      </c>
      <c r="E93" s="833">
        <v>1E-3</v>
      </c>
      <c r="F93" s="788">
        <v>5.7700000000000008E-3</v>
      </c>
      <c r="G93" s="833">
        <v>0.32284999999999997</v>
      </c>
      <c r="H93" s="788">
        <v>0</v>
      </c>
      <c r="I93" s="834">
        <v>0.32285000000000003</v>
      </c>
    </row>
    <row r="94" spans="1:9" ht="14" thickBot="1">
      <c r="A94" s="831"/>
      <c r="B94" s="832"/>
      <c r="C94" s="828" t="s">
        <v>1491</v>
      </c>
      <c r="D94" s="788"/>
      <c r="E94" s="833"/>
      <c r="F94" s="788"/>
      <c r="G94" s="833"/>
      <c r="H94" s="788"/>
      <c r="I94" s="834"/>
    </row>
    <row r="95" spans="1:9" ht="14" thickBot="1">
      <c r="A95" s="831"/>
      <c r="B95" s="832"/>
      <c r="C95" s="828" t="s">
        <v>1491</v>
      </c>
      <c r="D95" s="788"/>
      <c r="E95" s="833"/>
      <c r="F95" s="788"/>
      <c r="G95" s="833"/>
      <c r="H95" s="788"/>
      <c r="I95" s="834"/>
    </row>
    <row r="96" spans="1:9" ht="14" thickBot="1">
      <c r="A96" s="831"/>
      <c r="B96" s="832"/>
      <c r="C96" s="828" t="s">
        <v>1491</v>
      </c>
      <c r="D96" s="788"/>
      <c r="E96" s="833"/>
      <c r="F96" s="788"/>
      <c r="G96" s="833"/>
      <c r="H96" s="788"/>
      <c r="I96" s="834"/>
    </row>
    <row r="97" spans="1:9" ht="14" thickBot="1">
      <c r="A97" s="831"/>
      <c r="B97" s="832"/>
      <c r="C97" s="828" t="s">
        <v>1491</v>
      </c>
      <c r="D97" s="788"/>
      <c r="E97" s="833"/>
      <c r="F97" s="788"/>
      <c r="G97" s="833"/>
      <c r="H97" s="788"/>
      <c r="I97" s="834"/>
    </row>
    <row r="98" spans="1:9" ht="14" thickBot="1">
      <c r="A98" s="831"/>
      <c r="B98" s="832"/>
      <c r="C98" s="828" t="s">
        <v>1491</v>
      </c>
      <c r="D98" s="788"/>
      <c r="E98" s="833"/>
      <c r="F98" s="788"/>
      <c r="G98" s="833"/>
      <c r="H98" s="788"/>
      <c r="I98" s="834"/>
    </row>
    <row r="99" spans="1:9" ht="14" thickBot="1">
      <c r="A99" s="831"/>
      <c r="B99" s="832"/>
      <c r="C99" s="828" t="s">
        <v>1491</v>
      </c>
      <c r="D99" s="788"/>
      <c r="E99" s="833"/>
      <c r="F99" s="788"/>
      <c r="G99" s="833"/>
      <c r="H99" s="788"/>
      <c r="I99" s="834"/>
    </row>
    <row r="100" spans="1:9" ht="14" thickBot="1">
      <c r="A100" s="831"/>
      <c r="B100" s="832"/>
      <c r="C100" s="828" t="s">
        <v>1491</v>
      </c>
      <c r="D100" s="788"/>
      <c r="E100" s="833"/>
      <c r="F100" s="788"/>
      <c r="G100" s="833"/>
      <c r="H100" s="788"/>
      <c r="I100" s="834"/>
    </row>
    <row r="101" spans="1:9" ht="14" thickBot="1">
      <c r="A101" s="831"/>
      <c r="B101" s="832"/>
      <c r="C101" s="828" t="s">
        <v>1491</v>
      </c>
      <c r="D101" s="788"/>
      <c r="E101" s="833"/>
      <c r="F101" s="788"/>
      <c r="G101" s="833"/>
      <c r="H101" s="788"/>
      <c r="I101" s="834"/>
    </row>
    <row r="102" spans="1:9" ht="14" thickBot="1">
      <c r="A102" s="831"/>
      <c r="B102" s="832"/>
      <c r="C102" s="828" t="s">
        <v>1491</v>
      </c>
      <c r="D102" s="788"/>
      <c r="E102" s="833"/>
      <c r="F102" s="788"/>
      <c r="G102" s="833"/>
      <c r="H102" s="788"/>
      <c r="I102" s="834"/>
    </row>
    <row r="103" spans="1:9" ht="14" thickBot="1">
      <c r="A103" s="831"/>
      <c r="B103" s="832"/>
      <c r="C103" s="828" t="s">
        <v>1491</v>
      </c>
      <c r="D103" s="788"/>
      <c r="E103" s="833"/>
      <c r="F103" s="788"/>
      <c r="G103" s="833"/>
      <c r="H103" s="788"/>
      <c r="I103" s="834"/>
    </row>
    <row r="104" spans="1:9" s="217" customFormat="1" ht="18.75" customHeight="1" thickBot="1">
      <c r="A104" s="835" t="s">
        <v>164</v>
      </c>
      <c r="B104" s="836">
        <v>83</v>
      </c>
      <c r="C104" s="837">
        <v>5</v>
      </c>
      <c r="D104" s="811">
        <v>280998.5</v>
      </c>
      <c r="E104" s="838">
        <v>198288.56276999999</v>
      </c>
      <c r="F104" s="811">
        <v>49632.71817</v>
      </c>
      <c r="G104" s="838">
        <v>26262.465900000007</v>
      </c>
      <c r="H104" s="811">
        <v>100312.33492000001</v>
      </c>
      <c r="I104" s="839">
        <v>464137.91667000001</v>
      </c>
    </row>
    <row r="105" spans="1:9" ht="16.5" customHeight="1" thickBot="1">
      <c r="A105" s="95" t="s">
        <v>764</v>
      </c>
      <c r="C105" s="840"/>
      <c r="D105" s="813"/>
      <c r="E105" s="813"/>
      <c r="F105" s="814"/>
      <c r="G105" s="813"/>
      <c r="H105" s="815"/>
      <c r="I105" s="816"/>
    </row>
    <row r="107" spans="1:9">
      <c r="A107" s="2" t="s">
        <v>1307</v>
      </c>
    </row>
    <row r="109" spans="1:9">
      <c r="A109" s="98" t="s">
        <v>1553</v>
      </c>
    </row>
    <row r="110" spans="1:9">
      <c r="A110" s="92">
        <v>0</v>
      </c>
      <c r="B110" s="98" t="s">
        <v>1554</v>
      </c>
    </row>
    <row r="111" spans="1:9">
      <c r="A111" s="92">
        <v>1</v>
      </c>
      <c r="B111" s="98" t="s">
        <v>1555</v>
      </c>
    </row>
    <row r="112" spans="1:9">
      <c r="A112" s="92">
        <v>2</v>
      </c>
      <c r="B112" s="98" t="s">
        <v>1556</v>
      </c>
    </row>
    <row r="113" spans="1:2">
      <c r="A113" s="92">
        <v>3</v>
      </c>
      <c r="B113" s="98" t="s">
        <v>1557</v>
      </c>
    </row>
    <row r="114" spans="1:2">
      <c r="A114" s="92" t="s">
        <v>1558</v>
      </c>
      <c r="B114" s="98" t="s">
        <v>1559</v>
      </c>
    </row>
    <row r="115" spans="1:2">
      <c r="A115" s="92">
        <v>5</v>
      </c>
      <c r="B115" s="98" t="s">
        <v>1560</v>
      </c>
    </row>
    <row r="116" spans="1:2">
      <c r="A116" s="92">
        <v>6</v>
      </c>
      <c r="B116" s="98" t="s">
        <v>1561</v>
      </c>
    </row>
    <row r="117" spans="1:2">
      <c r="A117" s="92">
        <v>7</v>
      </c>
      <c r="B117" s="98" t="s">
        <v>1562</v>
      </c>
    </row>
    <row r="120" spans="1:2">
      <c r="A120" s="2" t="s">
        <v>711</v>
      </c>
    </row>
  </sheetData>
  <phoneticPr fontId="0" type="noConversion"/>
  <pageMargins left="0.51" right="0.35" top="0.62" bottom="0.66" header="0.36" footer="0.28000000000000003"/>
  <pageSetup paperSize="9" scale="67" fitToHeight="2" pageOrder="overThenDown" orientation="portrait" horizontalDpi="1200" verticalDpi="1200"/>
  <headerFooter alignWithMargins="0">
    <oddFooter>&amp;R&amp;P/&amp;N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0BF8-5843-1443-BEF2-EBA973EB595B}">
  <sheetPr>
    <pageSetUpPr fitToPage="1"/>
  </sheetPr>
  <dimension ref="A1:O33"/>
  <sheetViews>
    <sheetView zoomScale="75" zoomScaleNormal="75" workbookViewId="0">
      <selection activeCell="F2" sqref="F2"/>
    </sheetView>
  </sheetViews>
  <sheetFormatPr baseColWidth="10" defaultColWidth="11.3984375" defaultRowHeight="13"/>
  <cols>
    <col min="1" max="1" width="5.796875" style="2" customWidth="1"/>
    <col min="2" max="2" width="35.796875" style="92" customWidth="1"/>
    <col min="3" max="3" width="10.796875" style="92" customWidth="1"/>
    <col min="4" max="4" width="11.19921875" style="92" customWidth="1"/>
    <col min="5" max="5" width="10.19921875" style="7" customWidth="1"/>
    <col min="6" max="6" width="17.59765625" style="7" customWidth="1"/>
    <col min="7" max="7" width="15.796875" style="2" customWidth="1"/>
    <col min="8" max="8" width="7.59765625" style="93" customWidth="1"/>
    <col min="9" max="9" width="26.19921875" style="2" customWidth="1"/>
    <col min="10" max="16384" width="11.3984375" style="2"/>
  </cols>
  <sheetData>
    <row r="1" spans="1:9" s="1" customFormat="1" ht="14" customHeight="1">
      <c r="A1" s="49"/>
      <c r="B1" s="50"/>
      <c r="C1" s="50"/>
      <c r="D1" s="50"/>
      <c r="E1" s="49"/>
      <c r="F1" s="51"/>
      <c r="G1" s="49"/>
      <c r="H1" s="52"/>
      <c r="I1" s="49"/>
    </row>
    <row r="2" spans="1:9" s="1" customFormat="1" ht="19.5" customHeight="1">
      <c r="A2" s="53" t="s">
        <v>1455</v>
      </c>
      <c r="C2" s="50"/>
      <c r="D2" s="50"/>
      <c r="E2" s="51"/>
      <c r="F2" s="51"/>
      <c r="G2" s="54"/>
      <c r="H2" s="52"/>
      <c r="I2" s="53">
        <v>2008</v>
      </c>
    </row>
    <row r="3" spans="1:9" s="1" customFormat="1" ht="11.25" customHeight="1">
      <c r="A3" s="49"/>
      <c r="B3" s="49"/>
      <c r="C3" s="50"/>
      <c r="D3" s="50"/>
      <c r="E3" s="51"/>
      <c r="F3" s="51"/>
      <c r="G3" s="49"/>
      <c r="H3" s="52"/>
      <c r="I3" s="49"/>
    </row>
    <row r="4" spans="1:9" ht="18" customHeight="1">
      <c r="A4" s="55" t="s">
        <v>1456</v>
      </c>
      <c r="B4" s="55" t="s">
        <v>1457</v>
      </c>
      <c r="C4" s="56" t="s">
        <v>1458</v>
      </c>
      <c r="D4" s="57" t="s">
        <v>152</v>
      </c>
      <c r="E4" s="58" t="s">
        <v>153</v>
      </c>
      <c r="F4" s="59" t="s">
        <v>155</v>
      </c>
      <c r="G4" s="56" t="s">
        <v>156</v>
      </c>
      <c r="H4" s="60" t="s">
        <v>157</v>
      </c>
      <c r="I4" s="57"/>
    </row>
    <row r="5" spans="1:9" ht="15" customHeight="1">
      <c r="A5" s="61" t="s">
        <v>158</v>
      </c>
      <c r="B5" s="61"/>
      <c r="C5" s="62"/>
      <c r="D5" s="63" t="s">
        <v>159</v>
      </c>
      <c r="E5" s="64" t="s">
        <v>160</v>
      </c>
      <c r="F5" s="65" t="s">
        <v>161</v>
      </c>
      <c r="G5" s="62" t="s">
        <v>586</v>
      </c>
      <c r="H5" s="66" t="s">
        <v>162</v>
      </c>
      <c r="I5" s="63"/>
    </row>
    <row r="6" spans="1:9" ht="15" customHeight="1">
      <c r="A6" s="61"/>
      <c r="B6" s="61"/>
      <c r="C6" s="62"/>
      <c r="D6" s="63" t="s">
        <v>166</v>
      </c>
      <c r="E6" s="64"/>
      <c r="F6" s="65"/>
      <c r="G6" s="62" t="s">
        <v>163</v>
      </c>
      <c r="H6" s="67"/>
      <c r="I6" s="63"/>
    </row>
    <row r="7" spans="1:9" ht="18" customHeight="1">
      <c r="A7" s="68"/>
      <c r="B7" s="69"/>
      <c r="C7" s="70"/>
      <c r="D7" s="71"/>
      <c r="E7" s="72"/>
      <c r="F7" s="73"/>
      <c r="G7" s="70"/>
      <c r="H7" s="74"/>
      <c r="I7" s="71"/>
    </row>
    <row r="8" spans="1:9" ht="36" customHeight="1" thickBot="1">
      <c r="A8" s="75">
        <v>178</v>
      </c>
      <c r="B8" s="83" t="s">
        <v>171</v>
      </c>
      <c r="C8" s="77" t="s">
        <v>718</v>
      </c>
      <c r="D8" s="78" t="s">
        <v>719</v>
      </c>
      <c r="E8" s="79"/>
      <c r="F8" s="83"/>
      <c r="G8" s="79"/>
      <c r="H8" s="81">
        <v>360</v>
      </c>
      <c r="I8" s="78" t="s">
        <v>720</v>
      </c>
    </row>
    <row r="9" spans="1:9" ht="37.5" customHeight="1" thickBot="1">
      <c r="A9" s="75">
        <v>901</v>
      </c>
      <c r="B9" s="76" t="s">
        <v>721</v>
      </c>
      <c r="C9" s="77" t="s">
        <v>718</v>
      </c>
      <c r="D9" s="78"/>
      <c r="E9" s="79"/>
      <c r="F9" s="80" t="s">
        <v>722</v>
      </c>
      <c r="G9" s="79"/>
      <c r="H9" s="81"/>
      <c r="I9" s="83"/>
    </row>
    <row r="10" spans="1:9" ht="30" customHeight="1" thickBot="1">
      <c r="A10" s="75">
        <v>941</v>
      </c>
      <c r="B10" s="1083" t="s">
        <v>2485</v>
      </c>
      <c r="C10" s="77" t="s">
        <v>718</v>
      </c>
      <c r="D10" s="78"/>
      <c r="E10" s="79"/>
      <c r="F10" s="80"/>
      <c r="G10" s="79" t="s">
        <v>970</v>
      </c>
      <c r="H10" s="81"/>
      <c r="I10" s="82"/>
    </row>
    <row r="11" spans="1:9" ht="39" customHeight="1" thickBot="1">
      <c r="A11" s="75">
        <v>1423</v>
      </c>
      <c r="B11" s="76" t="s">
        <v>971</v>
      </c>
      <c r="C11" s="77" t="s">
        <v>718</v>
      </c>
      <c r="D11" s="78"/>
      <c r="E11" s="79"/>
      <c r="F11" s="84" t="s">
        <v>972</v>
      </c>
      <c r="G11" s="79"/>
      <c r="H11" s="75"/>
      <c r="I11" s="83"/>
    </row>
    <row r="12" spans="1:9" ht="40.5" customHeight="1" thickBot="1">
      <c r="A12" s="75"/>
      <c r="B12" s="76"/>
      <c r="C12" s="77"/>
      <c r="D12" s="78"/>
      <c r="E12" s="79"/>
      <c r="F12" s="83"/>
      <c r="G12" s="79"/>
      <c r="H12" s="81"/>
      <c r="I12" s="82"/>
    </row>
    <row r="13" spans="1:9" ht="35.25" customHeight="1" thickBot="1">
      <c r="A13" s="75"/>
      <c r="B13" s="76"/>
      <c r="C13" s="77"/>
      <c r="D13" s="78"/>
      <c r="E13" s="79"/>
      <c r="F13" s="84"/>
      <c r="G13" s="79"/>
      <c r="H13" s="81"/>
      <c r="I13" s="82"/>
    </row>
    <row r="14" spans="1:9" ht="30" customHeight="1" thickBot="1">
      <c r="A14" s="75"/>
      <c r="B14" s="76"/>
      <c r="C14" s="77"/>
      <c r="D14" s="78"/>
      <c r="E14" s="79"/>
      <c r="F14" s="78"/>
      <c r="G14" s="79"/>
      <c r="H14" s="81"/>
      <c r="I14" s="82"/>
    </row>
    <row r="15" spans="1:9" ht="33.75" customHeight="1" thickBot="1">
      <c r="A15" s="75"/>
      <c r="B15" s="76"/>
      <c r="C15" s="77"/>
      <c r="D15" s="78"/>
      <c r="E15" s="79"/>
      <c r="F15" s="78"/>
      <c r="G15" s="79"/>
      <c r="H15" s="81"/>
      <c r="I15" s="82"/>
    </row>
    <row r="16" spans="1:9" ht="44.25" customHeight="1" thickBot="1">
      <c r="A16" s="75"/>
      <c r="B16" s="76"/>
      <c r="C16" s="77"/>
      <c r="D16" s="78"/>
      <c r="E16" s="79"/>
      <c r="F16" s="78"/>
      <c r="G16" s="79"/>
      <c r="H16" s="81"/>
      <c r="I16" s="78"/>
    </row>
    <row r="17" spans="1:15" ht="33.75" customHeight="1" thickBot="1">
      <c r="A17" s="75"/>
      <c r="B17" s="76"/>
      <c r="C17" s="77"/>
      <c r="D17" s="78"/>
      <c r="E17" s="79"/>
      <c r="F17" s="78"/>
      <c r="G17" s="79"/>
      <c r="H17" s="81"/>
      <c r="I17" s="78"/>
    </row>
    <row r="18" spans="1:15" ht="30.75" customHeight="1" thickBot="1">
      <c r="A18" s="75"/>
      <c r="B18" s="76"/>
      <c r="C18" s="77"/>
      <c r="D18" s="78"/>
      <c r="E18" s="79"/>
      <c r="F18" s="78"/>
      <c r="G18" s="79"/>
      <c r="H18" s="81"/>
      <c r="I18" s="83"/>
    </row>
    <row r="19" spans="1:15" ht="30.75" customHeight="1" thickBot="1">
      <c r="A19" s="75"/>
      <c r="B19" s="76"/>
      <c r="C19" s="77"/>
      <c r="D19" s="78"/>
      <c r="E19" s="79"/>
      <c r="F19" s="78"/>
      <c r="G19" s="79"/>
      <c r="H19" s="81"/>
      <c r="I19" s="78"/>
    </row>
    <row r="20" spans="1:15" ht="28.5" customHeight="1" thickBot="1">
      <c r="A20" s="75"/>
      <c r="B20" s="76"/>
      <c r="C20" s="77"/>
      <c r="D20" s="78"/>
      <c r="E20" s="79"/>
      <c r="F20" s="78"/>
      <c r="G20" s="79"/>
      <c r="H20" s="81"/>
      <c r="I20" s="82"/>
    </row>
    <row r="21" spans="1:15" s="85" customFormat="1" ht="28.5" customHeight="1" thickBot="1">
      <c r="A21" s="75"/>
      <c r="B21" s="76"/>
      <c r="C21" s="77"/>
      <c r="D21" s="78"/>
      <c r="E21" s="79"/>
      <c r="F21" s="78"/>
      <c r="G21" s="79"/>
      <c r="H21" s="81"/>
      <c r="I21" s="76"/>
    </row>
    <row r="22" spans="1:15" ht="28.5" customHeight="1" thickBot="1">
      <c r="A22" s="75"/>
      <c r="B22" s="76"/>
      <c r="C22" s="77"/>
      <c r="D22" s="78"/>
      <c r="E22" s="79"/>
      <c r="F22" s="83"/>
      <c r="G22" s="79"/>
      <c r="H22" s="81"/>
      <c r="I22" s="78"/>
    </row>
    <row r="23" spans="1:15" ht="24.75" customHeight="1" thickBot="1">
      <c r="A23" s="75"/>
      <c r="B23" s="76"/>
      <c r="C23" s="86"/>
      <c r="D23" s="78"/>
      <c r="E23" s="79"/>
      <c r="F23" s="78"/>
      <c r="G23" s="79"/>
      <c r="H23" s="81"/>
      <c r="I23" s="78"/>
      <c r="J23"/>
      <c r="K23"/>
      <c r="L23"/>
      <c r="M23"/>
      <c r="N23"/>
      <c r="O23"/>
    </row>
    <row r="24" spans="1:15" ht="25.5" customHeight="1" thickBot="1">
      <c r="A24" s="87"/>
      <c r="B24" s="88" t="s">
        <v>164</v>
      </c>
      <c r="C24" s="89"/>
      <c r="D24" s="87">
        <v>1</v>
      </c>
      <c r="E24" s="90">
        <v>0</v>
      </c>
      <c r="F24" s="87">
        <v>2</v>
      </c>
      <c r="G24" s="89">
        <v>1</v>
      </c>
      <c r="H24" s="87">
        <v>1</v>
      </c>
      <c r="I24" s="87"/>
      <c r="J24"/>
      <c r="K24"/>
      <c r="L24"/>
      <c r="M24"/>
      <c r="N24"/>
      <c r="O24"/>
    </row>
    <row r="25" spans="1:15">
      <c r="B25" s="91"/>
    </row>
    <row r="26" spans="1:15">
      <c r="A26" s="94" t="s">
        <v>974</v>
      </c>
      <c r="G26" s="95"/>
      <c r="I26" s="95"/>
    </row>
    <row r="27" spans="1:15">
      <c r="A27" s="94"/>
      <c r="G27" s="95"/>
      <c r="I27" s="95"/>
    </row>
    <row r="28" spans="1:15">
      <c r="A28" s="96" t="s">
        <v>165</v>
      </c>
      <c r="G28" s="95"/>
      <c r="I28" s="95"/>
    </row>
    <row r="29" spans="1:15">
      <c r="A29" s="97"/>
    </row>
    <row r="30" spans="1:15">
      <c r="A30" s="98" t="s">
        <v>973</v>
      </c>
    </row>
    <row r="31" spans="1:15">
      <c r="A31" s="98"/>
    </row>
    <row r="32" spans="1:15">
      <c r="A32" s="98"/>
    </row>
    <row r="33" spans="1:1">
      <c r="A33" s="98" t="s">
        <v>711</v>
      </c>
    </row>
  </sheetData>
  <phoneticPr fontId="0" type="noConversion"/>
  <pageMargins left="0.6" right="0.55000000000000004" top="0.62992125984251968" bottom="0.74803149606299213" header="0.31496062992125984" footer="0.27559055118110237"/>
  <pageSetup paperSize="9" scale="63" pageOrder="overThenDown" orientation="portrait" horizontalDpi="1200" verticalDpi="1200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8625-461A-2242-B85B-E8D42AA7C5A5}">
  <sheetPr>
    <pageSetUpPr fitToPage="1"/>
  </sheetPr>
  <dimension ref="A1:B11"/>
  <sheetViews>
    <sheetView workbookViewId="0">
      <selection activeCell="B5" sqref="B5"/>
    </sheetView>
  </sheetViews>
  <sheetFormatPr baseColWidth="10" defaultColWidth="11.3984375" defaultRowHeight="13"/>
  <cols>
    <col min="1" max="1" width="5.59765625" style="141" customWidth="1"/>
    <col min="2" max="16384" width="11.3984375" style="141"/>
  </cols>
  <sheetData>
    <row r="1" spans="1:2" ht="16">
      <c r="A1" s="140" t="s">
        <v>61</v>
      </c>
    </row>
    <row r="2" spans="1:2" ht="16">
      <c r="A2" s="142"/>
    </row>
    <row r="3" spans="1:2">
      <c r="A3" s="141">
        <v>6.01</v>
      </c>
      <c r="B3" s="143" t="s">
        <v>1492</v>
      </c>
    </row>
    <row r="4" spans="1:2">
      <c r="A4" s="141">
        <v>6.02</v>
      </c>
      <c r="B4" s="143" t="s">
        <v>1493</v>
      </c>
    </row>
    <row r="5" spans="1:2">
      <c r="A5" s="141">
        <v>6.03</v>
      </c>
      <c r="B5" s="143" t="s">
        <v>62</v>
      </c>
    </row>
    <row r="6" spans="1:2">
      <c r="A6" s="141">
        <v>6.04</v>
      </c>
      <c r="B6" s="143" t="s">
        <v>63</v>
      </c>
    </row>
    <row r="7" spans="1:2">
      <c r="A7" s="141">
        <v>6.05</v>
      </c>
      <c r="B7" s="143" t="s">
        <v>64</v>
      </c>
    </row>
    <row r="8" spans="1:2">
      <c r="A8" s="141">
        <v>6.06</v>
      </c>
      <c r="B8" s="143" t="s">
        <v>65</v>
      </c>
    </row>
    <row r="11" spans="1:2">
      <c r="A11" s="144" t="s">
        <v>711</v>
      </c>
    </row>
  </sheetData>
  <phoneticPr fontId="30" type="noConversion"/>
  <pageMargins left="0.46" right="0.35" top="0.69" bottom="0.984251969" header="0.36" footer="0.4921259845"/>
  <pageSetup paperSize="9" orientation="portrait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1326-B49A-9340-B988-626F9427D22C}">
  <sheetPr>
    <pageSetUpPr fitToPage="1"/>
  </sheetPr>
  <dimension ref="A1:G28"/>
  <sheetViews>
    <sheetView zoomScale="75" workbookViewId="0">
      <selection activeCell="J12" sqref="J12"/>
    </sheetView>
  </sheetViews>
  <sheetFormatPr baseColWidth="10" defaultColWidth="11.3984375" defaultRowHeight="13"/>
  <cols>
    <col min="1" max="1" width="16.796875" style="2" customWidth="1"/>
    <col min="2" max="4" width="14.796875" style="2" customWidth="1"/>
    <col min="5" max="5" width="15.3984375" style="2" customWidth="1"/>
    <col min="6" max="7" width="14.796875" style="2" customWidth="1"/>
    <col min="8" max="16384" width="11.3984375" style="2"/>
  </cols>
  <sheetData>
    <row r="1" spans="1:7" s="1" customFormat="1" ht="14" customHeight="1"/>
    <row r="2" spans="1:7" s="1" customFormat="1" ht="29.25" customHeight="1">
      <c r="A2" s="2017" t="s">
        <v>2320</v>
      </c>
      <c r="B2" s="2021"/>
      <c r="C2" s="2021"/>
      <c r="D2" s="2021"/>
      <c r="E2" s="2021"/>
      <c r="F2" s="2021"/>
      <c r="G2" s="53"/>
    </row>
    <row r="3" spans="1:7" ht="24" customHeight="1">
      <c r="A3" s="178" t="s">
        <v>821</v>
      </c>
      <c r="B3" s="179" t="s">
        <v>1098</v>
      </c>
      <c r="C3" s="180" t="s">
        <v>1098</v>
      </c>
      <c r="D3" s="179" t="s">
        <v>177</v>
      </c>
      <c r="E3" s="180" t="s">
        <v>177</v>
      </c>
      <c r="F3" s="179" t="s">
        <v>2321</v>
      </c>
      <c r="G3" s="228" t="s">
        <v>2321</v>
      </c>
    </row>
    <row r="4" spans="1:7" ht="15" customHeight="1">
      <c r="A4" s="274"/>
      <c r="B4" s="182" t="s">
        <v>1993</v>
      </c>
      <c r="C4" s="183" t="s">
        <v>2322</v>
      </c>
      <c r="D4" s="182" t="s">
        <v>1993</v>
      </c>
      <c r="E4" s="183" t="s">
        <v>2322</v>
      </c>
      <c r="F4" s="182" t="s">
        <v>2323</v>
      </c>
      <c r="G4" s="181" t="s">
        <v>2324</v>
      </c>
    </row>
    <row r="5" spans="1:7" ht="15" customHeight="1">
      <c r="A5" s="274"/>
      <c r="B5" s="182"/>
      <c r="C5" s="183" t="s">
        <v>2325</v>
      </c>
      <c r="D5" s="182"/>
      <c r="E5" s="183" t="s">
        <v>2325</v>
      </c>
      <c r="F5" s="182" t="s">
        <v>1487</v>
      </c>
      <c r="G5" s="181" t="s">
        <v>2326</v>
      </c>
    </row>
    <row r="6" spans="1:7" ht="24" customHeight="1">
      <c r="A6" s="275"/>
      <c r="B6" s="188"/>
      <c r="C6" s="187" t="s">
        <v>1488</v>
      </c>
      <c r="D6" s="188"/>
      <c r="E6" s="187" t="s">
        <v>1488</v>
      </c>
      <c r="F6" s="188"/>
      <c r="G6" s="185"/>
    </row>
    <row r="7" spans="1:7" ht="1.5" customHeight="1" thickBot="1">
      <c r="A7" s="276">
        <v>1996</v>
      </c>
      <c r="B7" s="642">
        <v>834.29346030999989</v>
      </c>
      <c r="C7" s="320">
        <v>147.33000000000001</v>
      </c>
      <c r="D7" s="642">
        <v>872.50191104999999</v>
      </c>
      <c r="E7" s="320">
        <v>174.02</v>
      </c>
      <c r="F7" s="321">
        <v>1497811</v>
      </c>
      <c r="G7" s="643">
        <v>150</v>
      </c>
    </row>
    <row r="8" spans="1:7" ht="0.75" customHeight="1" thickBot="1">
      <c r="A8" s="278">
        <v>1997</v>
      </c>
      <c r="B8" s="335">
        <v>560.57016199999998</v>
      </c>
      <c r="C8" s="330">
        <v>177.97135605247547</v>
      </c>
      <c r="D8" s="335">
        <v>621.52611999999999</v>
      </c>
      <c r="E8" s="330">
        <v>219.40142149615536</v>
      </c>
      <c r="F8" s="331">
        <v>962507</v>
      </c>
      <c r="G8" s="644">
        <v>134</v>
      </c>
    </row>
    <row r="9" spans="1:7" ht="20" customHeight="1" thickBot="1">
      <c r="A9" s="278">
        <v>1998</v>
      </c>
      <c r="B9" s="335">
        <v>511.39633099999998</v>
      </c>
      <c r="C9" s="330">
        <v>210.006745555365</v>
      </c>
      <c r="D9" s="335">
        <v>456.36259100000001</v>
      </c>
      <c r="E9" s="330">
        <v>198.92326535477412</v>
      </c>
      <c r="F9" s="331">
        <v>822171</v>
      </c>
      <c r="G9" s="644">
        <v>115</v>
      </c>
    </row>
    <row r="10" spans="1:7" ht="20" customHeight="1" thickBot="1">
      <c r="A10" s="278">
        <v>1999</v>
      </c>
      <c r="B10" s="335">
        <v>464.48300699999999</v>
      </c>
      <c r="C10" s="330">
        <v>208.58087392018217</v>
      </c>
      <c r="D10" s="335">
        <v>412.14915300000001</v>
      </c>
      <c r="E10" s="330">
        <v>192.54405491703864</v>
      </c>
      <c r="F10" s="331">
        <v>727206</v>
      </c>
      <c r="G10" s="644">
        <v>109</v>
      </c>
    </row>
    <row r="11" spans="1:7" ht="20" customHeight="1" thickBot="1">
      <c r="A11" s="278">
        <v>2000</v>
      </c>
      <c r="B11" s="335">
        <v>439.22602000000001</v>
      </c>
      <c r="C11" s="330">
        <v>209.03</v>
      </c>
      <c r="D11" s="335">
        <v>381.63992000000002</v>
      </c>
      <c r="E11" s="330">
        <v>199.95</v>
      </c>
      <c r="F11" s="331">
        <v>639885</v>
      </c>
      <c r="G11" s="644">
        <v>102</v>
      </c>
    </row>
    <row r="12" spans="1:7" ht="20" customHeight="1" thickBot="1">
      <c r="A12" s="278">
        <v>2001</v>
      </c>
      <c r="B12" s="335">
        <v>400.71188914999999</v>
      </c>
      <c r="C12" s="330">
        <v>221.99</v>
      </c>
      <c r="D12" s="335">
        <v>351.97137099999998</v>
      </c>
      <c r="E12" s="330">
        <v>196.51</v>
      </c>
      <c r="F12" s="331">
        <v>561848</v>
      </c>
      <c r="G12" s="644">
        <v>102</v>
      </c>
    </row>
    <row r="13" spans="1:7" ht="20" customHeight="1" thickBot="1">
      <c r="A13" s="278">
        <v>2002</v>
      </c>
      <c r="B13" s="335">
        <v>371.74367599999999</v>
      </c>
      <c r="C13" s="330">
        <v>218.55</v>
      </c>
      <c r="D13" s="335">
        <v>329.14910600000002</v>
      </c>
      <c r="E13" s="330">
        <v>192.51</v>
      </c>
      <c r="F13" s="331">
        <v>495344</v>
      </c>
      <c r="G13" s="644">
        <v>93</v>
      </c>
    </row>
    <row r="14" spans="1:7" ht="20" customHeight="1" thickBot="1">
      <c r="A14" s="278">
        <v>2003</v>
      </c>
      <c r="B14" s="335">
        <v>357.14315599999998</v>
      </c>
      <c r="C14" s="330">
        <v>230.55</v>
      </c>
      <c r="D14" s="335">
        <v>309.91303299999998</v>
      </c>
      <c r="E14" s="330">
        <v>196.87</v>
      </c>
      <c r="F14" s="331">
        <v>439082</v>
      </c>
      <c r="G14" s="644">
        <v>92</v>
      </c>
    </row>
    <row r="15" spans="1:7" ht="20" customHeight="1" thickBot="1">
      <c r="A15" s="278">
        <v>2004</v>
      </c>
      <c r="B15" s="335">
        <v>356.58952599999998</v>
      </c>
      <c r="C15" s="330">
        <v>237.95</v>
      </c>
      <c r="D15" s="335">
        <v>277.93515500000001</v>
      </c>
      <c r="E15" s="330">
        <v>191.46</v>
      </c>
      <c r="F15" s="331">
        <v>384858</v>
      </c>
      <c r="G15" s="644">
        <v>93</v>
      </c>
    </row>
    <row r="16" spans="1:7" ht="20" customHeight="1" thickBot="1">
      <c r="A16" s="278">
        <v>2005</v>
      </c>
      <c r="B16" s="335">
        <v>342.30109299999998</v>
      </c>
      <c r="C16" s="330">
        <v>202.99</v>
      </c>
      <c r="D16" s="335">
        <v>251.061485</v>
      </c>
      <c r="E16" s="330">
        <v>158.24</v>
      </c>
      <c r="F16" s="331">
        <v>409989</v>
      </c>
      <c r="G16" s="644">
        <v>82</v>
      </c>
    </row>
    <row r="17" spans="1:7" ht="20" customHeight="1" thickBot="1">
      <c r="A17" s="278">
        <v>2006</v>
      </c>
      <c r="B17" s="335">
        <v>318.09682500000002</v>
      </c>
      <c r="C17" s="330">
        <v>203.43</v>
      </c>
      <c r="D17" s="335">
        <v>220.62135799999999</v>
      </c>
      <c r="E17" s="330">
        <v>148.53</v>
      </c>
      <c r="F17" s="331">
        <v>376229</v>
      </c>
      <c r="G17" s="644">
        <v>81</v>
      </c>
    </row>
    <row r="18" spans="1:7" ht="20" customHeight="1" thickBot="1">
      <c r="A18" s="278">
        <v>2007</v>
      </c>
      <c r="B18" s="335">
        <v>302.25500452</v>
      </c>
      <c r="C18" s="330">
        <v>192.28</v>
      </c>
      <c r="D18" s="335">
        <v>207.71949053</v>
      </c>
      <c r="E18" s="330">
        <v>139.46</v>
      </c>
      <c r="F18" s="331">
        <v>342046.54</v>
      </c>
      <c r="G18" s="644">
        <v>81</v>
      </c>
    </row>
    <row r="19" spans="1:7" ht="30" customHeight="1" thickBot="1">
      <c r="A19" s="502">
        <v>2008</v>
      </c>
      <c r="B19" s="645">
        <v>280.99848664999996</v>
      </c>
      <c r="C19" s="238">
        <v>185.89</v>
      </c>
      <c r="D19" s="645">
        <v>198.28856277</v>
      </c>
      <c r="E19" s="238">
        <v>126.72</v>
      </c>
      <c r="F19" s="237">
        <v>314150.3</v>
      </c>
      <c r="G19" s="646">
        <v>82</v>
      </c>
    </row>
    <row r="20" spans="1:7" ht="20" customHeight="1">
      <c r="A20" s="201" t="s">
        <v>1490</v>
      </c>
      <c r="B20" s="201"/>
      <c r="C20" s="201"/>
      <c r="D20" s="201"/>
      <c r="E20" s="201"/>
      <c r="F20" s="201"/>
      <c r="G20" s="201"/>
    </row>
    <row r="21" spans="1:7" ht="13.5" customHeight="1">
      <c r="A21" s="202"/>
      <c r="B21" s="202"/>
      <c r="C21" s="202"/>
      <c r="D21" s="202"/>
      <c r="E21" s="202"/>
      <c r="F21" s="202"/>
      <c r="G21" s="202"/>
    </row>
    <row r="22" spans="1:7" ht="15.75" customHeight="1">
      <c r="A22" s="202" t="s">
        <v>2327</v>
      </c>
      <c r="B22" s="202"/>
      <c r="C22" s="202"/>
      <c r="D22" s="202"/>
      <c r="E22" s="202"/>
      <c r="F22" s="202"/>
      <c r="G22" s="202"/>
    </row>
    <row r="23" spans="1:7" ht="14.25" customHeight="1">
      <c r="A23" s="202"/>
      <c r="B23" s="202"/>
      <c r="C23" s="202"/>
      <c r="D23" s="202"/>
      <c r="E23" s="202"/>
      <c r="F23" s="202"/>
      <c r="G23" s="202"/>
    </row>
    <row r="24" spans="1:7" ht="12.75" customHeight="1">
      <c r="A24" s="202" t="s">
        <v>1486</v>
      </c>
      <c r="B24" s="202"/>
      <c r="C24" s="202"/>
      <c r="D24" s="202"/>
      <c r="E24" s="202"/>
      <c r="F24" s="202"/>
      <c r="G24" s="202"/>
    </row>
    <row r="25" spans="1:7">
      <c r="A25" s="2" t="s">
        <v>1489</v>
      </c>
    </row>
    <row r="28" spans="1:7">
      <c r="A28" s="2" t="s">
        <v>711</v>
      </c>
    </row>
  </sheetData>
  <mergeCells count="1">
    <mergeCell ref="A2:F2"/>
  </mergeCells>
  <phoneticPr fontId="0" type="noConversion"/>
  <pageMargins left="0.62" right="0.64" top="1.01" bottom="0.49" header="0.53" footer="0.4921259845"/>
  <pageSetup paperSize="9" scale="85" orientation="portrait" horizontalDpi="4294967292" verticalDpi="4294967292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27A0-2924-F24E-95AA-08B97B692CFE}">
  <sheetPr>
    <pageSetUpPr fitToPage="1"/>
  </sheetPr>
  <dimension ref="A1:K25"/>
  <sheetViews>
    <sheetView topLeftCell="A4" zoomScale="75" workbookViewId="0">
      <selection activeCell="A18" sqref="A18:IV18"/>
    </sheetView>
  </sheetViews>
  <sheetFormatPr baseColWidth="10" defaultColWidth="11.3984375" defaultRowHeight="13"/>
  <cols>
    <col min="1" max="1" width="16.796875" style="2" customWidth="1"/>
    <col min="2" max="2" width="14.796875" style="2" customWidth="1"/>
    <col min="3" max="3" width="14.796875" style="92" customWidth="1"/>
    <col min="4" max="4" width="14.796875" style="2" customWidth="1"/>
    <col min="5" max="5" width="14.796875" style="92" customWidth="1"/>
    <col min="6" max="6" width="14.796875" style="2" customWidth="1"/>
    <col min="7" max="7" width="15.3984375" style="92" customWidth="1"/>
    <col min="8" max="16384" width="11.3984375" style="2"/>
  </cols>
  <sheetData>
    <row r="1" spans="1:11" s="1" customFormat="1" ht="14" customHeight="1">
      <c r="C1" s="227"/>
      <c r="E1" s="227"/>
      <c r="G1" s="227"/>
    </row>
    <row r="2" spans="1:11" s="1" customFormat="1" ht="28" customHeight="1">
      <c r="A2" s="53" t="s">
        <v>2317</v>
      </c>
      <c r="C2" s="227"/>
      <c r="E2" s="227"/>
      <c r="G2" s="53"/>
    </row>
    <row r="3" spans="1:11" ht="24" customHeight="1">
      <c r="A3" s="178" t="s">
        <v>821</v>
      </c>
      <c r="B3" s="179" t="s">
        <v>2210</v>
      </c>
      <c r="C3" s="228" t="s">
        <v>2372</v>
      </c>
      <c r="D3" s="179" t="s">
        <v>2211</v>
      </c>
      <c r="E3" s="228" t="s">
        <v>2372</v>
      </c>
      <c r="F3" s="179" t="s">
        <v>1036</v>
      </c>
      <c r="G3" s="228" t="s">
        <v>2372</v>
      </c>
    </row>
    <row r="4" spans="1:11" ht="15" customHeight="1">
      <c r="A4" s="274"/>
      <c r="B4" s="182" t="s">
        <v>1036</v>
      </c>
      <c r="C4" s="181" t="s">
        <v>2373</v>
      </c>
      <c r="D4" s="182" t="s">
        <v>2212</v>
      </c>
      <c r="E4" s="181" t="s">
        <v>2373</v>
      </c>
      <c r="F4" s="182" t="s">
        <v>2213</v>
      </c>
      <c r="G4" s="181" t="s">
        <v>2373</v>
      </c>
    </row>
    <row r="5" spans="1:11" ht="15" customHeight="1">
      <c r="A5" s="274"/>
      <c r="B5" s="182" t="s">
        <v>2214</v>
      </c>
      <c r="C5" s="181" t="s">
        <v>2377</v>
      </c>
      <c r="D5" s="182" t="s">
        <v>2215</v>
      </c>
      <c r="E5" s="181" t="s">
        <v>2377</v>
      </c>
      <c r="F5" s="182" t="s">
        <v>1799</v>
      </c>
      <c r="G5" s="181" t="s">
        <v>2377</v>
      </c>
    </row>
    <row r="6" spans="1:11" ht="24" customHeight="1">
      <c r="A6" s="275"/>
      <c r="B6" s="188"/>
      <c r="C6" s="185"/>
      <c r="D6" s="188" t="s">
        <v>2318</v>
      </c>
      <c r="E6" s="185"/>
      <c r="F6" s="188"/>
      <c r="G6" s="185"/>
    </row>
    <row r="7" spans="1:11" ht="1.5" customHeight="1" thickBot="1">
      <c r="A7" s="276">
        <v>1996</v>
      </c>
      <c r="B7" s="211">
        <v>842626041.5999999</v>
      </c>
      <c r="C7" s="473">
        <v>-0.22395165786377283</v>
      </c>
      <c r="D7" s="211">
        <v>918792074.10000002</v>
      </c>
      <c r="E7" s="473">
        <v>-0.174100182026726</v>
      </c>
      <c r="F7" s="211">
        <v>-76164233.309999987</v>
      </c>
      <c r="G7" s="473">
        <v>-1.8543740517491432</v>
      </c>
      <c r="I7" s="8"/>
      <c r="J7" s="8"/>
      <c r="K7" s="8"/>
    </row>
    <row r="8" spans="1:11" ht="0.75" customHeight="1" thickBot="1">
      <c r="A8" s="278">
        <v>1997</v>
      </c>
      <c r="B8" s="213">
        <v>582586264.20000005</v>
      </c>
      <c r="C8" s="477">
        <v>-0.30860638594343665</v>
      </c>
      <c r="D8" s="213">
        <v>600844654.99000001</v>
      </c>
      <c r="E8" s="477">
        <v>-0.34604937076916387</v>
      </c>
      <c r="F8" s="213">
        <v>-18258290.829999998</v>
      </c>
      <c r="G8" s="477">
        <v>0.76027736331716245</v>
      </c>
    </row>
    <row r="9" spans="1:11" ht="20" customHeight="1" thickBot="1">
      <c r="A9" s="278">
        <v>1998</v>
      </c>
      <c r="B9" s="213">
        <v>506597985.24000001</v>
      </c>
      <c r="C9" s="477">
        <v>-0.13043266487641306</v>
      </c>
      <c r="D9" s="213">
        <v>466707907.44999999</v>
      </c>
      <c r="E9" s="477">
        <v>-0.22324696812395292</v>
      </c>
      <c r="F9" s="213">
        <v>39890107.789999999</v>
      </c>
      <c r="G9" s="477">
        <v>3.1847668087561076</v>
      </c>
    </row>
    <row r="10" spans="1:11" ht="20" customHeight="1" thickBot="1">
      <c r="A10" s="278">
        <v>1999</v>
      </c>
      <c r="B10" s="213">
        <v>464005598.98000002</v>
      </c>
      <c r="C10" s="477">
        <v>-8.4075317117224449E-2</v>
      </c>
      <c r="D10" s="213">
        <v>422158429.66000003</v>
      </c>
      <c r="E10" s="477">
        <v>-9.5454731061681661E-2</v>
      </c>
      <c r="F10" s="213">
        <v>41847169.719999999</v>
      </c>
      <c r="G10" s="477">
        <v>4.9061334712427351E-2</v>
      </c>
    </row>
    <row r="11" spans="1:11" ht="20" customHeight="1" thickBot="1">
      <c r="A11" s="278">
        <v>2000</v>
      </c>
      <c r="B11" s="213">
        <v>458973777.85000002</v>
      </c>
      <c r="C11" s="477">
        <v>-1.0844311234737667E-2</v>
      </c>
      <c r="D11" s="213">
        <v>416527371.23000002</v>
      </c>
      <c r="E11" s="477">
        <v>-1.3338732651945802E-2</v>
      </c>
      <c r="F11" s="213">
        <v>42446406.640000001</v>
      </c>
      <c r="G11" s="477">
        <v>1.4319652296905794E-2</v>
      </c>
    </row>
    <row r="12" spans="1:11" ht="20" customHeight="1" thickBot="1">
      <c r="A12" s="278">
        <v>2001</v>
      </c>
      <c r="B12" s="213">
        <v>405199385</v>
      </c>
      <c r="C12" s="477">
        <v>-0.11716223332387053</v>
      </c>
      <c r="D12" s="213">
        <v>389159830</v>
      </c>
      <c r="E12" s="477">
        <v>-6.5704064415224431E-2</v>
      </c>
      <c r="F12" s="213">
        <v>16039555</v>
      </c>
      <c r="G12" s="477">
        <v>-0.62212219432292559</v>
      </c>
    </row>
    <row r="13" spans="1:11" ht="20" customHeight="1" thickBot="1">
      <c r="A13" s="278">
        <v>2002</v>
      </c>
      <c r="B13" s="213">
        <v>372184863.34999996</v>
      </c>
      <c r="C13" s="477">
        <v>-8.147722546518682E-2</v>
      </c>
      <c r="D13" s="213">
        <v>361726442.44999999</v>
      </c>
      <c r="E13" s="477">
        <v>-7.0493883065988625E-2</v>
      </c>
      <c r="F13" s="213">
        <v>10458420.890000001</v>
      </c>
      <c r="G13" s="477">
        <v>-0.34796065788608221</v>
      </c>
    </row>
    <row r="14" spans="1:11" ht="20" customHeight="1" thickBot="1">
      <c r="A14" s="278">
        <v>2003</v>
      </c>
      <c r="B14" s="213">
        <v>364678826.25</v>
      </c>
      <c r="C14" s="477">
        <v>-2.016749695954545E-2</v>
      </c>
      <c r="D14" s="213">
        <v>338730046.06999999</v>
      </c>
      <c r="E14" s="477">
        <v>-6.357399869427216E-2</v>
      </c>
      <c r="F14" s="213">
        <v>25948780.16</v>
      </c>
      <c r="G14" s="477">
        <v>1.4811374903463079</v>
      </c>
    </row>
    <row r="15" spans="1:11" ht="20" customHeight="1" thickBot="1">
      <c r="A15" s="278">
        <v>2004</v>
      </c>
      <c r="B15" s="213">
        <v>363267822.86999995</v>
      </c>
      <c r="C15" s="477">
        <v>-3.8691672738706551E-3</v>
      </c>
      <c r="D15" s="213">
        <v>315178869.18000001</v>
      </c>
      <c r="E15" s="477">
        <v>-6.9527864927379501E-2</v>
      </c>
      <c r="F15" s="213">
        <v>48088953.700000003</v>
      </c>
      <c r="G15" s="477">
        <v>0.85322598609583356</v>
      </c>
    </row>
    <row r="16" spans="1:11" ht="20" customHeight="1" thickBot="1">
      <c r="A16" s="278">
        <v>2005</v>
      </c>
      <c r="B16" s="213">
        <v>347836052.75999999</v>
      </c>
      <c r="C16" s="477">
        <v>-4.2480421161668391E-2</v>
      </c>
      <c r="D16" s="213">
        <v>299546558.91000003</v>
      </c>
      <c r="E16" s="477">
        <v>-4.9598218023532259E-2</v>
      </c>
      <c r="F16" s="213">
        <v>48289493.789999999</v>
      </c>
      <c r="G16" s="477">
        <v>4.1701903362476589E-3</v>
      </c>
    </row>
    <row r="17" spans="1:7" ht="20" customHeight="1" thickBot="1">
      <c r="A17" s="278">
        <v>2006</v>
      </c>
      <c r="B17" s="213">
        <v>318876960.83999997</v>
      </c>
      <c r="C17" s="477">
        <v>-8.3255003873854427E-2</v>
      </c>
      <c r="D17" s="213">
        <v>268580125.52999997</v>
      </c>
      <c r="E17" s="477">
        <v>-0.10337769691857501</v>
      </c>
      <c r="F17" s="213">
        <v>50296835.340000004</v>
      </c>
      <c r="G17" s="477">
        <v>4.1568908523445636E-2</v>
      </c>
    </row>
    <row r="18" spans="1:7" ht="20" customHeight="1" thickBot="1">
      <c r="A18" s="278">
        <v>2007</v>
      </c>
      <c r="B18" s="213">
        <v>303789909.62</v>
      </c>
      <c r="C18" s="477">
        <v>-4.7313080193241208E-2</v>
      </c>
      <c r="D18" s="213">
        <v>263420170.53999999</v>
      </c>
      <c r="E18" s="477">
        <v>-1.9211976239186135E-2</v>
      </c>
      <c r="F18" s="213">
        <v>40369739.060000002</v>
      </c>
      <c r="G18" s="477">
        <v>-0.19737019661165822</v>
      </c>
    </row>
    <row r="19" spans="1:7" ht="30" customHeight="1" thickBot="1">
      <c r="A19" s="502">
        <v>2008</v>
      </c>
      <c r="B19" s="215">
        <v>271278805.46999997</v>
      </c>
      <c r="C19" s="479">
        <v>-0.10701838053366231</v>
      </c>
      <c r="D19" s="215">
        <v>245016339.53</v>
      </c>
      <c r="E19" s="479">
        <v>-6.9864927094508089E-2</v>
      </c>
      <c r="F19" s="215">
        <v>26262465.899999999</v>
      </c>
      <c r="G19" s="479">
        <v>-0.34945168060246568</v>
      </c>
    </row>
    <row r="20" spans="1:7" ht="20" customHeight="1">
      <c r="A20" s="201" t="s">
        <v>1490</v>
      </c>
      <c r="B20" s="201"/>
      <c r="C20" s="231"/>
      <c r="D20" s="201"/>
      <c r="E20" s="231"/>
      <c r="F20" s="201"/>
      <c r="G20" s="231"/>
    </row>
    <row r="21" spans="1:7" ht="15.75" customHeight="1">
      <c r="A21" s="202"/>
      <c r="B21" s="202"/>
      <c r="C21" s="232"/>
      <c r="D21" s="202"/>
      <c r="E21" s="232"/>
      <c r="F21" s="202"/>
      <c r="G21" s="232"/>
    </row>
    <row r="22" spans="1:7" ht="15.75" customHeight="1">
      <c r="A22" s="202" t="s">
        <v>2319</v>
      </c>
      <c r="B22" s="202"/>
      <c r="C22" s="232"/>
      <c r="D22" s="202"/>
      <c r="E22" s="232"/>
      <c r="F22" s="202"/>
      <c r="G22" s="232"/>
    </row>
    <row r="25" spans="1:7">
      <c r="A25" s="2" t="s">
        <v>711</v>
      </c>
    </row>
  </sheetData>
  <phoneticPr fontId="0" type="noConversion"/>
  <pageMargins left="0.57999999999999996" right="0.65" top="0.96" bottom="0.49" header="0.49" footer="0.4921259845"/>
  <pageSetup paperSize="9" scale="85" orientation="portrait" horizontalDpi="4294967292" verticalDpi="4294967292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4108-5E28-4B4E-9FB3-55D79C084335}">
  <sheetPr>
    <pageSetUpPr fitToPage="1"/>
  </sheetPr>
  <dimension ref="A1:H39"/>
  <sheetViews>
    <sheetView zoomScale="75" workbookViewId="0">
      <selection activeCell="I10" sqref="I10"/>
    </sheetView>
  </sheetViews>
  <sheetFormatPr baseColWidth="10" defaultColWidth="11.3984375" defaultRowHeight="13"/>
  <cols>
    <col min="1" max="1" width="33.796875" style="2" customWidth="1"/>
    <col min="2" max="3" width="17.59765625" style="2" customWidth="1"/>
    <col min="4" max="4" width="17.59765625" style="217" customWidth="1"/>
    <col min="5" max="5" width="17.59765625" style="467" customWidth="1"/>
    <col min="6" max="6" width="11.3984375" style="2"/>
    <col min="7" max="7" width="14.796875" style="2" hidden="1" customWidth="1"/>
    <col min="8" max="8" width="14.3984375" style="2" hidden="1" customWidth="1"/>
    <col min="9" max="16384" width="11.3984375" style="2"/>
  </cols>
  <sheetData>
    <row r="1" spans="1:8" s="1" customFormat="1" ht="14" customHeight="1">
      <c r="D1" s="16"/>
      <c r="E1" s="444"/>
    </row>
    <row r="2" spans="1:8" s="1" customFormat="1" ht="40.5" customHeight="1">
      <c r="A2" s="2017" t="s">
        <v>2314</v>
      </c>
      <c r="B2" s="2021"/>
      <c r="C2" s="2021"/>
      <c r="D2" s="2021"/>
      <c r="E2" s="53">
        <v>2008</v>
      </c>
    </row>
    <row r="3" spans="1:8" ht="24" customHeight="1">
      <c r="A3" s="178" t="s">
        <v>2299</v>
      </c>
      <c r="B3" s="179" t="s">
        <v>2300</v>
      </c>
      <c r="C3" s="180" t="s">
        <v>2301</v>
      </c>
      <c r="D3" s="513" t="s">
        <v>164</v>
      </c>
      <c r="E3" s="446" t="s">
        <v>2372</v>
      </c>
    </row>
    <row r="4" spans="1:8" ht="15" customHeight="1">
      <c r="A4" s="274"/>
      <c r="B4" s="182" t="s">
        <v>2302</v>
      </c>
      <c r="C4" s="183" t="s">
        <v>2302</v>
      </c>
      <c r="D4" s="302"/>
      <c r="E4" s="494" t="s">
        <v>2373</v>
      </c>
    </row>
    <row r="5" spans="1:8" ht="15" customHeight="1">
      <c r="A5" s="274"/>
      <c r="B5" s="182" t="s">
        <v>824</v>
      </c>
      <c r="C5" s="183" t="s">
        <v>2315</v>
      </c>
      <c r="D5" s="302"/>
      <c r="E5" s="494" t="s">
        <v>2377</v>
      </c>
    </row>
    <row r="6" spans="1:8" ht="24" customHeight="1">
      <c r="A6" s="275"/>
      <c r="B6" s="188"/>
      <c r="C6" s="187"/>
      <c r="D6" s="313"/>
      <c r="E6" s="447"/>
      <c r="G6" s="635" t="s">
        <v>2303</v>
      </c>
      <c r="H6" s="635" t="s">
        <v>2304</v>
      </c>
    </row>
    <row r="7" spans="1:8" ht="30" customHeight="1" thickBot="1">
      <c r="A7" s="636" t="s">
        <v>2305</v>
      </c>
      <c r="B7" s="211">
        <v>80</v>
      </c>
      <c r="C7" s="1189">
        <v>51</v>
      </c>
      <c r="D7" s="1190">
        <v>83</v>
      </c>
      <c r="E7" s="1191">
        <v>1.2195121951219513E-2</v>
      </c>
      <c r="F7" s="7"/>
      <c r="G7" s="381">
        <v>109</v>
      </c>
      <c r="H7" s="381">
        <v>109</v>
      </c>
    </row>
    <row r="8" spans="1:8" ht="25.5" customHeight="1" thickBot="1">
      <c r="A8" s="637" t="s">
        <v>2316</v>
      </c>
      <c r="B8" s="213"/>
      <c r="C8" s="263"/>
      <c r="D8" s="280"/>
      <c r="E8" s="477" t="s">
        <v>1491</v>
      </c>
      <c r="G8" s="213"/>
      <c r="H8" s="213"/>
    </row>
    <row r="9" spans="1:8" ht="20" customHeight="1" thickBot="1">
      <c r="A9" s="330" t="s">
        <v>1844</v>
      </c>
      <c r="B9" s="213">
        <v>136289.88</v>
      </c>
      <c r="C9" s="263" t="s">
        <v>1060</v>
      </c>
      <c r="D9" s="280" t="s">
        <v>1060</v>
      </c>
      <c r="E9" s="477">
        <v>-8.3382412669550585E-2</v>
      </c>
      <c r="G9" s="213">
        <v>747913</v>
      </c>
      <c r="H9" s="213">
        <v>541989</v>
      </c>
    </row>
    <row r="10" spans="1:8" ht="20" customHeight="1" thickBot="1">
      <c r="A10" s="330" t="s">
        <v>1846</v>
      </c>
      <c r="B10" s="213">
        <v>177860.42</v>
      </c>
      <c r="C10" s="263" t="s">
        <v>1060</v>
      </c>
      <c r="D10" s="280" t="s">
        <v>1060</v>
      </c>
      <c r="E10" s="477">
        <v>-8.0153048186968043E-2</v>
      </c>
      <c r="G10" s="213">
        <v>671493</v>
      </c>
      <c r="H10" s="213">
        <v>525355</v>
      </c>
    </row>
    <row r="11" spans="1:8" ht="20" customHeight="1" thickBot="1">
      <c r="A11" s="330" t="s">
        <v>164</v>
      </c>
      <c r="B11" s="213">
        <v>314150.3</v>
      </c>
      <c r="C11" s="263" t="s">
        <v>1060</v>
      </c>
      <c r="D11" s="280" t="s">
        <v>1060</v>
      </c>
      <c r="E11" s="477">
        <v>-8.1556854806951101E-2</v>
      </c>
      <c r="G11" s="213">
        <v>1419406</v>
      </c>
      <c r="H11" s="213">
        <v>1067344</v>
      </c>
    </row>
    <row r="12" spans="1:8" ht="24" customHeight="1" thickBot="1">
      <c r="A12" s="637" t="s">
        <v>2306</v>
      </c>
      <c r="B12" s="213"/>
      <c r="C12" s="263"/>
      <c r="D12" s="280"/>
      <c r="E12" s="477" t="s">
        <v>1491</v>
      </c>
      <c r="G12" s="213"/>
      <c r="H12" s="213"/>
    </row>
    <row r="13" spans="1:8" ht="20" customHeight="1" thickBot="1">
      <c r="A13" s="330" t="s">
        <v>1844</v>
      </c>
      <c r="B13" s="213">
        <v>36399526.219999999</v>
      </c>
      <c r="C13" s="263">
        <v>157598682.62</v>
      </c>
      <c r="D13" s="280">
        <v>193998208.88</v>
      </c>
      <c r="E13" s="480">
        <v>-3.8197133546452613E-2</v>
      </c>
      <c r="G13" s="213">
        <v>346254879</v>
      </c>
      <c r="H13" s="213">
        <v>346254879</v>
      </c>
    </row>
    <row r="14" spans="1:8" ht="20" customHeight="1" thickBot="1">
      <c r="A14" s="330" t="s">
        <v>1846</v>
      </c>
      <c r="B14" s="213">
        <v>21996417.02</v>
      </c>
      <c r="C14" s="263">
        <v>65003860.789999999</v>
      </c>
      <c r="D14" s="280">
        <v>87000277.769999996</v>
      </c>
      <c r="E14" s="480">
        <v>-0.13477612810695505</v>
      </c>
      <c r="G14" s="213">
        <v>118228128</v>
      </c>
      <c r="H14" s="213">
        <v>118228128</v>
      </c>
    </row>
    <row r="15" spans="1:8" ht="20" customHeight="1" thickBot="1">
      <c r="A15" s="330" t="s">
        <v>164</v>
      </c>
      <c r="B15" s="213">
        <v>58395943.25</v>
      </c>
      <c r="C15" s="263">
        <v>222602543.40000001</v>
      </c>
      <c r="D15" s="280">
        <v>280998486.64999998</v>
      </c>
      <c r="E15" s="480">
        <v>-7.0326438113925346E-2</v>
      </c>
      <c r="G15" s="213">
        <v>464483007</v>
      </c>
      <c r="H15" s="213">
        <v>464483007</v>
      </c>
    </row>
    <row r="16" spans="1:8" ht="33.75" customHeight="1" thickBot="1">
      <c r="A16" s="638" t="s">
        <v>2307</v>
      </c>
      <c r="B16" s="213"/>
      <c r="C16" s="263"/>
      <c r="D16" s="280"/>
      <c r="E16" s="477">
        <v>0</v>
      </c>
      <c r="G16" s="213"/>
      <c r="H16" s="213"/>
    </row>
    <row r="17" spans="1:8" ht="20" customHeight="1" thickBot="1">
      <c r="A17" s="330" t="s">
        <v>1844</v>
      </c>
      <c r="B17" s="213">
        <v>267.07</v>
      </c>
      <c r="C17" s="263" t="s">
        <v>1060</v>
      </c>
      <c r="D17" s="280" t="s">
        <v>1060</v>
      </c>
      <c r="E17" s="477">
        <v>1.3625322605131223E-2</v>
      </c>
      <c r="G17" s="213">
        <v>462.96</v>
      </c>
      <c r="H17" s="213">
        <v>638.86</v>
      </c>
    </row>
    <row r="18" spans="1:8" ht="20" customHeight="1" thickBot="1">
      <c r="A18" s="330" t="s">
        <v>1846</v>
      </c>
      <c r="B18" s="213">
        <v>123.67</v>
      </c>
      <c r="C18" s="263" t="s">
        <v>1060</v>
      </c>
      <c r="D18" s="280" t="s">
        <v>1060</v>
      </c>
      <c r="E18" s="477">
        <v>-0.10077801207009379</v>
      </c>
      <c r="G18" s="213">
        <v>176.07</v>
      </c>
      <c r="H18" s="213">
        <v>225.04</v>
      </c>
    </row>
    <row r="19" spans="1:8" ht="20" customHeight="1" thickBot="1">
      <c r="A19" s="330" t="s">
        <v>164</v>
      </c>
      <c r="B19" s="213">
        <v>185.89</v>
      </c>
      <c r="C19" s="263" t="s">
        <v>1060</v>
      </c>
      <c r="D19" s="280" t="s">
        <v>1060</v>
      </c>
      <c r="E19" s="477">
        <v>-3.3232785521115117E-2</v>
      </c>
      <c r="G19" s="213">
        <v>327.24</v>
      </c>
      <c r="H19" s="213">
        <v>435.18</v>
      </c>
    </row>
    <row r="20" spans="1:8" ht="24" customHeight="1" thickBot="1">
      <c r="A20" s="637" t="s">
        <v>2308</v>
      </c>
      <c r="B20" s="213"/>
      <c r="C20" s="263"/>
      <c r="D20" s="280"/>
      <c r="E20" s="477">
        <v>0</v>
      </c>
      <c r="G20" s="213"/>
      <c r="H20" s="213"/>
    </row>
    <row r="21" spans="1:8" ht="20" customHeight="1" thickBot="1">
      <c r="A21" s="330" t="s">
        <v>1844</v>
      </c>
      <c r="B21" s="213">
        <v>23343143.859999999</v>
      </c>
      <c r="C21" s="263">
        <v>114099581.23</v>
      </c>
      <c r="D21" s="280">
        <v>137442725.08000001</v>
      </c>
      <c r="E21" s="480">
        <v>-8.8983147200463089E-2</v>
      </c>
      <c r="G21" s="213">
        <v>297772901</v>
      </c>
      <c r="H21" s="213">
        <v>297772901</v>
      </c>
    </row>
    <row r="22" spans="1:8" ht="20" customHeight="1" thickBot="1">
      <c r="A22" s="330" t="s">
        <v>1846</v>
      </c>
      <c r="B22" s="213">
        <v>16464974.140000001</v>
      </c>
      <c r="C22" s="263">
        <v>44380863.539999999</v>
      </c>
      <c r="D22" s="280">
        <v>60845837.689999998</v>
      </c>
      <c r="E22" s="480">
        <v>7.0247636782441461E-2</v>
      </c>
      <c r="G22" s="213">
        <v>114376252</v>
      </c>
      <c r="H22" s="213">
        <v>114376252</v>
      </c>
    </row>
    <row r="23" spans="1:8" ht="20" customHeight="1" thickBot="1">
      <c r="A23" s="330" t="s">
        <v>164</v>
      </c>
      <c r="B23" s="213">
        <v>39808118</v>
      </c>
      <c r="C23" s="263">
        <v>158480444.77000001</v>
      </c>
      <c r="D23" s="280">
        <v>198288562.77000001</v>
      </c>
      <c r="E23" s="480">
        <v>-4.5402228437672408E-2</v>
      </c>
      <c r="G23" s="213">
        <v>412149153</v>
      </c>
      <c r="H23" s="213">
        <v>412149153</v>
      </c>
    </row>
    <row r="24" spans="1:8" ht="24" customHeight="1" thickBot="1">
      <c r="A24" s="639" t="s">
        <v>2309</v>
      </c>
      <c r="B24" s="213">
        <v>267374.34999999998</v>
      </c>
      <c r="C24" s="263">
        <v>4791650.87</v>
      </c>
      <c r="D24" s="280">
        <v>5059025.22</v>
      </c>
      <c r="E24" s="480">
        <v>3.0699477833812487E-3</v>
      </c>
      <c r="G24" s="384">
        <v>21005933</v>
      </c>
      <c r="H24" s="384">
        <v>21005933</v>
      </c>
    </row>
    <row r="25" spans="1:8" ht="34.5" customHeight="1" thickBot="1">
      <c r="A25" s="638" t="s">
        <v>2310</v>
      </c>
      <c r="B25" s="213"/>
      <c r="C25" s="263"/>
      <c r="D25" s="280"/>
      <c r="E25" s="477" t="s">
        <v>1491</v>
      </c>
      <c r="G25" s="213"/>
      <c r="H25" s="213"/>
    </row>
    <row r="26" spans="1:8" ht="20" customHeight="1" thickBot="1">
      <c r="A26" s="330" t="s">
        <v>1844</v>
      </c>
      <c r="B26" s="213">
        <v>171.28</v>
      </c>
      <c r="C26" s="263" t="s">
        <v>1060</v>
      </c>
      <c r="D26" s="280" t="s">
        <v>1060</v>
      </c>
      <c r="E26" s="477">
        <v>-0.16935014548981567</v>
      </c>
      <c r="G26" s="213">
        <v>398.14</v>
      </c>
      <c r="H26" s="213">
        <v>549.41</v>
      </c>
    </row>
    <row r="27" spans="1:8" ht="20" customHeight="1" thickBot="1">
      <c r="A27" s="330" t="s">
        <v>1846</v>
      </c>
      <c r="B27" s="213">
        <v>92.57</v>
      </c>
      <c r="C27" s="263" t="s">
        <v>1060</v>
      </c>
      <c r="D27" s="280" t="s">
        <v>1060</v>
      </c>
      <c r="E27" s="477">
        <v>5.0141803743618686E-2</v>
      </c>
      <c r="G27" s="213">
        <v>170.33</v>
      </c>
      <c r="H27" s="213">
        <v>217.71</v>
      </c>
    </row>
    <row r="28" spans="1:8" ht="30" customHeight="1" thickBot="1">
      <c r="A28" s="640" t="s">
        <v>164</v>
      </c>
      <c r="B28" s="384">
        <v>126.72</v>
      </c>
      <c r="C28" s="385" t="s">
        <v>1060</v>
      </c>
      <c r="D28" s="215" t="s">
        <v>1060</v>
      </c>
      <c r="E28" s="482">
        <v>-9.1352359099383398E-2</v>
      </c>
      <c r="G28" s="641">
        <v>290.37</v>
      </c>
      <c r="H28" s="641">
        <v>386.14</v>
      </c>
    </row>
    <row r="29" spans="1:8" ht="20" customHeight="1">
      <c r="A29" s="201" t="s">
        <v>1490</v>
      </c>
      <c r="B29" s="201"/>
      <c r="C29" s="201"/>
      <c r="D29" s="632"/>
      <c r="E29" s="465"/>
    </row>
    <row r="30" spans="1:8" ht="14.25" customHeight="1">
      <c r="A30" s="202"/>
      <c r="B30" s="202"/>
      <c r="C30" s="202"/>
      <c r="D30" s="359"/>
      <c r="E30" s="466"/>
    </row>
    <row r="31" spans="1:8" ht="14.25" customHeight="1">
      <c r="A31" s="202" t="s">
        <v>2311</v>
      </c>
      <c r="B31" s="202"/>
      <c r="C31" s="202"/>
      <c r="D31" s="359"/>
      <c r="E31" s="466"/>
    </row>
    <row r="32" spans="1:8" ht="14.25" customHeight="1">
      <c r="A32" s="202"/>
      <c r="B32" s="202"/>
      <c r="C32" s="202"/>
      <c r="D32" s="359"/>
      <c r="E32" s="466"/>
    </row>
    <row r="33" spans="1:1">
      <c r="A33" s="202" t="s">
        <v>2428</v>
      </c>
    </row>
    <row r="34" spans="1:1">
      <c r="A34" s="2" t="s">
        <v>2429</v>
      </c>
    </row>
    <row r="35" spans="1:1">
      <c r="A35" s="2" t="s">
        <v>2312</v>
      </c>
    </row>
    <row r="36" spans="1:1">
      <c r="A36" s="2" t="s">
        <v>2313</v>
      </c>
    </row>
    <row r="39" spans="1:1">
      <c r="A39" s="2" t="s">
        <v>711</v>
      </c>
    </row>
  </sheetData>
  <mergeCells count="1">
    <mergeCell ref="A2:D2"/>
  </mergeCells>
  <phoneticPr fontId="0" type="noConversion"/>
  <pageMargins left="0.56999999999999995" right="0.56000000000000005" top="0.96" bottom="0.49" header="0.56000000000000005" footer="0.4921259845"/>
  <pageSetup paperSize="9" scale="88" orientation="portrait" horizontalDpi="1200" verticalDpi="1200"/>
  <headerFooter alignWithMargins="0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2E16-AF15-F04D-B13C-F66D07757D44}">
  <dimension ref="A1:E37"/>
  <sheetViews>
    <sheetView zoomScale="75" workbookViewId="0">
      <selection activeCell="E3" sqref="E3"/>
    </sheetView>
  </sheetViews>
  <sheetFormatPr baseColWidth="10" defaultColWidth="11.3984375" defaultRowHeight="13"/>
  <cols>
    <col min="1" max="1" width="8.796875" style="2" customWidth="1"/>
    <col min="2" max="2" width="48.796875" style="92" customWidth="1"/>
    <col min="3" max="3" width="16.796875" style="2" customWidth="1"/>
    <col min="4" max="4" width="16.796875" style="7" customWidth="1"/>
    <col min="5" max="5" width="16.796875" style="410" customWidth="1"/>
    <col min="6" max="16384" width="11.3984375" style="2"/>
  </cols>
  <sheetData>
    <row r="1" spans="1:5" s="1" customFormat="1" ht="14" customHeight="1">
      <c r="B1" s="227"/>
      <c r="D1" s="240"/>
      <c r="E1" s="625"/>
    </row>
    <row r="2" spans="1:5" s="1" customFormat="1" ht="28" customHeight="1">
      <c r="A2" s="53" t="s">
        <v>2433</v>
      </c>
      <c r="B2" s="227"/>
      <c r="D2" s="240"/>
      <c r="E2" s="53">
        <v>2008</v>
      </c>
    </row>
    <row r="3" spans="1:5" ht="39" customHeight="1">
      <c r="A3" s="394" t="s">
        <v>765</v>
      </c>
      <c r="B3" s="228"/>
      <c r="C3" s="179" t="s">
        <v>766</v>
      </c>
      <c r="D3" s="242" t="s">
        <v>767</v>
      </c>
      <c r="E3" s="377" t="s">
        <v>164</v>
      </c>
    </row>
    <row r="4" spans="1:5" ht="38" customHeight="1">
      <c r="A4" s="378"/>
      <c r="B4" s="379"/>
      <c r="C4" s="188" t="s">
        <v>768</v>
      </c>
      <c r="D4" s="248" t="s">
        <v>768</v>
      </c>
      <c r="E4" s="380" t="s">
        <v>768</v>
      </c>
    </row>
    <row r="5" spans="1:5" ht="30" customHeight="1" thickBot="1">
      <c r="A5" s="190">
        <v>60</v>
      </c>
      <c r="B5" s="190" t="s">
        <v>769</v>
      </c>
      <c r="C5" s="211">
        <v>268425000.44999999</v>
      </c>
      <c r="D5" s="257">
        <v>12573483.359999999</v>
      </c>
      <c r="E5" s="395">
        <v>280998483.81</v>
      </c>
    </row>
    <row r="6" spans="1:5" ht="20" customHeight="1" thickBot="1">
      <c r="A6" s="195">
        <v>64</v>
      </c>
      <c r="B6" s="195" t="s">
        <v>770</v>
      </c>
      <c r="C6" s="213">
        <v>-2006679.7</v>
      </c>
      <c r="D6" s="263">
        <v>-54532.58</v>
      </c>
      <c r="E6" s="280">
        <v>-2061212.28</v>
      </c>
    </row>
    <row r="7" spans="1:5" ht="20" customHeight="1" thickBot="1">
      <c r="A7" s="195">
        <v>65</v>
      </c>
      <c r="B7" s="195" t="s">
        <v>771</v>
      </c>
      <c r="C7" s="213">
        <v>209269.39</v>
      </c>
      <c r="D7" s="263">
        <v>1226.8900000000001</v>
      </c>
      <c r="E7" s="280">
        <v>210496.28</v>
      </c>
    </row>
    <row r="8" spans="1:5" ht="27" customHeight="1" thickBot="1">
      <c r="A8" s="196" t="s">
        <v>772</v>
      </c>
      <c r="B8" s="196" t="s">
        <v>773</v>
      </c>
      <c r="C8" s="213">
        <v>266627590.13</v>
      </c>
      <c r="D8" s="263">
        <v>12520177.66</v>
      </c>
      <c r="E8" s="280">
        <v>279147767.79000002</v>
      </c>
    </row>
    <row r="9" spans="1:5" ht="20" customHeight="1" thickBot="1">
      <c r="A9" s="195">
        <v>66</v>
      </c>
      <c r="B9" s="195" t="s">
        <v>774</v>
      </c>
      <c r="C9" s="213">
        <v>-1296223</v>
      </c>
      <c r="D9" s="263">
        <v>-69280.289999999994</v>
      </c>
      <c r="E9" s="280">
        <v>-1365503.29</v>
      </c>
    </row>
    <row r="10" spans="1:5" ht="27" customHeight="1" thickBot="1">
      <c r="A10" s="196" t="s">
        <v>775</v>
      </c>
      <c r="B10" s="196" t="s">
        <v>776</v>
      </c>
      <c r="C10" s="213">
        <v>265331367.13999999</v>
      </c>
      <c r="D10" s="263">
        <v>12450897.369999999</v>
      </c>
      <c r="E10" s="280">
        <v>277782264.50999999</v>
      </c>
    </row>
    <row r="11" spans="1:5" ht="20" customHeight="1" thickBot="1">
      <c r="A11" s="195">
        <v>67</v>
      </c>
      <c r="B11" s="195" t="s">
        <v>777</v>
      </c>
      <c r="C11" s="213">
        <v>171081.05</v>
      </c>
      <c r="D11" s="263">
        <v>43634.3</v>
      </c>
      <c r="E11" s="280">
        <v>214715.35</v>
      </c>
    </row>
    <row r="12" spans="1:5" ht="20" customHeight="1" thickBot="1">
      <c r="A12" s="195">
        <v>68</v>
      </c>
      <c r="B12" s="195" t="s">
        <v>174</v>
      </c>
      <c r="C12" s="213">
        <v>-25.05</v>
      </c>
      <c r="D12" s="263">
        <v>-3.37</v>
      </c>
      <c r="E12" s="280">
        <v>-28.42</v>
      </c>
    </row>
    <row r="13" spans="1:5" ht="20" customHeight="1" thickBot="1">
      <c r="A13" s="195">
        <v>69</v>
      </c>
      <c r="B13" s="195" t="s">
        <v>175</v>
      </c>
      <c r="C13" s="213">
        <v>1869135.15</v>
      </c>
      <c r="D13" s="263">
        <v>16702.349999999999</v>
      </c>
      <c r="E13" s="280">
        <v>1885837.5</v>
      </c>
    </row>
    <row r="14" spans="1:5" ht="27" customHeight="1" thickBot="1">
      <c r="A14" s="196">
        <v>6</v>
      </c>
      <c r="B14" s="196" t="s">
        <v>176</v>
      </c>
      <c r="C14" s="213">
        <v>267371558.30000001</v>
      </c>
      <c r="D14" s="263">
        <v>12511230.65</v>
      </c>
      <c r="E14" s="280">
        <v>279882788.94999999</v>
      </c>
    </row>
    <row r="15" spans="1:5" ht="20" customHeight="1" thickBot="1">
      <c r="A15" s="195">
        <v>30</v>
      </c>
      <c r="B15" s="195" t="s">
        <v>177</v>
      </c>
      <c r="C15" s="213">
        <v>188215088.56</v>
      </c>
      <c r="D15" s="263">
        <v>10073467.779999999</v>
      </c>
      <c r="E15" s="280">
        <v>198288556.34</v>
      </c>
    </row>
    <row r="16" spans="1:5" ht="20" customHeight="1" thickBot="1">
      <c r="A16" s="195">
        <v>32</v>
      </c>
      <c r="B16" s="195" t="s">
        <v>178</v>
      </c>
      <c r="C16" s="213" t="s">
        <v>2467</v>
      </c>
      <c r="D16" s="263" t="s">
        <v>2467</v>
      </c>
      <c r="E16" s="280" t="s">
        <v>2467</v>
      </c>
    </row>
    <row r="17" spans="1:5" ht="27" customHeight="1" thickBot="1">
      <c r="A17" s="196" t="s">
        <v>179</v>
      </c>
      <c r="B17" s="196" t="s">
        <v>180</v>
      </c>
      <c r="C17" s="213">
        <v>188215088.56</v>
      </c>
      <c r="D17" s="263">
        <v>10073467.779999999</v>
      </c>
      <c r="E17" s="280">
        <v>198288556.34</v>
      </c>
    </row>
    <row r="18" spans="1:5" ht="20" customHeight="1" thickBot="1">
      <c r="A18" s="195">
        <v>34</v>
      </c>
      <c r="B18" s="195" t="s">
        <v>1651</v>
      </c>
      <c r="C18" s="213">
        <v>600943.91</v>
      </c>
      <c r="D18" s="263">
        <v>16579.599999999999</v>
      </c>
      <c r="E18" s="280">
        <v>617523.51</v>
      </c>
    </row>
    <row r="19" spans="1:5" ht="20" customHeight="1" thickBot="1">
      <c r="A19" s="195">
        <v>35</v>
      </c>
      <c r="B19" s="195" t="s">
        <v>1652</v>
      </c>
      <c r="C19" s="213">
        <v>-2380505.25</v>
      </c>
      <c r="D19" s="263">
        <v>-309136.95</v>
      </c>
      <c r="E19" s="280">
        <v>-2689642.2</v>
      </c>
    </row>
    <row r="20" spans="1:5" ht="27" customHeight="1" thickBot="1">
      <c r="A20" s="196" t="s">
        <v>1653</v>
      </c>
      <c r="B20" s="196" t="s">
        <v>1654</v>
      </c>
      <c r="C20" s="213">
        <v>186435527.19</v>
      </c>
      <c r="D20" s="263">
        <v>9780910.4600000009</v>
      </c>
      <c r="E20" s="280">
        <v>196216437.65000001</v>
      </c>
    </row>
    <row r="21" spans="1:5" ht="20" customHeight="1" thickBot="1">
      <c r="A21" s="195">
        <v>36</v>
      </c>
      <c r="B21" s="195" t="s">
        <v>1655</v>
      </c>
      <c r="C21" s="213">
        <v>-1096121.08</v>
      </c>
      <c r="D21" s="263">
        <v>-9737.1299999999992</v>
      </c>
      <c r="E21" s="280">
        <v>-1105858.21</v>
      </c>
    </row>
    <row r="22" spans="1:5" ht="20" customHeight="1" thickBot="1">
      <c r="A22" s="195">
        <v>37</v>
      </c>
      <c r="B22" s="195" t="s">
        <v>1656</v>
      </c>
      <c r="C22" s="213" t="s">
        <v>2467</v>
      </c>
      <c r="D22" s="263" t="s">
        <v>2467</v>
      </c>
      <c r="E22" s="280" t="s">
        <v>2467</v>
      </c>
    </row>
    <row r="23" spans="1:5" ht="27" customHeight="1" thickBot="1">
      <c r="A23" s="196">
        <v>3</v>
      </c>
      <c r="B23" s="196" t="s">
        <v>1657</v>
      </c>
      <c r="C23" s="213">
        <v>185339406.12</v>
      </c>
      <c r="D23" s="263">
        <v>9771173.3300000001</v>
      </c>
      <c r="E23" s="280">
        <v>195110579.44999999</v>
      </c>
    </row>
    <row r="24" spans="1:5" ht="20" customHeight="1" thickBot="1">
      <c r="A24" s="195" t="s">
        <v>1658</v>
      </c>
      <c r="B24" s="195" t="s">
        <v>1659</v>
      </c>
      <c r="C24" s="213">
        <v>46791932.200000003</v>
      </c>
      <c r="D24" s="263">
        <v>2214177.2000000002</v>
      </c>
      <c r="E24" s="280">
        <v>49006109.399999999</v>
      </c>
    </row>
    <row r="25" spans="1:5" ht="20" customHeight="1" thickBot="1">
      <c r="A25" s="195">
        <v>48</v>
      </c>
      <c r="B25" s="195" t="s">
        <v>1660</v>
      </c>
      <c r="C25" s="213">
        <v>565298.01</v>
      </c>
      <c r="D25" s="263">
        <v>61310.76</v>
      </c>
      <c r="E25" s="280">
        <v>626608.77</v>
      </c>
    </row>
    <row r="26" spans="1:5" ht="20" customHeight="1" thickBot="1">
      <c r="A26" s="195">
        <v>49</v>
      </c>
      <c r="B26" s="195" t="s">
        <v>1661</v>
      </c>
      <c r="C26" s="213">
        <v>259446.01</v>
      </c>
      <c r="D26" s="263">
        <v>13595.93</v>
      </c>
      <c r="E26" s="280">
        <v>273041.94</v>
      </c>
    </row>
    <row r="27" spans="1:5" ht="27" customHeight="1" thickBot="1">
      <c r="A27" s="196">
        <v>4</v>
      </c>
      <c r="B27" s="196" t="s">
        <v>1662</v>
      </c>
      <c r="C27" s="213">
        <v>47616676.219999999</v>
      </c>
      <c r="D27" s="263">
        <v>2289083.87</v>
      </c>
      <c r="E27" s="280">
        <v>49905760.090000004</v>
      </c>
    </row>
    <row r="28" spans="1:5" ht="27" customHeight="1" thickBot="1">
      <c r="A28" s="196" t="s">
        <v>1663</v>
      </c>
      <c r="B28" s="196" t="s">
        <v>1664</v>
      </c>
      <c r="C28" s="213">
        <v>232956082.31999999</v>
      </c>
      <c r="D28" s="263">
        <v>12060257.210000001</v>
      </c>
      <c r="E28" s="280">
        <v>245016339.53</v>
      </c>
    </row>
    <row r="29" spans="1:5" ht="27" customHeight="1" thickBot="1">
      <c r="A29" s="196"/>
      <c r="B29" s="196" t="s">
        <v>1665</v>
      </c>
      <c r="C29" s="213">
        <v>34415475.969999999</v>
      </c>
      <c r="D29" s="263">
        <v>450973.44</v>
      </c>
      <c r="E29" s="280">
        <v>34866449.409999996</v>
      </c>
    </row>
    <row r="30" spans="1:5" ht="27" customHeight="1" thickBot="1">
      <c r="A30" s="196">
        <v>7</v>
      </c>
      <c r="B30" s="196" t="s">
        <v>1666</v>
      </c>
      <c r="C30" s="213">
        <v>-8232352.8899999997</v>
      </c>
      <c r="D30" s="263">
        <v>-371630.59</v>
      </c>
      <c r="E30" s="280">
        <v>-8603983.4800000004</v>
      </c>
    </row>
    <row r="31" spans="1:5" ht="34.5" customHeight="1" thickBot="1">
      <c r="A31" s="481"/>
      <c r="B31" s="481" t="s">
        <v>1667</v>
      </c>
      <c r="C31" s="384">
        <v>26183123.059999999</v>
      </c>
      <c r="D31" s="385">
        <v>79342.84</v>
      </c>
      <c r="E31" s="215">
        <v>26262465.899999999</v>
      </c>
    </row>
    <row r="32" spans="1:5" ht="19.5" customHeight="1">
      <c r="A32" s="201" t="s">
        <v>1490</v>
      </c>
      <c r="B32" s="231"/>
      <c r="C32" s="201"/>
      <c r="D32" s="253"/>
      <c r="E32" s="409"/>
    </row>
    <row r="34" spans="1:1">
      <c r="A34" s="2" t="s">
        <v>2298</v>
      </c>
    </row>
    <row r="37" spans="1:1">
      <c r="A37" s="2" t="s">
        <v>711</v>
      </c>
    </row>
  </sheetData>
  <phoneticPr fontId="0" type="noConversion"/>
  <pageMargins left="0.62" right="0.68" top="0.87" bottom="0.49" header="0.49" footer="0.4921259845"/>
  <pageSetup paperSize="9" scale="80" orientation="portrait" horizontalDpi="1200" verticalDpi="1200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7651-D379-554E-8B2C-CAEFA09A2CA2}">
  <sheetPr>
    <pageSetUpPr fitToPage="1"/>
  </sheetPr>
  <dimension ref="A1:E40"/>
  <sheetViews>
    <sheetView topLeftCell="A22" zoomScale="75" workbookViewId="0">
      <selection activeCell="A35" sqref="A35"/>
    </sheetView>
  </sheetViews>
  <sheetFormatPr baseColWidth="10" defaultColWidth="11.3984375" defaultRowHeight="13"/>
  <cols>
    <col min="1" max="1" width="8.796875" style="2" customWidth="1"/>
    <col min="2" max="2" width="48.796875" style="92" customWidth="1"/>
    <col min="3" max="3" width="16.796875" style="2" customWidth="1"/>
    <col min="4" max="4" width="16.796875" style="7" customWidth="1"/>
    <col min="5" max="5" width="16.796875" style="410" customWidth="1"/>
    <col min="6" max="16384" width="11.3984375" style="2"/>
  </cols>
  <sheetData>
    <row r="1" spans="1:5" s="1" customFormat="1" ht="14" customHeight="1">
      <c r="B1" s="227"/>
      <c r="D1" s="240"/>
      <c r="E1" s="625"/>
    </row>
    <row r="2" spans="1:5" s="1" customFormat="1" ht="28" customHeight="1">
      <c r="A2" s="53" t="s">
        <v>2432</v>
      </c>
      <c r="B2" s="227"/>
      <c r="D2" s="240"/>
      <c r="E2" s="53">
        <v>2008</v>
      </c>
    </row>
    <row r="3" spans="1:5" ht="39" customHeight="1">
      <c r="A3" s="394" t="s">
        <v>765</v>
      </c>
      <c r="B3" s="228"/>
      <c r="C3" s="179" t="s">
        <v>766</v>
      </c>
      <c r="D3" s="242" t="s">
        <v>767</v>
      </c>
      <c r="E3" s="377" t="s">
        <v>164</v>
      </c>
    </row>
    <row r="4" spans="1:5" ht="38" customHeight="1">
      <c r="A4" s="378"/>
      <c r="B4" s="379"/>
      <c r="C4" s="188" t="s">
        <v>768</v>
      </c>
      <c r="D4" s="248" t="s">
        <v>768</v>
      </c>
      <c r="E4" s="380" t="s">
        <v>768</v>
      </c>
    </row>
    <row r="5" spans="1:5" ht="30" customHeight="1" thickBot="1">
      <c r="A5" s="633">
        <v>60</v>
      </c>
      <c r="B5" s="633" t="s">
        <v>769</v>
      </c>
      <c r="C5" s="407">
        <v>51710970.700000003</v>
      </c>
      <c r="D5" s="408">
        <v>6684970.5499999998</v>
      </c>
      <c r="E5" s="258">
        <v>58395941.25</v>
      </c>
    </row>
    <row r="6" spans="1:5" ht="20" customHeight="1" thickBot="1">
      <c r="A6" s="196">
        <v>64</v>
      </c>
      <c r="B6" s="196" t="s">
        <v>770</v>
      </c>
      <c r="C6" s="384">
        <v>-197102.82</v>
      </c>
      <c r="D6" s="385">
        <v>-12049.94</v>
      </c>
      <c r="E6" s="215">
        <v>-209152.76</v>
      </c>
    </row>
    <row r="7" spans="1:5" ht="20" customHeight="1" thickBot="1">
      <c r="A7" s="196">
        <v>65</v>
      </c>
      <c r="B7" s="196" t="s">
        <v>771</v>
      </c>
      <c r="C7" s="384">
        <v>21994.639999999999</v>
      </c>
      <c r="D7" s="385">
        <v>721.1</v>
      </c>
      <c r="E7" s="215">
        <v>22715.74</v>
      </c>
    </row>
    <row r="8" spans="1:5" ht="27" customHeight="1" thickBot="1">
      <c r="A8" s="196" t="s">
        <v>772</v>
      </c>
      <c r="B8" s="196" t="s">
        <v>773</v>
      </c>
      <c r="C8" s="384">
        <v>51535862.509999998</v>
      </c>
      <c r="D8" s="385">
        <v>6673641.71</v>
      </c>
      <c r="E8" s="215">
        <v>58209504.219999999</v>
      </c>
    </row>
    <row r="9" spans="1:5" ht="20" customHeight="1" thickBot="1">
      <c r="A9" s="196">
        <v>66</v>
      </c>
      <c r="B9" s="196" t="s">
        <v>774</v>
      </c>
      <c r="C9" s="384">
        <v>-578264.65</v>
      </c>
      <c r="D9" s="385">
        <v>-60718.01</v>
      </c>
      <c r="E9" s="215">
        <v>-638982.66</v>
      </c>
    </row>
    <row r="10" spans="1:5" ht="27" customHeight="1" thickBot="1">
      <c r="A10" s="196" t="s">
        <v>775</v>
      </c>
      <c r="B10" s="196" t="s">
        <v>776</v>
      </c>
      <c r="C10" s="384">
        <v>50957597.869999997</v>
      </c>
      <c r="D10" s="385">
        <v>6612923.71</v>
      </c>
      <c r="E10" s="215">
        <v>57570521.579999998</v>
      </c>
    </row>
    <row r="11" spans="1:5" ht="20" customHeight="1" thickBot="1">
      <c r="A11" s="196">
        <v>67</v>
      </c>
      <c r="B11" s="196" t="s">
        <v>777</v>
      </c>
      <c r="C11" s="384">
        <v>171081.05</v>
      </c>
      <c r="D11" s="385">
        <v>43634.3</v>
      </c>
      <c r="E11" s="215">
        <v>214715.35</v>
      </c>
    </row>
    <row r="12" spans="1:5" ht="20" customHeight="1" thickBot="1">
      <c r="A12" s="196">
        <v>68</v>
      </c>
      <c r="B12" s="196" t="s">
        <v>174</v>
      </c>
      <c r="C12" s="384">
        <v>-25.05</v>
      </c>
      <c r="D12" s="385">
        <v>-3.37</v>
      </c>
      <c r="E12" s="215">
        <v>-28.42</v>
      </c>
    </row>
    <row r="13" spans="1:5" ht="20" customHeight="1" thickBot="1">
      <c r="A13" s="196">
        <v>69</v>
      </c>
      <c r="B13" s="196" t="s">
        <v>175</v>
      </c>
      <c r="C13" s="384">
        <v>305029.67</v>
      </c>
      <c r="D13" s="385">
        <v>10482.75</v>
      </c>
      <c r="E13" s="215">
        <v>315512.42</v>
      </c>
    </row>
    <row r="14" spans="1:5" ht="27" customHeight="1" thickBot="1">
      <c r="A14" s="196">
        <v>6</v>
      </c>
      <c r="B14" s="196" t="s">
        <v>176</v>
      </c>
      <c r="C14" s="384">
        <v>51433683.539999999</v>
      </c>
      <c r="D14" s="385">
        <v>6667037.3899999997</v>
      </c>
      <c r="E14" s="215">
        <v>58100720.93</v>
      </c>
    </row>
    <row r="15" spans="1:5" ht="20" customHeight="1" thickBot="1">
      <c r="A15" s="196">
        <v>30</v>
      </c>
      <c r="B15" s="196" t="s">
        <v>177</v>
      </c>
      <c r="C15" s="384">
        <v>36401564.939999998</v>
      </c>
      <c r="D15" s="385">
        <v>3406547.21</v>
      </c>
      <c r="E15" s="215">
        <v>39808112.149999999</v>
      </c>
    </row>
    <row r="16" spans="1:5" ht="20" customHeight="1" thickBot="1">
      <c r="A16" s="196">
        <v>32</v>
      </c>
      <c r="B16" s="196" t="s">
        <v>178</v>
      </c>
      <c r="C16" s="384" t="s">
        <v>2467</v>
      </c>
      <c r="D16" s="385" t="s">
        <v>2467</v>
      </c>
      <c r="E16" s="215" t="s">
        <v>2467</v>
      </c>
    </row>
    <row r="17" spans="1:5" ht="27" customHeight="1" thickBot="1">
      <c r="A17" s="196" t="s">
        <v>179</v>
      </c>
      <c r="B17" s="196" t="s">
        <v>180</v>
      </c>
      <c r="C17" s="384">
        <v>36401564.939999998</v>
      </c>
      <c r="D17" s="385">
        <v>3406547.21</v>
      </c>
      <c r="E17" s="215">
        <v>39808112.149999999</v>
      </c>
    </row>
    <row r="18" spans="1:5" ht="20" customHeight="1" thickBot="1">
      <c r="A18" s="196">
        <v>34</v>
      </c>
      <c r="B18" s="196" t="s">
        <v>1651</v>
      </c>
      <c r="C18" s="384">
        <v>267890.02</v>
      </c>
      <c r="D18" s="385">
        <v>10233.19</v>
      </c>
      <c r="E18" s="215">
        <v>278123.21000000002</v>
      </c>
    </row>
    <row r="19" spans="1:5" ht="20" customHeight="1" thickBot="1">
      <c r="A19" s="196">
        <v>35</v>
      </c>
      <c r="B19" s="196" t="s">
        <v>1652</v>
      </c>
      <c r="C19" s="384">
        <v>-4336097.6500000004</v>
      </c>
      <c r="D19" s="385">
        <v>-294212.12</v>
      </c>
      <c r="E19" s="215">
        <v>-4630309.7699999996</v>
      </c>
    </row>
    <row r="20" spans="1:5" ht="27" customHeight="1" thickBot="1">
      <c r="A20" s="196" t="s">
        <v>1653</v>
      </c>
      <c r="B20" s="196" t="s">
        <v>1654</v>
      </c>
      <c r="C20" s="384">
        <v>32333357.289999999</v>
      </c>
      <c r="D20" s="385">
        <v>3122568.3</v>
      </c>
      <c r="E20" s="215">
        <v>35455925.590000004</v>
      </c>
    </row>
    <row r="21" spans="1:5" ht="20" customHeight="1" thickBot="1">
      <c r="A21" s="196">
        <v>36</v>
      </c>
      <c r="B21" s="196" t="s">
        <v>1655</v>
      </c>
      <c r="C21" s="384">
        <v>-411425.16</v>
      </c>
      <c r="D21" s="385">
        <v>-8488.42</v>
      </c>
      <c r="E21" s="215">
        <v>-419913.58</v>
      </c>
    </row>
    <row r="22" spans="1:5" ht="20" customHeight="1" thickBot="1">
      <c r="A22" s="196">
        <v>37</v>
      </c>
      <c r="B22" s="196" t="s">
        <v>1656</v>
      </c>
      <c r="C22" s="384" t="s">
        <v>2467</v>
      </c>
      <c r="D22" s="385" t="s">
        <v>2467</v>
      </c>
      <c r="E22" s="215" t="s">
        <v>2467</v>
      </c>
    </row>
    <row r="23" spans="1:5" ht="27" customHeight="1" thickBot="1">
      <c r="A23" s="196">
        <v>3</v>
      </c>
      <c r="B23" s="196" t="s">
        <v>1657</v>
      </c>
      <c r="C23" s="384">
        <v>31921932.129999999</v>
      </c>
      <c r="D23" s="385">
        <v>3114079.88</v>
      </c>
      <c r="E23" s="215">
        <v>35036012.009999998</v>
      </c>
    </row>
    <row r="24" spans="1:5" ht="20" customHeight="1" thickBot="1">
      <c r="A24" s="195" t="s">
        <v>1658</v>
      </c>
      <c r="B24" s="195" t="s">
        <v>1659</v>
      </c>
      <c r="C24" s="384">
        <v>8491891.4700000007</v>
      </c>
      <c r="D24" s="385">
        <v>1103330.51</v>
      </c>
      <c r="E24" s="215">
        <v>9595221.9800000004</v>
      </c>
    </row>
    <row r="25" spans="1:5" ht="20" customHeight="1" thickBot="1">
      <c r="A25" s="195">
        <v>48</v>
      </c>
      <c r="B25" s="195" t="s">
        <v>1660</v>
      </c>
      <c r="C25" s="384">
        <v>171143.67999999999</v>
      </c>
      <c r="D25" s="385">
        <v>25442.36</v>
      </c>
      <c r="E25" s="215">
        <v>196586.04</v>
      </c>
    </row>
    <row r="26" spans="1:5" ht="20" customHeight="1" thickBot="1">
      <c r="A26" s="196">
        <v>49</v>
      </c>
      <c r="B26" s="196" t="s">
        <v>1661</v>
      </c>
      <c r="C26" s="384">
        <v>29426.82</v>
      </c>
      <c r="D26" s="385">
        <v>8053.83</v>
      </c>
      <c r="E26" s="215">
        <v>37480.65</v>
      </c>
    </row>
    <row r="27" spans="1:5" ht="27" customHeight="1" thickBot="1">
      <c r="A27" s="196">
        <v>4</v>
      </c>
      <c r="B27" s="196" t="s">
        <v>1662</v>
      </c>
      <c r="C27" s="384">
        <v>8692461.9600000009</v>
      </c>
      <c r="D27" s="385">
        <v>1136826.7</v>
      </c>
      <c r="E27" s="215">
        <v>9829288.6600000001</v>
      </c>
    </row>
    <row r="28" spans="1:5" ht="27" customHeight="1" thickBot="1">
      <c r="A28" s="196" t="s">
        <v>1663</v>
      </c>
      <c r="B28" s="196" t="s">
        <v>1664</v>
      </c>
      <c r="C28" s="384">
        <v>40614394.079999998</v>
      </c>
      <c r="D28" s="385">
        <v>4250906.58</v>
      </c>
      <c r="E28" s="215">
        <v>44865300.659999996</v>
      </c>
    </row>
    <row r="29" spans="1:5" ht="27" customHeight="1" thickBot="1">
      <c r="A29" s="196"/>
      <c r="B29" s="196" t="s">
        <v>1665</v>
      </c>
      <c r="C29" s="384">
        <v>10819289.460000001</v>
      </c>
      <c r="D29" s="385">
        <v>2416130.81</v>
      </c>
      <c r="E29" s="215">
        <v>13235420.27</v>
      </c>
    </row>
    <row r="30" spans="1:5" ht="27" customHeight="1" thickBot="1">
      <c r="A30" s="196">
        <v>7</v>
      </c>
      <c r="B30" s="196" t="s">
        <v>1666</v>
      </c>
      <c r="C30" s="384">
        <v>-2128500.46</v>
      </c>
      <c r="D30" s="385">
        <v>-129720.29</v>
      </c>
      <c r="E30" s="215">
        <v>-2258220.75</v>
      </c>
    </row>
    <row r="31" spans="1:5" ht="34.5" customHeight="1" thickBot="1">
      <c r="A31" s="481"/>
      <c r="B31" s="481" t="s">
        <v>1667</v>
      </c>
      <c r="C31" s="384">
        <v>8690788.9900000002</v>
      </c>
      <c r="D31" s="385">
        <v>2286410.4900000002</v>
      </c>
      <c r="E31" s="215">
        <v>10977199.48</v>
      </c>
    </row>
    <row r="32" spans="1:5" ht="20" customHeight="1">
      <c r="A32" s="201" t="s">
        <v>1490</v>
      </c>
      <c r="B32" s="231"/>
      <c r="C32" s="201"/>
      <c r="D32" s="253"/>
      <c r="E32" s="409"/>
    </row>
    <row r="33" spans="1:5" ht="15.75" customHeight="1">
      <c r="A33" s="202"/>
      <c r="B33" s="232"/>
      <c r="C33" s="202"/>
      <c r="D33" s="254"/>
      <c r="E33" s="634"/>
    </row>
    <row r="34" spans="1:5" ht="15.75" customHeight="1">
      <c r="A34" s="2" t="s">
        <v>2431</v>
      </c>
      <c r="B34" s="232"/>
      <c r="C34" s="202"/>
      <c r="D34" s="254"/>
      <c r="E34" s="634"/>
    </row>
    <row r="35" spans="1:5" ht="13.5" customHeight="1">
      <c r="A35" s="202"/>
      <c r="B35" s="232"/>
      <c r="C35" s="202"/>
      <c r="D35" s="254"/>
      <c r="E35" s="634"/>
    </row>
    <row r="36" spans="1:5">
      <c r="A36" s="202" t="s">
        <v>2428</v>
      </c>
    </row>
    <row r="37" spans="1:5">
      <c r="A37" s="2" t="s">
        <v>2429</v>
      </c>
    </row>
    <row r="40" spans="1:5">
      <c r="A40" s="2" t="s">
        <v>711</v>
      </c>
    </row>
  </sheetData>
  <phoneticPr fontId="0" type="noConversion"/>
  <pageMargins left="0.6" right="0.6" top="0.78" bottom="0.49" header="0.49" footer="0.4921259845"/>
  <pageSetup paperSize="9" scale="85" orientation="portrait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98BB-F4C1-0B4F-913E-F7E41393F3CC}">
  <sheetPr>
    <pageSetUpPr fitToPage="1"/>
  </sheetPr>
  <dimension ref="A1:E40"/>
  <sheetViews>
    <sheetView topLeftCell="A22" zoomScale="75" workbookViewId="0">
      <selection activeCell="A35" sqref="A35"/>
    </sheetView>
  </sheetViews>
  <sheetFormatPr baseColWidth="10" defaultColWidth="11.3984375" defaultRowHeight="13"/>
  <cols>
    <col min="1" max="1" width="8.796875" style="2" customWidth="1"/>
    <col min="2" max="2" width="48.796875" style="92" customWidth="1"/>
    <col min="3" max="3" width="16.796875" style="2" customWidth="1"/>
    <col min="4" max="4" width="16.796875" style="7" customWidth="1"/>
    <col min="5" max="5" width="16.796875" style="410" customWidth="1"/>
    <col min="6" max="16384" width="11.3984375" style="2"/>
  </cols>
  <sheetData>
    <row r="1" spans="1:5" s="1" customFormat="1" ht="14" customHeight="1">
      <c r="B1" s="227"/>
      <c r="D1" s="240"/>
      <c r="E1" s="625"/>
    </row>
    <row r="2" spans="1:5" s="1" customFormat="1" ht="28" customHeight="1">
      <c r="A2" s="53" t="s">
        <v>2430</v>
      </c>
      <c r="B2" s="227"/>
      <c r="D2" s="240"/>
      <c r="E2" s="53">
        <v>2008</v>
      </c>
    </row>
    <row r="3" spans="1:5" ht="39" customHeight="1">
      <c r="A3" s="178" t="s">
        <v>765</v>
      </c>
      <c r="B3" s="228"/>
      <c r="C3" s="179" t="s">
        <v>766</v>
      </c>
      <c r="D3" s="242" t="s">
        <v>767</v>
      </c>
      <c r="E3" s="377" t="s">
        <v>164</v>
      </c>
    </row>
    <row r="4" spans="1:5" ht="38" customHeight="1">
      <c r="A4" s="378"/>
      <c r="B4" s="379"/>
      <c r="C4" s="188" t="s">
        <v>768</v>
      </c>
      <c r="D4" s="248" t="s">
        <v>768</v>
      </c>
      <c r="E4" s="380" t="s">
        <v>768</v>
      </c>
    </row>
    <row r="5" spans="1:5" ht="30" customHeight="1" thickBot="1">
      <c r="A5" s="633">
        <v>60</v>
      </c>
      <c r="B5" s="633" t="s">
        <v>769</v>
      </c>
      <c r="C5" s="407">
        <v>216714029.75</v>
      </c>
      <c r="D5" s="408">
        <v>5888512.8099999996</v>
      </c>
      <c r="E5" s="258">
        <v>222602542.56</v>
      </c>
    </row>
    <row r="6" spans="1:5" ht="20" customHeight="1" thickBot="1">
      <c r="A6" s="196">
        <v>64</v>
      </c>
      <c r="B6" s="196" t="s">
        <v>770</v>
      </c>
      <c r="C6" s="407">
        <v>-1809576.88</v>
      </c>
      <c r="D6" s="408">
        <v>-42482.64</v>
      </c>
      <c r="E6" s="258">
        <v>-1852059.52</v>
      </c>
    </row>
    <row r="7" spans="1:5" ht="20" customHeight="1" thickBot="1">
      <c r="A7" s="196">
        <v>65</v>
      </c>
      <c r="B7" s="196" t="s">
        <v>771</v>
      </c>
      <c r="C7" s="407">
        <v>187274.75</v>
      </c>
      <c r="D7" s="408">
        <v>505.79</v>
      </c>
      <c r="E7" s="258">
        <v>187780.54</v>
      </c>
    </row>
    <row r="8" spans="1:5" ht="27" customHeight="1" thickBot="1">
      <c r="A8" s="196" t="s">
        <v>772</v>
      </c>
      <c r="B8" s="196" t="s">
        <v>773</v>
      </c>
      <c r="C8" s="407">
        <v>215091727.62</v>
      </c>
      <c r="D8" s="408">
        <v>5846535.9500000002</v>
      </c>
      <c r="E8" s="258">
        <v>220938263.56999999</v>
      </c>
    </row>
    <row r="9" spans="1:5" ht="20" customHeight="1" thickBot="1">
      <c r="A9" s="196">
        <v>66</v>
      </c>
      <c r="B9" s="196" t="s">
        <v>774</v>
      </c>
      <c r="C9" s="407">
        <v>-717958.35</v>
      </c>
      <c r="D9" s="408">
        <v>-8562.2800000000007</v>
      </c>
      <c r="E9" s="258">
        <v>-726520.63</v>
      </c>
    </row>
    <row r="10" spans="1:5" ht="27" customHeight="1" thickBot="1">
      <c r="A10" s="196" t="s">
        <v>775</v>
      </c>
      <c r="B10" s="196" t="s">
        <v>776</v>
      </c>
      <c r="C10" s="407">
        <v>214373769.27000001</v>
      </c>
      <c r="D10" s="408">
        <v>5837973.6600000001</v>
      </c>
      <c r="E10" s="258">
        <v>220211742.93000001</v>
      </c>
    </row>
    <row r="11" spans="1:5" ht="20" customHeight="1" thickBot="1">
      <c r="A11" s="196">
        <v>67</v>
      </c>
      <c r="B11" s="196" t="s">
        <v>777</v>
      </c>
      <c r="C11" s="407">
        <v>0</v>
      </c>
      <c r="D11" s="408">
        <v>0</v>
      </c>
      <c r="E11" s="258">
        <v>0</v>
      </c>
    </row>
    <row r="12" spans="1:5" ht="20" customHeight="1" thickBot="1">
      <c r="A12" s="196">
        <v>68</v>
      </c>
      <c r="B12" s="196" t="s">
        <v>174</v>
      </c>
      <c r="C12" s="407">
        <v>0</v>
      </c>
      <c r="D12" s="408">
        <v>0</v>
      </c>
      <c r="E12" s="258">
        <v>0</v>
      </c>
    </row>
    <row r="13" spans="1:5" ht="20" customHeight="1" thickBot="1">
      <c r="A13" s="196">
        <v>69</v>
      </c>
      <c r="B13" s="196" t="s">
        <v>175</v>
      </c>
      <c r="C13" s="407">
        <v>1564105.48</v>
      </c>
      <c r="D13" s="408">
        <v>6219.6</v>
      </c>
      <c r="E13" s="258">
        <v>1570325.08</v>
      </c>
    </row>
    <row r="14" spans="1:5" ht="27" customHeight="1" thickBot="1">
      <c r="A14" s="196">
        <v>6</v>
      </c>
      <c r="B14" s="196" t="s">
        <v>176</v>
      </c>
      <c r="C14" s="407">
        <v>215937874.75999999</v>
      </c>
      <c r="D14" s="408">
        <v>5844193.2599999998</v>
      </c>
      <c r="E14" s="258">
        <v>221782068.02000001</v>
      </c>
    </row>
    <row r="15" spans="1:5" ht="20" customHeight="1" thickBot="1">
      <c r="A15" s="196">
        <v>30</v>
      </c>
      <c r="B15" s="196" t="s">
        <v>177</v>
      </c>
      <c r="C15" s="407">
        <v>151813523.62</v>
      </c>
      <c r="D15" s="408">
        <v>6666920.5700000003</v>
      </c>
      <c r="E15" s="258">
        <v>158480444.19</v>
      </c>
    </row>
    <row r="16" spans="1:5" ht="20" customHeight="1" thickBot="1">
      <c r="A16" s="196">
        <v>32</v>
      </c>
      <c r="B16" s="196" t="s">
        <v>178</v>
      </c>
      <c r="C16" s="407" t="s">
        <v>2467</v>
      </c>
      <c r="D16" s="408" t="s">
        <v>2467</v>
      </c>
      <c r="E16" s="258" t="s">
        <v>2467</v>
      </c>
    </row>
    <row r="17" spans="1:5" ht="27" customHeight="1" thickBot="1">
      <c r="A17" s="196" t="s">
        <v>179</v>
      </c>
      <c r="B17" s="196" t="s">
        <v>180</v>
      </c>
      <c r="C17" s="407">
        <v>151813523.62</v>
      </c>
      <c r="D17" s="408">
        <v>6666920.5700000003</v>
      </c>
      <c r="E17" s="258">
        <v>158480444.19</v>
      </c>
    </row>
    <row r="18" spans="1:5" ht="20" customHeight="1" thickBot="1">
      <c r="A18" s="196">
        <v>34</v>
      </c>
      <c r="B18" s="196" t="s">
        <v>1651</v>
      </c>
      <c r="C18" s="407">
        <v>333053.89</v>
      </c>
      <c r="D18" s="408">
        <v>6346.41</v>
      </c>
      <c r="E18" s="258">
        <v>339400.3</v>
      </c>
    </row>
    <row r="19" spans="1:5" ht="20" customHeight="1" thickBot="1">
      <c r="A19" s="196">
        <v>35</v>
      </c>
      <c r="B19" s="196" t="s">
        <v>1652</v>
      </c>
      <c r="C19" s="407">
        <v>1955592.4</v>
      </c>
      <c r="D19" s="408">
        <v>-14924.83</v>
      </c>
      <c r="E19" s="258">
        <v>1940667.57</v>
      </c>
    </row>
    <row r="20" spans="1:5" ht="27" customHeight="1" thickBot="1">
      <c r="A20" s="196" t="s">
        <v>1653</v>
      </c>
      <c r="B20" s="196" t="s">
        <v>1654</v>
      </c>
      <c r="C20" s="407">
        <v>154102169.90000001</v>
      </c>
      <c r="D20" s="408">
        <v>6658342.1600000001</v>
      </c>
      <c r="E20" s="258">
        <v>160760512.06</v>
      </c>
    </row>
    <row r="21" spans="1:5" ht="20" customHeight="1" thickBot="1">
      <c r="A21" s="196">
        <v>36</v>
      </c>
      <c r="B21" s="196" t="s">
        <v>1655</v>
      </c>
      <c r="C21" s="407">
        <v>-684695.92</v>
      </c>
      <c r="D21" s="408">
        <v>-1248.71</v>
      </c>
      <c r="E21" s="258">
        <v>-685944.63</v>
      </c>
    </row>
    <row r="22" spans="1:5" ht="20" customHeight="1" thickBot="1">
      <c r="A22" s="196">
        <v>37</v>
      </c>
      <c r="B22" s="196" t="s">
        <v>1656</v>
      </c>
      <c r="C22" s="407" t="s">
        <v>2467</v>
      </c>
      <c r="D22" s="408" t="s">
        <v>2467</v>
      </c>
      <c r="E22" s="258" t="s">
        <v>2467</v>
      </c>
    </row>
    <row r="23" spans="1:5" ht="27" customHeight="1" thickBot="1">
      <c r="A23" s="196">
        <v>3</v>
      </c>
      <c r="B23" s="196" t="s">
        <v>1657</v>
      </c>
      <c r="C23" s="407">
        <v>153417473.99000001</v>
      </c>
      <c r="D23" s="408">
        <v>6657093.4500000002</v>
      </c>
      <c r="E23" s="258">
        <v>160074567.44</v>
      </c>
    </row>
    <row r="24" spans="1:5" ht="20" customHeight="1" thickBot="1">
      <c r="A24" s="195" t="s">
        <v>1658</v>
      </c>
      <c r="B24" s="195" t="s">
        <v>1659</v>
      </c>
      <c r="C24" s="407">
        <v>38300040.729999997</v>
      </c>
      <c r="D24" s="408">
        <v>1110846.69</v>
      </c>
      <c r="E24" s="258">
        <v>39410887.420000002</v>
      </c>
    </row>
    <row r="25" spans="1:5" ht="20" customHeight="1" thickBot="1">
      <c r="A25" s="195">
        <v>48</v>
      </c>
      <c r="B25" s="195" t="s">
        <v>1660</v>
      </c>
      <c r="C25" s="407">
        <v>394154.33</v>
      </c>
      <c r="D25" s="408">
        <v>35868.400000000001</v>
      </c>
      <c r="E25" s="258">
        <v>430022.73</v>
      </c>
    </row>
    <row r="26" spans="1:5" ht="20" customHeight="1" thickBot="1">
      <c r="A26" s="196">
        <v>49</v>
      </c>
      <c r="B26" s="196" t="s">
        <v>1661</v>
      </c>
      <c r="C26" s="407">
        <v>230019.19</v>
      </c>
      <c r="D26" s="408">
        <v>5542.1</v>
      </c>
      <c r="E26" s="258">
        <v>235561.29</v>
      </c>
    </row>
    <row r="27" spans="1:5" ht="27" customHeight="1" thickBot="1">
      <c r="A27" s="196">
        <v>4</v>
      </c>
      <c r="B27" s="196" t="s">
        <v>1662</v>
      </c>
      <c r="C27" s="407">
        <v>38924214.259999998</v>
      </c>
      <c r="D27" s="408">
        <v>1152257.17</v>
      </c>
      <c r="E27" s="258">
        <v>40076471.43</v>
      </c>
    </row>
    <row r="28" spans="1:5" ht="27" customHeight="1" thickBot="1">
      <c r="A28" s="196" t="s">
        <v>1663</v>
      </c>
      <c r="B28" s="196" t="s">
        <v>1664</v>
      </c>
      <c r="C28" s="407">
        <v>192341688.24000001</v>
      </c>
      <c r="D28" s="408">
        <v>7809350.6299999999</v>
      </c>
      <c r="E28" s="258">
        <v>200151038.87</v>
      </c>
    </row>
    <row r="29" spans="1:5" ht="27" customHeight="1" thickBot="1">
      <c r="A29" s="196"/>
      <c r="B29" s="196" t="s">
        <v>1665</v>
      </c>
      <c r="C29" s="407">
        <v>23596186.510000002</v>
      </c>
      <c r="D29" s="408">
        <v>-1965157.37</v>
      </c>
      <c r="E29" s="258">
        <v>21631029.140000001</v>
      </c>
    </row>
    <row r="30" spans="1:5" ht="27" customHeight="1" thickBot="1">
      <c r="A30" s="196">
        <v>7</v>
      </c>
      <c r="B30" s="196" t="s">
        <v>1666</v>
      </c>
      <c r="C30" s="407">
        <v>-6103852.4299999997</v>
      </c>
      <c r="D30" s="408">
        <v>-241910.3</v>
      </c>
      <c r="E30" s="258">
        <v>-6345762.7300000004</v>
      </c>
    </row>
    <row r="31" spans="1:5" ht="34.5" customHeight="1" thickBot="1">
      <c r="A31" s="481"/>
      <c r="B31" s="481" t="s">
        <v>1667</v>
      </c>
      <c r="C31" s="407">
        <v>17492334.07</v>
      </c>
      <c r="D31" s="408">
        <v>-2207067.65</v>
      </c>
      <c r="E31" s="258">
        <v>15285266.42</v>
      </c>
    </row>
    <row r="32" spans="1:5" ht="20" customHeight="1">
      <c r="A32" s="201" t="s">
        <v>1490</v>
      </c>
      <c r="B32" s="231"/>
      <c r="C32" s="201"/>
      <c r="D32" s="253"/>
      <c r="E32" s="409"/>
    </row>
    <row r="33" spans="1:5" ht="14.25" customHeight="1">
      <c r="A33" s="202"/>
      <c r="B33" s="232"/>
      <c r="C33" s="202"/>
      <c r="D33" s="254"/>
      <c r="E33" s="634"/>
    </row>
    <row r="34" spans="1:5" ht="15.75" customHeight="1">
      <c r="A34" s="2" t="s">
        <v>2427</v>
      </c>
      <c r="B34" s="232"/>
      <c r="C34" s="202"/>
      <c r="D34" s="254"/>
      <c r="E34" s="634"/>
    </row>
    <row r="35" spans="1:5" ht="13.5" customHeight="1">
      <c r="A35" s="202"/>
      <c r="B35" s="232"/>
      <c r="C35" s="202"/>
      <c r="D35" s="254"/>
      <c r="E35" s="634"/>
    </row>
    <row r="36" spans="1:5">
      <c r="A36" s="202" t="s">
        <v>2428</v>
      </c>
    </row>
    <row r="37" spans="1:5">
      <c r="A37" s="2" t="s">
        <v>2429</v>
      </c>
    </row>
    <row r="40" spans="1:5">
      <c r="A40" s="2" t="s">
        <v>711</v>
      </c>
    </row>
  </sheetData>
  <phoneticPr fontId="0" type="noConversion"/>
  <pageMargins left="0.57999999999999996" right="0.65" top="0.92" bottom="0.49" header="0.49" footer="0.4921259845"/>
  <pageSetup paperSize="9" scale="83" orientation="portrait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CB0B-45FC-F74A-AC07-23A58AB1566E}">
  <sheetPr>
    <pageSetUpPr fitToPage="1"/>
  </sheetPr>
  <dimension ref="A1:B10"/>
  <sheetViews>
    <sheetView workbookViewId="0">
      <selection activeCell="B4" sqref="B4"/>
    </sheetView>
  </sheetViews>
  <sheetFormatPr baseColWidth="10" defaultColWidth="11.3984375" defaultRowHeight="13"/>
  <cols>
    <col min="1" max="1" width="5.59765625" style="146" customWidth="1"/>
    <col min="2" max="16384" width="11.3984375" style="146"/>
  </cols>
  <sheetData>
    <row r="1" spans="1:2" ht="16">
      <c r="A1" s="145" t="s">
        <v>66</v>
      </c>
    </row>
    <row r="2" spans="1:2" ht="16">
      <c r="A2" s="147"/>
    </row>
    <row r="3" spans="1:2">
      <c r="A3" s="148">
        <v>7.01</v>
      </c>
      <c r="B3" s="149" t="s">
        <v>1764</v>
      </c>
    </row>
    <row r="4" spans="1:2">
      <c r="A4" s="148">
        <v>7.02</v>
      </c>
      <c r="B4" s="149" t="s">
        <v>67</v>
      </c>
    </row>
    <row r="5" spans="1:2">
      <c r="A5" s="148">
        <v>7.03</v>
      </c>
      <c r="B5" s="149" t="s">
        <v>68</v>
      </c>
    </row>
    <row r="6" spans="1:2">
      <c r="A6" s="148">
        <v>7.04</v>
      </c>
      <c r="B6" s="149" t="s">
        <v>69</v>
      </c>
    </row>
    <row r="7" spans="1:2">
      <c r="A7" s="148">
        <v>7.05</v>
      </c>
      <c r="B7" s="149" t="s">
        <v>70</v>
      </c>
    </row>
    <row r="10" spans="1:2">
      <c r="A10" s="150" t="s">
        <v>711</v>
      </c>
    </row>
  </sheetData>
  <phoneticPr fontId="30" type="noConversion"/>
  <pageMargins left="0.46" right="0.35" top="0.62" bottom="0.984251969" header="0.36" footer="0.4921259845"/>
  <pageSetup paperSize="9" orientation="portrait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84C6-E118-5F46-AA03-595CCA29CBE3}">
  <sheetPr>
    <pageSetUpPr fitToPage="1"/>
  </sheetPr>
  <dimension ref="A1:K31"/>
  <sheetViews>
    <sheetView zoomScale="75" workbookViewId="0">
      <selection activeCell="A3" sqref="A3"/>
    </sheetView>
  </sheetViews>
  <sheetFormatPr baseColWidth="10" defaultColWidth="11.3984375" defaultRowHeight="13"/>
  <cols>
    <col min="1" max="1" width="16.796875" style="2" customWidth="1"/>
    <col min="2" max="2" width="16.19921875" style="2" customWidth="1"/>
    <col min="3" max="3" width="15" style="2" customWidth="1"/>
    <col min="4" max="4" width="16.19921875" style="2" customWidth="1"/>
    <col min="5" max="7" width="15" style="2" customWidth="1"/>
    <col min="8" max="16384" width="11.3984375" style="2"/>
  </cols>
  <sheetData>
    <row r="1" spans="1:11" s="1" customFormat="1" ht="14" customHeight="1"/>
    <row r="2" spans="1:11" s="1" customFormat="1" ht="42" customHeight="1">
      <c r="A2" s="2017" t="s">
        <v>2425</v>
      </c>
      <c r="B2" s="2021"/>
      <c r="C2" s="2021"/>
      <c r="D2" s="2021"/>
      <c r="E2" s="2021"/>
      <c r="F2" s="2021"/>
      <c r="G2" s="53"/>
    </row>
    <row r="3" spans="1:11" ht="24" customHeight="1">
      <c r="A3" s="178" t="s">
        <v>2426</v>
      </c>
      <c r="B3" s="179" t="s">
        <v>2210</v>
      </c>
      <c r="C3" s="180" t="s">
        <v>2372</v>
      </c>
      <c r="D3" s="179" t="s">
        <v>2211</v>
      </c>
      <c r="E3" s="180" t="s">
        <v>2372</v>
      </c>
      <c r="F3" s="179" t="s">
        <v>1036</v>
      </c>
      <c r="G3" s="180" t="s">
        <v>2372</v>
      </c>
    </row>
    <row r="4" spans="1:11" ht="15" customHeight="1">
      <c r="A4" s="274"/>
      <c r="B4" s="182" t="s">
        <v>1036</v>
      </c>
      <c r="C4" s="183" t="s">
        <v>2373</v>
      </c>
      <c r="D4" s="182" t="s">
        <v>2212</v>
      </c>
      <c r="E4" s="183" t="s">
        <v>2373</v>
      </c>
      <c r="F4" s="182" t="s">
        <v>2213</v>
      </c>
      <c r="G4" s="183" t="s">
        <v>2373</v>
      </c>
    </row>
    <row r="5" spans="1:11" ht="15" customHeight="1">
      <c r="A5" s="274"/>
      <c r="B5" s="182" t="s">
        <v>2214</v>
      </c>
      <c r="C5" s="183" t="s">
        <v>2377</v>
      </c>
      <c r="D5" s="182" t="s">
        <v>2215</v>
      </c>
      <c r="E5" s="183" t="s">
        <v>2377</v>
      </c>
      <c r="F5" s="182" t="s">
        <v>1799</v>
      </c>
      <c r="G5" s="183" t="s">
        <v>2377</v>
      </c>
    </row>
    <row r="6" spans="1:11" ht="24" customHeight="1">
      <c r="A6" s="275"/>
      <c r="B6" s="188"/>
      <c r="C6" s="187"/>
      <c r="D6" s="188" t="s">
        <v>2216</v>
      </c>
      <c r="E6" s="187"/>
      <c r="F6" s="188"/>
      <c r="G6" s="187"/>
    </row>
    <row r="7" spans="1:11" ht="1.5" customHeight="1" thickBot="1">
      <c r="A7" s="276">
        <v>1996</v>
      </c>
      <c r="B7" s="211">
        <v>4599022226.4899998</v>
      </c>
      <c r="C7" s="212">
        <v>4.7135061423122571E-2</v>
      </c>
      <c r="D7" s="211">
        <v>4507461189</v>
      </c>
      <c r="E7" s="212">
        <v>8.2125105302542703E-2</v>
      </c>
      <c r="F7" s="211">
        <v>91699445.469999999</v>
      </c>
      <c r="G7" s="212">
        <v>-0.59537068849307151</v>
      </c>
      <c r="I7" s="8"/>
      <c r="J7" s="8"/>
      <c r="K7" s="8"/>
    </row>
    <row r="8" spans="1:11" ht="0.75" customHeight="1" thickBot="1">
      <c r="A8" s="278">
        <v>1997</v>
      </c>
      <c r="B8" s="213">
        <v>4851626656</v>
      </c>
      <c r="C8" s="214">
        <v>5.4925681388321837E-2</v>
      </c>
      <c r="D8" s="213">
        <v>4710142665.8999996</v>
      </c>
      <c r="E8" s="214">
        <v>4.4965773059704457E-2</v>
      </c>
      <c r="F8" s="213">
        <v>141483990.28999999</v>
      </c>
      <c r="G8" s="214">
        <v>0.54290998778490207</v>
      </c>
    </row>
    <row r="9" spans="1:11" ht="20" customHeight="1" thickBot="1">
      <c r="A9" s="278">
        <v>1998</v>
      </c>
      <c r="B9" s="213">
        <v>4992640209.6999998</v>
      </c>
      <c r="C9" s="214">
        <v>2.9065211257673453E-2</v>
      </c>
      <c r="D9" s="213">
        <v>4882154897.6999998</v>
      </c>
      <c r="E9" s="214">
        <v>3.6519537517476157E-2</v>
      </c>
      <c r="F9" s="213">
        <v>110485312.03</v>
      </c>
      <c r="G9" s="214">
        <v>-0.2190967203883771</v>
      </c>
    </row>
    <row r="10" spans="1:11" ht="20" customHeight="1" thickBot="1">
      <c r="A10" s="278">
        <v>1999</v>
      </c>
      <c r="B10" s="213">
        <v>4257016347.5999999</v>
      </c>
      <c r="C10" s="214">
        <v>-0.14734165315393366</v>
      </c>
      <c r="D10" s="213">
        <v>4120691131.5999999</v>
      </c>
      <c r="E10" s="214">
        <v>-0.15596878469766051</v>
      </c>
      <c r="F10" s="213">
        <v>136325216.02000001</v>
      </c>
      <c r="G10" s="214">
        <v>0.23387637248092957</v>
      </c>
    </row>
    <row r="11" spans="1:11" ht="20" customHeight="1" thickBot="1">
      <c r="A11" s="278">
        <v>2000</v>
      </c>
      <c r="B11" s="213">
        <v>3297340718.6999998</v>
      </c>
      <c r="C11" s="214">
        <v>-0.22543386037054836</v>
      </c>
      <c r="D11" s="213">
        <v>3197872772.4000001</v>
      </c>
      <c r="E11" s="214">
        <v>-0.22394747136548521</v>
      </c>
      <c r="F11" s="213">
        <v>99467946.299999997</v>
      </c>
      <c r="G11" s="214">
        <v>-0.27036281911772475</v>
      </c>
    </row>
    <row r="12" spans="1:11" ht="19.5" customHeight="1" thickBot="1">
      <c r="A12" s="278">
        <v>2001</v>
      </c>
      <c r="B12" s="213">
        <v>2297775177.9000001</v>
      </c>
      <c r="C12" s="214">
        <v>-0.30314293428374783</v>
      </c>
      <c r="D12" s="213">
        <v>2245296158.4000001</v>
      </c>
      <c r="E12" s="214">
        <v>-0.29787820898362138</v>
      </c>
      <c r="F12" s="213">
        <v>52479019.649999999</v>
      </c>
      <c r="G12" s="214">
        <v>-0.4724027025578591</v>
      </c>
    </row>
    <row r="13" spans="1:11" ht="19.5" customHeight="1" thickBot="1">
      <c r="A13" s="278">
        <v>2002</v>
      </c>
      <c r="B13" s="213">
        <v>2179075331.1500001</v>
      </c>
      <c r="C13" s="214">
        <v>-5.1658599105628311E-2</v>
      </c>
      <c r="D13" s="213">
        <v>2190020061.2499995</v>
      </c>
      <c r="E13" s="214">
        <v>-2.4618621887898429E-2</v>
      </c>
      <c r="F13" s="213">
        <v>-10944730.16</v>
      </c>
      <c r="G13" s="214">
        <v>-1.2085543943654824</v>
      </c>
    </row>
    <row r="14" spans="1:11" ht="19.5" customHeight="1" thickBot="1">
      <c r="A14" s="278">
        <v>2003</v>
      </c>
      <c r="B14" s="213">
        <v>2288718484.4899998</v>
      </c>
      <c r="C14" s="214">
        <v>5.0316366659125977E-2</v>
      </c>
      <c r="D14" s="213">
        <v>2230195619.6600003</v>
      </c>
      <c r="E14" s="214">
        <v>1.8344835794366965E-2</v>
      </c>
      <c r="F14" s="213">
        <v>58522864.830000006</v>
      </c>
      <c r="G14" s="214">
        <v>6.3471272452093057</v>
      </c>
    </row>
    <row r="15" spans="1:11" ht="19.5" customHeight="1" thickBot="1">
      <c r="A15" s="278">
        <v>2004</v>
      </c>
      <c r="B15" s="213">
        <v>1913538530.5999999</v>
      </c>
      <c r="C15" s="214">
        <v>-0.16392577611990666</v>
      </c>
      <c r="D15" s="213">
        <v>1875065073.2299998</v>
      </c>
      <c r="E15" s="214">
        <v>-0.15923739751768551</v>
      </c>
      <c r="F15" s="213">
        <v>38473457.389999993</v>
      </c>
      <c r="G15" s="214">
        <v>-0.34259101119264213</v>
      </c>
    </row>
    <row r="16" spans="1:11" ht="19.5" customHeight="1" thickBot="1">
      <c r="A16" s="278">
        <v>2005</v>
      </c>
      <c r="B16" s="213">
        <v>2014328063.2799997</v>
      </c>
      <c r="C16" s="214">
        <v>5.2671807266089665E-2</v>
      </c>
      <c r="D16" s="213">
        <v>1987939073.0000002</v>
      </c>
      <c r="E16" s="214">
        <v>6.0197377350516668E-2</v>
      </c>
      <c r="F16" s="213">
        <v>26388990.279999997</v>
      </c>
      <c r="G16" s="214">
        <v>-0.31409880810818386</v>
      </c>
    </row>
    <row r="17" spans="1:7" ht="19.5" customHeight="1" thickBot="1">
      <c r="A17" s="278">
        <v>2006</v>
      </c>
      <c r="B17" s="213">
        <v>2046344832.71</v>
      </c>
      <c r="C17" s="214">
        <v>1.5894515900188644E-2</v>
      </c>
      <c r="D17" s="213">
        <v>2023719014.0099998</v>
      </c>
      <c r="E17" s="214">
        <v>1.7998509861775647E-2</v>
      </c>
      <c r="F17" s="213">
        <v>22625818.670000002</v>
      </c>
      <c r="G17" s="214">
        <v>-0.31409880810818386</v>
      </c>
    </row>
    <row r="18" spans="1:7" ht="19.5" customHeight="1" thickBot="1">
      <c r="A18" s="278">
        <v>2007</v>
      </c>
      <c r="B18" s="213">
        <v>1992425089.54</v>
      </c>
      <c r="C18" s="214">
        <v>-2.6349294756247699E-2</v>
      </c>
      <c r="D18" s="213">
        <v>1981658420.0599999</v>
      </c>
      <c r="E18" s="214">
        <v>-2.0783811220242865E-2</v>
      </c>
      <c r="F18" s="213">
        <v>10766669.48</v>
      </c>
      <c r="G18" s="214">
        <v>-0.31409880810818386</v>
      </c>
    </row>
    <row r="19" spans="1:7" ht="30" customHeight="1" thickBot="1">
      <c r="A19" s="502">
        <v>2008</v>
      </c>
      <c r="B19" s="215">
        <v>2066551567.6799998</v>
      </c>
      <c r="C19" s="216">
        <v>3.7204148115357105E-2</v>
      </c>
      <c r="D19" s="215">
        <v>2052929240.27</v>
      </c>
      <c r="E19" s="216">
        <v>3.596523976510646E-2</v>
      </c>
      <c r="F19" s="215">
        <v>13622327.400000002</v>
      </c>
      <c r="G19" s="216">
        <v>0.26523131645348896</v>
      </c>
    </row>
    <row r="20" spans="1:7" ht="20" customHeight="1">
      <c r="A20" s="201" t="s">
        <v>764</v>
      </c>
      <c r="B20" s="201"/>
      <c r="C20" s="201"/>
      <c r="D20" s="201"/>
      <c r="E20" s="201"/>
      <c r="F20" s="201"/>
      <c r="G20" s="201"/>
    </row>
    <row r="21" spans="1:7" ht="9.75" customHeight="1">
      <c r="A21" s="202"/>
      <c r="B21" s="202"/>
      <c r="C21" s="202"/>
      <c r="D21" s="202"/>
      <c r="E21" s="202"/>
      <c r="F21" s="202"/>
      <c r="G21" s="202"/>
    </row>
    <row r="22" spans="1:7">
      <c r="A22" s="202" t="s">
        <v>1800</v>
      </c>
    </row>
    <row r="23" spans="1:7">
      <c r="A23" s="2" t="s">
        <v>1801</v>
      </c>
    </row>
    <row r="24" spans="1:7">
      <c r="A24" s="2" t="s">
        <v>1802</v>
      </c>
    </row>
    <row r="25" spans="1:7">
      <c r="A25" s="2" t="s">
        <v>2218</v>
      </c>
    </row>
    <row r="26" spans="1:7">
      <c r="A26" s="2" t="s">
        <v>2423</v>
      </c>
    </row>
    <row r="28" spans="1:7" ht="15.75" customHeight="1">
      <c r="A28" s="202" t="s">
        <v>2424</v>
      </c>
      <c r="B28" s="202"/>
      <c r="C28" s="202"/>
      <c r="D28" s="202"/>
      <c r="E28" s="202"/>
      <c r="F28" s="202"/>
      <c r="G28" s="202"/>
    </row>
    <row r="31" spans="1:7">
      <c r="A31" s="2" t="s">
        <v>711</v>
      </c>
    </row>
  </sheetData>
  <mergeCells count="1">
    <mergeCell ref="A2:F2"/>
  </mergeCells>
  <phoneticPr fontId="0" type="noConversion"/>
  <pageMargins left="0.56000000000000005" right="0.59" top="0.89" bottom="0.49" header="0.49" footer="0.4921259845"/>
  <pageSetup paperSize="9" scale="84" orientation="portrait" horizontalDpi="1200" verticalDpi="1200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7C8E-C0FF-CE4C-B564-07379B7BEEA3}">
  <sheetPr>
    <pageSetUpPr fitToPage="1"/>
  </sheetPr>
  <dimension ref="A1:I23"/>
  <sheetViews>
    <sheetView zoomScale="75" workbookViewId="0">
      <selection activeCell="I12" sqref="I12"/>
    </sheetView>
  </sheetViews>
  <sheetFormatPr baseColWidth="10" defaultColWidth="11.3984375" defaultRowHeight="13"/>
  <cols>
    <col min="1" max="1" width="33.3984375" style="2" customWidth="1"/>
    <col min="2" max="2" width="15.19921875" style="2" customWidth="1"/>
    <col min="3" max="3" width="15.59765625" style="2" customWidth="1"/>
    <col min="4" max="4" width="15.19921875" style="2" customWidth="1"/>
    <col min="5" max="5" width="17.796875" style="217" customWidth="1"/>
    <col min="6" max="6" width="15.19921875" style="2" customWidth="1"/>
    <col min="7" max="16384" width="11.3984375" style="2"/>
  </cols>
  <sheetData>
    <row r="1" spans="1:9" s="1" customFormat="1" ht="14" customHeight="1">
      <c r="E1" s="16"/>
    </row>
    <row r="2" spans="1:9" s="1" customFormat="1" ht="28" customHeight="1">
      <c r="A2" s="53" t="s">
        <v>1776</v>
      </c>
      <c r="E2" s="16"/>
      <c r="F2" s="53">
        <v>2008</v>
      </c>
    </row>
    <row r="3" spans="1:9" ht="24" customHeight="1">
      <c r="A3" s="394" t="s">
        <v>765</v>
      </c>
      <c r="B3" s="179" t="s">
        <v>1777</v>
      </c>
      <c r="C3" s="180" t="s">
        <v>1778</v>
      </c>
      <c r="D3" s="179" t="s">
        <v>1779</v>
      </c>
      <c r="E3" s="514" t="s">
        <v>164</v>
      </c>
      <c r="F3" s="626" t="s">
        <v>2372</v>
      </c>
    </row>
    <row r="4" spans="1:9" ht="15" customHeight="1">
      <c r="A4" s="274"/>
      <c r="B4" s="182" t="s">
        <v>1780</v>
      </c>
      <c r="C4" s="183" t="s">
        <v>1781</v>
      </c>
      <c r="D4" s="182" t="s">
        <v>1782</v>
      </c>
      <c r="E4" s="303"/>
      <c r="F4" s="184" t="s">
        <v>2373</v>
      </c>
    </row>
    <row r="5" spans="1:9" ht="15" customHeight="1">
      <c r="A5" s="274"/>
      <c r="B5" s="182" t="s">
        <v>1783</v>
      </c>
      <c r="C5" s="183" t="s">
        <v>1784</v>
      </c>
      <c r="D5" s="182" t="s">
        <v>1785</v>
      </c>
      <c r="E5" s="303"/>
      <c r="F5" s="184" t="s">
        <v>2377</v>
      </c>
    </row>
    <row r="6" spans="1:9" ht="15" customHeight="1">
      <c r="A6" s="274"/>
      <c r="B6" s="182"/>
      <c r="C6" s="183" t="s">
        <v>1786</v>
      </c>
      <c r="D6" s="182" t="s">
        <v>1787</v>
      </c>
      <c r="E6" s="303"/>
      <c r="F6" s="627"/>
    </row>
    <row r="7" spans="1:9" ht="15" customHeight="1">
      <c r="A7" s="274"/>
      <c r="B7" s="182"/>
      <c r="C7" s="183" t="s">
        <v>1788</v>
      </c>
      <c r="D7" s="436" t="s">
        <v>1789</v>
      </c>
      <c r="E7" s="303"/>
      <c r="F7" s="184"/>
    </row>
    <row r="8" spans="1:9" ht="24" customHeight="1">
      <c r="A8" s="275"/>
      <c r="B8" s="188"/>
      <c r="C8" s="187"/>
      <c r="D8" s="188"/>
      <c r="E8" s="315"/>
      <c r="F8" s="186"/>
    </row>
    <row r="9" spans="1:9" ht="30" customHeight="1" thickBot="1">
      <c r="A9" s="628" t="s">
        <v>1790</v>
      </c>
      <c r="B9" s="407">
        <v>2004136307.4200001</v>
      </c>
      <c r="C9" s="408">
        <v>101903358.31999999</v>
      </c>
      <c r="D9" s="407">
        <v>3305718.44</v>
      </c>
      <c r="E9" s="259">
        <v>2109345384.1800001</v>
      </c>
      <c r="F9" s="629">
        <v>3.2903660148513564E-2</v>
      </c>
      <c r="G9" s="7"/>
    </row>
    <row r="10" spans="1:9" ht="20" customHeight="1" thickBot="1">
      <c r="A10" s="196" t="s">
        <v>1791</v>
      </c>
      <c r="B10" s="384">
        <v>2014188943.4000001</v>
      </c>
      <c r="C10" s="385">
        <v>60583626.689999998</v>
      </c>
      <c r="D10" s="384">
        <v>3305355.43</v>
      </c>
      <c r="E10" s="264">
        <v>2078077925.5200002</v>
      </c>
      <c r="F10" s="630">
        <v>3.1279963460593641E-2</v>
      </c>
      <c r="H10" s="8"/>
      <c r="I10" s="8"/>
    </row>
    <row r="11" spans="1:9" ht="20" customHeight="1" thickBot="1">
      <c r="A11" s="278" t="s">
        <v>1792</v>
      </c>
      <c r="B11" s="384">
        <v>-41607282.710000001</v>
      </c>
      <c r="C11" s="385">
        <v>-1145001.72</v>
      </c>
      <c r="D11" s="384">
        <v>-41532.07</v>
      </c>
      <c r="E11" s="264">
        <v>-42793816.5</v>
      </c>
      <c r="F11" s="630">
        <v>0.13940844844120642</v>
      </c>
      <c r="H11" s="8"/>
      <c r="I11" s="8"/>
    </row>
    <row r="12" spans="1:9" ht="20" customHeight="1" thickBot="1">
      <c r="A12" s="278" t="s">
        <v>1793</v>
      </c>
      <c r="B12" s="384">
        <v>1962529024.71</v>
      </c>
      <c r="C12" s="385">
        <v>100758356.59999999</v>
      </c>
      <c r="D12" s="384">
        <v>3264186.37</v>
      </c>
      <c r="E12" s="264">
        <v>2066551567.6799998</v>
      </c>
      <c r="F12" s="630">
        <v>3.720414811535714E-2</v>
      </c>
      <c r="H12" s="8"/>
      <c r="I12" s="8"/>
    </row>
    <row r="13" spans="1:9" ht="20" customHeight="1" thickBot="1">
      <c r="A13" s="278" t="s">
        <v>1794</v>
      </c>
      <c r="B13" s="384">
        <v>1621666418.1500001</v>
      </c>
      <c r="C13" s="385">
        <v>95308338.629999995</v>
      </c>
      <c r="D13" s="384">
        <v>9167133.9399999995</v>
      </c>
      <c r="E13" s="264">
        <v>1726141890.7200003</v>
      </c>
      <c r="F13" s="630">
        <v>2.0718269710927804E-2</v>
      </c>
      <c r="H13" s="8"/>
      <c r="I13" s="8"/>
    </row>
    <row r="14" spans="1:9" ht="20" customHeight="1" thickBot="1">
      <c r="A14" s="196" t="s">
        <v>1795</v>
      </c>
      <c r="B14" s="384">
        <v>1628549897.01</v>
      </c>
      <c r="C14" s="385">
        <v>95308338.629999995</v>
      </c>
      <c r="D14" s="384">
        <v>9167133.9399999995</v>
      </c>
      <c r="E14" s="264">
        <v>1733025369.5799999</v>
      </c>
      <c r="F14" s="630">
        <v>1.9872646548535457E-2</v>
      </c>
      <c r="H14" s="8"/>
      <c r="I14" s="8"/>
    </row>
    <row r="15" spans="1:9" ht="20" customHeight="1" thickBot="1">
      <c r="A15" s="278" t="s">
        <v>1796</v>
      </c>
      <c r="B15" s="384">
        <v>320649122.73000002</v>
      </c>
      <c r="C15" s="385">
        <v>5807530.6200000001</v>
      </c>
      <c r="D15" s="384">
        <v>330696.21000000002</v>
      </c>
      <c r="E15" s="264">
        <v>326787349.56</v>
      </c>
      <c r="F15" s="630">
        <v>0.12470706093041707</v>
      </c>
      <c r="H15" s="8"/>
      <c r="I15" s="8"/>
    </row>
    <row r="16" spans="1:9" ht="20" customHeight="1" thickBot="1">
      <c r="A16" s="278" t="s">
        <v>1797</v>
      </c>
      <c r="B16" s="384">
        <v>1942315540.8599999</v>
      </c>
      <c r="C16" s="385">
        <v>101115869.25</v>
      </c>
      <c r="D16" s="384">
        <v>9497830.1600000001</v>
      </c>
      <c r="E16" s="264">
        <v>2052929240.27</v>
      </c>
      <c r="F16" s="630">
        <v>3.5965239765106502E-2</v>
      </c>
      <c r="H16" s="8"/>
      <c r="I16" s="8"/>
    </row>
    <row r="17" spans="1:6" ht="30" customHeight="1" thickBot="1">
      <c r="A17" s="631" t="s">
        <v>1667</v>
      </c>
      <c r="B17" s="384">
        <v>20213483.84</v>
      </c>
      <c r="C17" s="385">
        <v>-357512.65</v>
      </c>
      <c r="D17" s="384">
        <v>-6233643.79</v>
      </c>
      <c r="E17" s="264">
        <v>13622327.400000002</v>
      </c>
      <c r="F17" s="630">
        <v>0.26523131645348896</v>
      </c>
    </row>
    <row r="18" spans="1:6" ht="20" customHeight="1">
      <c r="A18" s="201" t="s">
        <v>764</v>
      </c>
      <c r="B18" s="201"/>
      <c r="C18" s="201"/>
      <c r="D18" s="201"/>
      <c r="E18" s="632"/>
      <c r="F18" s="201"/>
    </row>
    <row r="19" spans="1:6">
      <c r="A19" s="202"/>
    </row>
    <row r="20" spans="1:6">
      <c r="A20" s="2" t="s">
        <v>1798</v>
      </c>
    </row>
    <row r="23" spans="1:6">
      <c r="A23" s="2" t="s">
        <v>711</v>
      </c>
    </row>
  </sheetData>
  <phoneticPr fontId="0" type="noConversion"/>
  <pageMargins left="0.47" right="0.47" top="0.92" bottom="0.49" header="0.49" footer="0.4921259845"/>
  <pageSetup paperSize="9" scale="84" orientation="portrait" horizontalDpi="1200" verticalDpi="1200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D9FA-AB83-E949-AAD1-50C7381251D9}">
  <sheetPr>
    <pageSetUpPr fitToPage="1"/>
  </sheetPr>
  <dimension ref="A1:E43"/>
  <sheetViews>
    <sheetView topLeftCell="A25" zoomScale="75" workbookViewId="0">
      <selection activeCell="E3" sqref="E3"/>
    </sheetView>
  </sheetViews>
  <sheetFormatPr baseColWidth="10" defaultColWidth="11.3984375" defaultRowHeight="13"/>
  <cols>
    <col min="1" max="1" width="8.796875" style="2" customWidth="1"/>
    <col min="2" max="2" width="48.796875" style="92" customWidth="1"/>
    <col min="3" max="3" width="16.59765625" style="2" customWidth="1"/>
    <col min="4" max="4" width="16.59765625" style="7" customWidth="1"/>
    <col min="5" max="5" width="15.3984375" style="410" customWidth="1"/>
    <col min="6" max="16384" width="11.3984375" style="2"/>
  </cols>
  <sheetData>
    <row r="1" spans="1:5" s="1" customFormat="1" ht="14" customHeight="1">
      <c r="B1" s="227"/>
      <c r="D1" s="240"/>
      <c r="E1" s="625"/>
    </row>
    <row r="2" spans="1:5" s="1" customFormat="1" ht="25.5" customHeight="1">
      <c r="A2" s="2017" t="s">
        <v>1775</v>
      </c>
      <c r="B2" s="2021"/>
      <c r="C2" s="2021"/>
      <c r="D2" s="2021"/>
      <c r="E2" s="53">
        <v>2008</v>
      </c>
    </row>
    <row r="3" spans="1:5" ht="39" customHeight="1">
      <c r="A3" s="394" t="s">
        <v>765</v>
      </c>
      <c r="B3" s="228"/>
      <c r="C3" s="179" t="s">
        <v>766</v>
      </c>
      <c r="D3" s="242" t="s">
        <v>767</v>
      </c>
      <c r="E3" s="377" t="s">
        <v>164</v>
      </c>
    </row>
    <row r="4" spans="1:5" ht="38" customHeight="1">
      <c r="A4" s="378"/>
      <c r="B4" s="379"/>
      <c r="C4" s="188" t="s">
        <v>768</v>
      </c>
      <c r="D4" s="248" t="s">
        <v>768</v>
      </c>
      <c r="E4" s="380" t="s">
        <v>768</v>
      </c>
    </row>
    <row r="5" spans="1:5" ht="30" customHeight="1" thickBot="1">
      <c r="A5" s="190">
        <v>63</v>
      </c>
      <c r="B5" s="190" t="s">
        <v>769</v>
      </c>
      <c r="C5" s="211">
        <v>1972367966.6400001</v>
      </c>
      <c r="D5" s="257">
        <v>81199071.870000005</v>
      </c>
      <c r="E5" s="395">
        <v>2053567038.51</v>
      </c>
    </row>
    <row r="6" spans="1:5" ht="20" customHeight="1" thickBot="1">
      <c r="A6" s="195">
        <v>64</v>
      </c>
      <c r="B6" s="195" t="s">
        <v>770</v>
      </c>
      <c r="C6" s="213">
        <v>-38919944.630000003</v>
      </c>
      <c r="D6" s="263">
        <v>-924028.77</v>
      </c>
      <c r="E6" s="280">
        <v>-39843973.399999999</v>
      </c>
    </row>
    <row r="7" spans="1:5" ht="20" customHeight="1" thickBot="1">
      <c r="A7" s="195">
        <v>65</v>
      </c>
      <c r="B7" s="195" t="s">
        <v>771</v>
      </c>
      <c r="C7" s="213">
        <v>620028.53</v>
      </c>
      <c r="D7" s="263">
        <v>-154150.24</v>
      </c>
      <c r="E7" s="280">
        <v>465878.29</v>
      </c>
    </row>
    <row r="8" spans="1:5" ht="27" customHeight="1" thickBot="1">
      <c r="A8" s="196" t="s">
        <v>772</v>
      </c>
      <c r="B8" s="196" t="s">
        <v>773</v>
      </c>
      <c r="C8" s="213">
        <v>1934068050.54</v>
      </c>
      <c r="D8" s="263">
        <v>80120892.859999999</v>
      </c>
      <c r="E8" s="280">
        <v>2014188943.4000001</v>
      </c>
    </row>
    <row r="9" spans="1:5" ht="20" customHeight="1" thickBot="1">
      <c r="A9" s="195">
        <v>66</v>
      </c>
      <c r="B9" s="195" t="s">
        <v>774</v>
      </c>
      <c r="C9" s="213">
        <v>-13134052.73</v>
      </c>
      <c r="D9" s="263">
        <v>-1191163.49</v>
      </c>
      <c r="E9" s="280">
        <v>-14325216.220000001</v>
      </c>
    </row>
    <row r="10" spans="1:5" ht="27" customHeight="1" thickBot="1">
      <c r="A10" s="196" t="s">
        <v>775</v>
      </c>
      <c r="B10" s="196" t="s">
        <v>776</v>
      </c>
      <c r="C10" s="213">
        <v>1920933997.8199999</v>
      </c>
      <c r="D10" s="263">
        <v>78929729.359999999</v>
      </c>
      <c r="E10" s="280">
        <v>1999863727.1800001</v>
      </c>
    </row>
    <row r="11" spans="1:5" ht="20" customHeight="1" thickBot="1">
      <c r="A11" s="195">
        <v>67</v>
      </c>
      <c r="B11" s="195" t="s">
        <v>777</v>
      </c>
      <c r="C11" s="213">
        <v>-1167650.3600000001</v>
      </c>
      <c r="D11" s="263">
        <v>-100394.44</v>
      </c>
      <c r="E11" s="280">
        <v>-1268044.8</v>
      </c>
    </row>
    <row r="12" spans="1:5" ht="20" customHeight="1" thickBot="1">
      <c r="A12" s="195">
        <v>68</v>
      </c>
      <c r="B12" s="195" t="s">
        <v>174</v>
      </c>
      <c r="C12" s="213">
        <v>-3289025.7</v>
      </c>
      <c r="D12" s="263">
        <v>0</v>
      </c>
      <c r="E12" s="280">
        <v>-3289025.7</v>
      </c>
    </row>
    <row r="13" spans="1:5" ht="20" customHeight="1" thickBot="1">
      <c r="A13" s="195">
        <v>69</v>
      </c>
      <c r="B13" s="195" t="s">
        <v>175</v>
      </c>
      <c r="C13" s="213">
        <v>7060201.5899999999</v>
      </c>
      <c r="D13" s="263">
        <v>1769449.15</v>
      </c>
      <c r="E13" s="280">
        <v>8829650.7400000002</v>
      </c>
    </row>
    <row r="14" spans="1:5" ht="27" customHeight="1" thickBot="1">
      <c r="A14" s="196">
        <v>6</v>
      </c>
      <c r="B14" s="196" t="s">
        <v>176</v>
      </c>
      <c r="C14" s="213">
        <v>1923537523.3499999</v>
      </c>
      <c r="D14" s="263">
        <v>80598784.069999993</v>
      </c>
      <c r="E14" s="280">
        <v>2004136307.4200001</v>
      </c>
    </row>
    <row r="15" spans="1:5" ht="20" customHeight="1" thickBot="1">
      <c r="A15" s="195">
        <v>33</v>
      </c>
      <c r="B15" s="195" t="s">
        <v>177</v>
      </c>
      <c r="C15" s="213">
        <v>1613394687.5899999</v>
      </c>
      <c r="D15" s="263">
        <v>51702717.229999997</v>
      </c>
      <c r="E15" s="280">
        <v>1665097404.8199999</v>
      </c>
    </row>
    <row r="16" spans="1:5" ht="20" customHeight="1" thickBot="1">
      <c r="A16" s="195">
        <v>32</v>
      </c>
      <c r="B16" s="195" t="s">
        <v>178</v>
      </c>
      <c r="C16" s="213">
        <v>-46078295.990000002</v>
      </c>
      <c r="D16" s="263">
        <v>-1100759.3600000001</v>
      </c>
      <c r="E16" s="280">
        <v>-47179055.350000001</v>
      </c>
    </row>
    <row r="17" spans="1:5" ht="27" customHeight="1" thickBot="1">
      <c r="A17" s="196" t="s">
        <v>179</v>
      </c>
      <c r="B17" s="196" t="s">
        <v>180</v>
      </c>
      <c r="C17" s="213">
        <v>1567316391.5999999</v>
      </c>
      <c r="D17" s="263">
        <v>50601957.869999997</v>
      </c>
      <c r="E17" s="280">
        <v>1617918349.47</v>
      </c>
    </row>
    <row r="18" spans="1:5" ht="20" customHeight="1" thickBot="1">
      <c r="A18" s="195">
        <v>34</v>
      </c>
      <c r="B18" s="195" t="s">
        <v>1651</v>
      </c>
      <c r="C18" s="213">
        <v>12624403.220000001</v>
      </c>
      <c r="D18" s="263">
        <v>362937.5</v>
      </c>
      <c r="E18" s="280">
        <v>12987340.720000001</v>
      </c>
    </row>
    <row r="19" spans="1:5" ht="20" customHeight="1" thickBot="1">
      <c r="A19" s="195">
        <v>35</v>
      </c>
      <c r="B19" s="195" t="s">
        <v>1652</v>
      </c>
      <c r="C19" s="213">
        <v>-2268960.54</v>
      </c>
      <c r="D19" s="263">
        <v>-86832.65</v>
      </c>
      <c r="E19" s="280">
        <v>-2355793.19</v>
      </c>
    </row>
    <row r="20" spans="1:5" ht="27" customHeight="1" thickBot="1">
      <c r="A20" s="196" t="s">
        <v>1653</v>
      </c>
      <c r="B20" s="196" t="s">
        <v>1654</v>
      </c>
      <c r="C20" s="213">
        <v>1577671834.29</v>
      </c>
      <c r="D20" s="263">
        <v>50878062.719999999</v>
      </c>
      <c r="E20" s="280">
        <v>1628549897.01</v>
      </c>
    </row>
    <row r="21" spans="1:5" ht="20" customHeight="1" thickBot="1">
      <c r="A21" s="195">
        <v>36</v>
      </c>
      <c r="B21" s="195" t="s">
        <v>1655</v>
      </c>
      <c r="C21" s="213">
        <v>-6479580.9400000004</v>
      </c>
      <c r="D21" s="263">
        <v>-403897.92</v>
      </c>
      <c r="E21" s="280">
        <v>-6883478.8600000003</v>
      </c>
    </row>
    <row r="22" spans="1:5" ht="20" customHeight="1" thickBot="1">
      <c r="A22" s="195">
        <v>37</v>
      </c>
      <c r="B22" s="195" t="s">
        <v>1656</v>
      </c>
      <c r="C22" s="213">
        <v>0</v>
      </c>
      <c r="D22" s="263">
        <v>0</v>
      </c>
      <c r="E22" s="280">
        <v>0</v>
      </c>
    </row>
    <row r="23" spans="1:5" ht="26.25" customHeight="1" thickBot="1">
      <c r="A23" s="196">
        <v>3</v>
      </c>
      <c r="B23" s="196" t="s">
        <v>1657</v>
      </c>
      <c r="C23" s="213">
        <v>1571192253.3499999</v>
      </c>
      <c r="D23" s="263">
        <v>50474164.799999997</v>
      </c>
      <c r="E23" s="280">
        <v>1621666418.1500001</v>
      </c>
    </row>
    <row r="24" spans="1:5" ht="20" customHeight="1" thickBot="1">
      <c r="A24" s="195" t="s">
        <v>1658</v>
      </c>
      <c r="B24" s="195" t="s">
        <v>1659</v>
      </c>
      <c r="C24" s="213">
        <v>293925914.62</v>
      </c>
      <c r="D24" s="263">
        <v>17161167.07</v>
      </c>
      <c r="E24" s="280">
        <v>311087081.69</v>
      </c>
    </row>
    <row r="25" spans="1:5" ht="20" customHeight="1" thickBot="1">
      <c r="A25" s="195">
        <v>48</v>
      </c>
      <c r="B25" s="195" t="s">
        <v>1660</v>
      </c>
      <c r="C25" s="213">
        <v>7911605.2199999997</v>
      </c>
      <c r="D25" s="263">
        <v>844709.35</v>
      </c>
      <c r="E25" s="280">
        <v>8756314.5700000003</v>
      </c>
    </row>
    <row r="26" spans="1:5" ht="20" customHeight="1" thickBot="1">
      <c r="A26" s="195">
        <v>49</v>
      </c>
      <c r="B26" s="195" t="s">
        <v>1661</v>
      </c>
      <c r="C26" s="213">
        <v>749207.74</v>
      </c>
      <c r="D26" s="263">
        <v>56518.71</v>
      </c>
      <c r="E26" s="280">
        <v>805726.45</v>
      </c>
    </row>
    <row r="27" spans="1:5" ht="27" customHeight="1" thickBot="1">
      <c r="A27" s="196">
        <v>4</v>
      </c>
      <c r="B27" s="196" t="s">
        <v>1662</v>
      </c>
      <c r="C27" s="213">
        <v>302586727.57999998</v>
      </c>
      <c r="D27" s="263">
        <v>18062395.149999999</v>
      </c>
      <c r="E27" s="280">
        <v>320649122.73000002</v>
      </c>
    </row>
    <row r="28" spans="1:5" ht="27" customHeight="1" thickBot="1">
      <c r="A28" s="196" t="s">
        <v>1663</v>
      </c>
      <c r="B28" s="196" t="s">
        <v>1664</v>
      </c>
      <c r="C28" s="213">
        <v>1873778980.9300001</v>
      </c>
      <c r="D28" s="263">
        <v>68536559.930000007</v>
      </c>
      <c r="E28" s="280">
        <v>1942315540.8599999</v>
      </c>
    </row>
    <row r="29" spans="1:5" ht="27" customHeight="1" thickBot="1">
      <c r="A29" s="196"/>
      <c r="B29" s="196" t="s">
        <v>1665</v>
      </c>
      <c r="C29" s="213">
        <v>49758542.420000002</v>
      </c>
      <c r="D29" s="263">
        <v>12062224.140000001</v>
      </c>
      <c r="E29" s="280">
        <v>61820766.560000002</v>
      </c>
    </row>
    <row r="30" spans="1:5" ht="27" customHeight="1" thickBot="1">
      <c r="A30" s="196">
        <v>7</v>
      </c>
      <c r="B30" s="196" t="s">
        <v>1666</v>
      </c>
      <c r="C30" s="213">
        <v>-36026669.579999998</v>
      </c>
      <c r="D30" s="263">
        <v>-5580613.1299999999</v>
      </c>
      <c r="E30" s="280">
        <v>-41607282.710000001</v>
      </c>
    </row>
    <row r="31" spans="1:5" ht="28.5" customHeight="1" thickBot="1">
      <c r="A31" s="397"/>
      <c r="B31" s="397" t="s">
        <v>1667</v>
      </c>
      <c r="C31" s="398">
        <v>13731872.83</v>
      </c>
      <c r="D31" s="399">
        <v>6481611.0099999998</v>
      </c>
      <c r="E31" s="400">
        <v>20213483.84</v>
      </c>
    </row>
    <row r="32" spans="1:5" ht="20" customHeight="1">
      <c r="A32" s="401"/>
      <c r="B32" s="401"/>
      <c r="C32" s="402"/>
      <c r="D32" s="402"/>
      <c r="E32" s="403"/>
    </row>
    <row r="33" spans="1:5" ht="23.25" customHeight="1">
      <c r="A33" s="404" t="s">
        <v>1770</v>
      </c>
      <c r="B33" s="405"/>
      <c r="C33" s="405"/>
      <c r="D33" s="405"/>
      <c r="E33" s="405"/>
    </row>
    <row r="34" spans="1:5" ht="19.5" customHeight="1" thickBot="1">
      <c r="A34" s="406"/>
      <c r="B34" s="406" t="s">
        <v>1771</v>
      </c>
      <c r="C34" s="407" t="s">
        <v>1060</v>
      </c>
      <c r="D34" s="408" t="s">
        <v>1060</v>
      </c>
      <c r="E34" s="258">
        <v>601738375.65999997</v>
      </c>
    </row>
    <row r="35" spans="1:5" ht="19.5" customHeight="1" thickBot="1">
      <c r="A35" s="196"/>
      <c r="B35" s="196" t="s">
        <v>1772</v>
      </c>
      <c r="C35" s="384" t="s">
        <v>1060</v>
      </c>
      <c r="D35" s="385" t="s">
        <v>1060</v>
      </c>
      <c r="E35" s="215">
        <v>376541647.49000001</v>
      </c>
    </row>
    <row r="36" spans="1:5" ht="15.75" customHeight="1">
      <c r="A36" s="201" t="s">
        <v>764</v>
      </c>
      <c r="B36" s="231"/>
      <c r="C36" s="201"/>
      <c r="D36" s="253"/>
      <c r="E36" s="409"/>
    </row>
    <row r="37" spans="1:5">
      <c r="A37" s="202"/>
    </row>
    <row r="38" spans="1:5">
      <c r="A38" s="202" t="s">
        <v>1773</v>
      </c>
    </row>
    <row r="39" spans="1:5">
      <c r="A39" s="202"/>
    </row>
    <row r="40" spans="1:5">
      <c r="A40" s="2" t="s">
        <v>1774</v>
      </c>
    </row>
    <row r="43" spans="1:5">
      <c r="A43" s="2" t="s">
        <v>711</v>
      </c>
    </row>
  </sheetData>
  <mergeCells count="1">
    <mergeCell ref="A2:D2"/>
  </mergeCells>
  <phoneticPr fontId="0" type="noConversion"/>
  <pageMargins left="0.51181102362204722" right="0.47244094488188981" top="0.74" bottom="0.57999999999999996" header="0.41" footer="0.37"/>
  <pageSetup paperSize="9" scale="81" orientation="portrait" horizontalDpi="1200" verticalDpi="1200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FE10-B870-BA48-B2BC-CAE6516AC3FF}">
  <sheetPr>
    <pageSetUpPr fitToPage="1"/>
  </sheetPr>
  <dimension ref="A1:H37"/>
  <sheetViews>
    <sheetView topLeftCell="A19" zoomScale="75" workbookViewId="0">
      <selection activeCell="F2" sqref="F2"/>
    </sheetView>
  </sheetViews>
  <sheetFormatPr baseColWidth="10" defaultColWidth="11.3984375" defaultRowHeight="13"/>
  <cols>
    <col min="1" max="1" width="8.796875" style="2" customWidth="1"/>
    <col min="2" max="2" width="48.796875" style="92" customWidth="1"/>
    <col min="3" max="3" width="17.3984375" style="2" customWidth="1"/>
    <col min="4" max="4" width="17.3984375" style="7" customWidth="1"/>
    <col min="5" max="5" width="17" style="410" customWidth="1"/>
    <col min="6" max="16384" width="11.3984375" style="2"/>
  </cols>
  <sheetData>
    <row r="1" spans="1:8" s="1" customFormat="1" ht="14" customHeight="1">
      <c r="B1" s="227"/>
      <c r="D1" s="240"/>
      <c r="E1" s="625"/>
    </row>
    <row r="2" spans="1:8" s="1" customFormat="1" ht="28" customHeight="1">
      <c r="A2" s="53" t="s">
        <v>1768</v>
      </c>
      <c r="B2" s="227"/>
      <c r="D2" s="240"/>
      <c r="E2" s="53">
        <v>2008</v>
      </c>
    </row>
    <row r="3" spans="1:8" ht="39" customHeight="1">
      <c r="A3" s="394" t="s">
        <v>765</v>
      </c>
      <c r="B3" s="228"/>
      <c r="C3" s="179" t="s">
        <v>766</v>
      </c>
      <c r="D3" s="242" t="s">
        <v>767</v>
      </c>
      <c r="E3" s="377" t="s">
        <v>164</v>
      </c>
      <c r="G3" s="3"/>
      <c r="H3" s="3"/>
    </row>
    <row r="4" spans="1:8" ht="38" customHeight="1">
      <c r="A4" s="378"/>
      <c r="B4" s="379"/>
      <c r="C4" s="188" t="s">
        <v>768</v>
      </c>
      <c r="D4" s="248" t="s">
        <v>768</v>
      </c>
      <c r="E4" s="380" t="s">
        <v>768</v>
      </c>
      <c r="G4" s="621"/>
      <c r="H4" s="622"/>
    </row>
    <row r="5" spans="1:8" ht="30" customHeight="1" thickBot="1">
      <c r="A5" s="190">
        <v>63</v>
      </c>
      <c r="B5" s="190" t="s">
        <v>769</v>
      </c>
      <c r="C5" s="211">
        <v>59253902.869999997</v>
      </c>
      <c r="D5" s="257">
        <v>1333565.6299999999</v>
      </c>
      <c r="E5" s="395">
        <v>60587468.5</v>
      </c>
      <c r="G5" s="91"/>
      <c r="H5" s="622"/>
    </row>
    <row r="6" spans="1:8" ht="20" customHeight="1" thickBot="1">
      <c r="A6" s="195">
        <v>64</v>
      </c>
      <c r="B6" s="195" t="s">
        <v>770</v>
      </c>
      <c r="C6" s="213">
        <v>-3718.37</v>
      </c>
      <c r="D6" s="263">
        <v>-123.44</v>
      </c>
      <c r="E6" s="280">
        <v>-3841.81</v>
      </c>
      <c r="G6" s="91"/>
      <c r="H6" s="622"/>
    </row>
    <row r="7" spans="1:8" ht="20" customHeight="1" thickBot="1">
      <c r="A7" s="195">
        <v>65</v>
      </c>
      <c r="B7" s="195" t="s">
        <v>771</v>
      </c>
      <c r="C7" s="213">
        <v>0</v>
      </c>
      <c r="D7" s="263">
        <v>0</v>
      </c>
      <c r="E7" s="280">
        <v>0</v>
      </c>
      <c r="G7" s="91"/>
      <c r="H7" s="622"/>
    </row>
    <row r="8" spans="1:8" ht="27" customHeight="1" thickBot="1">
      <c r="A8" s="196" t="s">
        <v>772</v>
      </c>
      <c r="B8" s="196" t="s">
        <v>773</v>
      </c>
      <c r="C8" s="213">
        <v>59250184.5</v>
      </c>
      <c r="D8" s="263">
        <v>1333442.19</v>
      </c>
      <c r="E8" s="280">
        <v>60583626.689999998</v>
      </c>
      <c r="G8" s="91"/>
      <c r="H8" s="622"/>
    </row>
    <row r="9" spans="1:8" ht="21" customHeight="1" thickBot="1">
      <c r="A9" s="195">
        <v>66</v>
      </c>
      <c r="B9" s="195" t="s">
        <v>774</v>
      </c>
      <c r="C9" s="213">
        <v>0</v>
      </c>
      <c r="D9" s="263">
        <v>0</v>
      </c>
      <c r="E9" s="280">
        <v>0</v>
      </c>
      <c r="G9" s="91"/>
      <c r="H9" s="622"/>
    </row>
    <row r="10" spans="1:8" ht="27" customHeight="1" thickBot="1">
      <c r="A10" s="196" t="s">
        <v>775</v>
      </c>
      <c r="B10" s="196" t="s">
        <v>776</v>
      </c>
      <c r="C10" s="213">
        <v>59250184.5</v>
      </c>
      <c r="D10" s="263">
        <v>1333442.19</v>
      </c>
      <c r="E10" s="280">
        <v>60583626.689999998</v>
      </c>
      <c r="G10" s="91"/>
      <c r="H10" s="622"/>
    </row>
    <row r="11" spans="1:8" ht="20" customHeight="1" thickBot="1">
      <c r="A11" s="195">
        <v>67</v>
      </c>
      <c r="B11" s="195" t="s">
        <v>777</v>
      </c>
      <c r="C11" s="213">
        <v>40216019.159999996</v>
      </c>
      <c r="D11" s="263">
        <v>1099170.8400000001</v>
      </c>
      <c r="E11" s="280">
        <v>41315190</v>
      </c>
      <c r="G11" s="623"/>
      <c r="H11" s="622"/>
    </row>
    <row r="12" spans="1:8" ht="20" customHeight="1" thickBot="1">
      <c r="A12" s="195">
        <v>68</v>
      </c>
      <c r="B12" s="195" t="s">
        <v>174</v>
      </c>
      <c r="C12" s="213">
        <v>0</v>
      </c>
      <c r="D12" s="263">
        <v>0</v>
      </c>
      <c r="E12" s="280">
        <v>0</v>
      </c>
      <c r="G12" s="91"/>
      <c r="H12" s="622"/>
    </row>
    <row r="13" spans="1:8" ht="20" customHeight="1" thickBot="1">
      <c r="A13" s="195">
        <v>69</v>
      </c>
      <c r="B13" s="195" t="s">
        <v>175</v>
      </c>
      <c r="C13" s="213">
        <v>4446.71</v>
      </c>
      <c r="D13" s="263">
        <v>94.92</v>
      </c>
      <c r="E13" s="280">
        <v>4541.63</v>
      </c>
    </row>
    <row r="14" spans="1:8" ht="27" customHeight="1" thickBot="1">
      <c r="A14" s="196">
        <v>6</v>
      </c>
      <c r="B14" s="196" t="s">
        <v>176</v>
      </c>
      <c r="C14" s="213">
        <v>99470650.379999995</v>
      </c>
      <c r="D14" s="263">
        <v>2432707.94</v>
      </c>
      <c r="E14" s="280">
        <v>101903358.31999999</v>
      </c>
    </row>
    <row r="15" spans="1:8" ht="20" customHeight="1" thickBot="1">
      <c r="A15" s="195">
        <v>33</v>
      </c>
      <c r="B15" s="195" t="s">
        <v>177</v>
      </c>
      <c r="C15" s="213">
        <v>97775557.420000002</v>
      </c>
      <c r="D15" s="263">
        <v>2632597.85</v>
      </c>
      <c r="E15" s="280">
        <v>100408155.27</v>
      </c>
    </row>
    <row r="16" spans="1:8" ht="20" customHeight="1" thickBot="1">
      <c r="A16" s="195">
        <v>32</v>
      </c>
      <c r="B16" s="195" t="s">
        <v>178</v>
      </c>
      <c r="C16" s="213">
        <v>-7016678.9100000001</v>
      </c>
      <c r="D16" s="263">
        <v>-100751.3</v>
      </c>
      <c r="E16" s="280">
        <v>-7117430.21</v>
      </c>
    </row>
    <row r="17" spans="1:5" ht="27" customHeight="1" thickBot="1">
      <c r="A17" s="196" t="s">
        <v>179</v>
      </c>
      <c r="B17" s="196" t="s">
        <v>180</v>
      </c>
      <c r="C17" s="213">
        <v>90758878.510000005</v>
      </c>
      <c r="D17" s="263">
        <v>2531846.5499999998</v>
      </c>
      <c r="E17" s="280">
        <v>93290725.060000002</v>
      </c>
    </row>
    <row r="18" spans="1:5" ht="20" customHeight="1" thickBot="1">
      <c r="A18" s="195">
        <v>34</v>
      </c>
      <c r="B18" s="195" t="s">
        <v>1651</v>
      </c>
      <c r="C18" s="213">
        <v>857737.67</v>
      </c>
      <c r="D18" s="263">
        <v>31736.43</v>
      </c>
      <c r="E18" s="280">
        <v>889474.1</v>
      </c>
    </row>
    <row r="19" spans="1:5" ht="20" customHeight="1" thickBot="1">
      <c r="A19" s="195">
        <v>35</v>
      </c>
      <c r="B19" s="195" t="s">
        <v>1652</v>
      </c>
      <c r="C19" s="213">
        <v>1098789.08</v>
      </c>
      <c r="D19" s="263">
        <v>29350.39</v>
      </c>
      <c r="E19" s="280">
        <v>1128139.47</v>
      </c>
    </row>
    <row r="20" spans="1:5" ht="27" customHeight="1" thickBot="1">
      <c r="A20" s="196" t="s">
        <v>1653</v>
      </c>
      <c r="B20" s="196" t="s">
        <v>1654</v>
      </c>
      <c r="C20" s="213">
        <v>92715405.260000005</v>
      </c>
      <c r="D20" s="263">
        <v>2592933.37</v>
      </c>
      <c r="E20" s="280">
        <v>95308338.629999995</v>
      </c>
    </row>
    <row r="21" spans="1:5" ht="20" customHeight="1" thickBot="1">
      <c r="A21" s="195">
        <v>36</v>
      </c>
      <c r="B21" s="195" t="s">
        <v>1655</v>
      </c>
      <c r="C21" s="213">
        <v>0</v>
      </c>
      <c r="D21" s="263">
        <v>0</v>
      </c>
      <c r="E21" s="280">
        <v>0</v>
      </c>
    </row>
    <row r="22" spans="1:5" ht="20" customHeight="1" thickBot="1">
      <c r="A22" s="195">
        <v>37</v>
      </c>
      <c r="B22" s="195" t="s">
        <v>1656</v>
      </c>
      <c r="C22" s="213">
        <v>0</v>
      </c>
      <c r="D22" s="263">
        <v>0</v>
      </c>
      <c r="E22" s="280">
        <v>0</v>
      </c>
    </row>
    <row r="23" spans="1:5" ht="27" customHeight="1" thickBot="1">
      <c r="A23" s="196">
        <v>3</v>
      </c>
      <c r="B23" s="196" t="s">
        <v>1657</v>
      </c>
      <c r="C23" s="213">
        <v>92715405.260000005</v>
      </c>
      <c r="D23" s="263">
        <v>2592933.37</v>
      </c>
      <c r="E23" s="280">
        <v>95308338.629999995</v>
      </c>
    </row>
    <row r="24" spans="1:5" ht="20" customHeight="1" thickBot="1">
      <c r="A24" s="195" t="s">
        <v>1658</v>
      </c>
      <c r="B24" s="195" t="s">
        <v>1659</v>
      </c>
      <c r="C24" s="213">
        <v>5356307.82</v>
      </c>
      <c r="D24" s="263">
        <v>119002.88</v>
      </c>
      <c r="E24" s="280">
        <v>5475310.7000000002</v>
      </c>
    </row>
    <row r="25" spans="1:5" ht="20" customHeight="1" thickBot="1">
      <c r="A25" s="195">
        <v>48</v>
      </c>
      <c r="B25" s="195" t="s">
        <v>1660</v>
      </c>
      <c r="C25" s="213">
        <v>298873.90999999997</v>
      </c>
      <c r="D25" s="263">
        <v>6357.47</v>
      </c>
      <c r="E25" s="280">
        <v>305231.38</v>
      </c>
    </row>
    <row r="26" spans="1:5" ht="20" customHeight="1" thickBot="1">
      <c r="A26" s="195">
        <v>49</v>
      </c>
      <c r="B26" s="195" t="s">
        <v>1661</v>
      </c>
      <c r="C26" s="213">
        <v>26430.35</v>
      </c>
      <c r="D26" s="263">
        <v>558.19000000000005</v>
      </c>
      <c r="E26" s="280">
        <v>26988.54</v>
      </c>
    </row>
    <row r="27" spans="1:5" ht="27" customHeight="1" thickBot="1">
      <c r="A27" s="196">
        <v>4</v>
      </c>
      <c r="B27" s="196" t="s">
        <v>1662</v>
      </c>
      <c r="C27" s="213">
        <v>5681612.0800000001</v>
      </c>
      <c r="D27" s="263">
        <v>125918.54</v>
      </c>
      <c r="E27" s="280">
        <v>5807530.6200000001</v>
      </c>
    </row>
    <row r="28" spans="1:5" ht="27" customHeight="1" thickBot="1">
      <c r="A28" s="196" t="s">
        <v>1663</v>
      </c>
      <c r="B28" s="196" t="s">
        <v>1664</v>
      </c>
      <c r="C28" s="213">
        <v>98397017.340000004</v>
      </c>
      <c r="D28" s="263">
        <v>2718851.91</v>
      </c>
      <c r="E28" s="280">
        <v>101115869.25</v>
      </c>
    </row>
    <row r="29" spans="1:5" ht="27" customHeight="1" thickBot="1">
      <c r="A29" s="196"/>
      <c r="B29" s="196" t="s">
        <v>1665</v>
      </c>
      <c r="C29" s="213">
        <v>1073633.03</v>
      </c>
      <c r="D29" s="263">
        <v>-286143.96000000002</v>
      </c>
      <c r="E29" s="280">
        <v>787489.07</v>
      </c>
    </row>
    <row r="30" spans="1:5" ht="27" customHeight="1" thickBot="1">
      <c r="A30" s="196">
        <v>7</v>
      </c>
      <c r="B30" s="196" t="s">
        <v>1666</v>
      </c>
      <c r="C30" s="213">
        <v>-1120768.97</v>
      </c>
      <c r="D30" s="263">
        <v>-24232.75</v>
      </c>
      <c r="E30" s="280">
        <v>-1145001.72</v>
      </c>
    </row>
    <row r="31" spans="1:5" ht="26.25" customHeight="1" thickBot="1">
      <c r="A31" s="481"/>
      <c r="B31" s="481" t="s">
        <v>1667</v>
      </c>
      <c r="C31" s="213">
        <v>-47135.93</v>
      </c>
      <c r="D31" s="263">
        <v>-310376.71999999997</v>
      </c>
      <c r="E31" s="280">
        <v>-357512.65</v>
      </c>
    </row>
    <row r="32" spans="1:5" ht="20.25" customHeight="1">
      <c r="A32" s="201" t="s">
        <v>764</v>
      </c>
      <c r="B32" s="231"/>
      <c r="C32" s="201"/>
      <c r="D32" s="253"/>
      <c r="E32" s="409"/>
    </row>
    <row r="34" spans="1:1">
      <c r="A34" s="2" t="s">
        <v>1769</v>
      </c>
    </row>
    <row r="37" spans="1:1">
      <c r="A37" s="2" t="s">
        <v>711</v>
      </c>
    </row>
  </sheetData>
  <phoneticPr fontId="0" type="noConversion"/>
  <pageMargins left="0.51" right="0.56000000000000005" top="0.74" bottom="0.49" header="0.44" footer="0.4921259845"/>
  <pageSetup paperSize="9" scale="85" orientation="portrait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CB3A-131D-384E-AF1A-43DAD9CC8D81}">
  <sheetPr>
    <pageSetUpPr fitToPage="1"/>
  </sheetPr>
  <dimension ref="A1:H39"/>
  <sheetViews>
    <sheetView zoomScale="75" workbookViewId="0">
      <selection activeCell="F11" sqref="F11"/>
    </sheetView>
  </sheetViews>
  <sheetFormatPr baseColWidth="10" defaultColWidth="11.3984375" defaultRowHeight="13"/>
  <cols>
    <col min="1" max="1" width="8.796875" style="2" customWidth="1"/>
    <col min="2" max="2" width="48.796875" style="92" customWidth="1"/>
    <col min="3" max="3" width="16.796875" style="2" customWidth="1"/>
    <col min="4" max="4" width="16.796875" style="7" customWidth="1"/>
    <col min="5" max="5" width="16.796875" style="410" customWidth="1"/>
    <col min="6" max="16384" width="11.3984375" style="2"/>
  </cols>
  <sheetData>
    <row r="1" spans="1:8" s="1" customFormat="1" ht="39.75" customHeight="1">
      <c r="A1" s="2019" t="s">
        <v>1767</v>
      </c>
      <c r="B1" s="2020"/>
      <c r="C1" s="2020"/>
      <c r="D1" s="2020"/>
      <c r="E1" s="53">
        <v>2008</v>
      </c>
    </row>
    <row r="2" spans="1:8" s="1" customFormat="1" ht="12" customHeight="1">
      <c r="A2" s="287"/>
      <c r="B2" s="287"/>
      <c r="C2" s="287"/>
      <c r="D2" s="287"/>
      <c r="E2" s="287"/>
    </row>
    <row r="3" spans="1:8" ht="39" customHeight="1">
      <c r="A3" s="394" t="s">
        <v>765</v>
      </c>
      <c r="B3" s="228"/>
      <c r="C3" s="179" t="s">
        <v>766</v>
      </c>
      <c r="D3" s="242" t="s">
        <v>767</v>
      </c>
      <c r="E3" s="377" t="s">
        <v>164</v>
      </c>
      <c r="G3" s="3"/>
      <c r="H3" s="3"/>
    </row>
    <row r="4" spans="1:8" ht="38" customHeight="1">
      <c r="A4" s="378"/>
      <c r="B4" s="379"/>
      <c r="C4" s="188" t="s">
        <v>768</v>
      </c>
      <c r="D4" s="248" t="s">
        <v>768</v>
      </c>
      <c r="E4" s="380" t="s">
        <v>768</v>
      </c>
      <c r="G4" s="621"/>
      <c r="H4" s="622"/>
    </row>
    <row r="5" spans="1:8" ht="30" customHeight="1" thickBot="1">
      <c r="A5" s="190">
        <v>63</v>
      </c>
      <c r="B5" s="190" t="s">
        <v>769</v>
      </c>
      <c r="C5" s="211">
        <v>3252416.43</v>
      </c>
      <c r="D5" s="257">
        <v>152897.57</v>
      </c>
      <c r="E5" s="395">
        <v>3405314</v>
      </c>
      <c r="G5" s="91"/>
      <c r="H5" s="622"/>
    </row>
    <row r="6" spans="1:8" ht="20" customHeight="1" thickBot="1">
      <c r="A6" s="195">
        <v>64</v>
      </c>
      <c r="B6" s="195" t="s">
        <v>770</v>
      </c>
      <c r="C6" s="213">
        <v>-95645.41</v>
      </c>
      <c r="D6" s="263">
        <v>-4313.16</v>
      </c>
      <c r="E6" s="280">
        <v>-99958.57</v>
      </c>
      <c r="G6" s="91"/>
      <c r="H6" s="622"/>
    </row>
    <row r="7" spans="1:8" ht="20" customHeight="1" thickBot="1">
      <c r="A7" s="195">
        <v>65</v>
      </c>
      <c r="B7" s="195" t="s">
        <v>771</v>
      </c>
      <c r="C7" s="213">
        <v>0</v>
      </c>
      <c r="D7" s="263">
        <v>0</v>
      </c>
      <c r="E7" s="280">
        <v>0</v>
      </c>
      <c r="G7" s="91"/>
      <c r="H7" s="622"/>
    </row>
    <row r="8" spans="1:8" ht="27" customHeight="1" thickBot="1">
      <c r="A8" s="196" t="s">
        <v>772</v>
      </c>
      <c r="B8" s="196" t="s">
        <v>773</v>
      </c>
      <c r="C8" s="213">
        <v>3156771.02</v>
      </c>
      <c r="D8" s="263">
        <v>148584.41</v>
      </c>
      <c r="E8" s="280">
        <v>3305355.43</v>
      </c>
      <c r="G8" s="91"/>
      <c r="H8" s="622"/>
    </row>
    <row r="9" spans="1:8" ht="20" customHeight="1" thickBot="1">
      <c r="A9" s="195">
        <v>66</v>
      </c>
      <c r="B9" s="195" t="s">
        <v>774</v>
      </c>
      <c r="C9" s="213">
        <v>0</v>
      </c>
      <c r="D9" s="263">
        <v>0</v>
      </c>
      <c r="E9" s="280">
        <v>0</v>
      </c>
      <c r="G9" s="91"/>
      <c r="H9" s="622"/>
    </row>
    <row r="10" spans="1:8" ht="27" customHeight="1" thickBot="1">
      <c r="A10" s="196" t="s">
        <v>775</v>
      </c>
      <c r="B10" s="196" t="s">
        <v>776</v>
      </c>
      <c r="C10" s="213">
        <v>3156771.02</v>
      </c>
      <c r="D10" s="263">
        <v>148584.41</v>
      </c>
      <c r="E10" s="280">
        <v>3305355.43</v>
      </c>
      <c r="G10" s="91"/>
      <c r="H10" s="622"/>
    </row>
    <row r="11" spans="1:8" ht="21" customHeight="1" thickBot="1">
      <c r="A11" s="195">
        <v>67</v>
      </c>
      <c r="B11" s="195" t="s">
        <v>777</v>
      </c>
      <c r="C11" s="213">
        <v>0</v>
      </c>
      <c r="D11" s="263">
        <v>0</v>
      </c>
      <c r="E11" s="280">
        <v>0</v>
      </c>
      <c r="G11" s="623"/>
      <c r="H11" s="622"/>
    </row>
    <row r="12" spans="1:8" ht="21" customHeight="1" thickBot="1">
      <c r="A12" s="195">
        <v>68</v>
      </c>
      <c r="B12" s="195" t="s">
        <v>174</v>
      </c>
      <c r="C12" s="213">
        <v>0</v>
      </c>
      <c r="D12" s="263">
        <v>0</v>
      </c>
      <c r="E12" s="280">
        <v>0</v>
      </c>
      <c r="G12" s="91"/>
      <c r="H12" s="622"/>
    </row>
    <row r="13" spans="1:8" ht="21" customHeight="1" thickBot="1">
      <c r="A13" s="195">
        <v>69</v>
      </c>
      <c r="B13" s="195" t="s">
        <v>175</v>
      </c>
      <c r="C13" s="213">
        <v>346.99</v>
      </c>
      <c r="D13" s="263">
        <v>16.02</v>
      </c>
      <c r="E13" s="280">
        <v>363.01</v>
      </c>
    </row>
    <row r="14" spans="1:8" ht="27" customHeight="1" thickBot="1">
      <c r="A14" s="196">
        <v>6</v>
      </c>
      <c r="B14" s="196" t="s">
        <v>176</v>
      </c>
      <c r="C14" s="213">
        <v>3157118.01</v>
      </c>
      <c r="D14" s="263">
        <v>148600.43</v>
      </c>
      <c r="E14" s="280">
        <v>3305718.44</v>
      </c>
    </row>
    <row r="15" spans="1:8" ht="20" customHeight="1" thickBot="1">
      <c r="A15" s="195">
        <v>33</v>
      </c>
      <c r="B15" s="195" t="s">
        <v>177</v>
      </c>
      <c r="C15" s="213">
        <v>9295989.7899999991</v>
      </c>
      <c r="D15" s="263">
        <v>93195.31</v>
      </c>
      <c r="E15" s="280">
        <v>9389185.0999999996</v>
      </c>
    </row>
    <row r="16" spans="1:8" ht="20" customHeight="1" thickBot="1">
      <c r="A16" s="195">
        <v>32</v>
      </c>
      <c r="B16" s="195" t="s">
        <v>178</v>
      </c>
      <c r="C16" s="213">
        <v>-121996.85</v>
      </c>
      <c r="D16" s="263">
        <v>-2457.15</v>
      </c>
      <c r="E16" s="280">
        <v>-124454</v>
      </c>
    </row>
    <row r="17" spans="1:5" ht="27" customHeight="1" thickBot="1">
      <c r="A17" s="196" t="s">
        <v>179</v>
      </c>
      <c r="B17" s="196" t="s">
        <v>180</v>
      </c>
      <c r="C17" s="213">
        <v>9173992.9399999995</v>
      </c>
      <c r="D17" s="263">
        <v>90738.16</v>
      </c>
      <c r="E17" s="280">
        <v>9264731.0999999996</v>
      </c>
    </row>
    <row r="18" spans="1:5" ht="20" customHeight="1" thickBot="1">
      <c r="A18" s="195">
        <v>34</v>
      </c>
      <c r="B18" s="195" t="s">
        <v>1651</v>
      </c>
      <c r="C18" s="213">
        <v>105559.41</v>
      </c>
      <c r="D18" s="263">
        <v>1263.3599999999999</v>
      </c>
      <c r="E18" s="280">
        <v>106822.77</v>
      </c>
    </row>
    <row r="19" spans="1:5" ht="20" customHeight="1" thickBot="1">
      <c r="A19" s="195">
        <v>35</v>
      </c>
      <c r="B19" s="195" t="s">
        <v>1652</v>
      </c>
      <c r="C19" s="213">
        <v>-202373.27</v>
      </c>
      <c r="D19" s="263">
        <v>-2046.66</v>
      </c>
      <c r="E19" s="280">
        <v>-204419.93</v>
      </c>
    </row>
    <row r="20" spans="1:5" ht="27" customHeight="1" thickBot="1">
      <c r="A20" s="196" t="s">
        <v>1653</v>
      </c>
      <c r="B20" s="196" t="s">
        <v>1654</v>
      </c>
      <c r="C20" s="213">
        <v>9077179.0800000001</v>
      </c>
      <c r="D20" s="263">
        <v>89954.86</v>
      </c>
      <c r="E20" s="280">
        <v>9167133.9399999995</v>
      </c>
    </row>
    <row r="21" spans="1:5" ht="20" customHeight="1" thickBot="1">
      <c r="A21" s="195">
        <v>36</v>
      </c>
      <c r="B21" s="195" t="s">
        <v>1655</v>
      </c>
      <c r="C21" s="213">
        <v>0</v>
      </c>
      <c r="D21" s="263">
        <v>0</v>
      </c>
      <c r="E21" s="280">
        <v>0</v>
      </c>
    </row>
    <row r="22" spans="1:5" ht="20" customHeight="1" thickBot="1">
      <c r="A22" s="195">
        <v>37</v>
      </c>
      <c r="B22" s="195" t="s">
        <v>1656</v>
      </c>
      <c r="C22" s="213">
        <v>0</v>
      </c>
      <c r="D22" s="263">
        <v>0</v>
      </c>
      <c r="E22" s="280">
        <v>0</v>
      </c>
    </row>
    <row r="23" spans="1:5" ht="27" customHeight="1" thickBot="1">
      <c r="A23" s="196">
        <v>3</v>
      </c>
      <c r="B23" s="196" t="s">
        <v>1657</v>
      </c>
      <c r="C23" s="213">
        <v>9077179.0800000001</v>
      </c>
      <c r="D23" s="263">
        <v>89954.86</v>
      </c>
      <c r="E23" s="280">
        <v>9167133.9399999995</v>
      </c>
    </row>
    <row r="24" spans="1:5" ht="20" customHeight="1" thickBot="1">
      <c r="A24" s="195" t="s">
        <v>1658</v>
      </c>
      <c r="B24" s="195" t="s">
        <v>1659</v>
      </c>
      <c r="C24" s="213">
        <v>312113.17</v>
      </c>
      <c r="D24" s="263">
        <v>14833.69</v>
      </c>
      <c r="E24" s="280">
        <v>326946.86</v>
      </c>
    </row>
    <row r="25" spans="1:5" ht="20" customHeight="1" thickBot="1">
      <c r="A25" s="195">
        <v>48</v>
      </c>
      <c r="B25" s="195" t="s">
        <v>1660</v>
      </c>
      <c r="C25" s="213">
        <v>3583.85</v>
      </c>
      <c r="D25" s="263">
        <v>165.5</v>
      </c>
      <c r="E25" s="280">
        <v>3749.35</v>
      </c>
    </row>
    <row r="26" spans="1:5" ht="20" customHeight="1" thickBot="1">
      <c r="A26" s="195">
        <v>49</v>
      </c>
      <c r="B26" s="195" t="s">
        <v>1661</v>
      </c>
      <c r="C26" s="213">
        <v>0</v>
      </c>
      <c r="D26" s="263">
        <v>0</v>
      </c>
      <c r="E26" s="280">
        <v>0</v>
      </c>
    </row>
    <row r="27" spans="1:5" ht="27" customHeight="1" thickBot="1">
      <c r="A27" s="196">
        <v>4</v>
      </c>
      <c r="B27" s="196" t="s">
        <v>1662</v>
      </c>
      <c r="C27" s="213">
        <v>315697.02</v>
      </c>
      <c r="D27" s="263">
        <v>14999.19</v>
      </c>
      <c r="E27" s="280">
        <v>330696.21000000002</v>
      </c>
    </row>
    <row r="28" spans="1:5" ht="27" customHeight="1" thickBot="1">
      <c r="A28" s="196" t="s">
        <v>1663</v>
      </c>
      <c r="B28" s="196" t="s">
        <v>1664</v>
      </c>
      <c r="C28" s="213">
        <v>9392876.0999999996</v>
      </c>
      <c r="D28" s="263">
        <v>104954.06</v>
      </c>
      <c r="E28" s="280">
        <v>9497830.1600000001</v>
      </c>
    </row>
    <row r="29" spans="1:5" ht="27" customHeight="1" thickBot="1">
      <c r="A29" s="196"/>
      <c r="B29" s="196" t="s">
        <v>1665</v>
      </c>
      <c r="C29" s="213">
        <v>-6235758.0899999999</v>
      </c>
      <c r="D29" s="263">
        <v>43646.37</v>
      </c>
      <c r="E29" s="280">
        <v>-6192111.7199999997</v>
      </c>
    </row>
    <row r="30" spans="1:5" ht="27" customHeight="1" thickBot="1">
      <c r="A30" s="196">
        <v>7</v>
      </c>
      <c r="B30" s="196" t="s">
        <v>1666</v>
      </c>
      <c r="C30" s="213">
        <v>-39725.629999999997</v>
      </c>
      <c r="D30" s="263">
        <v>-1806.44</v>
      </c>
      <c r="E30" s="280">
        <v>-41532.07</v>
      </c>
    </row>
    <row r="31" spans="1:5" ht="27.75" customHeight="1" thickBot="1">
      <c r="A31" s="481"/>
      <c r="B31" s="481" t="s">
        <v>1667</v>
      </c>
      <c r="C31" s="213">
        <v>-6275483.7199999997</v>
      </c>
      <c r="D31" s="263">
        <v>41839.93</v>
      </c>
      <c r="E31" s="280">
        <v>-6233643.79</v>
      </c>
    </row>
    <row r="32" spans="1:5" ht="19.5" customHeight="1">
      <c r="A32" s="201" t="s">
        <v>764</v>
      </c>
      <c r="B32" s="231"/>
      <c r="C32" s="201"/>
      <c r="D32" s="253"/>
      <c r="E32" s="409"/>
    </row>
    <row r="34" spans="1:1">
      <c r="A34" s="624" t="s">
        <v>1765</v>
      </c>
    </row>
    <row r="35" spans="1:1">
      <c r="A35" s="391"/>
    </row>
    <row r="36" spans="1:1">
      <c r="A36" s="2" t="s">
        <v>1766</v>
      </c>
    </row>
    <row r="39" spans="1:1">
      <c r="A39" s="2" t="s">
        <v>711</v>
      </c>
    </row>
  </sheetData>
  <mergeCells count="1">
    <mergeCell ref="A1:D1"/>
  </mergeCells>
  <phoneticPr fontId="0" type="noConversion"/>
  <pageMargins left="0.53" right="0.57999999999999996" top="0.92" bottom="0.49" header="0.49" footer="0.4921259845"/>
  <pageSetup paperSize="9" scale="85" orientation="portrait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563F-1FD8-B64F-A254-A5BB75D7C63B}">
  <sheetPr>
    <pageSetUpPr fitToPage="1"/>
  </sheetPr>
  <dimension ref="A1:B18"/>
  <sheetViews>
    <sheetView workbookViewId="0">
      <selection activeCell="B3" sqref="B3:B15"/>
    </sheetView>
  </sheetViews>
  <sheetFormatPr baseColWidth="10" defaultColWidth="11.3984375" defaultRowHeight="13"/>
  <cols>
    <col min="1" max="1" width="5.59765625" style="129" customWidth="1"/>
    <col min="2" max="16384" width="11.3984375" style="129"/>
  </cols>
  <sheetData>
    <row r="1" spans="1:2" ht="16">
      <c r="A1" s="128" t="s">
        <v>1445</v>
      </c>
    </row>
    <row r="2" spans="1:2" ht="16">
      <c r="A2" s="128"/>
    </row>
    <row r="3" spans="1:2">
      <c r="A3" s="130">
        <v>8.01</v>
      </c>
      <c r="B3" s="131" t="s">
        <v>981</v>
      </c>
    </row>
    <row r="4" spans="1:2">
      <c r="A4" s="130">
        <v>8.02</v>
      </c>
      <c r="B4" s="132" t="s">
        <v>982</v>
      </c>
    </row>
    <row r="5" spans="1:2">
      <c r="A5" s="130">
        <v>8.0299999999999994</v>
      </c>
      <c r="B5" s="131" t="s">
        <v>983</v>
      </c>
    </row>
    <row r="6" spans="1:2">
      <c r="A6" s="130">
        <v>8.0399999999999991</v>
      </c>
      <c r="B6" s="131" t="s">
        <v>984</v>
      </c>
    </row>
    <row r="7" spans="1:2">
      <c r="A7" s="130">
        <v>8.0500000000000007</v>
      </c>
      <c r="B7" s="131" t="s">
        <v>1446</v>
      </c>
    </row>
    <row r="8" spans="1:2">
      <c r="A8" s="130">
        <v>8.06</v>
      </c>
      <c r="B8" s="131" t="s">
        <v>1447</v>
      </c>
    </row>
    <row r="9" spans="1:2">
      <c r="A9" s="130">
        <v>8.07</v>
      </c>
      <c r="B9" s="131" t="s">
        <v>985</v>
      </c>
    </row>
    <row r="10" spans="1:2">
      <c r="A10" s="130">
        <v>8.08</v>
      </c>
      <c r="B10" s="131" t="s">
        <v>986</v>
      </c>
    </row>
    <row r="11" spans="1:2">
      <c r="A11" s="130">
        <v>8.09</v>
      </c>
      <c r="B11" s="131" t="s">
        <v>1448</v>
      </c>
    </row>
    <row r="12" spans="1:2">
      <c r="A12" s="130">
        <v>8.1</v>
      </c>
      <c r="B12" s="131" t="s">
        <v>1449</v>
      </c>
    </row>
    <row r="13" spans="1:2">
      <c r="A13" s="130">
        <v>8.11</v>
      </c>
      <c r="B13" s="133" t="s">
        <v>1450</v>
      </c>
    </row>
    <row r="14" spans="1:2">
      <c r="A14" s="130">
        <v>8.1199999999999992</v>
      </c>
      <c r="B14" s="133" t="s">
        <v>1451</v>
      </c>
    </row>
    <row r="15" spans="1:2">
      <c r="A15" s="130">
        <v>8.1300000000000008</v>
      </c>
      <c r="B15" s="133" t="s">
        <v>2057</v>
      </c>
    </row>
    <row r="18" spans="1:1">
      <c r="A18" s="168" t="s">
        <v>711</v>
      </c>
    </row>
  </sheetData>
  <phoneticPr fontId="30" type="noConversion"/>
  <pageMargins left="0.54" right="0.53" top="0.65" bottom="0.984251969" header="0.38" footer="0.4921259845"/>
  <pageSetup paperSize="9" orientation="portrait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894F-16DA-0A42-8D15-F93488642677}">
  <sheetPr>
    <pageSetUpPr fitToPage="1"/>
  </sheetPr>
  <dimension ref="A1:G28"/>
  <sheetViews>
    <sheetView topLeftCell="A6" zoomScale="75" workbookViewId="0">
      <selection activeCell="H23" sqref="H23"/>
    </sheetView>
  </sheetViews>
  <sheetFormatPr baseColWidth="10" defaultColWidth="11.3984375" defaultRowHeight="13"/>
  <cols>
    <col min="1" max="1" width="12.796875" style="2" customWidth="1"/>
    <col min="2" max="2" width="15.3984375" style="92" customWidth="1"/>
    <col min="3" max="4" width="15.3984375" style="2" customWidth="1"/>
    <col min="5" max="5" width="15.796875" style="92" customWidth="1"/>
    <col min="6" max="6" width="15.3984375" style="92" customWidth="1"/>
    <col min="7" max="7" width="15.3984375" style="2" customWidth="1"/>
    <col min="8" max="16384" width="11.3984375" style="2"/>
  </cols>
  <sheetData>
    <row r="1" spans="1:7" s="1" customFormat="1" ht="14" customHeight="1">
      <c r="B1" s="227"/>
      <c r="E1" s="227"/>
      <c r="F1" s="227"/>
    </row>
    <row r="2" spans="1:7" s="1" customFormat="1" ht="28" customHeight="1">
      <c r="A2" s="53" t="s">
        <v>860</v>
      </c>
      <c r="B2" s="676"/>
      <c r="C2" s="53"/>
      <c r="D2" s="53"/>
      <c r="E2" s="227"/>
      <c r="F2" s="428"/>
      <c r="G2" s="428"/>
    </row>
    <row r="3" spans="1:7" ht="24" customHeight="1">
      <c r="A3" s="677"/>
      <c r="B3" s="181" t="s">
        <v>861</v>
      </c>
      <c r="C3" s="178"/>
      <c r="D3" s="178"/>
      <c r="E3" s="626" t="s">
        <v>862</v>
      </c>
      <c r="F3" s="626" t="s">
        <v>863</v>
      </c>
      <c r="G3" s="626" t="s">
        <v>864</v>
      </c>
    </row>
    <row r="4" spans="1:7" ht="20.25" customHeight="1">
      <c r="A4" s="678" t="s">
        <v>821</v>
      </c>
      <c r="B4" s="181"/>
      <c r="C4" s="181"/>
      <c r="D4" s="181"/>
      <c r="E4" s="678" t="s">
        <v>407</v>
      </c>
      <c r="F4" s="184"/>
      <c r="G4" s="184"/>
    </row>
    <row r="5" spans="1:7" ht="20.25" customHeight="1">
      <c r="A5" s="678"/>
      <c r="B5" s="181" t="s">
        <v>865</v>
      </c>
      <c r="C5" s="181" t="s">
        <v>866</v>
      </c>
      <c r="D5" s="181" t="s">
        <v>867</v>
      </c>
      <c r="E5" s="184" t="s">
        <v>868</v>
      </c>
      <c r="F5" s="184" t="s">
        <v>400</v>
      </c>
      <c r="G5" s="184" t="s">
        <v>408</v>
      </c>
    </row>
    <row r="6" spans="1:7" ht="15" customHeight="1">
      <c r="A6" s="678"/>
      <c r="B6" s="181" t="s">
        <v>160</v>
      </c>
      <c r="C6" s="181"/>
      <c r="D6" s="181"/>
      <c r="E6" s="184" t="s">
        <v>401</v>
      </c>
      <c r="F6" s="184" t="s">
        <v>402</v>
      </c>
      <c r="G6" s="184" t="s">
        <v>402</v>
      </c>
    </row>
    <row r="7" spans="1:7" ht="29.25" customHeight="1">
      <c r="A7" s="671"/>
      <c r="B7" s="185" t="s">
        <v>403</v>
      </c>
      <c r="C7" s="185"/>
      <c r="D7" s="185"/>
      <c r="E7" s="186" t="s">
        <v>404</v>
      </c>
      <c r="F7" s="186" t="s">
        <v>404</v>
      </c>
      <c r="G7" s="186" t="s">
        <v>404</v>
      </c>
    </row>
    <row r="8" spans="1:7" ht="2.25" customHeight="1" thickBot="1">
      <c r="A8" s="679">
        <v>1996</v>
      </c>
      <c r="B8" s="680">
        <v>159</v>
      </c>
      <c r="C8" s="680">
        <v>0</v>
      </c>
      <c r="D8" s="680">
        <v>25</v>
      </c>
      <c r="E8" s="681">
        <v>145</v>
      </c>
      <c r="F8" s="681">
        <v>150</v>
      </c>
      <c r="G8" s="681">
        <v>136</v>
      </c>
    </row>
    <row r="9" spans="1:7" ht="17.25" hidden="1" customHeight="1" thickBot="1">
      <c r="A9" s="682">
        <v>1997</v>
      </c>
      <c r="B9" s="683">
        <v>142</v>
      </c>
      <c r="C9" s="683">
        <v>1</v>
      </c>
      <c r="D9" s="683">
        <v>18</v>
      </c>
      <c r="E9" s="684">
        <v>129</v>
      </c>
      <c r="F9" s="684">
        <v>135</v>
      </c>
      <c r="G9" s="684">
        <v>122</v>
      </c>
    </row>
    <row r="10" spans="1:7" ht="20.25" customHeight="1" thickBot="1">
      <c r="A10" s="682">
        <v>1998</v>
      </c>
      <c r="B10" s="683">
        <v>127</v>
      </c>
      <c r="C10" s="683">
        <v>0</v>
      </c>
      <c r="D10" s="683">
        <v>15</v>
      </c>
      <c r="E10" s="684">
        <v>118</v>
      </c>
      <c r="F10" s="684">
        <v>115</v>
      </c>
      <c r="G10" s="684">
        <v>106</v>
      </c>
    </row>
    <row r="11" spans="1:7" ht="20.25" customHeight="1" thickBot="1">
      <c r="A11" s="682">
        <v>1999</v>
      </c>
      <c r="B11" s="683">
        <v>119</v>
      </c>
      <c r="C11" s="683">
        <v>2</v>
      </c>
      <c r="D11" s="683">
        <v>10</v>
      </c>
      <c r="E11" s="684">
        <v>109</v>
      </c>
      <c r="F11" s="684">
        <v>109</v>
      </c>
      <c r="G11" s="684">
        <v>99</v>
      </c>
    </row>
    <row r="12" spans="1:7" ht="20.25" customHeight="1" thickBot="1">
      <c r="A12" s="682">
        <v>2000</v>
      </c>
      <c r="B12" s="683">
        <v>110</v>
      </c>
      <c r="C12" s="683">
        <v>0</v>
      </c>
      <c r="D12" s="683">
        <v>9</v>
      </c>
      <c r="E12" s="684">
        <v>101</v>
      </c>
      <c r="F12" s="684">
        <v>102</v>
      </c>
      <c r="G12" s="684">
        <v>93</v>
      </c>
    </row>
    <row r="13" spans="1:7" ht="20.25" customHeight="1" thickBot="1">
      <c r="A13" s="682">
        <v>2001</v>
      </c>
      <c r="B13" s="683">
        <v>108</v>
      </c>
      <c r="C13" s="683">
        <v>0</v>
      </c>
      <c r="D13" s="683">
        <v>2</v>
      </c>
      <c r="E13" s="684">
        <v>99</v>
      </c>
      <c r="F13" s="684">
        <v>102</v>
      </c>
      <c r="G13" s="684">
        <v>92</v>
      </c>
    </row>
    <row r="14" spans="1:7" ht="20.25" customHeight="1" thickBot="1">
      <c r="A14" s="679">
        <v>2002</v>
      </c>
      <c r="B14" s="680">
        <v>101</v>
      </c>
      <c r="C14" s="680">
        <v>1</v>
      </c>
      <c r="D14" s="680">
        <v>8</v>
      </c>
      <c r="E14" s="681">
        <v>93</v>
      </c>
      <c r="F14" s="681">
        <v>93</v>
      </c>
      <c r="G14" s="681">
        <v>85</v>
      </c>
    </row>
    <row r="15" spans="1:7" ht="20.25" customHeight="1" thickBot="1">
      <c r="A15" s="679">
        <v>2003</v>
      </c>
      <c r="B15" s="680">
        <v>99</v>
      </c>
      <c r="C15" s="680">
        <v>2</v>
      </c>
      <c r="D15" s="680">
        <v>3</v>
      </c>
      <c r="E15" s="681">
        <v>93</v>
      </c>
      <c r="F15" s="681">
        <v>92</v>
      </c>
      <c r="G15" s="681">
        <v>86</v>
      </c>
    </row>
    <row r="16" spans="1:7" ht="20.25" customHeight="1" thickBot="1">
      <c r="A16" s="679">
        <v>2004</v>
      </c>
      <c r="B16" s="680">
        <v>98</v>
      </c>
      <c r="C16" s="680">
        <v>0</v>
      </c>
      <c r="D16" s="680">
        <v>2</v>
      </c>
      <c r="E16" s="681">
        <v>92</v>
      </c>
      <c r="F16" s="681">
        <v>93</v>
      </c>
      <c r="G16" s="681">
        <v>87</v>
      </c>
    </row>
    <row r="17" spans="1:7" ht="20.25" customHeight="1" thickBot="1">
      <c r="A17" s="679">
        <v>2005</v>
      </c>
      <c r="B17" s="680">
        <v>90</v>
      </c>
      <c r="C17" s="680">
        <v>2</v>
      </c>
      <c r="D17" s="680">
        <v>9</v>
      </c>
      <c r="E17" s="681">
        <v>85</v>
      </c>
      <c r="F17" s="681">
        <v>82</v>
      </c>
      <c r="G17" s="681">
        <v>76</v>
      </c>
    </row>
    <row r="18" spans="1:7" ht="20.25" customHeight="1" thickBot="1">
      <c r="A18" s="679">
        <v>2006</v>
      </c>
      <c r="B18" s="680">
        <v>92</v>
      </c>
      <c r="C18" s="680">
        <v>2</v>
      </c>
      <c r="D18" s="680">
        <v>0</v>
      </c>
      <c r="E18" s="681">
        <v>87</v>
      </c>
      <c r="F18" s="681">
        <v>82</v>
      </c>
      <c r="G18" s="681">
        <v>77</v>
      </c>
    </row>
    <row r="19" spans="1:7" ht="20.25" customHeight="1" thickBot="1">
      <c r="A19" s="679">
        <v>2007</v>
      </c>
      <c r="B19" s="680">
        <v>92</v>
      </c>
      <c r="C19" s="680">
        <v>0</v>
      </c>
      <c r="D19" s="680">
        <v>0</v>
      </c>
      <c r="E19" s="681">
        <v>87</v>
      </c>
      <c r="F19" s="681">
        <v>82</v>
      </c>
      <c r="G19" s="681">
        <v>77</v>
      </c>
    </row>
    <row r="20" spans="1:7" ht="25.5" customHeight="1" thickBot="1">
      <c r="A20" s="685">
        <v>2008</v>
      </c>
      <c r="B20" s="686">
        <v>91</v>
      </c>
      <c r="C20" s="687">
        <v>0</v>
      </c>
      <c r="D20" s="686">
        <v>1</v>
      </c>
      <c r="E20" s="688">
        <v>86</v>
      </c>
      <c r="F20" s="688">
        <v>83</v>
      </c>
      <c r="G20" s="689">
        <v>78</v>
      </c>
    </row>
    <row r="21" spans="1:7" ht="20" customHeight="1">
      <c r="A21" s="201" t="s">
        <v>764</v>
      </c>
      <c r="B21" s="231"/>
      <c r="C21" s="201"/>
      <c r="D21" s="201"/>
      <c r="E21" s="231"/>
      <c r="F21" s="231"/>
    </row>
    <row r="22" spans="1:7" ht="12.75" customHeight="1">
      <c r="A22" s="202"/>
      <c r="B22" s="232"/>
      <c r="C22" s="202"/>
      <c r="D22" s="202"/>
      <c r="E22" s="232"/>
      <c r="F22" s="232"/>
    </row>
    <row r="23" spans="1:7" ht="12.75" customHeight="1">
      <c r="A23" s="202" t="s">
        <v>405</v>
      </c>
      <c r="B23" s="232"/>
      <c r="C23" s="202"/>
      <c r="D23" s="202"/>
      <c r="E23" s="232"/>
      <c r="F23" s="232"/>
    </row>
    <row r="24" spans="1:7" ht="12.75" customHeight="1">
      <c r="A24" s="202"/>
      <c r="B24" s="232"/>
      <c r="C24" s="202"/>
      <c r="D24" s="202"/>
      <c r="E24" s="232"/>
      <c r="F24" s="232"/>
    </row>
    <row r="25" spans="1:7" ht="12" customHeight="1">
      <c r="A25" s="290" t="s">
        <v>406</v>
      </c>
    </row>
    <row r="28" spans="1:7">
      <c r="A28" s="2" t="s">
        <v>711</v>
      </c>
    </row>
  </sheetData>
  <phoneticPr fontId="0" type="noConversion"/>
  <pageMargins left="0.56000000000000005" right="0.42" top="0.76" bottom="0.49" header="0.44" footer="0.4921259845"/>
  <pageSetup paperSize="9" scale="80" orientation="portrait" horizontalDpi="1200" verticalDpi="1200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E0FE-4F30-3745-8A81-E526DDFB129D}">
  <sheetPr>
    <pageSetUpPr fitToPage="1"/>
  </sheetPr>
  <dimension ref="A1:M25"/>
  <sheetViews>
    <sheetView topLeftCell="A3" zoomScale="75" workbookViewId="0">
      <selection activeCell="A23" sqref="A23"/>
    </sheetView>
  </sheetViews>
  <sheetFormatPr baseColWidth="10" defaultColWidth="11.3984375" defaultRowHeight="13"/>
  <cols>
    <col min="1" max="1" width="12.796875" style="2" customWidth="1"/>
    <col min="2" max="9" width="11.796875" style="2" customWidth="1"/>
    <col min="10" max="16384" width="11.3984375" style="2"/>
  </cols>
  <sheetData>
    <row r="1" spans="1:13" s="1" customFormat="1" ht="14" customHeight="1"/>
    <row r="2" spans="1:13" s="1" customFormat="1" ht="28" customHeight="1">
      <c r="A2" s="177" t="s">
        <v>409</v>
      </c>
      <c r="I2" s="428"/>
    </row>
    <row r="3" spans="1:13" ht="24" customHeight="1">
      <c r="A3" s="690" t="s">
        <v>821</v>
      </c>
      <c r="B3" s="691" t="s">
        <v>410</v>
      </c>
      <c r="C3" s="692" t="s">
        <v>411</v>
      </c>
      <c r="D3" s="179" t="s">
        <v>412</v>
      </c>
      <c r="E3" s="692" t="s">
        <v>413</v>
      </c>
      <c r="F3" s="179" t="s">
        <v>414</v>
      </c>
      <c r="G3" s="692" t="s">
        <v>415</v>
      </c>
      <c r="H3" s="179" t="s">
        <v>164</v>
      </c>
      <c r="I3" s="692" t="s">
        <v>2372</v>
      </c>
    </row>
    <row r="4" spans="1:13" ht="15" customHeight="1">
      <c r="A4" s="693"/>
      <c r="B4" s="694"/>
      <c r="C4" s="695">
        <v>10000</v>
      </c>
      <c r="D4" s="209">
        <v>50000</v>
      </c>
      <c r="E4" s="695">
        <v>100000</v>
      </c>
      <c r="F4" s="209">
        <v>500000</v>
      </c>
      <c r="G4" s="695">
        <v>500000</v>
      </c>
      <c r="H4" s="182"/>
      <c r="I4" s="696" t="s">
        <v>2373</v>
      </c>
    </row>
    <row r="5" spans="1:13" ht="15" customHeight="1">
      <c r="A5" s="693"/>
      <c r="B5" s="694"/>
      <c r="C5" s="696"/>
      <c r="D5" s="182"/>
      <c r="E5" s="696"/>
      <c r="F5" s="182"/>
      <c r="G5" s="696"/>
      <c r="H5" s="182"/>
      <c r="I5" s="696" t="s">
        <v>2377</v>
      </c>
    </row>
    <row r="6" spans="1:13" ht="24" customHeight="1">
      <c r="A6" s="697"/>
      <c r="B6" s="698"/>
      <c r="C6" s="699"/>
      <c r="D6" s="188"/>
      <c r="E6" s="699"/>
      <c r="F6" s="188"/>
      <c r="G6" s="699"/>
      <c r="H6" s="188"/>
      <c r="I6" s="699"/>
    </row>
    <row r="7" spans="1:13" ht="2.25" customHeight="1" thickBot="1">
      <c r="A7" s="700">
        <v>1996</v>
      </c>
      <c r="B7" s="701">
        <v>90</v>
      </c>
      <c r="C7" s="702">
        <v>14</v>
      </c>
      <c r="D7" s="211">
        <v>20</v>
      </c>
      <c r="E7" s="702">
        <v>6</v>
      </c>
      <c r="F7" s="211">
        <v>12</v>
      </c>
      <c r="G7" s="702">
        <v>3</v>
      </c>
      <c r="H7" s="211">
        <v>145</v>
      </c>
      <c r="I7" s="703">
        <v>-0.12650602409638553</v>
      </c>
    </row>
    <row r="8" spans="1:13" ht="19.5" hidden="1" customHeight="1" thickBot="1">
      <c r="A8" s="704">
        <v>1997</v>
      </c>
      <c r="B8" s="705">
        <v>76</v>
      </c>
      <c r="C8" s="706">
        <v>14</v>
      </c>
      <c r="D8" s="213">
        <v>20</v>
      </c>
      <c r="E8" s="706">
        <v>4</v>
      </c>
      <c r="F8" s="213">
        <v>11</v>
      </c>
      <c r="G8" s="706">
        <v>4</v>
      </c>
      <c r="H8" s="213">
        <v>129</v>
      </c>
      <c r="I8" s="707">
        <v>-0.1103448275862069</v>
      </c>
      <c r="K8" s="8"/>
      <c r="L8" s="8"/>
      <c r="M8" s="8"/>
    </row>
    <row r="9" spans="1:13" ht="20" customHeight="1" thickBot="1">
      <c r="A9" s="704">
        <v>1998</v>
      </c>
      <c r="B9" s="705">
        <v>64</v>
      </c>
      <c r="C9" s="706">
        <v>13</v>
      </c>
      <c r="D9" s="213">
        <v>21</v>
      </c>
      <c r="E9" s="706">
        <v>6</v>
      </c>
      <c r="F9" s="213">
        <v>10</v>
      </c>
      <c r="G9" s="706">
        <v>4</v>
      </c>
      <c r="H9" s="213">
        <v>118</v>
      </c>
      <c r="I9" s="707">
        <v>-8.5271317829457363E-2</v>
      </c>
    </row>
    <row r="10" spans="1:13" ht="20" customHeight="1" thickBot="1">
      <c r="A10" s="704">
        <v>1999</v>
      </c>
      <c r="B10" s="705">
        <v>56</v>
      </c>
      <c r="C10" s="706">
        <v>12</v>
      </c>
      <c r="D10" s="213">
        <v>19</v>
      </c>
      <c r="E10" s="706">
        <v>8</v>
      </c>
      <c r="F10" s="213">
        <v>10</v>
      </c>
      <c r="G10" s="706">
        <v>4</v>
      </c>
      <c r="H10" s="213">
        <v>109</v>
      </c>
      <c r="I10" s="707">
        <v>-7.6271186440677971E-2</v>
      </c>
    </row>
    <row r="11" spans="1:13" ht="20" customHeight="1" thickBot="1">
      <c r="A11" s="704">
        <v>2000</v>
      </c>
      <c r="B11" s="705">
        <v>48</v>
      </c>
      <c r="C11" s="706">
        <v>11</v>
      </c>
      <c r="D11" s="213">
        <v>19</v>
      </c>
      <c r="E11" s="706">
        <v>9</v>
      </c>
      <c r="F11" s="213">
        <v>10</v>
      </c>
      <c r="G11" s="706">
        <v>4</v>
      </c>
      <c r="H11" s="213">
        <v>101</v>
      </c>
      <c r="I11" s="707">
        <v>-7.3394495412844041E-2</v>
      </c>
    </row>
    <row r="12" spans="1:13" ht="20" customHeight="1" thickBot="1">
      <c r="A12" s="704">
        <v>2001</v>
      </c>
      <c r="B12" s="705">
        <v>43</v>
      </c>
      <c r="C12" s="706">
        <v>9</v>
      </c>
      <c r="D12" s="213">
        <v>23</v>
      </c>
      <c r="E12" s="706">
        <v>9</v>
      </c>
      <c r="F12" s="213">
        <v>11</v>
      </c>
      <c r="G12" s="706">
        <v>4</v>
      </c>
      <c r="H12" s="213">
        <v>99</v>
      </c>
      <c r="I12" s="707">
        <v>-1.9801980198019802E-2</v>
      </c>
    </row>
    <row r="13" spans="1:13" ht="20" customHeight="1" thickBot="1">
      <c r="A13" s="704">
        <v>2002</v>
      </c>
      <c r="B13" s="705">
        <v>33</v>
      </c>
      <c r="C13" s="706">
        <v>10</v>
      </c>
      <c r="D13" s="213">
        <v>25</v>
      </c>
      <c r="E13" s="706">
        <v>9</v>
      </c>
      <c r="F13" s="213">
        <v>13</v>
      </c>
      <c r="G13" s="706">
        <v>3</v>
      </c>
      <c r="H13" s="213">
        <v>93</v>
      </c>
      <c r="I13" s="707">
        <v>-6.0606060606060608E-2</v>
      </c>
    </row>
    <row r="14" spans="1:13" ht="20" customHeight="1" thickBot="1">
      <c r="A14" s="704">
        <v>2003</v>
      </c>
      <c r="B14" s="705">
        <v>32</v>
      </c>
      <c r="C14" s="706">
        <v>10</v>
      </c>
      <c r="D14" s="213">
        <v>26</v>
      </c>
      <c r="E14" s="706">
        <v>9</v>
      </c>
      <c r="F14" s="213">
        <v>12</v>
      </c>
      <c r="G14" s="706">
        <v>4</v>
      </c>
      <c r="H14" s="213">
        <v>93</v>
      </c>
      <c r="I14" s="707">
        <v>0</v>
      </c>
    </row>
    <row r="15" spans="1:13" ht="20" customHeight="1" thickBot="1">
      <c r="A15" s="704">
        <v>2004</v>
      </c>
      <c r="B15" s="705">
        <v>32</v>
      </c>
      <c r="C15" s="706">
        <v>11</v>
      </c>
      <c r="D15" s="213">
        <v>24</v>
      </c>
      <c r="E15" s="706">
        <v>9</v>
      </c>
      <c r="F15" s="213">
        <v>12</v>
      </c>
      <c r="G15" s="706">
        <v>4</v>
      </c>
      <c r="H15" s="213">
        <v>92</v>
      </c>
      <c r="I15" s="707">
        <v>-1.0752688172043012E-2</v>
      </c>
    </row>
    <row r="16" spans="1:13" ht="20" customHeight="1" thickBot="1">
      <c r="A16" s="704">
        <v>2005</v>
      </c>
      <c r="B16" s="705">
        <v>27</v>
      </c>
      <c r="C16" s="706">
        <v>13</v>
      </c>
      <c r="D16" s="213">
        <v>20</v>
      </c>
      <c r="E16" s="706">
        <v>8</v>
      </c>
      <c r="F16" s="213">
        <v>13</v>
      </c>
      <c r="G16" s="706">
        <v>4</v>
      </c>
      <c r="H16" s="213">
        <v>85</v>
      </c>
      <c r="I16" s="707">
        <v>-7.6086956521739135E-2</v>
      </c>
    </row>
    <row r="17" spans="1:9" ht="20" customHeight="1" thickBot="1">
      <c r="A17" s="704">
        <v>2006</v>
      </c>
      <c r="B17" s="705">
        <v>28</v>
      </c>
      <c r="C17" s="706">
        <v>14</v>
      </c>
      <c r="D17" s="213">
        <v>20</v>
      </c>
      <c r="E17" s="706">
        <v>7</v>
      </c>
      <c r="F17" s="213">
        <v>14</v>
      </c>
      <c r="G17" s="706">
        <v>4</v>
      </c>
      <c r="H17" s="213">
        <v>87</v>
      </c>
      <c r="I17" s="707">
        <v>2.3529411764705882E-2</v>
      </c>
    </row>
    <row r="18" spans="1:9" ht="20" customHeight="1" thickBot="1">
      <c r="A18" s="704">
        <v>2007</v>
      </c>
      <c r="B18" s="705">
        <v>27</v>
      </c>
      <c r="C18" s="706">
        <v>13</v>
      </c>
      <c r="D18" s="213">
        <v>21</v>
      </c>
      <c r="E18" s="706">
        <v>8</v>
      </c>
      <c r="F18" s="213">
        <v>14</v>
      </c>
      <c r="G18" s="706">
        <v>4</v>
      </c>
      <c r="H18" s="213">
        <v>87</v>
      </c>
      <c r="I18" s="707">
        <v>0</v>
      </c>
    </row>
    <row r="19" spans="1:9" ht="26.25" customHeight="1" thickBot="1">
      <c r="A19" s="708">
        <v>2008</v>
      </c>
      <c r="B19" s="709">
        <v>26</v>
      </c>
      <c r="C19" s="710">
        <v>13</v>
      </c>
      <c r="D19" s="430">
        <v>19</v>
      </c>
      <c r="E19" s="710">
        <v>9</v>
      </c>
      <c r="F19" s="430">
        <v>15</v>
      </c>
      <c r="G19" s="710">
        <v>4</v>
      </c>
      <c r="H19" s="430">
        <v>86</v>
      </c>
      <c r="I19" s="711">
        <v>-1.1494252873563204E-2</v>
      </c>
    </row>
    <row r="20" spans="1:9" ht="20" customHeight="1">
      <c r="A20" s="201" t="s">
        <v>764</v>
      </c>
      <c r="B20" s="585"/>
      <c r="C20" s="585"/>
      <c r="D20" s="585"/>
      <c r="E20" s="585"/>
      <c r="F20" s="585"/>
      <c r="G20" s="585"/>
      <c r="H20" s="585"/>
      <c r="I20" s="650"/>
    </row>
    <row r="21" spans="1:9" ht="13.5" customHeight="1">
      <c r="A21" s="202"/>
      <c r="B21" s="586"/>
      <c r="C21" s="586"/>
      <c r="D21" s="586"/>
      <c r="E21" s="586"/>
      <c r="F21" s="586"/>
      <c r="G21" s="586"/>
      <c r="H21" s="586"/>
      <c r="I21" s="651"/>
    </row>
    <row r="22" spans="1:9">
      <c r="A22" s="2" t="s">
        <v>416</v>
      </c>
    </row>
    <row r="25" spans="1:9">
      <c r="A25" s="2" t="s">
        <v>711</v>
      </c>
    </row>
  </sheetData>
  <phoneticPr fontId="0" type="noConversion"/>
  <pageMargins left="0.53" right="0.61" top="1.03" bottom="0.49" header="0.56000000000000005" footer="0.4921259845"/>
  <pageSetup paperSize="9" scale="85" orientation="portrait" horizontalDpi="4294967292" verticalDpi="4294967292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6183-DADF-454F-BDB0-869AB80055EB}">
  <sheetPr>
    <pageSetUpPr fitToPage="1"/>
  </sheetPr>
  <dimension ref="A1:L28"/>
  <sheetViews>
    <sheetView topLeftCell="A6" zoomScale="75" workbookViewId="0">
      <selection activeCell="A18" sqref="A18:IV18"/>
    </sheetView>
  </sheetViews>
  <sheetFormatPr baseColWidth="10" defaultColWidth="11.3984375" defaultRowHeight="13"/>
  <cols>
    <col min="1" max="1" width="14.59765625" style="2" customWidth="1"/>
    <col min="2" max="7" width="12.796875" style="2" customWidth="1"/>
    <col min="8" max="8" width="13.796875" style="467" customWidth="1"/>
    <col min="9" max="16384" width="11.3984375" style="2"/>
  </cols>
  <sheetData>
    <row r="1" spans="1:12" s="1" customFormat="1" ht="14" customHeight="1">
      <c r="H1" s="444"/>
    </row>
    <row r="2" spans="1:12" s="1" customFormat="1" ht="28" customHeight="1">
      <c r="A2" s="53" t="s">
        <v>2238</v>
      </c>
      <c r="B2" s="53"/>
      <c r="H2" s="428"/>
    </row>
    <row r="3" spans="1:12" ht="24" customHeight="1">
      <c r="A3" s="178" t="s">
        <v>2208</v>
      </c>
      <c r="B3" s="653" t="s">
        <v>2239</v>
      </c>
      <c r="C3" s="663"/>
      <c r="D3" s="653" t="s">
        <v>2240</v>
      </c>
      <c r="E3" s="663"/>
      <c r="F3" s="667" t="s">
        <v>2241</v>
      </c>
      <c r="G3" s="663"/>
      <c r="H3" s="654" t="s">
        <v>2372</v>
      </c>
    </row>
    <row r="4" spans="1:12" ht="15" customHeight="1">
      <c r="A4" s="274"/>
      <c r="B4" s="655" t="s">
        <v>2231</v>
      </c>
      <c r="C4" s="656" t="s">
        <v>2232</v>
      </c>
      <c r="D4" s="655" t="s">
        <v>2231</v>
      </c>
      <c r="E4" s="656" t="s">
        <v>2232</v>
      </c>
      <c r="F4" s="655" t="s">
        <v>2231</v>
      </c>
      <c r="G4" s="656" t="s">
        <v>2232</v>
      </c>
      <c r="H4" s="657" t="s">
        <v>2373</v>
      </c>
    </row>
    <row r="5" spans="1:12" ht="15" customHeight="1">
      <c r="A5" s="274"/>
      <c r="B5" s="668"/>
      <c r="C5" s="669"/>
      <c r="D5" s="670"/>
      <c r="E5" s="669"/>
      <c r="F5" s="670"/>
      <c r="G5" s="669"/>
      <c r="H5" s="657" t="s">
        <v>859</v>
      </c>
    </row>
    <row r="6" spans="1:12" ht="24" customHeight="1">
      <c r="A6" s="275"/>
      <c r="B6" s="671"/>
      <c r="C6" s="187"/>
      <c r="D6" s="188"/>
      <c r="E6" s="187"/>
      <c r="F6" s="188"/>
      <c r="G6" s="187"/>
      <c r="H6" s="496"/>
    </row>
    <row r="7" spans="1:12" ht="1.5" customHeight="1" thickBot="1">
      <c r="A7" s="276">
        <v>1996</v>
      </c>
      <c r="B7" s="672">
        <v>5252</v>
      </c>
      <c r="C7" s="257">
        <v>5728</v>
      </c>
      <c r="D7" s="211">
        <v>5623</v>
      </c>
      <c r="E7" s="257">
        <v>7761</v>
      </c>
      <c r="F7" s="211">
        <v>10875</v>
      </c>
      <c r="G7" s="257">
        <v>13489</v>
      </c>
      <c r="H7" s="498">
        <v>6.9028372166745913E-2</v>
      </c>
      <c r="J7" s="8"/>
      <c r="K7" s="8"/>
      <c r="L7" s="8"/>
    </row>
    <row r="8" spans="1:12" ht="0.75" customHeight="1" thickBot="1">
      <c r="A8" s="278">
        <v>1997</v>
      </c>
      <c r="B8" s="673">
        <v>5702</v>
      </c>
      <c r="C8" s="263">
        <v>6184</v>
      </c>
      <c r="D8" s="213">
        <v>4631</v>
      </c>
      <c r="E8" s="263">
        <v>6865</v>
      </c>
      <c r="F8" s="213">
        <v>10333</v>
      </c>
      <c r="G8" s="263">
        <v>13049</v>
      </c>
      <c r="H8" s="500">
        <v>-3.2619171176514195E-2</v>
      </c>
    </row>
    <row r="9" spans="1:12" ht="20" customHeight="1" thickBot="1">
      <c r="A9" s="278">
        <v>1998</v>
      </c>
      <c r="B9" s="673">
        <v>5440</v>
      </c>
      <c r="C9" s="263">
        <v>5884</v>
      </c>
      <c r="D9" s="213">
        <v>4852</v>
      </c>
      <c r="E9" s="263">
        <v>6728</v>
      </c>
      <c r="F9" s="213">
        <v>10292</v>
      </c>
      <c r="G9" s="263">
        <v>12612</v>
      </c>
      <c r="H9" s="500">
        <v>-3.3489156257184405E-2</v>
      </c>
    </row>
    <row r="10" spans="1:12" ht="20" customHeight="1" thickBot="1">
      <c r="A10" s="278">
        <v>1999</v>
      </c>
      <c r="B10" s="673">
        <v>5286</v>
      </c>
      <c r="C10" s="263">
        <v>5825</v>
      </c>
      <c r="D10" s="213">
        <v>4444</v>
      </c>
      <c r="E10" s="263">
        <v>6096</v>
      </c>
      <c r="F10" s="213">
        <v>9729</v>
      </c>
      <c r="G10" s="263">
        <v>11920</v>
      </c>
      <c r="H10" s="500">
        <v>-5.4868379321281302E-2</v>
      </c>
    </row>
    <row r="11" spans="1:12" ht="20" customHeight="1" thickBot="1">
      <c r="A11" s="278">
        <v>2000</v>
      </c>
      <c r="B11" s="673">
        <v>4367</v>
      </c>
      <c r="C11" s="263">
        <v>4846</v>
      </c>
      <c r="D11" s="213">
        <v>5837</v>
      </c>
      <c r="E11" s="263">
        <v>7246</v>
      </c>
      <c r="F11" s="213">
        <v>10204</v>
      </c>
      <c r="G11" s="263">
        <v>12092</v>
      </c>
      <c r="H11" s="500">
        <v>1.4429530201342189E-2</v>
      </c>
    </row>
    <row r="12" spans="1:12" ht="20" customHeight="1" thickBot="1">
      <c r="A12" s="278">
        <v>2001</v>
      </c>
      <c r="B12" s="673">
        <v>4317</v>
      </c>
      <c r="C12" s="263">
        <v>4736</v>
      </c>
      <c r="D12" s="213">
        <v>3995</v>
      </c>
      <c r="E12" s="263">
        <v>4942</v>
      </c>
      <c r="F12" s="213">
        <v>8312</v>
      </c>
      <c r="G12" s="263">
        <v>9678</v>
      </c>
      <c r="H12" s="500">
        <v>-0.19963612305656631</v>
      </c>
    </row>
    <row r="13" spans="1:12" ht="21.75" customHeight="1" thickBot="1">
      <c r="A13" s="278">
        <v>2002</v>
      </c>
      <c r="B13" s="673">
        <v>4346</v>
      </c>
      <c r="C13" s="263">
        <v>4839</v>
      </c>
      <c r="D13" s="213">
        <v>3951</v>
      </c>
      <c r="E13" s="263">
        <v>4838</v>
      </c>
      <c r="F13" s="213">
        <v>8297</v>
      </c>
      <c r="G13" s="263">
        <v>9677</v>
      </c>
      <c r="H13" s="500">
        <v>-1.0332713370531099E-4</v>
      </c>
    </row>
    <row r="14" spans="1:12" ht="21.75" customHeight="1" thickBot="1">
      <c r="A14" s="278">
        <v>2003</v>
      </c>
      <c r="B14" s="673">
        <v>5023</v>
      </c>
      <c r="C14" s="263">
        <v>5690</v>
      </c>
      <c r="D14" s="213">
        <v>2968</v>
      </c>
      <c r="E14" s="263">
        <v>3779</v>
      </c>
      <c r="F14" s="213">
        <v>7991</v>
      </c>
      <c r="G14" s="263">
        <v>9469</v>
      </c>
      <c r="H14" s="500">
        <v>-2.1494264751472536E-2</v>
      </c>
    </row>
    <row r="15" spans="1:12" ht="21.75" customHeight="1" thickBot="1">
      <c r="A15" s="278">
        <v>2004</v>
      </c>
      <c r="B15" s="673">
        <v>5428</v>
      </c>
      <c r="C15" s="263">
        <v>6333</v>
      </c>
      <c r="D15" s="213">
        <v>2801</v>
      </c>
      <c r="E15" s="263">
        <v>3511</v>
      </c>
      <c r="F15" s="213">
        <v>8229</v>
      </c>
      <c r="G15" s="263">
        <v>9844</v>
      </c>
      <c r="H15" s="500">
        <v>3.9602914774527376E-2</v>
      </c>
    </row>
    <row r="16" spans="1:12" ht="21.75" customHeight="1" thickBot="1">
      <c r="A16" s="278">
        <v>2005</v>
      </c>
      <c r="B16" s="673">
        <v>5554</v>
      </c>
      <c r="C16" s="263">
        <v>6193</v>
      </c>
      <c r="D16" s="213">
        <v>3178</v>
      </c>
      <c r="E16" s="263">
        <v>3889</v>
      </c>
      <c r="F16" s="213">
        <v>8732</v>
      </c>
      <c r="G16" s="263">
        <v>10082</v>
      </c>
      <c r="H16" s="500">
        <v>2.4177163754571351E-2</v>
      </c>
    </row>
    <row r="17" spans="1:8" ht="21.75" customHeight="1" thickBot="1">
      <c r="A17" s="278">
        <v>2006</v>
      </c>
      <c r="B17" s="673">
        <v>5770</v>
      </c>
      <c r="C17" s="263">
        <v>6389</v>
      </c>
      <c r="D17" s="213">
        <v>3049</v>
      </c>
      <c r="E17" s="263">
        <v>3717</v>
      </c>
      <c r="F17" s="213">
        <v>8819</v>
      </c>
      <c r="G17" s="263">
        <v>10106</v>
      </c>
      <c r="H17" s="500">
        <v>2.3804800634794621E-3</v>
      </c>
    </row>
    <row r="18" spans="1:8" ht="21.75" customHeight="1" thickBot="1">
      <c r="A18" s="278">
        <v>2007</v>
      </c>
      <c r="B18" s="673">
        <v>7087</v>
      </c>
      <c r="C18" s="263">
        <v>7977</v>
      </c>
      <c r="D18" s="213">
        <v>3002</v>
      </c>
      <c r="E18" s="263">
        <v>3628</v>
      </c>
      <c r="F18" s="213">
        <v>10089</v>
      </c>
      <c r="G18" s="263">
        <v>11605</v>
      </c>
      <c r="H18" s="500">
        <v>0.14832772610330491</v>
      </c>
    </row>
    <row r="19" spans="1:8" s="354" customFormat="1" ht="26.25" customHeight="1" thickBot="1">
      <c r="A19" s="502">
        <v>2008</v>
      </c>
      <c r="B19" s="674">
        <v>7011.76</v>
      </c>
      <c r="C19" s="264">
        <v>8068.23</v>
      </c>
      <c r="D19" s="215">
        <v>2796.16</v>
      </c>
      <c r="E19" s="264">
        <v>3914.2</v>
      </c>
      <c r="F19" s="215">
        <v>9807.92</v>
      </c>
      <c r="G19" s="264">
        <v>11982.43</v>
      </c>
      <c r="H19" s="504">
        <v>3.2523050409306364E-2</v>
      </c>
    </row>
    <row r="20" spans="1:8" ht="20.25" customHeight="1">
      <c r="A20" s="201" t="s">
        <v>764</v>
      </c>
      <c r="B20" s="201"/>
      <c r="C20" s="201"/>
      <c r="D20" s="201"/>
      <c r="E20" s="201"/>
      <c r="F20" s="201"/>
      <c r="G20" s="201"/>
      <c r="H20" s="465"/>
    </row>
    <row r="21" spans="1:8" ht="14.25" customHeight="1">
      <c r="A21" s="202"/>
      <c r="B21" s="202"/>
      <c r="C21" s="202"/>
      <c r="D21" s="202"/>
      <c r="E21" s="202"/>
      <c r="F21" s="202"/>
      <c r="G21" s="202"/>
      <c r="H21" s="466"/>
    </row>
    <row r="22" spans="1:8">
      <c r="A22" s="2" t="s">
        <v>857</v>
      </c>
    </row>
    <row r="23" spans="1:8">
      <c r="A23" s="2" t="s">
        <v>858</v>
      </c>
    </row>
    <row r="25" spans="1:8">
      <c r="A25" s="2" t="s">
        <v>2236</v>
      </c>
    </row>
    <row r="28" spans="1:8">
      <c r="A28" s="2" t="s">
        <v>711</v>
      </c>
    </row>
  </sheetData>
  <phoneticPr fontId="0" type="noConversion"/>
  <pageMargins left="0.69" right="0.69" top="1.03" bottom="0.49" header="0.61" footer="0.4921259845"/>
  <pageSetup paperSize="9" scale="85" orientation="portrait" horizontalDpi="4294967292" verticalDpi="4294967292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5E74-6090-2140-940F-5864B30FA965}">
  <sheetPr>
    <pageSetUpPr fitToPage="1"/>
  </sheetPr>
  <dimension ref="A1:K30"/>
  <sheetViews>
    <sheetView zoomScale="75" workbookViewId="0">
      <selection activeCell="A18" sqref="A18:IV18"/>
    </sheetView>
  </sheetViews>
  <sheetFormatPr baseColWidth="10" defaultColWidth="11.3984375" defaultRowHeight="13"/>
  <cols>
    <col min="1" max="1" width="15.796875" style="2" customWidth="1"/>
    <col min="2" max="2" width="15.19921875" style="2" customWidth="1"/>
    <col min="3" max="3" width="15.19921875" style="467" customWidth="1"/>
    <col min="4" max="4" width="15.19921875" style="2" customWidth="1"/>
    <col min="5" max="5" width="15.19921875" style="467" customWidth="1"/>
    <col min="6" max="6" width="15.19921875" style="2" customWidth="1"/>
    <col min="7" max="7" width="15.19921875" style="467" customWidth="1"/>
    <col min="8" max="8" width="10.3984375" style="2" customWidth="1"/>
    <col min="9" max="16384" width="11.3984375" style="2"/>
  </cols>
  <sheetData>
    <row r="1" spans="1:11" s="1" customFormat="1" ht="14" customHeight="1">
      <c r="C1" s="444"/>
      <c r="E1" s="444"/>
      <c r="G1" s="444"/>
    </row>
    <row r="2" spans="1:11" s="1" customFormat="1" ht="28" customHeight="1">
      <c r="A2" s="53" t="s">
        <v>2209</v>
      </c>
      <c r="C2" s="444"/>
      <c r="E2" s="444"/>
      <c r="G2" s="428"/>
    </row>
    <row r="3" spans="1:11" ht="24" customHeight="1">
      <c r="A3" s="178" t="s">
        <v>2208</v>
      </c>
      <c r="B3" s="179" t="s">
        <v>2210</v>
      </c>
      <c r="C3" s="446" t="s">
        <v>2372</v>
      </c>
      <c r="D3" s="179" t="s">
        <v>2211</v>
      </c>
      <c r="E3" s="446" t="s">
        <v>2372</v>
      </c>
      <c r="F3" s="179" t="s">
        <v>1036</v>
      </c>
      <c r="G3" s="446" t="s">
        <v>2372</v>
      </c>
    </row>
    <row r="4" spans="1:11" ht="15" customHeight="1">
      <c r="A4" s="274"/>
      <c r="B4" s="182" t="s">
        <v>1036</v>
      </c>
      <c r="C4" s="494" t="s">
        <v>2373</v>
      </c>
      <c r="D4" s="182" t="s">
        <v>2212</v>
      </c>
      <c r="E4" s="494" t="s">
        <v>2373</v>
      </c>
      <c r="F4" s="182" t="s">
        <v>2213</v>
      </c>
      <c r="G4" s="494" t="s">
        <v>2373</v>
      </c>
    </row>
    <row r="5" spans="1:11" ht="15" customHeight="1">
      <c r="A5" s="274"/>
      <c r="B5" s="182" t="s">
        <v>2214</v>
      </c>
      <c r="C5" s="494" t="s">
        <v>2377</v>
      </c>
      <c r="D5" s="182" t="s">
        <v>2215</v>
      </c>
      <c r="E5" s="494" t="s">
        <v>2377</v>
      </c>
      <c r="F5" s="182" t="s">
        <v>2221</v>
      </c>
      <c r="G5" s="494" t="s">
        <v>2377</v>
      </c>
    </row>
    <row r="6" spans="1:11" ht="24" customHeight="1">
      <c r="A6" s="275"/>
      <c r="B6" s="188"/>
      <c r="C6" s="447"/>
      <c r="D6" s="188" t="s">
        <v>2216</v>
      </c>
      <c r="E6" s="447"/>
      <c r="F6" s="188"/>
      <c r="G6" s="447"/>
    </row>
    <row r="7" spans="1:11" ht="2.25" customHeight="1" thickBot="1">
      <c r="A7" s="276">
        <v>1996</v>
      </c>
      <c r="B7" s="211">
        <v>16879.057940520001</v>
      </c>
      <c r="C7" s="473">
        <v>3.1990175768496547E-2</v>
      </c>
      <c r="D7" s="211">
        <v>17192.470827740002</v>
      </c>
      <c r="E7" s="473">
        <v>6.792517720196245E-2</v>
      </c>
      <c r="F7" s="211">
        <v>-313.41288724000009</v>
      </c>
      <c r="G7" s="473">
        <v>-2.2198566405891191</v>
      </c>
      <c r="I7" s="8"/>
      <c r="J7" s="8"/>
      <c r="K7" s="8"/>
    </row>
    <row r="8" spans="1:11" ht="0.75" customHeight="1" thickBot="1">
      <c r="A8" s="278">
        <v>1997</v>
      </c>
      <c r="B8" s="213">
        <v>17865.03228775</v>
      </c>
      <c r="C8" s="477">
        <v>5.8414062603758345E-2</v>
      </c>
      <c r="D8" s="213">
        <v>17672.056997619999</v>
      </c>
      <c r="E8" s="477">
        <v>2.7895127738485698E-2</v>
      </c>
      <c r="F8" s="213">
        <v>192.97529009999997</v>
      </c>
      <c r="G8" s="477">
        <v>1.6157222563481464</v>
      </c>
    </row>
    <row r="9" spans="1:11" ht="20" customHeight="1" thickBot="1">
      <c r="A9" s="278">
        <v>1998</v>
      </c>
      <c r="B9" s="213">
        <v>18556.3398476</v>
      </c>
      <c r="C9" s="477">
        <v>3.8696127088671844E-2</v>
      </c>
      <c r="D9" s="213">
        <v>18402.610160249998</v>
      </c>
      <c r="E9" s="477">
        <v>4.1339452601832818E-2</v>
      </c>
      <c r="F9" s="213">
        <v>153.72876116999998</v>
      </c>
      <c r="G9" s="477">
        <v>-0.20337592916514025</v>
      </c>
    </row>
    <row r="10" spans="1:11" ht="19.5" customHeight="1" thickBot="1">
      <c r="A10" s="278">
        <v>1999</v>
      </c>
      <c r="B10" s="213">
        <v>18130.009685380002</v>
      </c>
      <c r="C10" s="477">
        <v>-2.2974905920099209E-2</v>
      </c>
      <c r="D10" s="213">
        <v>18002.60641059</v>
      </c>
      <c r="E10" s="477">
        <v>-2.1736250791423828E-2</v>
      </c>
      <c r="F10" s="213">
        <v>127.40327493000001</v>
      </c>
      <c r="G10" s="477">
        <v>-0.17124633048260957</v>
      </c>
    </row>
    <row r="11" spans="1:11" ht="19.5" customHeight="1" thickBot="1">
      <c r="A11" s="278">
        <v>2000</v>
      </c>
      <c r="B11" s="213">
        <v>17664.531028940004</v>
      </c>
      <c r="C11" s="477">
        <v>-2.5674484708927636E-2</v>
      </c>
      <c r="D11" s="213">
        <v>17831.851511680001</v>
      </c>
      <c r="E11" s="477">
        <v>-9.4850098377728953E-3</v>
      </c>
      <c r="F11" s="213">
        <v>-167.29975024999999</v>
      </c>
      <c r="G11" s="477">
        <v>-2.3131510971120686</v>
      </c>
    </row>
    <row r="12" spans="1:11" ht="19.5" customHeight="1" thickBot="1">
      <c r="A12" s="278">
        <v>2001</v>
      </c>
      <c r="B12" s="213">
        <v>16854.501682999999</v>
      </c>
      <c r="C12" s="477">
        <v>-4.5856261035910006E-2</v>
      </c>
      <c r="D12" s="213">
        <v>17581.378779999999</v>
      </c>
      <c r="E12" s="477">
        <v>-1.4046367059300624E-2</v>
      </c>
      <c r="F12" s="213">
        <v>-724.67685832999996</v>
      </c>
      <c r="G12" s="477">
        <v>-3.3316075322712564</v>
      </c>
    </row>
    <row r="13" spans="1:11" ht="19.5" customHeight="1" thickBot="1">
      <c r="A13" s="278">
        <v>2002</v>
      </c>
      <c r="B13" s="213">
        <v>17923.033692000001</v>
      </c>
      <c r="C13" s="477">
        <v>6.3397425156613174E-2</v>
      </c>
      <c r="D13" s="213">
        <v>18156.411305000001</v>
      </c>
      <c r="E13" s="477">
        <v>3.2706907245189543E-2</v>
      </c>
      <c r="F13" s="213">
        <v>-233.37761233999998</v>
      </c>
      <c r="G13" s="477">
        <v>0.67795630610060742</v>
      </c>
    </row>
    <row r="14" spans="1:11" ht="19.5" customHeight="1" thickBot="1">
      <c r="A14" s="278">
        <v>2003</v>
      </c>
      <c r="B14" s="213">
        <v>19735.068495</v>
      </c>
      <c r="C14" s="477">
        <v>0.10110089810347267</v>
      </c>
      <c r="D14" s="213">
        <v>19234.994873</v>
      </c>
      <c r="E14" s="477">
        <v>5.9405107643875299E-2</v>
      </c>
      <c r="F14" s="213">
        <v>500.07362212000004</v>
      </c>
      <c r="G14" s="477">
        <v>3.1427660395782078</v>
      </c>
    </row>
    <row r="15" spans="1:11" ht="19.5" customHeight="1" thickBot="1">
      <c r="A15" s="278">
        <v>2004</v>
      </c>
      <c r="B15" s="213">
        <v>20469.211171999999</v>
      </c>
      <c r="C15" s="477">
        <v>3.7199905193437743E-2</v>
      </c>
      <c r="D15" s="213">
        <v>19860.79033</v>
      </c>
      <c r="E15" s="477">
        <v>3.2534214910471482E-2</v>
      </c>
      <c r="F15" s="213">
        <v>608.42084196000008</v>
      </c>
      <c r="G15" s="477">
        <v>0.21666253736934862</v>
      </c>
    </row>
    <row r="16" spans="1:11" ht="19.5" customHeight="1" thickBot="1">
      <c r="A16" s="278">
        <v>2005</v>
      </c>
      <c r="B16" s="213">
        <v>21134.645651759998</v>
      </c>
      <c r="C16" s="477">
        <v>3.2509043664088688E-2</v>
      </c>
      <c r="D16" s="213">
        <v>20885.686091</v>
      </c>
      <c r="E16" s="477">
        <v>5.1603976678203045E-2</v>
      </c>
      <c r="F16" s="213">
        <v>248.95956138999998</v>
      </c>
      <c r="G16" s="477">
        <v>-0.59081026779426549</v>
      </c>
    </row>
    <row r="17" spans="1:9" ht="19.5" customHeight="1" thickBot="1">
      <c r="A17" s="278">
        <v>2006</v>
      </c>
      <c r="B17" s="213">
        <v>21891.095507740003</v>
      </c>
      <c r="C17" s="477">
        <v>3.5791934648168988E-2</v>
      </c>
      <c r="D17" s="213">
        <v>21334.273675</v>
      </c>
      <c r="E17" s="477">
        <v>2.147823069088961E-2</v>
      </c>
      <c r="F17" s="213">
        <v>556.82183227999997</v>
      </c>
      <c r="G17" s="477">
        <v>1.2365954903323748</v>
      </c>
    </row>
    <row r="18" spans="1:9" ht="19.5" customHeight="1" thickBot="1">
      <c r="A18" s="278">
        <v>2007</v>
      </c>
      <c r="B18" s="213">
        <v>22327.610027520001</v>
      </c>
      <c r="C18" s="477">
        <v>1.9940277526342198E-2</v>
      </c>
      <c r="D18" s="213">
        <v>22091.411327379999</v>
      </c>
      <c r="E18" s="477">
        <v>3.5489263141272653E-2</v>
      </c>
      <c r="F18" s="213">
        <v>236.19870014000003</v>
      </c>
      <c r="G18" s="477">
        <v>-0.57580919704091882</v>
      </c>
    </row>
    <row r="19" spans="1:9" s="354" customFormat="1" ht="26.25" customHeight="1" thickBot="1">
      <c r="A19" s="502">
        <v>2008</v>
      </c>
      <c r="B19" s="215">
        <v>22243.624231310001</v>
      </c>
      <c r="C19" s="479">
        <v>-3.761521994807393E-3</v>
      </c>
      <c r="D19" s="215">
        <v>22986.427970659999</v>
      </c>
      <c r="E19" s="479">
        <v>4.0514235601177617E-2</v>
      </c>
      <c r="F19" s="215">
        <v>-742.80373934999989</v>
      </c>
      <c r="G19" s="479">
        <v>-4.1448256866347029</v>
      </c>
      <c r="I19" s="508"/>
    </row>
    <row r="20" spans="1:9" ht="20" customHeight="1">
      <c r="A20" s="201" t="s">
        <v>764</v>
      </c>
      <c r="B20" s="201"/>
      <c r="C20" s="465"/>
      <c r="D20" s="201"/>
      <c r="E20" s="465"/>
      <c r="F20" s="201"/>
      <c r="G20" s="465"/>
    </row>
    <row r="21" spans="1:9" ht="13.5" customHeight="1">
      <c r="A21" s="202"/>
      <c r="B21" s="202"/>
      <c r="C21" s="466"/>
      <c r="D21" s="202"/>
      <c r="E21" s="466"/>
      <c r="F21" s="202"/>
      <c r="G21" s="466"/>
    </row>
    <row r="22" spans="1:9">
      <c r="A22" s="202" t="s">
        <v>2217</v>
      </c>
    </row>
    <row r="23" spans="1:9">
      <c r="A23" s="2" t="s">
        <v>2218</v>
      </c>
    </row>
    <row r="24" spans="1:9">
      <c r="A24" s="2" t="s">
        <v>2222</v>
      </c>
    </row>
    <row r="25" spans="1:9">
      <c r="A25" s="2" t="s">
        <v>2219</v>
      </c>
    </row>
    <row r="27" spans="1:9">
      <c r="A27" s="2" t="s">
        <v>2220</v>
      </c>
    </row>
    <row r="30" spans="1:9">
      <c r="A30" s="2" t="s">
        <v>711</v>
      </c>
    </row>
  </sheetData>
  <phoneticPr fontId="0" type="noConversion"/>
  <pageMargins left="0.67" right="0.78740157480314965" top="1.1000000000000001" bottom="0.49" header="0.59" footer="0.4921259845"/>
  <pageSetup paperSize="9" scale="74" orientation="portrait" horizontalDpi="4294967292" verticalDpi="4294967292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750B-8592-C641-B50E-3B710A86DC79}">
  <sheetPr>
    <pageSetUpPr fitToPage="1"/>
  </sheetPr>
  <dimension ref="A1:D48"/>
  <sheetViews>
    <sheetView topLeftCell="A3" zoomScale="75" workbookViewId="0">
      <selection activeCell="C13" sqref="C13:D13"/>
    </sheetView>
  </sheetViews>
  <sheetFormatPr baseColWidth="10" defaultColWidth="11.3984375" defaultRowHeight="13"/>
  <cols>
    <col min="1" max="1" width="10.796875" style="2" customWidth="1"/>
    <col min="2" max="2" width="60.3984375" style="92" customWidth="1"/>
    <col min="3" max="3" width="18.3984375" style="7" customWidth="1"/>
    <col min="4" max="4" width="17" style="467" customWidth="1"/>
    <col min="5" max="16384" width="11.3984375" style="2"/>
  </cols>
  <sheetData>
    <row r="1" spans="1:4" s="1" customFormat="1" ht="14" customHeight="1">
      <c r="B1" s="227"/>
      <c r="C1" s="240"/>
      <c r="D1" s="444"/>
    </row>
    <row r="2" spans="1:4" s="1" customFormat="1" ht="28" customHeight="1">
      <c r="A2" s="53" t="s">
        <v>1094</v>
      </c>
      <c r="B2" s="227"/>
      <c r="C2" s="240"/>
      <c r="D2" s="428">
        <v>2008</v>
      </c>
    </row>
    <row r="3" spans="1:4" ht="39" customHeight="1">
      <c r="A3" s="178" t="s">
        <v>765</v>
      </c>
      <c r="B3" s="228"/>
      <c r="C3" s="208" t="s">
        <v>2354</v>
      </c>
      <c r="D3" s="446" t="s">
        <v>988</v>
      </c>
    </row>
    <row r="4" spans="1:4" ht="38" customHeight="1">
      <c r="A4" s="378"/>
      <c r="B4" s="379"/>
      <c r="C4" s="210" t="s">
        <v>768</v>
      </c>
      <c r="D4" s="447" t="s">
        <v>1845</v>
      </c>
    </row>
    <row r="5" spans="1:4" ht="30" customHeight="1" thickBot="1">
      <c r="A5" s="190">
        <v>60</v>
      </c>
      <c r="B5" s="190" t="s">
        <v>1407</v>
      </c>
      <c r="C5" s="211">
        <v>280998483.80000001</v>
      </c>
      <c r="D5" s="473">
        <v>1.2632765275924241E-2</v>
      </c>
    </row>
    <row r="6" spans="1:4" ht="16" customHeight="1" thickBot="1">
      <c r="A6" s="195">
        <v>600</v>
      </c>
      <c r="B6" s="195" t="s">
        <v>1095</v>
      </c>
      <c r="C6" s="213">
        <v>295887868.25</v>
      </c>
      <c r="D6" s="477">
        <v>1.3302142904999712E-2</v>
      </c>
    </row>
    <row r="7" spans="1:4" ht="16" customHeight="1" thickBot="1">
      <c r="A7" s="195">
        <v>601</v>
      </c>
      <c r="B7" s="195" t="s">
        <v>1096</v>
      </c>
      <c r="C7" s="213">
        <v>-14889384.449999999</v>
      </c>
      <c r="D7" s="477">
        <v>-6.693776290754717E-4</v>
      </c>
    </row>
    <row r="8" spans="1:4" ht="19.5" customHeight="1" thickBot="1">
      <c r="A8" s="195">
        <v>61</v>
      </c>
      <c r="B8" s="195" t="s">
        <v>1968</v>
      </c>
      <c r="C8" s="213">
        <v>19790755546.91</v>
      </c>
      <c r="D8" s="477">
        <v>0.88972711196283571</v>
      </c>
    </row>
    <row r="9" spans="1:4" ht="18" customHeight="1" thickBot="1">
      <c r="A9" s="195">
        <v>63</v>
      </c>
      <c r="B9" s="195" t="s">
        <v>1969</v>
      </c>
      <c r="C9" s="213">
        <v>2117559821.01</v>
      </c>
      <c r="D9" s="477">
        <v>9.5198507176242203E-2</v>
      </c>
    </row>
    <row r="10" spans="1:4" ht="21.75" customHeight="1" thickBot="1">
      <c r="A10" s="196" t="s">
        <v>1097</v>
      </c>
      <c r="B10" s="196" t="s">
        <v>1098</v>
      </c>
      <c r="C10" s="213">
        <v>22189313851.720001</v>
      </c>
      <c r="D10" s="477">
        <v>0.99755838441500222</v>
      </c>
    </row>
    <row r="11" spans="1:4" ht="16" customHeight="1" thickBot="1">
      <c r="A11" s="195">
        <v>64</v>
      </c>
      <c r="B11" s="195" t="s">
        <v>1935</v>
      </c>
      <c r="C11" s="213">
        <v>-124349341.92</v>
      </c>
      <c r="D11" s="477">
        <v>-5.5903363870428349E-3</v>
      </c>
    </row>
    <row r="12" spans="1:4" ht="16" customHeight="1" thickBot="1">
      <c r="A12" s="195">
        <v>65</v>
      </c>
      <c r="B12" s="195" t="s">
        <v>1936</v>
      </c>
      <c r="C12" s="213">
        <v>11760222.039999999</v>
      </c>
      <c r="D12" s="477">
        <v>5.2870080512537956E-4</v>
      </c>
    </row>
    <row r="13" spans="1:4" ht="21.75" customHeight="1" thickBot="1">
      <c r="A13" s="196" t="s">
        <v>1937</v>
      </c>
      <c r="B13" s="196" t="s">
        <v>773</v>
      </c>
      <c r="C13" s="1075">
        <v>22076724731.840004</v>
      </c>
      <c r="D13" s="1182">
        <v>0.99249674883308492</v>
      </c>
    </row>
    <row r="14" spans="1:4" ht="16" customHeight="1" thickBot="1">
      <c r="A14" s="195">
        <v>66</v>
      </c>
      <c r="B14" s="195" t="s">
        <v>1938</v>
      </c>
      <c r="C14" s="213">
        <v>-24986911.34</v>
      </c>
      <c r="D14" s="477">
        <v>-1.1233291427764978E-3</v>
      </c>
    </row>
    <row r="15" spans="1:4" ht="21.75" customHeight="1" thickBot="1">
      <c r="A15" s="196" t="s">
        <v>1939</v>
      </c>
      <c r="B15" s="196" t="s">
        <v>776</v>
      </c>
      <c r="C15" s="213">
        <v>22051737820.5</v>
      </c>
      <c r="D15" s="477">
        <v>0.99137341969030823</v>
      </c>
    </row>
    <row r="16" spans="1:4" ht="16" customHeight="1" thickBot="1">
      <c r="A16" s="195">
        <v>67</v>
      </c>
      <c r="B16" s="195" t="s">
        <v>1940</v>
      </c>
      <c r="C16" s="213">
        <v>1747473114.6700001</v>
      </c>
      <c r="D16" s="477">
        <v>7.8560629171673682E-2</v>
      </c>
    </row>
    <row r="17" spans="1:4" ht="16" customHeight="1" thickBot="1">
      <c r="A17" s="195">
        <v>670</v>
      </c>
      <c r="B17" s="195" t="s">
        <v>1941</v>
      </c>
      <c r="C17" s="213">
        <v>1688736571.8299999</v>
      </c>
      <c r="D17" s="477">
        <v>7.5920027881649962E-2</v>
      </c>
    </row>
    <row r="18" spans="1:4" ht="16" customHeight="1" thickBot="1">
      <c r="A18" s="195">
        <v>672</v>
      </c>
      <c r="B18" s="195" t="s">
        <v>1942</v>
      </c>
      <c r="C18" s="213">
        <v>48118944.5</v>
      </c>
      <c r="D18" s="477">
        <v>2.1632690787982312E-3</v>
      </c>
    </row>
    <row r="19" spans="1:4" ht="16" customHeight="1" thickBot="1">
      <c r="A19" s="195">
        <v>673</v>
      </c>
      <c r="B19" s="195" t="s">
        <v>1943</v>
      </c>
      <c r="C19" s="213">
        <v>20726770.68</v>
      </c>
      <c r="D19" s="477">
        <v>9.3180726595916473E-4</v>
      </c>
    </row>
    <row r="20" spans="1:4" ht="16" customHeight="1" thickBot="1">
      <c r="A20" s="195">
        <v>675</v>
      </c>
      <c r="B20" s="195" t="s">
        <v>1944</v>
      </c>
      <c r="C20" s="213">
        <v>-10109172.34</v>
      </c>
      <c r="D20" s="477">
        <v>-4.5447505473367894E-4</v>
      </c>
    </row>
    <row r="21" spans="1:4" ht="16" customHeight="1" thickBot="1">
      <c r="A21" s="195">
        <v>68</v>
      </c>
      <c r="B21" s="195" t="s">
        <v>1945</v>
      </c>
      <c r="C21" s="213">
        <v>-1703221275.72</v>
      </c>
      <c r="D21" s="477">
        <v>-7.6571212407129011E-2</v>
      </c>
    </row>
    <row r="22" spans="1:4" ht="21.75" customHeight="1" thickBot="1">
      <c r="A22" s="196" t="s">
        <v>1946</v>
      </c>
      <c r="B22" s="196" t="s">
        <v>1947</v>
      </c>
      <c r="C22" s="213">
        <v>44251838.950000003</v>
      </c>
      <c r="D22" s="477">
        <v>1.9894167645446627E-3</v>
      </c>
    </row>
    <row r="23" spans="1:4" ht="16" customHeight="1" thickBot="1">
      <c r="A23" s="195">
        <v>69</v>
      </c>
      <c r="B23" s="195" t="s">
        <v>175</v>
      </c>
      <c r="C23" s="213">
        <v>136282911.86000001</v>
      </c>
      <c r="D23" s="477">
        <v>6.1268303421602019E-3</v>
      </c>
    </row>
    <row r="24" spans="1:4" ht="21.75" customHeight="1" thickBot="1">
      <c r="A24" s="196">
        <v>6</v>
      </c>
      <c r="B24" s="196" t="s">
        <v>176</v>
      </c>
      <c r="C24" s="213">
        <v>22232272571.310001</v>
      </c>
      <c r="D24" s="477">
        <v>0.99948966679701312</v>
      </c>
    </row>
    <row r="25" spans="1:4" ht="16" customHeight="1" thickBot="1">
      <c r="A25" s="195">
        <v>70</v>
      </c>
      <c r="B25" s="195" t="s">
        <v>1948</v>
      </c>
      <c r="C25" s="213">
        <v>35251007.520000003</v>
      </c>
      <c r="D25" s="477">
        <v>1.5847690625154906E-3</v>
      </c>
    </row>
    <row r="26" spans="1:4" ht="16" customHeight="1" thickBot="1">
      <c r="A26" s="195">
        <v>701</v>
      </c>
      <c r="B26" s="195" t="s">
        <v>1949</v>
      </c>
      <c r="C26" s="213">
        <v>35251007.520000003</v>
      </c>
      <c r="D26" s="477">
        <v>1.5847690625154906E-3</v>
      </c>
    </row>
    <row r="27" spans="1:4" ht="16" customHeight="1" thickBot="1">
      <c r="A27" s="195">
        <v>72</v>
      </c>
      <c r="B27" s="195" t="s">
        <v>1950</v>
      </c>
      <c r="C27" s="213">
        <v>-20147239.919999957</v>
      </c>
      <c r="D27" s="477">
        <v>-9.0575347391639595E-4</v>
      </c>
    </row>
    <row r="28" spans="1:4" ht="16" customHeight="1" thickBot="1">
      <c r="A28" s="195">
        <v>720</v>
      </c>
      <c r="B28" s="195" t="s">
        <v>1951</v>
      </c>
      <c r="C28" s="213">
        <v>318672477.72000003</v>
      </c>
      <c r="D28" s="477">
        <v>1.4326463817503195E-2</v>
      </c>
    </row>
    <row r="29" spans="1:4" ht="16" customHeight="1" thickBot="1">
      <c r="A29" s="195">
        <v>721</v>
      </c>
      <c r="B29" s="195" t="s">
        <v>1952</v>
      </c>
      <c r="C29" s="213">
        <v>-330845070.06</v>
      </c>
      <c r="D29" s="477">
        <v>-1.4873703431579479E-2</v>
      </c>
    </row>
    <row r="30" spans="1:4" ht="16" customHeight="1" thickBot="1">
      <c r="A30" s="195">
        <v>722</v>
      </c>
      <c r="B30" s="195" t="s">
        <v>1953</v>
      </c>
      <c r="C30" s="213">
        <v>-192400824.16</v>
      </c>
      <c r="D30" s="477">
        <v>-8.6497066376970029E-3</v>
      </c>
    </row>
    <row r="31" spans="1:4" ht="16" customHeight="1" thickBot="1">
      <c r="A31" s="195">
        <v>723</v>
      </c>
      <c r="B31" s="195" t="s">
        <v>1954</v>
      </c>
      <c r="C31" s="213">
        <v>819688.12</v>
      </c>
      <c r="D31" s="477">
        <v>3.6850475060903587E-5</v>
      </c>
    </row>
    <row r="32" spans="1:4" ht="16" customHeight="1" thickBot="1">
      <c r="A32" s="195">
        <v>724</v>
      </c>
      <c r="B32" s="195" t="s">
        <v>1955</v>
      </c>
      <c r="C32" s="213">
        <v>183606488.46000001</v>
      </c>
      <c r="D32" s="477">
        <v>8.2543423027959875E-3</v>
      </c>
    </row>
    <row r="33" spans="1:4" ht="16" customHeight="1" thickBot="1">
      <c r="A33" s="195">
        <v>76</v>
      </c>
      <c r="B33" s="195" t="s">
        <v>1956</v>
      </c>
      <c r="C33" s="213">
        <v>-3752107.6</v>
      </c>
      <c r="D33" s="477">
        <v>-1.6868238561225802E-4</v>
      </c>
    </row>
    <row r="34" spans="1:4" ht="21.75" customHeight="1" thickBot="1">
      <c r="A34" s="196">
        <v>7</v>
      </c>
      <c r="B34" s="196" t="s">
        <v>1957</v>
      </c>
      <c r="C34" s="213">
        <v>11351660</v>
      </c>
      <c r="D34" s="477">
        <v>5.1033320298683466E-4</v>
      </c>
    </row>
    <row r="35" spans="1:4" s="217" customFormat="1" ht="21.75" customHeight="1" thickBot="1">
      <c r="A35" s="463" t="s">
        <v>1958</v>
      </c>
      <c r="B35" s="463" t="s">
        <v>1959</v>
      </c>
      <c r="C35" s="280">
        <v>22243624231.310001</v>
      </c>
      <c r="D35" s="480">
        <v>1</v>
      </c>
    </row>
    <row r="36" spans="1:4" ht="21.75" customHeight="1" thickBot="1">
      <c r="A36" s="196" t="s">
        <v>1960</v>
      </c>
      <c r="B36" s="196" t="s">
        <v>1961</v>
      </c>
      <c r="C36" s="213">
        <v>754046371.79999995</v>
      </c>
      <c r="D36" s="477" t="s">
        <v>1301</v>
      </c>
    </row>
    <row r="37" spans="1:4" s="354" customFormat="1" ht="35.25" customHeight="1" thickBot="1">
      <c r="A37" s="481"/>
      <c r="B37" s="481" t="s">
        <v>1962</v>
      </c>
      <c r="C37" s="384">
        <v>22997670603.110001</v>
      </c>
      <c r="D37" s="482" t="s">
        <v>1301</v>
      </c>
    </row>
    <row r="38" spans="1:4" ht="20" customHeight="1">
      <c r="A38" s="201" t="s">
        <v>764</v>
      </c>
      <c r="B38" s="231"/>
      <c r="C38" s="253"/>
      <c r="D38" s="465"/>
    </row>
    <row r="39" spans="1:4" ht="11.25" customHeight="1">
      <c r="A39" s="202"/>
      <c r="B39" s="232"/>
      <c r="C39" s="254"/>
      <c r="D39" s="466"/>
    </row>
    <row r="40" spans="1:4" ht="11.25" customHeight="1">
      <c r="A40" s="202" t="s">
        <v>1963</v>
      </c>
      <c r="B40" s="232"/>
      <c r="C40" s="254"/>
      <c r="D40" s="466"/>
    </row>
    <row r="41" spans="1:4" ht="11.25" customHeight="1">
      <c r="A41" s="202" t="s">
        <v>1964</v>
      </c>
      <c r="B41" s="232"/>
      <c r="C41" s="254"/>
      <c r="D41" s="466"/>
    </row>
    <row r="42" spans="1:4">
      <c r="A42" s="202" t="s">
        <v>1965</v>
      </c>
    </row>
    <row r="43" spans="1:4">
      <c r="A43" s="2" t="s">
        <v>1966</v>
      </c>
    </row>
    <row r="45" spans="1:4">
      <c r="A45" s="2" t="s">
        <v>1967</v>
      </c>
    </row>
    <row r="48" spans="1:4">
      <c r="A48" s="266" t="s">
        <v>711</v>
      </c>
    </row>
  </sheetData>
  <phoneticPr fontId="0" type="noConversion"/>
  <pageMargins left="0.69" right="0.71" top="0.85" bottom="0.49" header="0.44" footer="0.4921259845"/>
  <pageSetup paperSize="9" scale="83" orientation="portrait" horizontalDpi="1200" verticalDpi="1200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D030-9911-1E42-8CCF-05570E9FF049}">
  <sheetPr>
    <pageSetUpPr fitToPage="1"/>
  </sheetPr>
  <dimension ref="A1:D41"/>
  <sheetViews>
    <sheetView zoomScale="75" workbookViewId="0">
      <selection activeCell="F8" sqref="F8"/>
    </sheetView>
  </sheetViews>
  <sheetFormatPr baseColWidth="10" defaultColWidth="11.3984375" defaultRowHeight="13"/>
  <cols>
    <col min="1" max="1" width="10.59765625" style="2" customWidth="1"/>
    <col min="2" max="2" width="60.796875" style="92" customWidth="1"/>
    <col min="3" max="3" width="17" style="7" customWidth="1"/>
    <col min="4" max="4" width="17" style="492" customWidth="1"/>
    <col min="5" max="16384" width="11.3984375" style="2"/>
  </cols>
  <sheetData>
    <row r="1" spans="1:4" s="1" customFormat="1" ht="14" customHeight="1">
      <c r="B1" s="227"/>
      <c r="C1" s="240"/>
      <c r="D1" s="483"/>
    </row>
    <row r="2" spans="1:4" s="1" customFormat="1" ht="28" customHeight="1">
      <c r="A2" s="53" t="s">
        <v>1970</v>
      </c>
      <c r="B2" s="227"/>
      <c r="C2" s="240"/>
      <c r="D2" s="428">
        <v>2008</v>
      </c>
    </row>
    <row r="3" spans="1:4" ht="39" customHeight="1">
      <c r="A3" s="178" t="s">
        <v>765</v>
      </c>
      <c r="B3" s="228"/>
      <c r="C3" s="208" t="s">
        <v>2354</v>
      </c>
      <c r="D3" s="484" t="s">
        <v>988</v>
      </c>
    </row>
    <row r="4" spans="1:4" ht="38" customHeight="1">
      <c r="A4" s="378"/>
      <c r="B4" s="379"/>
      <c r="C4" s="210" t="s">
        <v>768</v>
      </c>
      <c r="D4" s="247" t="s">
        <v>1845</v>
      </c>
    </row>
    <row r="5" spans="1:4" ht="30" customHeight="1" thickBot="1">
      <c r="A5" s="190">
        <v>30</v>
      </c>
      <c r="B5" s="190" t="s">
        <v>1407</v>
      </c>
      <c r="C5" s="211">
        <v>198288556.33000001</v>
      </c>
      <c r="D5" s="473">
        <v>8.6263318764923623E-3</v>
      </c>
    </row>
    <row r="6" spans="1:4" ht="16" customHeight="1" thickBot="1">
      <c r="A6" s="195">
        <v>31</v>
      </c>
      <c r="B6" s="195" t="s">
        <v>1968</v>
      </c>
      <c r="C6" s="211">
        <v>22798294233.150002</v>
      </c>
      <c r="D6" s="473">
        <v>0.99181544267120869</v>
      </c>
    </row>
    <row r="7" spans="1:4" ht="16" customHeight="1" thickBot="1">
      <c r="A7" s="195">
        <v>32</v>
      </c>
      <c r="B7" s="195" t="s">
        <v>1971</v>
      </c>
      <c r="C7" s="211">
        <v>-3349429013.04</v>
      </c>
      <c r="D7" s="473">
        <v>-0.14571333211559573</v>
      </c>
    </row>
    <row r="8" spans="1:4" ht="18.75" customHeight="1" thickBot="1">
      <c r="A8" s="195">
        <v>33</v>
      </c>
      <c r="B8" s="195" t="s">
        <v>1969</v>
      </c>
      <c r="C8" s="211">
        <v>1774894745.1900001</v>
      </c>
      <c r="D8" s="473">
        <v>7.7214900351437174E-2</v>
      </c>
    </row>
    <row r="9" spans="1:4" ht="21.75" customHeight="1" thickBot="1">
      <c r="A9" s="196" t="s">
        <v>1972</v>
      </c>
      <c r="B9" s="196" t="s">
        <v>180</v>
      </c>
      <c r="C9" s="211">
        <v>21422048521.630001</v>
      </c>
      <c r="D9" s="473">
        <v>0.93194334278354252</v>
      </c>
    </row>
    <row r="10" spans="1:4" ht="16" customHeight="1" thickBot="1">
      <c r="A10" s="195">
        <v>34</v>
      </c>
      <c r="B10" s="195" t="s">
        <v>1651</v>
      </c>
      <c r="C10" s="211">
        <v>64765551.810000002</v>
      </c>
      <c r="D10" s="473">
        <v>2.8175561636922058E-3</v>
      </c>
    </row>
    <row r="11" spans="1:4" ht="39" customHeight="1" thickBot="1">
      <c r="A11" s="485">
        <v>35</v>
      </c>
      <c r="B11" s="485" t="s">
        <v>1973</v>
      </c>
      <c r="C11" s="407">
        <v>-50935308.32</v>
      </c>
      <c r="D11" s="486">
        <v>-2.215886190973826E-3</v>
      </c>
    </row>
    <row r="12" spans="1:4" ht="21.75" customHeight="1" thickBot="1">
      <c r="A12" s="196" t="s">
        <v>1974</v>
      </c>
      <c r="B12" s="196" t="s">
        <v>1654</v>
      </c>
      <c r="C12" s="211">
        <v>21435878765.119999</v>
      </c>
      <c r="D12" s="473">
        <v>0.93254501275626078</v>
      </c>
    </row>
    <row r="13" spans="1:4" ht="16" customHeight="1" thickBot="1">
      <c r="A13" s="195">
        <v>36</v>
      </c>
      <c r="B13" s="195" t="s">
        <v>1975</v>
      </c>
      <c r="C13" s="211">
        <v>-15040731.24</v>
      </c>
      <c r="D13" s="473">
        <v>-6.5433094951499512E-4</v>
      </c>
    </row>
    <row r="14" spans="1:4" ht="16" customHeight="1" thickBot="1">
      <c r="A14" s="196">
        <v>37</v>
      </c>
      <c r="B14" s="196" t="s">
        <v>1656</v>
      </c>
      <c r="C14" s="211">
        <v>3308552.63</v>
      </c>
      <c r="D14" s="473">
        <v>1.4393504872627685E-4</v>
      </c>
    </row>
    <row r="15" spans="1:4" ht="21.75" customHeight="1" thickBot="1">
      <c r="A15" s="196">
        <v>3</v>
      </c>
      <c r="B15" s="196" t="s">
        <v>1657</v>
      </c>
      <c r="C15" s="211">
        <v>21424146586.509998</v>
      </c>
      <c r="D15" s="473">
        <v>0.93203461685547206</v>
      </c>
    </row>
    <row r="16" spans="1:4" ht="16" customHeight="1" thickBot="1">
      <c r="A16" s="195">
        <v>400</v>
      </c>
      <c r="B16" s="195" t="s">
        <v>1976</v>
      </c>
      <c r="C16" s="211">
        <v>1261203163.4400001</v>
      </c>
      <c r="D16" s="473">
        <v>5.4867296695676533E-2</v>
      </c>
    </row>
    <row r="17" spans="1:4" ht="16" customHeight="1" thickBot="1">
      <c r="A17" s="195">
        <v>410</v>
      </c>
      <c r="B17" s="195" t="s">
        <v>1977</v>
      </c>
      <c r="C17" s="211">
        <v>125699839.65000001</v>
      </c>
      <c r="D17" s="473">
        <v>5.468437280052558E-3</v>
      </c>
    </row>
    <row r="18" spans="1:4" ht="16" customHeight="1" thickBot="1">
      <c r="A18" s="195">
        <v>420</v>
      </c>
      <c r="B18" s="195" t="s">
        <v>1978</v>
      </c>
      <c r="C18" s="211">
        <v>209010237.66</v>
      </c>
      <c r="D18" s="473">
        <v>9.0927671722975736E-3</v>
      </c>
    </row>
    <row r="19" spans="1:4" ht="16" customHeight="1" thickBot="1">
      <c r="A19" s="195">
        <v>430</v>
      </c>
      <c r="B19" s="195" t="s">
        <v>1979</v>
      </c>
      <c r="C19" s="211">
        <v>48324878.68</v>
      </c>
      <c r="D19" s="473">
        <v>2.102322237351629E-3</v>
      </c>
    </row>
    <row r="20" spans="1:4" ht="16" customHeight="1" thickBot="1">
      <c r="A20" s="196">
        <v>450</v>
      </c>
      <c r="B20" s="196" t="s">
        <v>1980</v>
      </c>
      <c r="C20" s="211">
        <v>111026969.66</v>
      </c>
      <c r="D20" s="473">
        <v>4.8301097413532635E-3</v>
      </c>
    </row>
    <row r="21" spans="1:4" ht="16" customHeight="1" thickBot="1">
      <c r="A21" s="195">
        <v>453</v>
      </c>
      <c r="B21" s="195" t="s">
        <v>1981</v>
      </c>
      <c r="C21" s="211">
        <v>51765342.219999999</v>
      </c>
      <c r="D21" s="473">
        <v>2.2519959293402854E-3</v>
      </c>
    </row>
    <row r="22" spans="1:4" ht="16" customHeight="1" thickBot="1">
      <c r="A22" s="196">
        <v>460</v>
      </c>
      <c r="B22" s="196" t="s">
        <v>1982</v>
      </c>
      <c r="C22" s="211">
        <v>317829371.08999997</v>
      </c>
      <c r="D22" s="473">
        <v>1.3826827356372164E-2</v>
      </c>
    </row>
    <row r="23" spans="1:4" ht="16" customHeight="1" thickBot="1">
      <c r="A23" s="195">
        <v>470</v>
      </c>
      <c r="B23" s="195" t="s">
        <v>1983</v>
      </c>
      <c r="C23" s="211">
        <v>-644009048.09000003</v>
      </c>
      <c r="D23" s="473">
        <v>-2.8016925853465213E-2</v>
      </c>
    </row>
    <row r="24" spans="1:4" ht="21.75" customHeight="1" thickBot="1">
      <c r="A24" s="196" t="s">
        <v>1984</v>
      </c>
      <c r="B24" s="196" t="s">
        <v>1985</v>
      </c>
      <c r="C24" s="211">
        <v>1480850754.3199999</v>
      </c>
      <c r="D24" s="473">
        <v>6.4422830559413835E-2</v>
      </c>
    </row>
    <row r="25" spans="1:4" ht="16" customHeight="1" thickBot="1">
      <c r="A25" s="195">
        <v>48</v>
      </c>
      <c r="B25" s="195" t="s">
        <v>1660</v>
      </c>
      <c r="C25" s="211">
        <v>71353978.269999996</v>
      </c>
      <c r="D25" s="473">
        <v>3.1041786205789172E-3</v>
      </c>
    </row>
    <row r="26" spans="1:4" ht="16" customHeight="1" thickBot="1">
      <c r="A26" s="195">
        <v>49</v>
      </c>
      <c r="B26" s="195" t="s">
        <v>1661</v>
      </c>
      <c r="C26" s="211">
        <v>10076651.560000001</v>
      </c>
      <c r="D26" s="473">
        <v>4.3837396453515496E-4</v>
      </c>
    </row>
    <row r="27" spans="1:4" ht="21.75" customHeight="1" thickBot="1">
      <c r="A27" s="196">
        <v>4</v>
      </c>
      <c r="B27" s="196" t="s">
        <v>1662</v>
      </c>
      <c r="C27" s="211">
        <v>1562281384.1500001</v>
      </c>
      <c r="D27" s="473">
        <v>6.7965383144527908E-2</v>
      </c>
    </row>
    <row r="28" spans="1:4" s="217" customFormat="1" ht="21.75" customHeight="1" thickBot="1">
      <c r="A28" s="463" t="s">
        <v>1986</v>
      </c>
      <c r="B28" s="463" t="s">
        <v>1664</v>
      </c>
      <c r="C28" s="395">
        <v>22986427970.66</v>
      </c>
      <c r="D28" s="487">
        <v>1</v>
      </c>
    </row>
    <row r="29" spans="1:4" ht="21.75" customHeight="1" thickBot="1">
      <c r="A29" s="196" t="s">
        <v>1960</v>
      </c>
      <c r="B29" s="196" t="s">
        <v>1987</v>
      </c>
      <c r="C29" s="407">
        <v>11242632.449999999</v>
      </c>
      <c r="D29" s="488" t="s">
        <v>1301</v>
      </c>
    </row>
    <row r="30" spans="1:4" ht="35.25" customHeight="1" thickBot="1">
      <c r="A30" s="481"/>
      <c r="B30" s="481" t="s">
        <v>1962</v>
      </c>
      <c r="C30" s="407">
        <v>22997670603.110001</v>
      </c>
      <c r="D30" s="489" t="s">
        <v>1301</v>
      </c>
    </row>
    <row r="31" spans="1:4" ht="20" customHeight="1">
      <c r="A31" s="201" t="s">
        <v>764</v>
      </c>
      <c r="B31" s="231"/>
      <c r="C31" s="253"/>
      <c r="D31" s="490"/>
    </row>
    <row r="32" spans="1:4" ht="15.75" customHeight="1">
      <c r="A32" s="202"/>
      <c r="B32" s="232"/>
      <c r="C32" s="254"/>
      <c r="D32" s="491"/>
    </row>
    <row r="33" spans="1:4" ht="15.75" customHeight="1">
      <c r="A33" s="202" t="s">
        <v>1963</v>
      </c>
      <c r="B33" s="232"/>
      <c r="C33" s="254"/>
      <c r="D33" s="491"/>
    </row>
    <row r="34" spans="1:4" ht="15.75" customHeight="1">
      <c r="A34" s="202" t="s">
        <v>1964</v>
      </c>
      <c r="B34" s="232"/>
      <c r="C34" s="254"/>
      <c r="D34" s="491"/>
    </row>
    <row r="35" spans="1:4">
      <c r="A35" s="202" t="s">
        <v>1965</v>
      </c>
    </row>
    <row r="36" spans="1:4">
      <c r="A36" s="2" t="s">
        <v>1966</v>
      </c>
    </row>
    <row r="38" spans="1:4">
      <c r="A38" s="2" t="s">
        <v>1988</v>
      </c>
    </row>
    <row r="41" spans="1:4">
      <c r="A41" s="266" t="s">
        <v>711</v>
      </c>
    </row>
  </sheetData>
  <phoneticPr fontId="0" type="noConversion"/>
  <pageMargins left="0.65" right="0.74" top="0.83" bottom="0.49" header="0.53" footer="0.4921259845"/>
  <pageSetup paperSize="9" scale="84" orientation="portrait" horizontalDpi="1200" verticalDpi="1200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FCF1-0E3F-2F45-B9B9-0EA1CA9B0430}">
  <dimension ref="A1:K29"/>
  <sheetViews>
    <sheetView topLeftCell="A6" zoomScale="75" workbookViewId="0">
      <selection activeCell="A18" sqref="A18:IV18"/>
    </sheetView>
  </sheetViews>
  <sheetFormatPr baseColWidth="10" defaultColWidth="11.3984375" defaultRowHeight="13"/>
  <cols>
    <col min="1" max="1" width="13.796875" style="2" customWidth="1"/>
    <col min="2" max="6" width="15" style="2" customWidth="1"/>
    <col min="7" max="7" width="15" style="467" customWidth="1"/>
    <col min="8" max="16384" width="11.3984375" style="2"/>
  </cols>
  <sheetData>
    <row r="1" spans="1:11" s="1" customFormat="1" ht="14" customHeight="1">
      <c r="G1" s="444"/>
    </row>
    <row r="2" spans="1:11" s="1" customFormat="1" ht="28" customHeight="1">
      <c r="A2" s="53" t="s">
        <v>1999</v>
      </c>
      <c r="G2" s="428"/>
    </row>
    <row r="3" spans="1:11" ht="24" customHeight="1">
      <c r="A3" s="178" t="s">
        <v>2208</v>
      </c>
      <c r="B3" s="179" t="s">
        <v>2000</v>
      </c>
      <c r="C3" s="180"/>
      <c r="D3" s="179" t="s">
        <v>2001</v>
      </c>
      <c r="E3" s="180"/>
      <c r="F3" s="179" t="s">
        <v>2002</v>
      </c>
      <c r="G3" s="446" t="s">
        <v>2372</v>
      </c>
    </row>
    <row r="4" spans="1:11" ht="15" customHeight="1">
      <c r="A4" s="274"/>
      <c r="B4" s="182" t="s">
        <v>2003</v>
      </c>
      <c r="C4" s="183" t="s">
        <v>2004</v>
      </c>
      <c r="D4" s="182" t="s">
        <v>2005</v>
      </c>
      <c r="E4" s="183" t="s">
        <v>2006</v>
      </c>
      <c r="F4" s="182" t="s">
        <v>2007</v>
      </c>
      <c r="G4" s="494" t="s">
        <v>2373</v>
      </c>
    </row>
    <row r="5" spans="1:11" ht="15" customHeight="1">
      <c r="A5" s="274"/>
      <c r="B5" s="182" t="s">
        <v>2008</v>
      </c>
      <c r="C5" s="183" t="s">
        <v>2008</v>
      </c>
      <c r="D5" s="182" t="s">
        <v>2009</v>
      </c>
      <c r="E5" s="183" t="s">
        <v>2010</v>
      </c>
      <c r="F5" s="182"/>
      <c r="G5" s="494" t="s">
        <v>2377</v>
      </c>
    </row>
    <row r="6" spans="1:11" ht="24" customHeight="1">
      <c r="A6" s="275"/>
      <c r="B6" s="188"/>
      <c r="C6" s="187"/>
      <c r="D6" s="188"/>
      <c r="E6" s="187"/>
      <c r="F6" s="188"/>
      <c r="G6" s="447"/>
    </row>
    <row r="7" spans="1:11" ht="1.5" customHeight="1" thickBot="1">
      <c r="A7" s="276">
        <v>1996</v>
      </c>
      <c r="B7" s="497">
        <v>4170.9064983500002</v>
      </c>
      <c r="C7" s="277">
        <v>8662.5285187900008</v>
      </c>
      <c r="D7" s="497">
        <v>8044.1419523000004</v>
      </c>
      <c r="E7" s="277">
        <v>4789.2930648399997</v>
      </c>
      <c r="F7" s="497">
        <v>12833.435017170003</v>
      </c>
      <c r="G7" s="473">
        <v>-6.5875098254165963E-3</v>
      </c>
      <c r="I7" s="8"/>
      <c r="J7" s="8"/>
      <c r="K7" s="8"/>
    </row>
    <row r="8" spans="1:11" ht="19.5" hidden="1" customHeight="1" thickBot="1">
      <c r="A8" s="278">
        <v>1997</v>
      </c>
      <c r="B8" s="499">
        <v>4394.7098477299996</v>
      </c>
      <c r="C8" s="501">
        <v>9362.3509974099998</v>
      </c>
      <c r="D8" s="499">
        <v>9077.9116548700003</v>
      </c>
      <c r="E8" s="501">
        <v>4679.1491902700009</v>
      </c>
      <c r="F8" s="499">
        <v>13757.060845139998</v>
      </c>
      <c r="G8" s="477">
        <v>7.1970273487516487E-2</v>
      </c>
    </row>
    <row r="9" spans="1:11" ht="20" customHeight="1" thickBot="1">
      <c r="A9" s="278">
        <v>1998</v>
      </c>
      <c r="B9" s="499">
        <v>4492.0042062100001</v>
      </c>
      <c r="C9" s="501">
        <v>10278.585833719999</v>
      </c>
      <c r="D9" s="499">
        <v>9968.5479871799998</v>
      </c>
      <c r="E9" s="501">
        <v>4802.0420530199999</v>
      </c>
      <c r="F9" s="499">
        <v>14770.59003996</v>
      </c>
      <c r="G9" s="477">
        <v>7.3673381707696217E-2</v>
      </c>
    </row>
    <row r="10" spans="1:11" ht="20" customHeight="1" thickBot="1">
      <c r="A10" s="278">
        <v>1999</v>
      </c>
      <c r="B10" s="499">
        <v>4039.0720529599998</v>
      </c>
      <c r="C10" s="501">
        <v>10698.624229800002</v>
      </c>
      <c r="D10" s="499">
        <v>9829.3330688500009</v>
      </c>
      <c r="E10" s="501">
        <v>4908.3632139400006</v>
      </c>
      <c r="F10" s="499">
        <v>14737.696282749999</v>
      </c>
      <c r="G10" s="477">
        <v>-2.2269765203022374E-3</v>
      </c>
    </row>
    <row r="11" spans="1:11" ht="20" customHeight="1" thickBot="1">
      <c r="A11" s="278">
        <v>2000</v>
      </c>
      <c r="B11" s="499">
        <v>4332.0125006399994</v>
      </c>
      <c r="C11" s="501">
        <v>10499.430512299999</v>
      </c>
      <c r="D11" s="499">
        <v>10459.0563088</v>
      </c>
      <c r="E11" s="501">
        <v>4372.38670413</v>
      </c>
      <c r="F11" s="499">
        <v>14831.443012869999</v>
      </c>
      <c r="G11" s="477">
        <v>6.361016560622712E-3</v>
      </c>
    </row>
    <row r="12" spans="1:11" ht="20" customHeight="1" thickBot="1">
      <c r="A12" s="278">
        <v>2001</v>
      </c>
      <c r="B12" s="499">
        <v>4480.2212955000005</v>
      </c>
      <c r="C12" s="501">
        <v>9101.4192862999989</v>
      </c>
      <c r="D12" s="499">
        <v>10583.525388</v>
      </c>
      <c r="E12" s="501">
        <v>2998.1151934999998</v>
      </c>
      <c r="F12" s="499">
        <v>13581.640582</v>
      </c>
      <c r="G12" s="477">
        <v>-8.4267082426536799E-2</v>
      </c>
    </row>
    <row r="13" spans="1:11" ht="20" customHeight="1" thickBot="1">
      <c r="A13" s="278">
        <v>2002</v>
      </c>
      <c r="B13" s="499">
        <v>5055.0187533999997</v>
      </c>
      <c r="C13" s="501">
        <v>8256.3197148999989</v>
      </c>
      <c r="D13" s="499">
        <v>10485.582893000001</v>
      </c>
      <c r="E13" s="501">
        <v>2730.3161460000001</v>
      </c>
      <c r="F13" s="499">
        <v>13311.318467999999</v>
      </c>
      <c r="G13" s="477">
        <v>-1.9903494895768592E-2</v>
      </c>
    </row>
    <row r="14" spans="1:11" ht="20" customHeight="1" thickBot="1">
      <c r="A14" s="278">
        <v>2003</v>
      </c>
      <c r="B14" s="499">
        <v>6067.1959962000001</v>
      </c>
      <c r="C14" s="501">
        <v>8398.4942018000002</v>
      </c>
      <c r="D14" s="499">
        <v>11252.005746999999</v>
      </c>
      <c r="E14" s="501">
        <v>3213.6844504999999</v>
      </c>
      <c r="F14" s="499">
        <v>14465.690198</v>
      </c>
      <c r="G14" s="477">
        <v>8.6721066194537677E-2</v>
      </c>
    </row>
    <row r="15" spans="1:11" ht="20" customHeight="1" thickBot="1">
      <c r="A15" s="278">
        <v>2004</v>
      </c>
      <c r="B15" s="499">
        <v>6542.9172908</v>
      </c>
      <c r="C15" s="501">
        <v>8401.4767168999988</v>
      </c>
      <c r="D15" s="499">
        <v>11192.037166</v>
      </c>
      <c r="E15" s="501">
        <v>3752.3568421999998</v>
      </c>
      <c r="F15" s="499">
        <v>14944.394007999999</v>
      </c>
      <c r="G15" s="477">
        <v>3.3092358777750075E-2</v>
      </c>
    </row>
    <row r="16" spans="1:11" ht="20" customHeight="1" thickBot="1">
      <c r="A16" s="278">
        <v>2005</v>
      </c>
      <c r="B16" s="499">
        <v>6906.5407365000001</v>
      </c>
      <c r="C16" s="501">
        <v>9245.4417635000009</v>
      </c>
      <c r="D16" s="499">
        <v>12133.7989425</v>
      </c>
      <c r="E16" s="501">
        <v>4018.1835572</v>
      </c>
      <c r="F16" s="499">
        <v>16151.982499600001</v>
      </c>
      <c r="G16" s="477">
        <v>8.0805450589268357E-2</v>
      </c>
    </row>
    <row r="17" spans="1:7" ht="20" customHeight="1" thickBot="1">
      <c r="A17" s="278">
        <v>2006</v>
      </c>
      <c r="B17" s="499">
        <v>7617.7471638000006</v>
      </c>
      <c r="C17" s="501">
        <v>10441.159153100001</v>
      </c>
      <c r="D17" s="499">
        <v>13475.7956639</v>
      </c>
      <c r="E17" s="501">
        <v>4583.1106529999997</v>
      </c>
      <c r="F17" s="499">
        <v>18058.9063169</v>
      </c>
      <c r="G17" s="477">
        <v>0.11806128550146866</v>
      </c>
    </row>
    <row r="18" spans="1:7" ht="20" customHeight="1" thickBot="1">
      <c r="A18" s="278">
        <v>2007</v>
      </c>
      <c r="B18" s="499">
        <v>7365.8641676499992</v>
      </c>
      <c r="C18" s="501">
        <v>11399.08539328</v>
      </c>
      <c r="D18" s="499">
        <v>13954.63675686</v>
      </c>
      <c r="E18" s="501">
        <v>4810.3128043300003</v>
      </c>
      <c r="F18" s="499">
        <v>18764.949561189998</v>
      </c>
      <c r="G18" s="477">
        <v>3.9096677943849967E-2</v>
      </c>
    </row>
    <row r="19" spans="1:7" s="354" customFormat="1" ht="27.75" customHeight="1" thickBot="1">
      <c r="A19" s="502">
        <v>2008</v>
      </c>
      <c r="B19" s="503">
        <v>7264.3011704499995</v>
      </c>
      <c r="C19" s="505">
        <v>10486.349606420001</v>
      </c>
      <c r="D19" s="503">
        <v>13652.812469889999</v>
      </c>
      <c r="E19" s="505">
        <v>4097.8383069800002</v>
      </c>
      <c r="F19" s="503">
        <v>17750.650776869999</v>
      </c>
      <c r="G19" s="479">
        <v>-5.4052838299005646E-2</v>
      </c>
    </row>
    <row r="20" spans="1:7" ht="20" customHeight="1">
      <c r="A20" s="201" t="s">
        <v>764</v>
      </c>
      <c r="B20" s="201"/>
      <c r="C20" s="201"/>
      <c r="D20" s="201"/>
      <c r="E20" s="201"/>
      <c r="F20" s="201"/>
      <c r="G20" s="465"/>
    </row>
    <row r="21" spans="1:7" ht="10.5" customHeight="1">
      <c r="A21" s="202"/>
      <c r="B21" s="202"/>
      <c r="C21" s="202"/>
      <c r="D21" s="202"/>
      <c r="E21" s="202"/>
      <c r="F21" s="202"/>
      <c r="G21" s="466"/>
    </row>
    <row r="22" spans="1:7">
      <c r="A22" s="202" t="s">
        <v>2204</v>
      </c>
    </row>
    <row r="23" spans="1:7">
      <c r="A23" s="2" t="s">
        <v>2205</v>
      </c>
    </row>
    <row r="24" spans="1:7">
      <c r="A24" s="2" t="s">
        <v>2206</v>
      </c>
    </row>
    <row r="26" spans="1:7">
      <c r="A26" s="2" t="s">
        <v>2207</v>
      </c>
    </row>
    <row r="29" spans="1:7">
      <c r="A29" s="2" t="s">
        <v>711</v>
      </c>
    </row>
  </sheetData>
  <phoneticPr fontId="0" type="noConversion"/>
  <pageMargins left="0.65" right="0.61" top="0.99" bottom="0.49" header="0.56000000000000005" footer="0.4921259845"/>
  <pageSetup paperSize="9" scale="80" orientation="portrait" horizontalDpi="4294967292" verticalDpi="4294967292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609C-3970-2847-B111-DE94BDAC7C25}">
  <sheetPr>
    <pageSetUpPr fitToPage="1"/>
  </sheetPr>
  <dimension ref="A1:I27"/>
  <sheetViews>
    <sheetView zoomScale="75" workbookViewId="0">
      <selection activeCell="H3" sqref="H3"/>
    </sheetView>
  </sheetViews>
  <sheetFormatPr baseColWidth="10" defaultColWidth="11.3984375" defaultRowHeight="13"/>
  <cols>
    <col min="1" max="1" width="14.19921875" style="2" customWidth="1"/>
    <col min="2" max="2" width="14" style="2" customWidth="1"/>
    <col min="3" max="5" width="14" style="467" customWidth="1"/>
    <col min="6" max="8" width="14" style="2" customWidth="1"/>
    <col min="9" max="16384" width="11.3984375" style="2"/>
  </cols>
  <sheetData>
    <row r="1" spans="1:9" s="1" customFormat="1" ht="14" customHeight="1">
      <c r="C1" s="444"/>
      <c r="D1" s="444"/>
      <c r="E1" s="444"/>
    </row>
    <row r="2" spans="1:9" s="1" customFormat="1" ht="33" customHeight="1">
      <c r="A2" s="2017" t="s">
        <v>1989</v>
      </c>
      <c r="B2" s="2021"/>
      <c r="C2" s="2021"/>
      <c r="D2" s="2021"/>
      <c r="E2" s="2021"/>
      <c r="F2" s="2021"/>
      <c r="G2" s="2021"/>
      <c r="H2" s="428"/>
    </row>
    <row r="3" spans="1:9" ht="24" customHeight="1">
      <c r="A3" s="178" t="s">
        <v>2250</v>
      </c>
      <c r="B3" s="179" t="s">
        <v>348</v>
      </c>
      <c r="C3" s="446" t="s">
        <v>2372</v>
      </c>
      <c r="D3" s="493" t="s">
        <v>1990</v>
      </c>
      <c r="E3" s="446" t="s">
        <v>1991</v>
      </c>
      <c r="F3" s="493" t="s">
        <v>2372</v>
      </c>
      <c r="G3" s="446" t="s">
        <v>1992</v>
      </c>
      <c r="H3" s="493" t="s">
        <v>2372</v>
      </c>
    </row>
    <row r="4" spans="1:9" ht="15" customHeight="1">
      <c r="A4" s="274"/>
      <c r="B4" s="182" t="s">
        <v>1993</v>
      </c>
      <c r="C4" s="494" t="s">
        <v>2373</v>
      </c>
      <c r="D4" s="495" t="s">
        <v>1998</v>
      </c>
      <c r="E4" s="494" t="s">
        <v>1994</v>
      </c>
      <c r="F4" s="495" t="s">
        <v>2373</v>
      </c>
      <c r="G4" s="494" t="s">
        <v>1995</v>
      </c>
      <c r="H4" s="495" t="s">
        <v>2373</v>
      </c>
    </row>
    <row r="5" spans="1:9" ht="15" customHeight="1">
      <c r="A5" s="274"/>
      <c r="B5" s="182"/>
      <c r="C5" s="494" t="s">
        <v>2377</v>
      </c>
      <c r="D5" s="495"/>
      <c r="E5" s="181" t="s">
        <v>1993</v>
      </c>
      <c r="F5" s="495" t="s">
        <v>2377</v>
      </c>
      <c r="G5" s="181" t="s">
        <v>1993</v>
      </c>
      <c r="H5" s="495" t="s">
        <v>2377</v>
      </c>
    </row>
    <row r="6" spans="1:9" ht="24" customHeight="1">
      <c r="A6" s="275"/>
      <c r="B6" s="188"/>
      <c r="C6" s="447"/>
      <c r="D6" s="496"/>
      <c r="E6" s="447"/>
      <c r="F6" s="186"/>
      <c r="G6" s="447"/>
      <c r="H6" s="496"/>
    </row>
    <row r="7" spans="1:9" ht="1.5" customHeight="1" thickBot="1">
      <c r="A7" s="276">
        <v>1996</v>
      </c>
      <c r="B7" s="497">
        <v>4007.8366596000001</v>
      </c>
      <c r="C7" s="473">
        <v>-1.767505493939879E-2</v>
      </c>
      <c r="D7" s="498">
        <v>0.24196501185861982</v>
      </c>
      <c r="E7" s="277">
        <v>7634.4120938999995</v>
      </c>
      <c r="F7" s="498" t="s">
        <v>1060</v>
      </c>
      <c r="G7" s="277">
        <v>878.70776672</v>
      </c>
      <c r="H7" s="498" t="s">
        <v>1060</v>
      </c>
      <c r="I7" s="8"/>
    </row>
    <row r="8" spans="1:9" ht="0.75" customHeight="1" thickBot="1">
      <c r="A8" s="278">
        <v>1997</v>
      </c>
      <c r="B8" s="499">
        <v>4017.3956079</v>
      </c>
      <c r="C8" s="477">
        <v>2.385064340659509E-3</v>
      </c>
      <c r="D8" s="500">
        <v>0.22399999999999998</v>
      </c>
      <c r="E8" s="501">
        <v>8314.1764980999997</v>
      </c>
      <c r="F8" s="500">
        <v>8.9039522079655792E-2</v>
      </c>
      <c r="G8" s="501">
        <v>892.88593902000002</v>
      </c>
      <c r="H8" s="500">
        <v>1.6135253194499075E-2</v>
      </c>
    </row>
    <row r="9" spans="1:9" ht="20" customHeight="1" thickBot="1">
      <c r="A9" s="278">
        <v>1998</v>
      </c>
      <c r="B9" s="499">
        <v>4117.6667946999996</v>
      </c>
      <c r="C9" s="477">
        <v>2.4959251362455213E-2</v>
      </c>
      <c r="D9" s="500">
        <v>0.22</v>
      </c>
      <c r="E9" s="501">
        <v>9206.9689780000008</v>
      </c>
      <c r="F9" s="500">
        <v>0.1073819493853693</v>
      </c>
      <c r="G9" s="501">
        <v>910.20990798000003</v>
      </c>
      <c r="H9" s="500">
        <v>1.9402219480591416E-2</v>
      </c>
    </row>
    <row r="10" spans="1:9" ht="20" customHeight="1" thickBot="1">
      <c r="A10" s="278">
        <v>1999</v>
      </c>
      <c r="B10" s="499">
        <v>4531.0035571000008</v>
      </c>
      <c r="C10" s="477">
        <v>0.10038130402683909</v>
      </c>
      <c r="D10" s="500">
        <v>0.248</v>
      </c>
      <c r="E10" s="501">
        <v>9587.3624237999993</v>
      </c>
      <c r="F10" s="500">
        <v>4.1315817041302827E-2</v>
      </c>
      <c r="G10" s="501">
        <v>929.94977453999991</v>
      </c>
      <c r="H10" s="500">
        <v>2.168715851908054E-2</v>
      </c>
    </row>
    <row r="11" spans="1:9" ht="20" customHeight="1" thickBot="1">
      <c r="A11" s="278">
        <v>2000</v>
      </c>
      <c r="B11" s="499">
        <v>4046.3173426999997</v>
      </c>
      <c r="C11" s="477">
        <v>-0.10697105139997221</v>
      </c>
      <c r="D11" s="500">
        <v>0.22899999999999998</v>
      </c>
      <c r="E11" s="501">
        <v>9383.0818280000003</v>
      </c>
      <c r="F11" s="500">
        <v>-2.1307277932133384E-2</v>
      </c>
      <c r="G11" s="501">
        <v>935.15434852999999</v>
      </c>
      <c r="H11" s="500">
        <v>5.5966183685292048E-3</v>
      </c>
    </row>
    <row r="12" spans="1:9" ht="20" customHeight="1" thickBot="1">
      <c r="A12" s="278">
        <v>2001</v>
      </c>
      <c r="B12" s="499">
        <v>2721.4537870999998</v>
      </c>
      <c r="C12" s="477">
        <v>-0.32742453035479269</v>
      </c>
      <c r="D12" s="500">
        <v>0.16266572127677031</v>
      </c>
      <c r="E12" s="501">
        <v>7961.4574869999997</v>
      </c>
      <c r="F12" s="500">
        <v>-0.15150931933234768</v>
      </c>
      <c r="G12" s="501">
        <v>954.93160932000001</v>
      </c>
      <c r="H12" s="500">
        <v>2.1148659385574753E-2</v>
      </c>
    </row>
    <row r="13" spans="1:9" ht="20" customHeight="1" thickBot="1">
      <c r="A13" s="278">
        <v>2002</v>
      </c>
      <c r="B13" s="499">
        <v>2517.2839804</v>
      </c>
      <c r="C13" s="477">
        <v>-7.5022330957000949E-2</v>
      </c>
      <c r="D13" s="500">
        <v>0.13972376589664312</v>
      </c>
      <c r="E13" s="501">
        <v>7106.5237452000001</v>
      </c>
      <c r="F13" s="500">
        <v>-0.10738407423464769</v>
      </c>
      <c r="G13" s="501">
        <v>984.65094364999993</v>
      </c>
      <c r="H13" s="500">
        <v>3.1121950556399325E-2</v>
      </c>
    </row>
    <row r="14" spans="1:9" ht="20" customHeight="1" thickBot="1">
      <c r="A14" s="278">
        <v>2003</v>
      </c>
      <c r="B14" s="499">
        <v>3007.4782717600006</v>
      </c>
      <c r="C14" s="477">
        <v>0.19473142290529655</v>
      </c>
      <c r="D14" s="500">
        <v>0.15444074863234167</v>
      </c>
      <c r="E14" s="501">
        <v>7378.0453514999999</v>
      </c>
      <c r="F14" s="500">
        <v>3.820737339875846E-2</v>
      </c>
      <c r="G14" s="501">
        <v>885.89521162999995</v>
      </c>
      <c r="H14" s="500">
        <v>-0.1002951682084644</v>
      </c>
    </row>
    <row r="15" spans="1:9" ht="20" customHeight="1" thickBot="1">
      <c r="A15" s="278">
        <v>2004</v>
      </c>
      <c r="B15" s="499">
        <v>3581.7878758600004</v>
      </c>
      <c r="C15" s="477">
        <v>0.19096051648742551</v>
      </c>
      <c r="D15" s="500">
        <v>0.17609858201884715</v>
      </c>
      <c r="E15" s="501">
        <v>7386.4198756999995</v>
      </c>
      <c r="F15" s="500">
        <v>1.1350600058723792E-3</v>
      </c>
      <c r="G15" s="501">
        <v>876.33966492999991</v>
      </c>
      <c r="H15" s="500">
        <v>-1.0786317133849699E-2</v>
      </c>
    </row>
    <row r="16" spans="1:9" ht="20" customHeight="1" thickBot="1">
      <c r="A16" s="278">
        <v>2005</v>
      </c>
      <c r="B16" s="499">
        <v>3869.5470762</v>
      </c>
      <c r="C16" s="477">
        <v>8.0339542796321384E-2</v>
      </c>
      <c r="D16" s="500">
        <v>0.18526823405593668</v>
      </c>
      <c r="E16" s="501">
        <v>8227.3219200000003</v>
      </c>
      <c r="F16" s="500">
        <v>0.11384433303966635</v>
      </c>
      <c r="G16" s="501">
        <v>864.96945500000004</v>
      </c>
      <c r="H16" s="500">
        <v>-1.2974660836455598E-2</v>
      </c>
    </row>
    <row r="17" spans="1:8" ht="20" customHeight="1" thickBot="1">
      <c r="A17" s="278">
        <v>2006</v>
      </c>
      <c r="B17" s="499">
        <v>4510.5379199999998</v>
      </c>
      <c r="C17" s="477">
        <v>0.16565009578058176</v>
      </c>
      <c r="D17" s="500">
        <v>0.20772626624087148</v>
      </c>
      <c r="E17" s="501">
        <v>9466.6831490000004</v>
      </c>
      <c r="F17" s="500">
        <v>0.15063969066133254</v>
      </c>
      <c r="G17" s="501">
        <v>858.28986799999996</v>
      </c>
      <c r="H17" s="500">
        <v>-7.7223385882453366E-3</v>
      </c>
    </row>
    <row r="18" spans="1:8" ht="20" customHeight="1" thickBot="1">
      <c r="A18" s="278">
        <v>2007</v>
      </c>
      <c r="B18" s="499">
        <v>4787.9201766100005</v>
      </c>
      <c r="C18" s="477">
        <v>6.1496491445082624E-2</v>
      </c>
      <c r="D18" s="500">
        <v>0.21638748853648229</v>
      </c>
      <c r="E18" s="501">
        <v>10372.83324</v>
      </c>
      <c r="F18" s="500">
        <v>9.5719913378078836E-2</v>
      </c>
      <c r="G18" s="501">
        <v>895.33742199999995</v>
      </c>
      <c r="H18" s="500">
        <v>4.3164384645864251E-2</v>
      </c>
    </row>
    <row r="19" spans="1:8" s="354" customFormat="1" ht="28.5" customHeight="1" thickBot="1">
      <c r="A19" s="502">
        <v>2008</v>
      </c>
      <c r="B19" s="503">
        <v>4080.91032378</v>
      </c>
      <c r="C19" s="479">
        <v>-0.1476653383412474</v>
      </c>
      <c r="D19" s="504">
        <v>0.18391331751178366</v>
      </c>
      <c r="E19" s="505">
        <v>9350.3630895499991</v>
      </c>
      <c r="F19" s="506">
        <v>-9.8571925990974529E-2</v>
      </c>
      <c r="G19" s="507">
        <v>999.65196694000008</v>
      </c>
      <c r="H19" s="506">
        <v>0.11650863951043489</v>
      </c>
    </row>
    <row r="20" spans="1:8" ht="20" customHeight="1">
      <c r="A20" s="201" t="s">
        <v>764</v>
      </c>
      <c r="B20" s="201"/>
      <c r="C20" s="465"/>
      <c r="D20" s="465"/>
      <c r="E20" s="465"/>
    </row>
    <row r="21" spans="1:8" ht="11.25" customHeight="1">
      <c r="A21" s="202"/>
      <c r="B21" s="202"/>
      <c r="C21" s="466"/>
      <c r="D21" s="466"/>
      <c r="E21" s="466"/>
    </row>
    <row r="22" spans="1:8">
      <c r="A22" s="2" t="s">
        <v>1996</v>
      </c>
    </row>
    <row r="24" spans="1:8">
      <c r="A24" s="2" t="s">
        <v>1997</v>
      </c>
    </row>
    <row r="27" spans="1:8">
      <c r="A27" s="2" t="s">
        <v>711</v>
      </c>
    </row>
  </sheetData>
  <mergeCells count="1">
    <mergeCell ref="A2:G2"/>
  </mergeCells>
  <phoneticPr fontId="0" type="noConversion"/>
  <pageMargins left="0.69" right="0.56000000000000005" top="1.08" bottom="0.49" header="0.53" footer="0.4921259845"/>
  <pageSetup paperSize="9" scale="80" orientation="portrait" horizontalDpi="4294967292" verticalDpi="4294967292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EB0B-0B56-514B-BBD9-DB810BBEF3DB}">
  <sheetPr>
    <pageSetUpPr fitToPage="1"/>
  </sheetPr>
  <dimension ref="A1:D33"/>
  <sheetViews>
    <sheetView zoomScale="75" workbookViewId="0">
      <selection activeCell="C17" sqref="C17"/>
    </sheetView>
  </sheetViews>
  <sheetFormatPr baseColWidth="10" defaultColWidth="11.3984375" defaultRowHeight="13"/>
  <cols>
    <col min="1" max="1" width="10.59765625" style="2" customWidth="1"/>
    <col min="2" max="2" width="60.796875" style="92" customWidth="1"/>
    <col min="3" max="3" width="17" style="7" customWidth="1"/>
    <col min="4" max="4" width="17" style="467" customWidth="1"/>
    <col min="5" max="16384" width="11.3984375" style="2"/>
  </cols>
  <sheetData>
    <row r="1" spans="1:4" s="1" customFormat="1" ht="14" customHeight="1">
      <c r="B1" s="227"/>
      <c r="C1" s="240"/>
      <c r="D1" s="444"/>
    </row>
    <row r="2" spans="1:4" s="1" customFormat="1" ht="28" customHeight="1">
      <c r="A2" s="53" t="s">
        <v>357</v>
      </c>
      <c r="B2" s="227"/>
      <c r="C2" s="240"/>
      <c r="D2" s="428">
        <v>2008</v>
      </c>
    </row>
    <row r="3" spans="1:4" ht="39" customHeight="1">
      <c r="A3" s="178" t="s">
        <v>765</v>
      </c>
      <c r="B3" s="228"/>
      <c r="C3" s="208" t="s">
        <v>2354</v>
      </c>
      <c r="D3" s="446" t="s">
        <v>988</v>
      </c>
    </row>
    <row r="4" spans="1:4" ht="38" customHeight="1">
      <c r="A4" s="378"/>
      <c r="B4" s="379"/>
      <c r="C4" s="210" t="s">
        <v>768</v>
      </c>
      <c r="D4" s="447" t="s">
        <v>1845</v>
      </c>
    </row>
    <row r="5" spans="1:4" ht="30" customHeight="1" thickBot="1">
      <c r="A5" s="190"/>
      <c r="B5" s="472" t="s">
        <v>358</v>
      </c>
      <c r="C5" s="395">
        <v>7264301170.4499998</v>
      </c>
      <c r="D5" s="473">
        <v>0.40924139975283352</v>
      </c>
    </row>
    <row r="6" spans="1:4" ht="21.75" customHeight="1" thickBot="1">
      <c r="A6" s="195">
        <v>10</v>
      </c>
      <c r="B6" s="195" t="s">
        <v>359</v>
      </c>
      <c r="C6" s="211">
        <v>2444631586.5</v>
      </c>
      <c r="D6" s="477">
        <v>0.13772067386315093</v>
      </c>
    </row>
    <row r="7" spans="1:4" ht="21.75" customHeight="1" thickBot="1">
      <c r="A7" s="195">
        <v>11</v>
      </c>
      <c r="B7" s="195" t="s">
        <v>360</v>
      </c>
      <c r="C7" s="211">
        <v>2894773574.4299998</v>
      </c>
      <c r="D7" s="477">
        <v>0.16307985610319353</v>
      </c>
    </row>
    <row r="8" spans="1:4" ht="18.75" customHeight="1" thickBot="1">
      <c r="A8" s="195"/>
      <c r="B8" s="470" t="s">
        <v>361</v>
      </c>
      <c r="C8" s="418">
        <v>3141287751.02</v>
      </c>
      <c r="D8" s="477">
        <v>0.17696746955966583</v>
      </c>
    </row>
    <row r="9" spans="1:4" ht="18.75" customHeight="1" thickBot="1">
      <c r="A9" s="195"/>
      <c r="B9" s="470" t="s">
        <v>362</v>
      </c>
      <c r="C9" s="418">
        <v>-246514176.59</v>
      </c>
      <c r="D9" s="477">
        <v>-1.3887613456472284E-2</v>
      </c>
    </row>
    <row r="10" spans="1:4" ht="21.75" customHeight="1" thickBot="1">
      <c r="A10" s="195">
        <v>12</v>
      </c>
      <c r="B10" s="195" t="s">
        <v>363</v>
      </c>
      <c r="C10" s="211">
        <v>1233594368.8099999</v>
      </c>
      <c r="D10" s="477">
        <v>6.9495726343590525E-2</v>
      </c>
    </row>
    <row r="11" spans="1:4" ht="18.75" customHeight="1" thickBot="1">
      <c r="A11" s="195"/>
      <c r="B11" s="470" t="s">
        <v>243</v>
      </c>
      <c r="C11" s="418">
        <v>1259279205.8099999</v>
      </c>
      <c r="D11" s="477">
        <v>7.094270636268192E-2</v>
      </c>
    </row>
    <row r="12" spans="1:4" ht="18.75" customHeight="1" thickBot="1">
      <c r="A12" s="195"/>
      <c r="B12" s="470" t="s">
        <v>244</v>
      </c>
      <c r="C12" s="418">
        <v>-25684837</v>
      </c>
      <c r="D12" s="477">
        <v>-1.446980019091393E-3</v>
      </c>
    </row>
    <row r="13" spans="1:4" ht="24" customHeight="1" thickBot="1">
      <c r="A13" s="195">
        <v>13</v>
      </c>
      <c r="B13" s="195" t="s">
        <v>1831</v>
      </c>
      <c r="C13" s="211">
        <v>5581066.7400000002</v>
      </c>
      <c r="D13" s="477">
        <v>3.1441476766995013E-4</v>
      </c>
    </row>
    <row r="14" spans="1:4" ht="28.5" customHeight="1" thickBot="1">
      <c r="A14" s="195">
        <v>14</v>
      </c>
      <c r="B14" s="453" t="s">
        <v>1832</v>
      </c>
      <c r="C14" s="211">
        <v>328321875.04000002</v>
      </c>
      <c r="D14" s="477">
        <v>1.8496328904617974E-2</v>
      </c>
    </row>
    <row r="15" spans="1:4" ht="30.75" customHeight="1" thickBot="1">
      <c r="A15" s="195">
        <v>15</v>
      </c>
      <c r="B15" s="453" t="s">
        <v>1833</v>
      </c>
      <c r="C15" s="211">
        <v>45274748.149999999</v>
      </c>
      <c r="D15" s="477">
        <v>2.5505965228607447E-3</v>
      </c>
    </row>
    <row r="16" spans="1:4" ht="21.75" customHeight="1" thickBot="1">
      <c r="A16" s="195">
        <v>16</v>
      </c>
      <c r="B16" s="195" t="s">
        <v>1834</v>
      </c>
      <c r="C16" s="211">
        <v>312123950.77999997</v>
      </c>
      <c r="D16" s="477">
        <v>1.7583803247749843E-2</v>
      </c>
    </row>
    <row r="17" spans="1:4" ht="30" customHeight="1" thickBot="1">
      <c r="A17" s="195"/>
      <c r="B17" s="461" t="s">
        <v>1835</v>
      </c>
      <c r="C17" s="395">
        <v>10486349606.42</v>
      </c>
      <c r="D17" s="477">
        <v>0.59075860024716653</v>
      </c>
    </row>
    <row r="18" spans="1:4" ht="21.75" customHeight="1" thickBot="1">
      <c r="A18" s="195">
        <v>17</v>
      </c>
      <c r="B18" s="195" t="s">
        <v>1836</v>
      </c>
      <c r="C18" s="211">
        <v>9350363089.5</v>
      </c>
      <c r="D18" s="477">
        <v>0.52676170620651264</v>
      </c>
    </row>
    <row r="19" spans="1:4" ht="18.75" customHeight="1" thickBot="1">
      <c r="A19" s="195"/>
      <c r="B19" s="470" t="s">
        <v>1837</v>
      </c>
      <c r="C19" s="418">
        <v>10086091878.43</v>
      </c>
      <c r="D19" s="477">
        <v>0.56820969581423408</v>
      </c>
    </row>
    <row r="20" spans="1:4" ht="18.75" customHeight="1" thickBot="1">
      <c r="A20" s="196"/>
      <c r="B20" s="478" t="s">
        <v>1838</v>
      </c>
      <c r="C20" s="418">
        <v>-735728788.92999995</v>
      </c>
      <c r="D20" s="477">
        <v>-4.1447989607721426E-2</v>
      </c>
    </row>
    <row r="21" spans="1:4" ht="21.75" customHeight="1" thickBot="1">
      <c r="A21" s="195">
        <v>18</v>
      </c>
      <c r="B21" s="195" t="s">
        <v>998</v>
      </c>
      <c r="C21" s="211">
        <v>999651966.5</v>
      </c>
      <c r="D21" s="477">
        <v>5.631635589398206E-2</v>
      </c>
    </row>
    <row r="22" spans="1:4" ht="18.75" customHeight="1" thickBot="1">
      <c r="A22" s="196"/>
      <c r="B22" s="478" t="s">
        <v>1088</v>
      </c>
      <c r="C22" s="418">
        <v>1465539699.28</v>
      </c>
      <c r="D22" s="477">
        <v>8.2562589828519009E-2</v>
      </c>
    </row>
    <row r="23" spans="1:4" ht="18.75" customHeight="1" thickBot="1">
      <c r="A23" s="195"/>
      <c r="B23" s="470" t="s">
        <v>1089</v>
      </c>
      <c r="C23" s="418">
        <v>-465887732.77999997</v>
      </c>
      <c r="D23" s="477">
        <v>-2.6246233934536945E-2</v>
      </c>
    </row>
    <row r="24" spans="1:4" ht="21.75" customHeight="1" thickBot="1">
      <c r="A24" s="195">
        <v>19</v>
      </c>
      <c r="B24" s="195" t="s">
        <v>1090</v>
      </c>
      <c r="C24" s="211">
        <v>136334550.41999999</v>
      </c>
      <c r="D24" s="477">
        <v>7.6805381466718307E-3</v>
      </c>
    </row>
    <row r="25" spans="1:4" ht="18.75" customHeight="1" thickBot="1">
      <c r="A25" s="195"/>
      <c r="B25" s="470" t="s">
        <v>1091</v>
      </c>
      <c r="C25" s="418">
        <v>845219789.35000002</v>
      </c>
      <c r="D25" s="477">
        <v>4.76162705229582E-2</v>
      </c>
    </row>
    <row r="26" spans="1:4" ht="18.75" customHeight="1" thickBot="1">
      <c r="A26" s="195"/>
      <c r="B26" s="470" t="s">
        <v>1838</v>
      </c>
      <c r="C26" s="418">
        <v>-708885238.92999995</v>
      </c>
      <c r="D26" s="477">
        <v>-3.9935732376286365E-2</v>
      </c>
    </row>
    <row r="27" spans="1:4" s="251" customFormat="1" ht="36" customHeight="1" thickBot="1">
      <c r="A27" s="197">
        <v>1</v>
      </c>
      <c r="B27" s="197" t="s">
        <v>1092</v>
      </c>
      <c r="C27" s="258">
        <v>17750650776.869999</v>
      </c>
      <c r="D27" s="479">
        <v>1</v>
      </c>
    </row>
    <row r="28" spans="1:4" ht="18.75" customHeight="1">
      <c r="A28" s="201" t="s">
        <v>764</v>
      </c>
      <c r="B28" s="231"/>
      <c r="C28" s="253"/>
      <c r="D28" s="465"/>
    </row>
    <row r="30" spans="1:4">
      <c r="A30" s="2" t="s">
        <v>1093</v>
      </c>
    </row>
    <row r="33" spans="1:1">
      <c r="A33" s="266" t="s">
        <v>711</v>
      </c>
    </row>
  </sheetData>
  <phoneticPr fontId="0" type="noConversion"/>
  <pageMargins left="0.78740157480314965" right="0.78740157480314965" top="0.87" bottom="0.49" header="0.47" footer="0.4921259845"/>
  <pageSetup paperSize="9" scale="82" orientation="portrait" horizontalDpi="1200" verticalDpi="1200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FC27-45AC-C04C-B9A9-A6555B9602A0}">
  <sheetPr>
    <pageSetUpPr fitToPage="1"/>
  </sheetPr>
  <dimension ref="A1:D44"/>
  <sheetViews>
    <sheetView zoomScale="75" workbookViewId="0"/>
  </sheetViews>
  <sheetFormatPr baseColWidth="10" defaultColWidth="11.3984375" defaultRowHeight="13"/>
  <cols>
    <col min="1" max="1" width="10.59765625" style="2" customWidth="1"/>
    <col min="2" max="2" width="60.796875" style="92" customWidth="1"/>
    <col min="3" max="3" width="17.3984375" style="224" customWidth="1"/>
    <col min="4" max="4" width="16.796875" style="467" customWidth="1"/>
    <col min="5" max="16384" width="11.3984375" style="2"/>
  </cols>
  <sheetData>
    <row r="1" spans="1:4" s="1" customFormat="1" ht="14" customHeight="1">
      <c r="B1" s="227"/>
      <c r="C1" s="206"/>
      <c r="D1" s="444"/>
    </row>
    <row r="2" spans="1:4" s="1" customFormat="1" ht="28" customHeight="1">
      <c r="A2" s="53" t="s">
        <v>2468</v>
      </c>
      <c r="B2" s="227"/>
      <c r="C2" s="206"/>
      <c r="D2" s="428">
        <v>2008</v>
      </c>
    </row>
    <row r="3" spans="1:4" ht="39" customHeight="1">
      <c r="A3" s="178" t="s">
        <v>765</v>
      </c>
      <c r="B3" s="228"/>
      <c r="C3" s="208" t="s">
        <v>2354</v>
      </c>
      <c r="D3" s="446" t="s">
        <v>988</v>
      </c>
    </row>
    <row r="4" spans="1:4" ht="38" customHeight="1">
      <c r="A4" s="378"/>
      <c r="B4" s="379"/>
      <c r="C4" s="210" t="s">
        <v>768</v>
      </c>
      <c r="D4" s="447" t="s">
        <v>1845</v>
      </c>
    </row>
    <row r="5" spans="1:4" ht="30" customHeight="1" thickBot="1">
      <c r="A5" s="190"/>
      <c r="B5" s="472" t="s">
        <v>2469</v>
      </c>
      <c r="C5" s="395">
        <v>13652812469.889999</v>
      </c>
      <c r="D5" s="473">
        <v>0.76914433400268956</v>
      </c>
    </row>
    <row r="6" spans="1:4" ht="21.75" customHeight="1" thickBot="1">
      <c r="A6" s="195">
        <v>20</v>
      </c>
      <c r="B6" s="195" t="s">
        <v>2470</v>
      </c>
      <c r="C6" s="211">
        <v>512730661.08999997</v>
      </c>
      <c r="D6" s="473">
        <v>2.888517539639246E-2</v>
      </c>
    </row>
    <row r="7" spans="1:4" ht="21.75" customHeight="1" thickBot="1">
      <c r="A7" s="195">
        <v>21</v>
      </c>
      <c r="B7" s="195" t="s">
        <v>2471</v>
      </c>
      <c r="C7" s="211">
        <v>3829894690.6500001</v>
      </c>
      <c r="D7" s="473">
        <v>0.21576080442304391</v>
      </c>
    </row>
    <row r="8" spans="1:4" ht="31.5" customHeight="1" thickBot="1">
      <c r="A8" s="195">
        <v>215</v>
      </c>
      <c r="B8" s="453" t="s">
        <v>2472</v>
      </c>
      <c r="C8" s="211">
        <v>744587.36</v>
      </c>
      <c r="D8" s="473">
        <v>4.1947045737063073E-5</v>
      </c>
    </row>
    <row r="9" spans="1:4" ht="21.75" customHeight="1" thickBot="1">
      <c r="A9" s="195">
        <v>22</v>
      </c>
      <c r="B9" s="195" t="s">
        <v>2473</v>
      </c>
      <c r="C9" s="211">
        <v>944134336.49000001</v>
      </c>
      <c r="D9" s="473">
        <v>5.3188716760754207E-2</v>
      </c>
    </row>
    <row r="10" spans="1:4" ht="21.75" customHeight="1" thickBot="1">
      <c r="A10" s="195">
        <v>23</v>
      </c>
      <c r="B10" s="195" t="s">
        <v>328</v>
      </c>
      <c r="C10" s="211">
        <v>10153394.68</v>
      </c>
      <c r="D10" s="473">
        <v>5.7200126393283505E-4</v>
      </c>
    </row>
    <row r="11" spans="1:4" ht="21.75" customHeight="1" thickBot="1">
      <c r="A11" s="195">
        <v>24</v>
      </c>
      <c r="B11" s="195" t="s">
        <v>329</v>
      </c>
      <c r="C11" s="211">
        <v>47613526.399999999</v>
      </c>
      <c r="D11" s="473">
        <v>2.6823538471075574E-3</v>
      </c>
    </row>
    <row r="12" spans="1:4" ht="21.75" customHeight="1" thickBot="1">
      <c r="A12" s="195">
        <v>25</v>
      </c>
      <c r="B12" s="195" t="s">
        <v>330</v>
      </c>
      <c r="C12" s="211">
        <v>21173145.629999999</v>
      </c>
      <c r="D12" s="473">
        <v>1.1928095423740569E-3</v>
      </c>
    </row>
    <row r="13" spans="1:4" ht="21.75" customHeight="1" thickBot="1">
      <c r="A13" s="195">
        <v>26</v>
      </c>
      <c r="B13" s="195" t="s">
        <v>331</v>
      </c>
      <c r="C13" s="211">
        <v>484268323</v>
      </c>
      <c r="D13" s="473">
        <v>2.7281722179506019E-2</v>
      </c>
    </row>
    <row r="14" spans="1:4" s="459" customFormat="1" ht="47.25" customHeight="1" thickBot="1">
      <c r="A14" s="453">
        <v>27</v>
      </c>
      <c r="B14" s="453" t="s">
        <v>332</v>
      </c>
      <c r="C14" s="211">
        <v>7802099804.5900002</v>
      </c>
      <c r="D14" s="473">
        <v>0.43953880354384151</v>
      </c>
    </row>
    <row r="15" spans="1:4" s="459" customFormat="1" ht="21" customHeight="1" thickBot="1">
      <c r="A15" s="474">
        <v>270</v>
      </c>
      <c r="B15" s="475" t="s">
        <v>333</v>
      </c>
      <c r="C15" s="211">
        <v>5191050172.2600002</v>
      </c>
      <c r="D15" s="473">
        <v>0.29244280885882801</v>
      </c>
    </row>
    <row r="16" spans="1:4" ht="18.75" customHeight="1" thickBot="1">
      <c r="A16" s="469">
        <v>270.10000000000002</v>
      </c>
      <c r="B16" s="470" t="s">
        <v>334</v>
      </c>
      <c r="C16" s="211">
        <v>482116158.56999999</v>
      </c>
      <c r="D16" s="473">
        <v>2.7160477924461333E-2</v>
      </c>
    </row>
    <row r="17" spans="1:4" ht="31.5" customHeight="1" thickBot="1">
      <c r="A17" s="469">
        <v>270.2</v>
      </c>
      <c r="B17" s="475" t="s">
        <v>335</v>
      </c>
      <c r="C17" s="211">
        <v>37639719.990000002</v>
      </c>
      <c r="D17" s="473">
        <v>2.1204698612541277E-3</v>
      </c>
    </row>
    <row r="18" spans="1:4" ht="30.75" customHeight="1" thickBot="1">
      <c r="A18" s="469">
        <v>270.3</v>
      </c>
      <c r="B18" s="475" t="s">
        <v>336</v>
      </c>
      <c r="C18" s="211">
        <v>2380166.79</v>
      </c>
      <c r="D18" s="473">
        <v>1.3408898749230527E-4</v>
      </c>
    </row>
    <row r="19" spans="1:4" ht="18.75" customHeight="1" thickBot="1">
      <c r="A19" s="469">
        <v>271</v>
      </c>
      <c r="B19" s="470" t="s">
        <v>337</v>
      </c>
      <c r="C19" s="211">
        <v>100312334.92</v>
      </c>
      <c r="D19" s="473">
        <v>5.6511919580273682E-3</v>
      </c>
    </row>
    <row r="20" spans="1:4" ht="18.75" customHeight="1" thickBot="1">
      <c r="A20" s="469">
        <v>272</v>
      </c>
      <c r="B20" s="470" t="s">
        <v>338</v>
      </c>
      <c r="C20" s="211">
        <v>2050000</v>
      </c>
      <c r="D20" s="473">
        <v>1.1548872352732296E-4</v>
      </c>
    </row>
    <row r="21" spans="1:4" ht="18.75" customHeight="1" thickBot="1">
      <c r="A21" s="469">
        <v>273</v>
      </c>
      <c r="B21" s="470" t="s">
        <v>339</v>
      </c>
      <c r="C21" s="211">
        <v>1504168709.4200001</v>
      </c>
      <c r="D21" s="473">
        <v>8.4738792302759311E-2</v>
      </c>
    </row>
    <row r="22" spans="1:4" ht="18.75" customHeight="1" thickBot="1">
      <c r="A22" s="469">
        <v>273.10000000000002</v>
      </c>
      <c r="B22" s="470" t="s">
        <v>340</v>
      </c>
      <c r="C22" s="211">
        <v>255658730.28</v>
      </c>
      <c r="D22" s="473">
        <v>1.4402780692026025E-2</v>
      </c>
    </row>
    <row r="23" spans="1:4" ht="18.75" customHeight="1" thickBot="1">
      <c r="A23" s="469">
        <v>274</v>
      </c>
      <c r="B23" s="470" t="s">
        <v>341</v>
      </c>
      <c r="C23" s="211">
        <v>222990549.58000001</v>
      </c>
      <c r="D23" s="473">
        <v>1.2562387282756306E-2</v>
      </c>
    </row>
    <row r="24" spans="1:4" ht="18.75" customHeight="1" thickBot="1">
      <c r="A24" s="469">
        <v>279</v>
      </c>
      <c r="B24" s="470" t="s">
        <v>342</v>
      </c>
      <c r="C24" s="211">
        <v>3733262.78</v>
      </c>
      <c r="D24" s="473">
        <v>2.1031695270939762E-4</v>
      </c>
    </row>
    <row r="25" spans="1:4" ht="21.75" customHeight="1" thickBot="1">
      <c r="A25" s="195"/>
      <c r="B25" s="470" t="s">
        <v>343</v>
      </c>
      <c r="C25" s="211">
        <v>4097838306.98</v>
      </c>
      <c r="D25" s="473">
        <v>0.23085566599731047</v>
      </c>
    </row>
    <row r="26" spans="1:4" ht="21.75" customHeight="1" thickBot="1">
      <c r="A26" s="195">
        <v>28</v>
      </c>
      <c r="B26" s="461" t="s">
        <v>344</v>
      </c>
      <c r="C26" s="211">
        <v>16927983.210000001</v>
      </c>
      <c r="D26" s="473">
        <v>9.5365423064139288E-4</v>
      </c>
    </row>
    <row r="27" spans="1:4" ht="18.75" customHeight="1" thickBot="1">
      <c r="A27" s="469">
        <v>280</v>
      </c>
      <c r="B27" s="470" t="s">
        <v>345</v>
      </c>
      <c r="C27" s="211">
        <v>16927983.210000001</v>
      </c>
      <c r="D27" s="473">
        <v>9.5365423064139288E-4</v>
      </c>
    </row>
    <row r="28" spans="1:4" ht="18.75" customHeight="1" thickBot="1">
      <c r="A28" s="469">
        <v>281</v>
      </c>
      <c r="B28" s="470" t="s">
        <v>346</v>
      </c>
      <c r="C28" s="211">
        <v>0</v>
      </c>
      <c r="D28" s="473">
        <v>0</v>
      </c>
    </row>
    <row r="29" spans="1:4" ht="18.75" customHeight="1" thickBot="1">
      <c r="A29" s="469">
        <v>282</v>
      </c>
      <c r="B29" s="470" t="s">
        <v>347</v>
      </c>
      <c r="C29" s="211">
        <v>0</v>
      </c>
      <c r="D29" s="473">
        <v>0</v>
      </c>
    </row>
    <row r="30" spans="1:4" ht="21.75" customHeight="1" thickBot="1">
      <c r="A30" s="195">
        <v>29</v>
      </c>
      <c r="B30" s="461" t="s">
        <v>348</v>
      </c>
      <c r="C30" s="211">
        <v>4080910323.77</v>
      </c>
      <c r="D30" s="473">
        <v>0.22990201176666908</v>
      </c>
    </row>
    <row r="31" spans="1:4" ht="30" customHeight="1" thickBot="1">
      <c r="A31" s="469">
        <v>290</v>
      </c>
      <c r="B31" s="475" t="s">
        <v>349</v>
      </c>
      <c r="C31" s="211">
        <v>3159985122.8499999</v>
      </c>
      <c r="D31" s="473">
        <v>0.1780208040015987</v>
      </c>
    </row>
    <row r="32" spans="1:4" ht="30.75" customHeight="1" thickBot="1">
      <c r="A32" s="469">
        <v>290.5</v>
      </c>
      <c r="B32" s="475" t="s">
        <v>975</v>
      </c>
      <c r="C32" s="211">
        <v>22446597.77</v>
      </c>
      <c r="D32" s="473">
        <v>1.2645506946285631E-3</v>
      </c>
    </row>
    <row r="33" spans="1:4" ht="18.75" customHeight="1" thickBot="1">
      <c r="A33" s="469">
        <v>290.89999999999998</v>
      </c>
      <c r="B33" s="470" t="s">
        <v>350</v>
      </c>
      <c r="C33" s="211">
        <v>91939544.439999998</v>
      </c>
      <c r="D33" s="473">
        <v>5.1795027458825284E-3</v>
      </c>
    </row>
    <row r="34" spans="1:4" ht="18.75" customHeight="1" thickBot="1">
      <c r="A34" s="469">
        <v>291</v>
      </c>
      <c r="B34" s="470" t="s">
        <v>351</v>
      </c>
      <c r="C34" s="211">
        <v>464226441.42000002</v>
      </c>
      <c r="D34" s="473">
        <v>2.6152643486452378E-2</v>
      </c>
    </row>
    <row r="35" spans="1:4" ht="18.75" customHeight="1" thickBot="1">
      <c r="A35" s="469">
        <v>292</v>
      </c>
      <c r="B35" s="470" t="s">
        <v>352</v>
      </c>
      <c r="C35" s="211">
        <v>-34998327.159999996</v>
      </c>
      <c r="D35" s="473">
        <v>-1.9716644533170919E-3</v>
      </c>
    </row>
    <row r="36" spans="1:4" ht="18.75" customHeight="1" thickBot="1">
      <c r="A36" s="469">
        <v>293</v>
      </c>
      <c r="B36" s="470" t="s">
        <v>353</v>
      </c>
      <c r="C36" s="211">
        <v>377310944.45999998</v>
      </c>
      <c r="D36" s="473">
        <v>2.1256175291987343E-2</v>
      </c>
    </row>
    <row r="37" spans="1:4" ht="18.75" customHeight="1" thickBot="1">
      <c r="A37" s="469">
        <v>299</v>
      </c>
      <c r="B37" s="470" t="s">
        <v>354</v>
      </c>
      <c r="C37" s="211">
        <v>0</v>
      </c>
      <c r="D37" s="473">
        <v>0</v>
      </c>
    </row>
    <row r="38" spans="1:4" s="251" customFormat="1" ht="35.25" customHeight="1" thickBot="1">
      <c r="A38" s="197">
        <v>2</v>
      </c>
      <c r="B38" s="197" t="s">
        <v>355</v>
      </c>
      <c r="C38" s="258">
        <v>17750650776.869999</v>
      </c>
      <c r="D38" s="476">
        <v>1</v>
      </c>
    </row>
    <row r="39" spans="1:4" ht="19.5" customHeight="1">
      <c r="A39" s="201" t="s">
        <v>764</v>
      </c>
      <c r="B39" s="231"/>
      <c r="C39" s="219"/>
      <c r="D39" s="465"/>
    </row>
    <row r="41" spans="1:4">
      <c r="A41" s="2" t="s">
        <v>356</v>
      </c>
    </row>
    <row r="44" spans="1:4">
      <c r="A44" s="266" t="s">
        <v>711</v>
      </c>
    </row>
  </sheetData>
  <phoneticPr fontId="0" type="noConversion"/>
  <pageMargins left="0.62" right="0.69" top="0.85" bottom="0.49" header="0.47" footer="0.4921259845"/>
  <pageSetup paperSize="9" scale="77" orientation="portrait" horizontalDpi="1200" verticalDpi="1200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EB4D-5D69-B645-B766-1F32F2442DD9}">
  <sheetPr>
    <pageSetUpPr fitToPage="1"/>
  </sheetPr>
  <dimension ref="A1:D31"/>
  <sheetViews>
    <sheetView topLeftCell="A13" zoomScale="75" workbookViewId="0">
      <selection activeCell="C7" sqref="C7:C23"/>
    </sheetView>
  </sheetViews>
  <sheetFormatPr baseColWidth="10" defaultColWidth="11.3984375" defaultRowHeight="13"/>
  <cols>
    <col min="1" max="1" width="10.59765625" style="2" customWidth="1"/>
    <col min="2" max="2" width="60.796875" style="92" customWidth="1"/>
    <col min="3" max="3" width="17.19921875" style="7" customWidth="1"/>
    <col min="4" max="4" width="16.796875" style="467" customWidth="1"/>
    <col min="5" max="16384" width="11.3984375" style="2"/>
  </cols>
  <sheetData>
    <row r="1" spans="1:4" s="1" customFormat="1" ht="14" customHeight="1">
      <c r="B1" s="227"/>
      <c r="C1" s="240"/>
      <c r="D1" s="444"/>
    </row>
    <row r="2" spans="1:4" s="1" customFormat="1" ht="28" customHeight="1">
      <c r="A2" s="53" t="s">
        <v>987</v>
      </c>
      <c r="B2" s="227"/>
      <c r="C2" s="240"/>
      <c r="D2" s="428">
        <v>2008</v>
      </c>
    </row>
    <row r="3" spans="1:4" ht="39" customHeight="1">
      <c r="A3" s="178" t="s">
        <v>765</v>
      </c>
      <c r="B3" s="228"/>
      <c r="C3" s="208" t="s">
        <v>2354</v>
      </c>
      <c r="D3" s="446" t="s">
        <v>988</v>
      </c>
    </row>
    <row r="4" spans="1:4" ht="38" customHeight="1">
      <c r="A4" s="378"/>
      <c r="B4" s="379"/>
      <c r="C4" s="210" t="s">
        <v>768</v>
      </c>
      <c r="D4" s="447" t="s">
        <v>1845</v>
      </c>
    </row>
    <row r="5" spans="1:4" ht="39" customHeight="1" thickBot="1">
      <c r="A5" s="448">
        <v>17</v>
      </c>
      <c r="B5" s="468" t="s">
        <v>989</v>
      </c>
      <c r="C5" s="449"/>
      <c r="D5" s="450"/>
    </row>
    <row r="6" spans="1:4" ht="21.75" customHeight="1" thickBot="1">
      <c r="A6" s="469">
        <v>170</v>
      </c>
      <c r="B6" s="470" t="s">
        <v>2466</v>
      </c>
      <c r="C6" s="213"/>
      <c r="D6" s="229"/>
    </row>
    <row r="7" spans="1:4" ht="33.75" customHeight="1" thickBot="1">
      <c r="A7" s="451"/>
      <c r="B7" s="453" t="s">
        <v>990</v>
      </c>
      <c r="C7" s="213">
        <v>1920276800.6800001</v>
      </c>
      <c r="D7" s="229">
        <v>0.18553372050177708</v>
      </c>
    </row>
    <row r="8" spans="1:4" ht="18" customHeight="1" thickBot="1">
      <c r="A8" s="451"/>
      <c r="B8" s="453" t="s">
        <v>991</v>
      </c>
      <c r="C8" s="213">
        <v>7534487752.3000002</v>
      </c>
      <c r="D8" s="229">
        <v>0.72796877213965816</v>
      </c>
    </row>
    <row r="9" spans="1:4" ht="19.5" customHeight="1" thickBot="1">
      <c r="A9" s="451"/>
      <c r="B9" s="453" t="s">
        <v>992</v>
      </c>
      <c r="C9" s="213">
        <v>332262728.26999998</v>
      </c>
      <c r="D9" s="229">
        <v>3.2102632359133999E-2</v>
      </c>
    </row>
    <row r="10" spans="1:4" ht="28.5" customHeight="1" thickBot="1">
      <c r="A10" s="451"/>
      <c r="B10" s="453" t="s">
        <v>993</v>
      </c>
      <c r="C10" s="213">
        <v>0</v>
      </c>
      <c r="D10" s="229">
        <v>0</v>
      </c>
    </row>
    <row r="11" spans="1:4" ht="30.75" customHeight="1" thickBot="1">
      <c r="A11" s="451"/>
      <c r="B11" s="453" t="s">
        <v>994</v>
      </c>
      <c r="C11" s="213">
        <v>13680959</v>
      </c>
      <c r="D11" s="229">
        <v>1.3218298645296487E-3</v>
      </c>
    </row>
    <row r="12" spans="1:4" ht="21.75" customHeight="1" thickBot="1">
      <c r="A12" s="451"/>
      <c r="B12" s="195" t="s">
        <v>995</v>
      </c>
      <c r="C12" s="213">
        <v>285383638.24000001</v>
      </c>
      <c r="D12" s="229">
        <v>2.7573258268938416E-2</v>
      </c>
    </row>
    <row r="13" spans="1:4" ht="21.75" customHeight="1" thickBot="1">
      <c r="A13" s="457">
        <v>170</v>
      </c>
      <c r="B13" s="453" t="s">
        <v>164</v>
      </c>
      <c r="C13" s="471">
        <v>10086091878.48</v>
      </c>
      <c r="D13" s="229">
        <v>0.97450021313307111</v>
      </c>
    </row>
    <row r="14" spans="1:4" s="459" customFormat="1" ht="23.25" customHeight="1" thickBot="1">
      <c r="A14" s="451">
        <v>179</v>
      </c>
      <c r="B14" s="195" t="s">
        <v>996</v>
      </c>
      <c r="C14" s="213">
        <v>-735728788.92999995</v>
      </c>
      <c r="D14" s="229">
        <v>-7.1084803733561686E-2</v>
      </c>
    </row>
    <row r="15" spans="1:4" s="459" customFormat="1" ht="27.75" customHeight="1" thickBot="1">
      <c r="A15" s="461">
        <v>17</v>
      </c>
      <c r="B15" s="461" t="s">
        <v>997</v>
      </c>
      <c r="C15" s="280">
        <v>9350363089.5499992</v>
      </c>
      <c r="D15" s="450">
        <v>0.90341540939950937</v>
      </c>
    </row>
    <row r="16" spans="1:4" ht="24.75" customHeight="1" thickBot="1">
      <c r="A16" s="456">
        <v>18</v>
      </c>
      <c r="B16" s="458" t="s">
        <v>998</v>
      </c>
      <c r="C16" s="213" t="s">
        <v>2467</v>
      </c>
      <c r="D16" s="229"/>
    </row>
    <row r="17" spans="1:4" ht="16.5" customHeight="1" thickBot="1">
      <c r="A17" s="451">
        <v>180</v>
      </c>
      <c r="B17" s="453" t="s">
        <v>999</v>
      </c>
      <c r="C17" s="213">
        <v>133454802.77</v>
      </c>
      <c r="D17" s="229">
        <v>1.2894165084940323E-2</v>
      </c>
    </row>
    <row r="18" spans="1:4" ht="22.5" customHeight="1" thickBot="1">
      <c r="A18" s="451"/>
      <c r="B18" s="453" t="s">
        <v>1000</v>
      </c>
      <c r="C18" s="213">
        <v>488358260.25</v>
      </c>
      <c r="D18" s="229">
        <v>4.7184304330434176E-2</v>
      </c>
    </row>
    <row r="19" spans="1:4" ht="18.75" customHeight="1" thickBot="1">
      <c r="A19" s="451"/>
      <c r="B19" s="195" t="s">
        <v>2459</v>
      </c>
      <c r="C19" s="213">
        <v>843726636.70000005</v>
      </c>
      <c r="D19" s="229">
        <v>8.1519363217828308E-2</v>
      </c>
    </row>
    <row r="20" spans="1:4" ht="18.75" customHeight="1" thickBot="1">
      <c r="A20" s="451">
        <v>180</v>
      </c>
      <c r="B20" s="195" t="s">
        <v>164</v>
      </c>
      <c r="C20" s="213">
        <v>1465539699.72</v>
      </c>
      <c r="D20" s="229">
        <v>0.1415978326332028</v>
      </c>
    </row>
    <row r="21" spans="1:4" ht="21" customHeight="1" thickBot="1">
      <c r="A21" s="451">
        <v>189</v>
      </c>
      <c r="B21" s="195" t="s">
        <v>2460</v>
      </c>
      <c r="C21" s="213">
        <v>-465887732.77999997</v>
      </c>
      <c r="D21" s="229">
        <v>-4.5013242032712217E-2</v>
      </c>
    </row>
    <row r="22" spans="1:4" ht="30.75" customHeight="1" thickBot="1">
      <c r="A22" s="461">
        <v>18</v>
      </c>
      <c r="B22" s="461" t="s">
        <v>2461</v>
      </c>
      <c r="C22" s="280">
        <v>999651966.94000006</v>
      </c>
      <c r="D22" s="450">
        <v>9.6584590600490586E-2</v>
      </c>
    </row>
    <row r="23" spans="1:4" ht="39" customHeight="1" thickBot="1">
      <c r="A23" s="463" t="s">
        <v>2462</v>
      </c>
      <c r="B23" s="464" t="s">
        <v>2463</v>
      </c>
      <c r="C23" s="215">
        <v>10350015056.49</v>
      </c>
      <c r="D23" s="230">
        <v>1</v>
      </c>
    </row>
    <row r="24" spans="1:4" ht="19.5" customHeight="1">
      <c r="A24" s="201" t="s">
        <v>764</v>
      </c>
      <c r="B24" s="231"/>
      <c r="C24" s="253"/>
      <c r="D24" s="465"/>
    </row>
    <row r="25" spans="1:4" ht="14.25" customHeight="1">
      <c r="A25" s="202"/>
      <c r="B25" s="232"/>
      <c r="C25" s="254"/>
      <c r="D25" s="466"/>
    </row>
    <row r="26" spans="1:4" ht="14.25" customHeight="1">
      <c r="A26" s="202" t="s">
        <v>2464</v>
      </c>
      <c r="B26" s="232"/>
      <c r="C26" s="254"/>
      <c r="D26" s="466"/>
    </row>
    <row r="28" spans="1:4">
      <c r="A28" s="2" t="s">
        <v>2465</v>
      </c>
    </row>
    <row r="31" spans="1:4">
      <c r="A31" s="266" t="s">
        <v>711</v>
      </c>
    </row>
  </sheetData>
  <phoneticPr fontId="0" type="noConversion"/>
  <pageMargins left="0.78740157480314965" right="0.83" top="0.92" bottom="0.49" header="0.53" footer="0.4921259845"/>
  <pageSetup paperSize="9" scale="81" orientation="portrait" horizontalDpi="1200" verticalDpi="1200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1379-14EF-3C41-8AE4-AC0AFD498545}">
  <sheetPr>
    <pageSetUpPr fitToPage="1"/>
  </sheetPr>
  <dimension ref="A1:D27"/>
  <sheetViews>
    <sheetView topLeftCell="A3" zoomScale="75" workbookViewId="0">
      <selection activeCell="A3" sqref="A3"/>
    </sheetView>
  </sheetViews>
  <sheetFormatPr baseColWidth="10" defaultColWidth="11.3984375" defaultRowHeight="13"/>
  <cols>
    <col min="1" max="1" width="10.59765625" style="2" customWidth="1"/>
    <col min="2" max="2" width="60.796875" style="92" customWidth="1"/>
    <col min="3" max="3" width="18.59765625" style="7" customWidth="1"/>
    <col min="4" max="4" width="18.3984375" style="467" customWidth="1"/>
    <col min="5" max="16384" width="11.3984375" style="2"/>
  </cols>
  <sheetData>
    <row r="1" spans="1:4" s="1" customFormat="1" ht="14" customHeight="1">
      <c r="B1" s="227"/>
      <c r="C1" s="240"/>
      <c r="D1" s="444"/>
    </row>
    <row r="2" spans="1:4" s="1" customFormat="1" ht="28" customHeight="1">
      <c r="A2" s="53" t="s">
        <v>2353</v>
      </c>
      <c r="B2" s="227"/>
      <c r="C2" s="240"/>
      <c r="D2" s="428">
        <v>2008</v>
      </c>
    </row>
    <row r="3" spans="1:4" ht="27.75" customHeight="1">
      <c r="A3" s="178"/>
      <c r="B3" s="228"/>
      <c r="C3" s="445" t="s">
        <v>2354</v>
      </c>
      <c r="D3" s="446" t="s">
        <v>2354</v>
      </c>
    </row>
    <row r="4" spans="1:4" ht="27.75" customHeight="1">
      <c r="A4" s="378"/>
      <c r="B4" s="379"/>
      <c r="C4" s="246" t="s">
        <v>768</v>
      </c>
      <c r="D4" s="447" t="s">
        <v>768</v>
      </c>
    </row>
    <row r="5" spans="1:4" ht="33" customHeight="1" thickBot="1">
      <c r="A5" s="448"/>
      <c r="B5" s="448" t="s">
        <v>2355</v>
      </c>
      <c r="C5" s="449"/>
      <c r="D5" s="450"/>
    </row>
    <row r="6" spans="1:4" ht="21.75" customHeight="1" thickBot="1">
      <c r="A6" s="451">
        <v>800</v>
      </c>
      <c r="B6" s="195" t="s">
        <v>2356</v>
      </c>
      <c r="C6" s="213" t="s">
        <v>1060</v>
      </c>
      <c r="D6" s="452">
        <v>11242632.449999999</v>
      </c>
    </row>
    <row r="7" spans="1:4" ht="23.25" customHeight="1" thickBot="1">
      <c r="A7" s="451">
        <v>800</v>
      </c>
      <c r="B7" s="453" t="s">
        <v>2357</v>
      </c>
      <c r="C7" s="213">
        <v>754046371.79999995</v>
      </c>
      <c r="D7" s="452" t="s">
        <v>1060</v>
      </c>
    </row>
    <row r="8" spans="1:4" ht="46.5" customHeight="1" thickBot="1">
      <c r="A8" s="451"/>
      <c r="B8" s="195"/>
      <c r="C8" s="454" t="s">
        <v>2358</v>
      </c>
      <c r="D8" s="455" t="s">
        <v>2359</v>
      </c>
    </row>
    <row r="9" spans="1:4" ht="26.25" customHeight="1" thickBot="1">
      <c r="A9" s="451"/>
      <c r="B9" s="456" t="s">
        <v>2360</v>
      </c>
      <c r="C9" s="213"/>
      <c r="D9" s="452"/>
    </row>
    <row r="10" spans="1:4" ht="21.75" customHeight="1" thickBot="1">
      <c r="A10" s="451">
        <v>280</v>
      </c>
      <c r="B10" s="453" t="s">
        <v>2361</v>
      </c>
      <c r="C10" s="213">
        <v>0</v>
      </c>
      <c r="D10" s="382">
        <v>6398946.7999999998</v>
      </c>
    </row>
    <row r="11" spans="1:4" ht="24" customHeight="1" thickBot="1">
      <c r="A11" s="451">
        <v>281</v>
      </c>
      <c r="B11" s="453" t="s">
        <v>2362</v>
      </c>
      <c r="C11" s="213">
        <v>0</v>
      </c>
      <c r="D11" s="382">
        <v>0</v>
      </c>
    </row>
    <row r="12" spans="1:4" ht="21.75" customHeight="1" thickBot="1">
      <c r="A12" s="451">
        <v>282</v>
      </c>
      <c r="B12" s="195" t="s">
        <v>2363</v>
      </c>
      <c r="C12" s="213">
        <v>0</v>
      </c>
      <c r="D12" s="382">
        <v>0</v>
      </c>
    </row>
    <row r="13" spans="1:4" ht="28.5" customHeight="1" thickBot="1">
      <c r="A13" s="457"/>
      <c r="B13" s="458" t="s">
        <v>2364</v>
      </c>
      <c r="C13" s="213"/>
      <c r="D13" s="382"/>
    </row>
    <row r="14" spans="1:4" s="459" customFormat="1" ht="24.75" customHeight="1" thickBot="1">
      <c r="A14" s="451">
        <v>290</v>
      </c>
      <c r="B14" s="453" t="s">
        <v>2365</v>
      </c>
      <c r="C14" s="213">
        <v>-100255694.59999999</v>
      </c>
      <c r="D14" s="382">
        <v>649208976.61000001</v>
      </c>
    </row>
    <row r="15" spans="1:4" s="459" customFormat="1" ht="30.75" customHeight="1" thickBot="1">
      <c r="A15" s="451">
        <v>290.5</v>
      </c>
      <c r="B15" s="453" t="s">
        <v>975</v>
      </c>
      <c r="C15" s="213">
        <v>3570281.15</v>
      </c>
      <c r="D15" s="382">
        <v>3927694.12</v>
      </c>
    </row>
    <row r="16" spans="1:4" ht="25.5" customHeight="1" thickBot="1">
      <c r="A16" s="451">
        <v>291</v>
      </c>
      <c r="B16" s="453" t="s">
        <v>976</v>
      </c>
      <c r="C16" s="213">
        <v>28273743.379999999</v>
      </c>
      <c r="D16" s="382">
        <v>1223739.03</v>
      </c>
    </row>
    <row r="17" spans="1:4" ht="24" customHeight="1" thickBot="1">
      <c r="A17" s="451">
        <v>292</v>
      </c>
      <c r="B17" s="453" t="s">
        <v>977</v>
      </c>
      <c r="C17" s="213">
        <v>1536799.07</v>
      </c>
      <c r="D17" s="382">
        <v>29002969.949999999</v>
      </c>
    </row>
    <row r="18" spans="1:4" ht="22.5" customHeight="1" thickBot="1">
      <c r="A18" s="451">
        <v>293</v>
      </c>
      <c r="B18" s="453" t="s">
        <v>978</v>
      </c>
      <c r="C18" s="213">
        <v>15767546.460000001</v>
      </c>
      <c r="D18" s="382">
        <v>1934088.26</v>
      </c>
    </row>
    <row r="19" spans="1:4" ht="13.5" customHeight="1" thickBot="1">
      <c r="A19" s="451"/>
      <c r="B19" s="195"/>
      <c r="C19" s="213"/>
      <c r="D19" s="382"/>
    </row>
    <row r="20" spans="1:4" s="217" customFormat="1" ht="33" customHeight="1" thickBot="1">
      <c r="A20" s="460"/>
      <c r="B20" s="461" t="s">
        <v>979</v>
      </c>
      <c r="C20" s="280">
        <v>702939047.25999999</v>
      </c>
      <c r="D20" s="462">
        <v>702939047.22000003</v>
      </c>
    </row>
    <row r="21" spans="1:4" ht="2.25" customHeight="1" thickBot="1">
      <c r="A21" s="463"/>
      <c r="B21" s="464"/>
      <c r="C21" s="215"/>
      <c r="D21" s="230"/>
    </row>
    <row r="22" spans="1:4" ht="19.5" customHeight="1">
      <c r="A22" s="201" t="s">
        <v>764</v>
      </c>
      <c r="B22" s="231"/>
      <c r="C22" s="253"/>
      <c r="D22" s="465"/>
    </row>
    <row r="23" spans="1:4" ht="14.25" customHeight="1">
      <c r="A23" s="202"/>
      <c r="B23" s="232"/>
      <c r="C23" s="254"/>
      <c r="D23" s="466"/>
    </row>
    <row r="24" spans="1:4">
      <c r="A24" s="2" t="s">
        <v>980</v>
      </c>
    </row>
    <row r="27" spans="1:4">
      <c r="A27" s="266" t="s">
        <v>711</v>
      </c>
    </row>
  </sheetData>
  <phoneticPr fontId="0" type="noConversion"/>
  <pageMargins left="0.78740157480314965" right="0.78740157480314965" top="1.05" bottom="0.49" header="0.56000000000000005" footer="0.4921259845"/>
  <pageSetup paperSize="9" scale="80" orientation="portrait" horizontalDpi="1200" verticalDpi="1200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DE71-6545-144A-8A2E-AE5FB916F74A}">
  <sheetPr>
    <pageSetUpPr fitToPage="1"/>
  </sheetPr>
  <dimension ref="A1:L17"/>
  <sheetViews>
    <sheetView zoomScale="75" workbookViewId="0">
      <selection activeCell="D19" sqref="D19"/>
    </sheetView>
  </sheetViews>
  <sheetFormatPr baseColWidth="10" defaultColWidth="11.3984375" defaultRowHeight="13"/>
  <cols>
    <col min="1" max="1" width="37.796875" style="2" customWidth="1"/>
    <col min="2" max="2" width="16.796875" style="2" customWidth="1"/>
    <col min="3" max="3" width="17.3984375" style="2" customWidth="1"/>
    <col min="4" max="4" width="18.19921875" style="2" customWidth="1"/>
    <col min="5" max="5" width="15.59765625" style="2" customWidth="1"/>
    <col min="6" max="7" width="12.796875" style="2" customWidth="1"/>
    <col min="8" max="8" width="13.796875" style="467" customWidth="1"/>
    <col min="9" max="16384" width="11.3984375" style="2"/>
  </cols>
  <sheetData>
    <row r="1" spans="1:12" s="1" customFormat="1" ht="14" customHeight="1">
      <c r="H1" s="444"/>
    </row>
    <row r="2" spans="1:12" s="1" customFormat="1" ht="28" customHeight="1">
      <c r="A2" s="53" t="s">
        <v>2230</v>
      </c>
      <c r="B2" s="53"/>
      <c r="D2" s="428"/>
      <c r="E2" s="428">
        <v>2008</v>
      </c>
    </row>
    <row r="3" spans="1:12" ht="24" customHeight="1">
      <c r="A3" s="178"/>
      <c r="B3" s="653"/>
      <c r="C3" s="178"/>
      <c r="D3" s="654"/>
      <c r="E3" s="899"/>
      <c r="F3"/>
      <c r="G3"/>
      <c r="H3"/>
    </row>
    <row r="4" spans="1:12" ht="15" customHeight="1">
      <c r="A4" s="274"/>
      <c r="B4" s="655" t="s">
        <v>2231</v>
      </c>
      <c r="C4" s="656" t="s">
        <v>2232</v>
      </c>
      <c r="D4" s="906" t="s">
        <v>2233</v>
      </c>
      <c r="E4" s="900" t="s">
        <v>1356</v>
      </c>
      <c r="F4"/>
      <c r="G4"/>
      <c r="H4"/>
    </row>
    <row r="5" spans="1:12" ht="17.25" customHeight="1">
      <c r="A5" s="274"/>
      <c r="B5" s="182"/>
      <c r="C5" s="183"/>
      <c r="D5" s="906" t="s">
        <v>852</v>
      </c>
      <c r="E5" s="901" t="s">
        <v>2474</v>
      </c>
      <c r="F5"/>
      <c r="G5"/>
      <c r="H5"/>
    </row>
    <row r="6" spans="1:12" ht="24" customHeight="1">
      <c r="A6" s="275"/>
      <c r="B6" s="188"/>
      <c r="C6" s="187"/>
      <c r="D6" s="658"/>
      <c r="E6" s="902" t="s">
        <v>850</v>
      </c>
      <c r="F6"/>
      <c r="G6"/>
      <c r="H6"/>
    </row>
    <row r="7" spans="1:12" ht="29.25" customHeight="1" thickBot="1">
      <c r="A7" s="406" t="s">
        <v>2234</v>
      </c>
      <c r="B7" s="407">
        <v>9807.91</v>
      </c>
      <c r="C7" s="408">
        <v>11982.43</v>
      </c>
      <c r="D7" s="659">
        <v>578.09929999999997</v>
      </c>
      <c r="E7" s="903">
        <v>87494.52836879433</v>
      </c>
      <c r="F7"/>
      <c r="G7"/>
      <c r="H7"/>
      <c r="J7" s="8"/>
      <c r="K7" s="8"/>
      <c r="L7" s="8"/>
    </row>
    <row r="8" spans="1:12" ht="27.75" customHeight="1" thickBot="1">
      <c r="A8" s="478" t="s">
        <v>2237</v>
      </c>
      <c r="B8" s="660">
        <v>542.97</v>
      </c>
      <c r="C8" s="661">
        <v>630.20000000000005</v>
      </c>
      <c r="D8" s="662">
        <v>61.971699999999998</v>
      </c>
      <c r="E8" s="904">
        <v>150903.96050356733</v>
      </c>
      <c r="F8" s="265"/>
      <c r="G8" s="265"/>
      <c r="H8" s="265"/>
    </row>
    <row r="9" spans="1:12" ht="20.25" customHeight="1">
      <c r="A9" s="201" t="s">
        <v>764</v>
      </c>
      <c r="B9" s="201"/>
      <c r="C9" s="201"/>
      <c r="D9" s="201"/>
      <c r="E9" s="202"/>
      <c r="F9" s="202"/>
      <c r="G9" s="202"/>
      <c r="H9" s="466"/>
    </row>
    <row r="10" spans="1:12" ht="14.25" customHeight="1">
      <c r="A10" s="202"/>
      <c r="B10" s="202"/>
      <c r="C10" s="202"/>
      <c r="D10" s="202"/>
      <c r="E10" s="202"/>
      <c r="F10" s="202"/>
      <c r="G10" s="202"/>
      <c r="H10" s="466"/>
    </row>
    <row r="11" spans="1:12">
      <c r="A11" s="2" t="s">
        <v>2235</v>
      </c>
    </row>
    <row r="12" spans="1:12">
      <c r="A12" s="905" t="s">
        <v>851</v>
      </c>
    </row>
    <row r="14" spans="1:12">
      <c r="A14" s="2" t="s">
        <v>2236</v>
      </c>
    </row>
    <row r="17" spans="1:1">
      <c r="A17" s="2" t="s">
        <v>711</v>
      </c>
    </row>
  </sheetData>
  <phoneticPr fontId="0" type="noConversion"/>
  <pageMargins left="0.69" right="0.69" top="1.03" bottom="0.49" header="0.61" footer="0.4921259845"/>
  <pageSetup paperSize="9" scale="83" orientation="portrait" horizontalDpi="4294967292" verticalDpi="4294967292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1D30-7BF2-B440-AB96-D0EAA1DEECE1}">
  <sheetPr>
    <pageSetUpPr fitToPage="1"/>
  </sheetPr>
  <dimension ref="A1:B27"/>
  <sheetViews>
    <sheetView topLeftCell="A10" workbookViewId="0">
      <selection activeCell="B18" sqref="B18"/>
    </sheetView>
  </sheetViews>
  <sheetFormatPr baseColWidth="10" defaultColWidth="11.3984375" defaultRowHeight="13"/>
  <cols>
    <col min="1" max="1" width="5.59765625" style="152" customWidth="1"/>
    <col min="2" max="8" width="11.3984375" style="152"/>
    <col min="9" max="9" width="10.796875" style="152" customWidth="1"/>
    <col min="10" max="10" width="7.59765625" style="152" customWidth="1"/>
    <col min="11" max="16384" width="11.3984375" style="152"/>
  </cols>
  <sheetData>
    <row r="1" spans="1:2" ht="16">
      <c r="A1" s="151" t="s">
        <v>71</v>
      </c>
    </row>
    <row r="2" spans="1:2" ht="16">
      <c r="A2" s="153"/>
    </row>
    <row r="3" spans="1:2">
      <c r="A3" s="154">
        <v>9.01</v>
      </c>
      <c r="B3" s="155" t="s">
        <v>128</v>
      </c>
    </row>
    <row r="4" spans="1:2">
      <c r="A4" s="154">
        <v>9.02</v>
      </c>
      <c r="B4" s="155" t="s">
        <v>129</v>
      </c>
    </row>
    <row r="5" spans="1:2">
      <c r="A5" s="154">
        <v>9.0299999999999994</v>
      </c>
      <c r="B5" s="155" t="s">
        <v>130</v>
      </c>
    </row>
    <row r="6" spans="1:2">
      <c r="A6" s="154">
        <v>9.0399999999999991</v>
      </c>
      <c r="B6" s="155" t="s">
        <v>131</v>
      </c>
    </row>
    <row r="7" spans="1:2">
      <c r="A7" s="154">
        <v>9.0500000000000007</v>
      </c>
      <c r="B7" s="155" t="s">
        <v>132</v>
      </c>
    </row>
    <row r="8" spans="1:2">
      <c r="A8" s="154">
        <v>9.06</v>
      </c>
      <c r="B8" s="155" t="s">
        <v>133</v>
      </c>
    </row>
    <row r="9" spans="1:2">
      <c r="A9" s="154">
        <v>9.07</v>
      </c>
      <c r="B9" s="155" t="s">
        <v>134</v>
      </c>
    </row>
    <row r="10" spans="1:2">
      <c r="A10" s="154">
        <v>9.08</v>
      </c>
      <c r="B10" s="155" t="s">
        <v>135</v>
      </c>
    </row>
    <row r="11" spans="1:2">
      <c r="A11" s="154">
        <v>9.09</v>
      </c>
      <c r="B11" s="155" t="s">
        <v>2492</v>
      </c>
    </row>
    <row r="12" spans="1:2">
      <c r="A12" s="154">
        <v>9.1</v>
      </c>
      <c r="B12" s="155" t="s">
        <v>136</v>
      </c>
    </row>
    <row r="13" spans="1:2">
      <c r="A13" s="154">
        <v>9.11</v>
      </c>
      <c r="B13" s="155" t="s">
        <v>137</v>
      </c>
    </row>
    <row r="14" spans="1:2">
      <c r="A14" s="154">
        <v>9.1199999999999992</v>
      </c>
      <c r="B14" s="155" t="s">
        <v>138</v>
      </c>
    </row>
    <row r="15" spans="1:2">
      <c r="A15" s="154">
        <v>9.1300000000000008</v>
      </c>
      <c r="B15" s="155" t="s">
        <v>139</v>
      </c>
    </row>
    <row r="16" spans="1:2">
      <c r="A16" s="154">
        <v>9.14</v>
      </c>
      <c r="B16" s="563" t="s">
        <v>127</v>
      </c>
    </row>
    <row r="17" spans="1:2">
      <c r="A17" s="154">
        <v>9.15</v>
      </c>
      <c r="B17" s="156" t="s">
        <v>140</v>
      </c>
    </row>
    <row r="18" spans="1:2">
      <c r="A18" s="1314">
        <v>9.16</v>
      </c>
      <c r="B18" s="1315" t="s">
        <v>145</v>
      </c>
    </row>
    <row r="19" spans="1:2">
      <c r="A19" s="154">
        <v>9.17</v>
      </c>
      <c r="B19" s="155" t="s">
        <v>141</v>
      </c>
    </row>
    <row r="20" spans="1:2">
      <c r="A20" s="154">
        <v>9.18</v>
      </c>
      <c r="B20" s="155" t="s">
        <v>142</v>
      </c>
    </row>
    <row r="21" spans="1:2">
      <c r="A21" s="154">
        <v>9.19</v>
      </c>
      <c r="B21" s="155" t="s">
        <v>143</v>
      </c>
    </row>
    <row r="22" spans="1:2">
      <c r="A22" s="154">
        <v>9.1999999999999993</v>
      </c>
      <c r="B22" s="155" t="s">
        <v>144</v>
      </c>
    </row>
    <row r="23" spans="1:2">
      <c r="A23" s="154">
        <v>9.2100000000000009</v>
      </c>
      <c r="B23" s="156" t="s">
        <v>1058</v>
      </c>
    </row>
    <row r="26" spans="1:2">
      <c r="A26" s="157" t="s">
        <v>711</v>
      </c>
    </row>
    <row r="27" spans="1:2">
      <c r="B27" s="158"/>
    </row>
  </sheetData>
  <phoneticPr fontId="30" type="noConversion"/>
  <pageMargins left="0.46" right="0.3" top="0.78" bottom="0.984251969" header="0.34" footer="0.4921259845"/>
  <pageSetup paperSize="9" orientation="portrait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64A7-55F0-D443-A6EA-07ED142D4B56}">
  <sheetPr>
    <pageSetUpPr fitToPage="1"/>
  </sheetPr>
  <dimension ref="A1:J44"/>
  <sheetViews>
    <sheetView zoomScale="75" workbookViewId="0">
      <selection activeCell="I19" sqref="I19"/>
    </sheetView>
  </sheetViews>
  <sheetFormatPr baseColWidth="10" defaultColWidth="11.3984375" defaultRowHeight="13"/>
  <cols>
    <col min="1" max="1" width="15.796875" style="2" customWidth="1"/>
    <col min="2" max="7" width="15.796875" style="225" customWidth="1"/>
    <col min="8" max="16384" width="11.3984375" style="2"/>
  </cols>
  <sheetData>
    <row r="1" spans="1:7" s="1" customFormat="1" ht="14" customHeight="1">
      <c r="A1" s="360"/>
      <c r="B1" s="1193"/>
      <c r="C1" s="1193"/>
      <c r="D1" s="1193"/>
      <c r="E1" s="1193"/>
      <c r="F1" s="1193"/>
      <c r="G1" s="1193"/>
    </row>
    <row r="2" spans="1:7" s="1" customFormat="1" ht="38.25" customHeight="1">
      <c r="A2" s="2023" t="s">
        <v>2518</v>
      </c>
      <c r="B2" s="2021"/>
      <c r="C2" s="2021"/>
      <c r="D2" s="2021"/>
      <c r="E2" s="2021"/>
      <c r="F2" s="2021"/>
      <c r="G2" s="428"/>
    </row>
    <row r="3" spans="1:7" ht="27" customHeight="1">
      <c r="A3" s="178" t="s">
        <v>821</v>
      </c>
      <c r="B3" s="179" t="s">
        <v>1145</v>
      </c>
      <c r="C3" s="180" t="s">
        <v>1130</v>
      </c>
      <c r="D3" s="179" t="s">
        <v>833</v>
      </c>
      <c r="E3" s="180" t="s">
        <v>1132</v>
      </c>
      <c r="F3" s="179" t="s">
        <v>833</v>
      </c>
      <c r="G3" s="180" t="s">
        <v>1133</v>
      </c>
    </row>
    <row r="4" spans="1:7" ht="15" customHeight="1">
      <c r="A4" s="274"/>
      <c r="B4" s="436"/>
      <c r="C4" s="920" t="s">
        <v>2302</v>
      </c>
      <c r="D4" s="182" t="s">
        <v>1151</v>
      </c>
      <c r="E4" s="183" t="s">
        <v>1134</v>
      </c>
      <c r="F4" s="182" t="s">
        <v>1135</v>
      </c>
      <c r="G4" s="183"/>
    </row>
    <row r="5" spans="1:7" ht="15" customHeight="1">
      <c r="A5" s="274"/>
      <c r="B5" s="182"/>
      <c r="C5" s="183" t="s">
        <v>1146</v>
      </c>
      <c r="D5" s="182" t="s">
        <v>1152</v>
      </c>
      <c r="E5" s="920" t="s">
        <v>1147</v>
      </c>
      <c r="F5" s="436" t="s">
        <v>1137</v>
      </c>
      <c r="G5" s="183"/>
    </row>
    <row r="6" spans="1:7" ht="25.5" customHeight="1">
      <c r="A6" s="378"/>
      <c r="B6" s="412"/>
      <c r="C6" s="187"/>
      <c r="D6" s="188" t="s">
        <v>2519</v>
      </c>
      <c r="E6" s="187"/>
      <c r="F6" s="188" t="s">
        <v>1149</v>
      </c>
      <c r="G6" s="413"/>
    </row>
    <row r="7" spans="1:7" ht="1.5" customHeight="1" thickBot="1">
      <c r="A7" s="437">
        <v>1996</v>
      </c>
      <c r="B7" s="497">
        <v>5976.68608119694</v>
      </c>
      <c r="C7" s="277">
        <v>2694.5104040117299</v>
      </c>
      <c r="D7" s="497">
        <v>2760.27</v>
      </c>
      <c r="E7" s="277">
        <v>25676.809374727298</v>
      </c>
      <c r="F7" s="497">
        <v>360.34572496402706</v>
      </c>
      <c r="G7" s="277">
        <v>37468.621584899993</v>
      </c>
    </row>
    <row r="8" spans="1:7" ht="18" hidden="1" customHeight="1" thickBot="1">
      <c r="A8" s="438">
        <v>1997</v>
      </c>
      <c r="B8" s="499">
        <v>5920.5324887865727</v>
      </c>
      <c r="C8" s="501">
        <v>2815.7448411451096</v>
      </c>
      <c r="D8" s="499">
        <v>3024.94</v>
      </c>
      <c r="E8" s="501">
        <v>26081.24258388106</v>
      </c>
      <c r="F8" s="499">
        <v>367.4485025408178</v>
      </c>
      <c r="G8" s="501">
        <v>38209.908416353559</v>
      </c>
    </row>
    <row r="9" spans="1:7" ht="18" customHeight="1" thickBot="1">
      <c r="A9" s="438">
        <v>1998</v>
      </c>
      <c r="B9" s="499">
        <v>5989.0401962979158</v>
      </c>
      <c r="C9" s="501">
        <v>2973.2056398412365</v>
      </c>
      <c r="D9" s="499">
        <v>3270.2</v>
      </c>
      <c r="E9" s="501">
        <v>27207.284732536304</v>
      </c>
      <c r="F9" s="499">
        <v>375.28251008174266</v>
      </c>
      <c r="G9" s="501">
        <v>39815.013078757198</v>
      </c>
    </row>
    <row r="10" spans="1:7" ht="18" customHeight="1" thickBot="1">
      <c r="A10" s="438">
        <v>1999</v>
      </c>
      <c r="B10" s="499">
        <v>6272.8466267392196</v>
      </c>
      <c r="C10" s="501">
        <v>3109.7236465190003</v>
      </c>
      <c r="D10" s="499">
        <v>3620.5</v>
      </c>
      <c r="E10" s="501">
        <v>27712.672600594233</v>
      </c>
      <c r="F10" s="499">
        <v>388.70889016736157</v>
      </c>
      <c r="G10" s="501">
        <v>41104.451764019817</v>
      </c>
    </row>
    <row r="11" spans="1:7" ht="18" customHeight="1" thickBot="1">
      <c r="A11" s="438">
        <v>2000</v>
      </c>
      <c r="B11" s="499">
        <v>6460.9578247170593</v>
      </c>
      <c r="C11" s="501">
        <v>3228.4015641373426</v>
      </c>
      <c r="D11" s="499">
        <v>3725.7</v>
      </c>
      <c r="E11" s="501">
        <v>29007.70945802291</v>
      </c>
      <c r="F11" s="499">
        <v>420.16510495683002</v>
      </c>
      <c r="G11" s="501">
        <v>42842.933951834144</v>
      </c>
    </row>
    <row r="12" spans="1:7" ht="18" customHeight="1" thickBot="1">
      <c r="A12" s="438">
        <v>2001</v>
      </c>
      <c r="B12" s="499">
        <v>7635.1420797467763</v>
      </c>
      <c r="C12" s="501">
        <v>3420.9561673120697</v>
      </c>
      <c r="D12" s="499">
        <v>3837.6</v>
      </c>
      <c r="E12" s="501">
        <v>30236.407469645612</v>
      </c>
      <c r="F12" s="499">
        <v>442.73533222173643</v>
      </c>
      <c r="G12" s="501">
        <v>45572.841048926202</v>
      </c>
    </row>
    <row r="13" spans="1:7" ht="18" customHeight="1" thickBot="1">
      <c r="A13" s="438">
        <v>2002</v>
      </c>
      <c r="B13" s="499">
        <v>8429.5101580943574</v>
      </c>
      <c r="C13" s="501">
        <v>3447.3545767100568</v>
      </c>
      <c r="D13" s="499">
        <v>4062.6</v>
      </c>
      <c r="E13" s="501">
        <v>30992.856823335846</v>
      </c>
      <c r="F13" s="499">
        <v>456.31192849787288</v>
      </c>
      <c r="G13" s="501">
        <v>47388.633486638137</v>
      </c>
    </row>
    <row r="14" spans="1:7" ht="18" customHeight="1" thickBot="1">
      <c r="A14" s="438">
        <v>2003</v>
      </c>
      <c r="B14" s="499">
        <v>8778.10319716105</v>
      </c>
      <c r="C14" s="501">
        <v>3663.0755838507671</v>
      </c>
      <c r="D14" s="499">
        <v>4268.5</v>
      </c>
      <c r="E14" s="501">
        <v>32093.321909615661</v>
      </c>
      <c r="F14" s="499">
        <v>462.16066224325607</v>
      </c>
      <c r="G14" s="501">
        <v>49265.161352870738</v>
      </c>
    </row>
    <row r="15" spans="1:7" ht="18" customHeight="1" thickBot="1">
      <c r="A15" s="438">
        <v>2004</v>
      </c>
      <c r="B15" s="499">
        <v>8632.7243540636446</v>
      </c>
      <c r="C15" s="501">
        <v>3771.1797269619269</v>
      </c>
      <c r="D15" s="499">
        <v>4550.2</v>
      </c>
      <c r="E15" s="501">
        <v>33593.067485006832</v>
      </c>
      <c r="F15" s="499">
        <v>460.54510480676191</v>
      </c>
      <c r="G15" s="501">
        <v>51007.71667083916</v>
      </c>
    </row>
    <row r="16" spans="1:7" ht="18" customHeight="1" thickBot="1">
      <c r="A16" s="438">
        <v>2005</v>
      </c>
      <c r="B16" s="499">
        <v>8704.8174549394607</v>
      </c>
      <c r="C16" s="501">
        <v>3968.7366137610011</v>
      </c>
      <c r="D16" s="499">
        <v>4782.4252710000001</v>
      </c>
      <c r="E16" s="501">
        <v>34106.094831624476</v>
      </c>
      <c r="F16" s="499">
        <v>480.96670935903251</v>
      </c>
      <c r="G16" s="501">
        <v>52043.04088068397</v>
      </c>
    </row>
    <row r="17" spans="1:8" ht="18" customHeight="1" thickBot="1">
      <c r="A17" s="438">
        <v>2006</v>
      </c>
      <c r="B17" s="499">
        <v>8536.5423231378227</v>
      </c>
      <c r="C17" s="501">
        <v>4049.5170354256738</v>
      </c>
      <c r="D17" s="499">
        <v>4933.240785</v>
      </c>
      <c r="E17" s="501">
        <v>34753.76548484189</v>
      </c>
      <c r="F17" s="499">
        <v>500.28122327763634</v>
      </c>
      <c r="G17" s="501">
        <v>52773.346851683025</v>
      </c>
    </row>
    <row r="18" spans="1:8" ht="18" customHeight="1" thickBot="1">
      <c r="A18" s="438">
        <v>2007</v>
      </c>
      <c r="B18" s="499">
        <v>8960.8447898915601</v>
      </c>
      <c r="C18" s="501">
        <v>4185.9254439417819</v>
      </c>
      <c r="D18" s="499">
        <v>5178.7248829999999</v>
      </c>
      <c r="E18" s="501">
        <v>36353.967010517714</v>
      </c>
      <c r="F18" s="499">
        <v>535.48298288401816</v>
      </c>
      <c r="G18" s="501">
        <v>55214.945110235072</v>
      </c>
    </row>
    <row r="19" spans="1:8" ht="32.25" customHeight="1" thickBot="1">
      <c r="A19" s="1194" t="s">
        <v>1150</v>
      </c>
      <c r="B19" s="1195">
        <v>9429.1</v>
      </c>
      <c r="C19" s="1196" t="s">
        <v>1060</v>
      </c>
      <c r="D19" s="1195" t="s">
        <v>1060</v>
      </c>
      <c r="E19" s="1196" t="s">
        <v>1060</v>
      </c>
      <c r="F19" s="1195">
        <v>568.20000000000005</v>
      </c>
      <c r="G19" s="1196">
        <v>58130.7</v>
      </c>
    </row>
    <row r="20" spans="1:8" ht="20" customHeight="1">
      <c r="A20" s="1197" t="s">
        <v>1087</v>
      </c>
      <c r="B20" s="1198"/>
      <c r="C20" s="1198"/>
      <c r="D20" s="1198"/>
      <c r="E20" s="1198"/>
      <c r="F20" s="1198"/>
      <c r="G20" s="1198"/>
    </row>
    <row r="21" spans="1:8" ht="12.75" customHeight="1">
      <c r="A21" s="1199"/>
      <c r="B21" s="1200"/>
      <c r="C21" s="1200"/>
      <c r="D21" s="1200"/>
      <c r="E21" s="1200"/>
      <c r="F21" s="1200"/>
      <c r="G21" s="1200"/>
      <c r="H21" s="3"/>
    </row>
    <row r="22" spans="1:8" ht="12.75" customHeight="1">
      <c r="A22" s="1199" t="s">
        <v>2486</v>
      </c>
      <c r="B22" s="1200"/>
      <c r="C22" s="1200"/>
      <c r="D22" s="1200"/>
      <c r="E22" s="1200"/>
      <c r="F22" s="1200"/>
      <c r="G22" s="1200"/>
      <c r="H22" s="3"/>
    </row>
    <row r="23" spans="1:8" ht="12.75" customHeight="1">
      <c r="A23" s="1199" t="s">
        <v>2487</v>
      </c>
      <c r="B23" s="1200"/>
      <c r="C23" s="1200"/>
      <c r="D23" s="1200"/>
      <c r="E23" s="1200"/>
      <c r="F23" s="1200"/>
      <c r="G23" s="1200"/>
      <c r="H23" s="3"/>
    </row>
    <row r="24" spans="1:8" ht="12.75" customHeight="1">
      <c r="A24" s="1199" t="s">
        <v>2488</v>
      </c>
      <c r="B24" s="1200"/>
      <c r="C24" s="1200"/>
      <c r="D24" s="1200"/>
      <c r="E24" s="1200"/>
      <c r="F24" s="1200"/>
      <c r="G24" s="1200"/>
      <c r="H24" s="3"/>
    </row>
    <row r="25" spans="1:8" ht="12.75" customHeight="1">
      <c r="A25" s="1199" t="s">
        <v>2489</v>
      </c>
      <c r="B25" s="1200"/>
      <c r="C25" s="1200"/>
      <c r="D25" s="1200"/>
      <c r="E25" s="1200"/>
      <c r="F25" s="1200"/>
      <c r="G25" s="1200"/>
      <c r="H25" s="3"/>
    </row>
    <row r="26" spans="1:8" ht="12.75" customHeight="1">
      <c r="A26" s="1199" t="s">
        <v>2490</v>
      </c>
      <c r="B26" s="1200"/>
      <c r="C26" s="1200"/>
      <c r="D26" s="1200"/>
      <c r="E26" s="1200"/>
      <c r="F26" s="1200"/>
      <c r="G26" s="1200"/>
      <c r="H26" s="3"/>
    </row>
    <row r="27" spans="1:8" ht="12.75" customHeight="1">
      <c r="A27" s="1199" t="s">
        <v>816</v>
      </c>
      <c r="B27" s="1200"/>
      <c r="C27" s="1200"/>
      <c r="D27" s="1200"/>
      <c r="E27" s="1200"/>
      <c r="F27" s="1200"/>
      <c r="G27" s="1200"/>
      <c r="H27" s="3"/>
    </row>
    <row r="28" spans="1:8" ht="12.75" customHeight="1">
      <c r="A28" s="1199" t="s">
        <v>2514</v>
      </c>
      <c r="B28" s="1200"/>
      <c r="C28" s="1200"/>
      <c r="D28" s="1200"/>
      <c r="E28" s="1200"/>
      <c r="F28" s="1200"/>
      <c r="G28" s="1200"/>
      <c r="H28" s="3"/>
    </row>
    <row r="29" spans="1:8" ht="12.75" customHeight="1">
      <c r="A29" s="1199" t="s">
        <v>2515</v>
      </c>
      <c r="B29" s="1200"/>
      <c r="C29" s="1200"/>
      <c r="D29" s="1200"/>
      <c r="E29" s="1200"/>
      <c r="F29" s="1200"/>
      <c r="G29" s="1200"/>
      <c r="H29" s="3"/>
    </row>
    <row r="30" spans="1:8" ht="12.75" customHeight="1">
      <c r="A30" s="1199" t="s">
        <v>2516</v>
      </c>
      <c r="B30" s="1200"/>
      <c r="C30" s="1200"/>
      <c r="D30" s="1200"/>
      <c r="E30" s="1200"/>
      <c r="F30" s="1200"/>
      <c r="G30" s="1200"/>
      <c r="H30" s="3"/>
    </row>
    <row r="31" spans="1:8" ht="12.75" customHeight="1">
      <c r="A31" s="1199"/>
      <c r="B31" s="1200"/>
      <c r="C31" s="1200"/>
      <c r="D31" s="1200"/>
      <c r="E31" s="1200"/>
      <c r="F31" s="1200"/>
      <c r="G31" s="1200"/>
      <c r="H31" s="3"/>
    </row>
    <row r="32" spans="1:8" ht="12.75" customHeight="1">
      <c r="A32" s="1199" t="s">
        <v>2517</v>
      </c>
      <c r="B32" s="1200"/>
      <c r="C32" s="1200"/>
      <c r="D32" s="1200"/>
      <c r="E32" s="1200"/>
      <c r="F32" s="1200"/>
      <c r="G32" s="1200"/>
      <c r="H32" s="3"/>
    </row>
    <row r="33" spans="1:10" ht="13.5" customHeight="1">
      <c r="A33" s="49"/>
      <c r="B33" s="1201"/>
      <c r="C33" s="1201"/>
      <c r="D33" s="1201"/>
      <c r="E33" s="1201"/>
      <c r="F33" s="1201"/>
      <c r="G33" s="1201"/>
      <c r="H33" s="3"/>
    </row>
    <row r="34" spans="1:10" ht="12.75" customHeight="1">
      <c r="A34" s="1202"/>
      <c r="B34" s="1201"/>
      <c r="C34" s="1201"/>
      <c r="D34" s="1201"/>
      <c r="E34" s="1201"/>
      <c r="F34" s="1201"/>
      <c r="G34" s="1201"/>
      <c r="H34" s="3"/>
    </row>
    <row r="35" spans="1:10" ht="13.5" customHeight="1">
      <c r="A35" s="3" t="s">
        <v>711</v>
      </c>
      <c r="B35" s="1201"/>
      <c r="C35" s="1201"/>
      <c r="D35" s="1201"/>
      <c r="E35" s="1201"/>
      <c r="F35" s="1201"/>
      <c r="G35" s="1201"/>
      <c r="H35" s="3"/>
    </row>
    <row r="36" spans="1:10" ht="31" customHeight="1">
      <c r="A36" s="290"/>
      <c r="B36" s="1203"/>
      <c r="C36" s="1203"/>
      <c r="D36" s="1203"/>
      <c r="E36" s="1203"/>
      <c r="F36" s="1203"/>
      <c r="G36" s="1203"/>
    </row>
    <row r="37" spans="1:10" ht="31" customHeight="1">
      <c r="A37" s="290"/>
      <c r="B37" s="1203"/>
      <c r="C37" s="1203"/>
      <c r="D37" s="1203"/>
      <c r="E37" s="1203"/>
      <c r="F37" s="1203"/>
      <c r="G37" s="1203"/>
      <c r="J37" s="1"/>
    </row>
    <row r="38" spans="1:10" ht="31" customHeight="1">
      <c r="A38" s="290"/>
      <c r="B38" s="1203"/>
      <c r="C38" s="1203"/>
      <c r="D38" s="1203"/>
      <c r="E38" s="1203"/>
      <c r="F38" s="1203"/>
      <c r="G38" s="1203"/>
    </row>
    <row r="39" spans="1:10" ht="31" customHeight="1">
      <c r="A39" s="290"/>
      <c r="B39" s="1203"/>
      <c r="C39" s="1203"/>
      <c r="D39" s="1203"/>
      <c r="E39" s="1203"/>
      <c r="F39" s="1203"/>
      <c r="G39" s="1203"/>
    </row>
    <row r="40" spans="1:10" ht="31" customHeight="1">
      <c r="A40" s="290"/>
      <c r="B40" s="1203"/>
      <c r="C40" s="1203"/>
      <c r="D40" s="1203"/>
      <c r="E40" s="1203"/>
      <c r="F40" s="1203"/>
      <c r="G40" s="1203"/>
    </row>
    <row r="41" spans="1:10" ht="31" customHeight="1">
      <c r="A41" s="290"/>
      <c r="B41" s="1203"/>
      <c r="C41" s="1203"/>
      <c r="D41" s="1203"/>
      <c r="E41" s="1203"/>
      <c r="F41" s="1203"/>
      <c r="G41" s="1203"/>
    </row>
    <row r="42" spans="1:10" ht="31" customHeight="1">
      <c r="A42" s="290"/>
      <c r="B42" s="1203"/>
      <c r="C42" s="1203"/>
      <c r="D42" s="1203"/>
      <c r="E42" s="1203"/>
      <c r="F42" s="1203"/>
      <c r="G42" s="1203"/>
    </row>
    <row r="43" spans="1:10">
      <c r="A43" s="290"/>
      <c r="B43" s="1203"/>
      <c r="C43" s="1203"/>
      <c r="D43" s="1203"/>
      <c r="E43" s="1203"/>
      <c r="F43" s="1203"/>
      <c r="G43" s="1203"/>
    </row>
    <row r="44" spans="1:10">
      <c r="A44" s="290"/>
      <c r="B44" s="1203"/>
      <c r="C44" s="1203"/>
      <c r="D44" s="1203"/>
      <c r="E44" s="1203"/>
      <c r="F44" s="1203"/>
      <c r="G44" s="1203"/>
    </row>
  </sheetData>
  <mergeCells count="1">
    <mergeCell ref="A2:F2"/>
  </mergeCells>
  <phoneticPr fontId="0" type="noConversion"/>
  <pageMargins left="0.56000000000000005" right="0.51" top="1.02" bottom="0.49" header="0.68" footer="0.4921259845"/>
  <pageSetup paperSize="9" scale="75" orientation="portrait" horizontalDpi="4294967292" verticalDpi="4294967292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6E57-5380-A644-B53A-677F7D781880}">
  <sheetPr>
    <pageSetUpPr fitToPage="1"/>
  </sheetPr>
  <dimension ref="A1:J45"/>
  <sheetViews>
    <sheetView zoomScale="75" workbookViewId="0">
      <selection activeCell="A20" sqref="A20"/>
    </sheetView>
  </sheetViews>
  <sheetFormatPr baseColWidth="10" defaultColWidth="11.3984375" defaultRowHeight="13"/>
  <cols>
    <col min="1" max="1" width="14.19921875" style="2" customWidth="1"/>
    <col min="2" max="7" width="14.19921875" style="225" customWidth="1"/>
    <col min="8" max="16384" width="11.3984375" style="2"/>
  </cols>
  <sheetData>
    <row r="1" spans="1:7" s="1" customFormat="1" ht="14" customHeight="1">
      <c r="A1" s="360"/>
      <c r="B1" s="1193"/>
      <c r="C1" s="1193"/>
      <c r="D1" s="1193"/>
      <c r="E1" s="1193"/>
      <c r="F1" s="1193"/>
      <c r="G1" s="1193"/>
    </row>
    <row r="2" spans="1:7" s="1" customFormat="1" ht="38.25" customHeight="1">
      <c r="A2" s="2023" t="s">
        <v>1144</v>
      </c>
      <c r="B2" s="2021"/>
      <c r="C2" s="2021"/>
      <c r="D2" s="2021"/>
      <c r="E2" s="2021"/>
      <c r="F2" s="2021"/>
      <c r="G2" s="428"/>
    </row>
    <row r="3" spans="1:7" ht="27" customHeight="1">
      <c r="A3" s="178" t="s">
        <v>821</v>
      </c>
      <c r="B3" s="179" t="s">
        <v>1145</v>
      </c>
      <c r="C3" s="180" t="s">
        <v>1130</v>
      </c>
      <c r="D3" s="179" t="s">
        <v>1131</v>
      </c>
      <c r="E3" s="180" t="s">
        <v>1132</v>
      </c>
      <c r="F3" s="179" t="s">
        <v>833</v>
      </c>
      <c r="G3" s="180" t="s">
        <v>1133</v>
      </c>
    </row>
    <row r="4" spans="1:7" ht="15" customHeight="1">
      <c r="A4" s="274"/>
      <c r="B4" s="436"/>
      <c r="C4" s="920" t="s">
        <v>2302</v>
      </c>
      <c r="D4" s="182" t="s">
        <v>2302</v>
      </c>
      <c r="E4" s="183" t="s">
        <v>1134</v>
      </c>
      <c r="F4" s="182" t="s">
        <v>1135</v>
      </c>
      <c r="G4" s="183"/>
    </row>
    <row r="5" spans="1:7" ht="15" customHeight="1">
      <c r="A5" s="274"/>
      <c r="B5" s="182"/>
      <c r="C5" s="183" t="s">
        <v>1146</v>
      </c>
      <c r="D5" s="182" t="s">
        <v>1136</v>
      </c>
      <c r="E5" s="920" t="s">
        <v>1147</v>
      </c>
      <c r="F5" s="436" t="s">
        <v>1137</v>
      </c>
      <c r="G5" s="183"/>
    </row>
    <row r="6" spans="1:7" ht="25.5" customHeight="1">
      <c r="A6" s="378"/>
      <c r="B6" s="412"/>
      <c r="C6" s="187"/>
      <c r="D6" s="188" t="s">
        <v>1148</v>
      </c>
      <c r="E6" s="187"/>
      <c r="F6" s="188" t="s">
        <v>1149</v>
      </c>
      <c r="G6" s="413"/>
    </row>
    <row r="7" spans="1:7" ht="2.25" customHeight="1" thickBot="1">
      <c r="A7" s="437">
        <v>1996</v>
      </c>
      <c r="B7" s="497">
        <v>5976.68608119694</v>
      </c>
      <c r="C7" s="277">
        <v>14434.210404011734</v>
      </c>
      <c r="D7" s="497">
        <v>4896.4666666666662</v>
      </c>
      <c r="E7" s="277">
        <v>11800.912708060619</v>
      </c>
      <c r="F7" s="497">
        <v>360.34572496402706</v>
      </c>
      <c r="G7" s="277">
        <v>37468.621584899985</v>
      </c>
    </row>
    <row r="8" spans="1:7" ht="18" hidden="1" customHeight="1" thickBot="1">
      <c r="A8" s="438">
        <v>1997</v>
      </c>
      <c r="B8" s="499">
        <v>5920.5324887865727</v>
      </c>
      <c r="C8" s="501">
        <v>15076.044841145113</v>
      </c>
      <c r="D8" s="499">
        <v>4463.3999999999996</v>
      </c>
      <c r="E8" s="501">
        <v>12382.482583881054</v>
      </c>
      <c r="F8" s="499">
        <v>367.4485025408178</v>
      </c>
      <c r="G8" s="501">
        <v>38209.908416353559</v>
      </c>
    </row>
    <row r="9" spans="1:7" ht="18" customHeight="1" thickBot="1">
      <c r="A9" s="438">
        <v>1998</v>
      </c>
      <c r="B9" s="499">
        <v>5989.0401962979158</v>
      </c>
      <c r="C9" s="501">
        <v>15771.905639841238</v>
      </c>
      <c r="D9" s="499">
        <v>4590.2</v>
      </c>
      <c r="E9" s="501">
        <v>13088.584732536303</v>
      </c>
      <c r="F9" s="499">
        <v>375.28251008174271</v>
      </c>
      <c r="G9" s="501">
        <v>39815.013078757198</v>
      </c>
    </row>
    <row r="10" spans="1:7" ht="18" customHeight="1" thickBot="1">
      <c r="A10" s="438">
        <v>1999</v>
      </c>
      <c r="B10" s="499">
        <v>6272.8466257392192</v>
      </c>
      <c r="C10" s="501">
        <v>16391.923646518997</v>
      </c>
      <c r="D10" s="499">
        <v>4331.8999999999996</v>
      </c>
      <c r="E10" s="501">
        <v>13719.072601594235</v>
      </c>
      <c r="F10" s="499">
        <v>388.70889016736163</v>
      </c>
      <c r="G10" s="501">
        <v>41104.451764019817</v>
      </c>
    </row>
    <row r="11" spans="1:7" ht="18" customHeight="1" thickBot="1">
      <c r="A11" s="438">
        <v>2000</v>
      </c>
      <c r="B11" s="499">
        <v>6460.9578237170608</v>
      </c>
      <c r="C11" s="501">
        <v>17287.501564137343</v>
      </c>
      <c r="D11" s="499">
        <v>4546.7</v>
      </c>
      <c r="E11" s="501">
        <v>14127.609459022913</v>
      </c>
      <c r="F11" s="499">
        <v>420.16510495683008</v>
      </c>
      <c r="G11" s="501">
        <v>42842.933951834151</v>
      </c>
    </row>
    <row r="12" spans="1:7" ht="18" customHeight="1" thickBot="1">
      <c r="A12" s="438">
        <v>2001</v>
      </c>
      <c r="B12" s="499">
        <v>7635.1420777467765</v>
      </c>
      <c r="C12" s="501">
        <v>18307.65616731207</v>
      </c>
      <c r="D12" s="499">
        <v>4699.8999999999996</v>
      </c>
      <c r="E12" s="501">
        <v>14487.407471645613</v>
      </c>
      <c r="F12" s="499">
        <v>442.73533222173643</v>
      </c>
      <c r="G12" s="501">
        <v>45572.841048926202</v>
      </c>
    </row>
    <row r="13" spans="1:7" ht="18" customHeight="1" thickBot="1">
      <c r="A13" s="438">
        <v>2002</v>
      </c>
      <c r="B13" s="499">
        <v>8429.5101560943567</v>
      </c>
      <c r="C13" s="501">
        <v>18930.654576710058</v>
      </c>
      <c r="D13" s="499">
        <v>4615.5</v>
      </c>
      <c r="E13" s="501">
        <v>14956.656825335853</v>
      </c>
      <c r="F13" s="499">
        <v>456.31192849787288</v>
      </c>
      <c r="G13" s="501">
        <v>47388.633486638137</v>
      </c>
    </row>
    <row r="14" spans="1:7" ht="18" customHeight="1" thickBot="1">
      <c r="A14" s="438">
        <v>2003</v>
      </c>
      <c r="B14" s="499">
        <v>8778.10319716105</v>
      </c>
      <c r="C14" s="501">
        <v>19967.283583850771</v>
      </c>
      <c r="D14" s="499">
        <v>4477.9040000000005</v>
      </c>
      <c r="E14" s="501">
        <v>15579.71663887125</v>
      </c>
      <c r="F14" s="499">
        <v>462.16066224325613</v>
      </c>
      <c r="G14" s="501">
        <v>49265.168082126329</v>
      </c>
    </row>
    <row r="15" spans="1:7" ht="18" customHeight="1" thickBot="1">
      <c r="A15" s="438">
        <v>2004</v>
      </c>
      <c r="B15" s="499">
        <v>8632.7243530636424</v>
      </c>
      <c r="C15" s="501">
        <v>21150.983726961927</v>
      </c>
      <c r="D15" s="499">
        <v>4511.7479999999996</v>
      </c>
      <c r="E15" s="501">
        <v>16251.715486006822</v>
      </c>
      <c r="F15" s="499">
        <v>460.54510480676197</v>
      </c>
      <c r="G15" s="501">
        <v>51007.71667083916</v>
      </c>
    </row>
    <row r="16" spans="1:7" ht="18" customHeight="1" thickBot="1">
      <c r="A16" s="438">
        <v>2005</v>
      </c>
      <c r="B16" s="499">
        <v>8704.8174529394601</v>
      </c>
      <c r="C16" s="501">
        <v>22241.413529341</v>
      </c>
      <c r="D16" s="499">
        <v>4674.7509002500001</v>
      </c>
      <c r="E16" s="501">
        <v>15941.092288794471</v>
      </c>
      <c r="F16" s="499">
        <v>480.96670935903251</v>
      </c>
      <c r="G16" s="501">
        <v>52043.040880683962</v>
      </c>
    </row>
    <row r="17" spans="1:8" ht="18" customHeight="1" thickBot="1">
      <c r="A17" s="438">
        <v>2006</v>
      </c>
      <c r="B17" s="499">
        <v>8536.5423231378227</v>
      </c>
      <c r="C17" s="501">
        <v>22665.685294776315</v>
      </c>
      <c r="D17" s="499">
        <v>4820.2721687900003</v>
      </c>
      <c r="E17" s="501">
        <v>16250.566423088485</v>
      </c>
      <c r="F17" s="499">
        <v>500.28122327763629</v>
      </c>
      <c r="G17" s="501">
        <v>52773.347433070259</v>
      </c>
    </row>
    <row r="18" spans="1:8" ht="18" customHeight="1" thickBot="1">
      <c r="A18" s="438">
        <v>2007</v>
      </c>
      <c r="B18" s="499">
        <v>8960.8447878915576</v>
      </c>
      <c r="C18" s="501">
        <v>23662.497744611785</v>
      </c>
      <c r="D18" s="499">
        <v>5090.8464520100015</v>
      </c>
      <c r="E18" s="501">
        <v>16965.273142837719</v>
      </c>
      <c r="F18" s="499">
        <v>535.48298288401816</v>
      </c>
      <c r="G18" s="501">
        <v>55214.945110235072</v>
      </c>
    </row>
    <row r="19" spans="1:8" ht="30" customHeight="1" thickBot="1">
      <c r="A19" s="1194" t="s">
        <v>1150</v>
      </c>
      <c r="B19" s="1195">
        <v>9429.1</v>
      </c>
      <c r="C19" s="1196">
        <v>24936.400000000001</v>
      </c>
      <c r="D19" s="1195">
        <v>5302.9</v>
      </c>
      <c r="E19" s="1196">
        <v>17886.5</v>
      </c>
      <c r="F19" s="1195">
        <v>568.20000000000005</v>
      </c>
      <c r="G19" s="1196">
        <v>58130.7</v>
      </c>
    </row>
    <row r="20" spans="1:8" ht="20" customHeight="1">
      <c r="A20" s="1197" t="s">
        <v>1087</v>
      </c>
      <c r="B20" s="1198"/>
      <c r="C20" s="1198"/>
      <c r="D20" s="1198"/>
      <c r="E20" s="1198"/>
      <c r="F20" s="1198"/>
      <c r="G20" s="1198"/>
    </row>
    <row r="21" spans="1:8" ht="12.75" customHeight="1">
      <c r="A21" s="1199"/>
      <c r="B21" s="1200"/>
      <c r="C21" s="1200"/>
      <c r="D21" s="1200"/>
      <c r="E21" s="1200"/>
      <c r="F21" s="1200"/>
      <c r="G21" s="1200"/>
      <c r="H21" s="3"/>
    </row>
    <row r="22" spans="1:8" ht="12.75" customHeight="1">
      <c r="A22" s="1199" t="s">
        <v>1138</v>
      </c>
      <c r="B22" s="1199"/>
      <c r="C22" s="1200"/>
      <c r="D22" s="1200"/>
      <c r="E22" s="1200"/>
      <c r="F22" s="1200"/>
      <c r="G22" s="1200"/>
      <c r="H22" s="3"/>
    </row>
    <row r="23" spans="1:8" ht="12.75" customHeight="1">
      <c r="A23" s="1199" t="s">
        <v>1139</v>
      </c>
      <c r="B23" s="1200"/>
      <c r="C23" s="1200"/>
      <c r="D23" s="1200"/>
      <c r="E23" s="1200"/>
      <c r="F23" s="1200"/>
      <c r="G23" s="1200"/>
      <c r="H23" s="3"/>
    </row>
    <row r="24" spans="1:8" ht="12.75" customHeight="1">
      <c r="A24" s="1199" t="s">
        <v>1140</v>
      </c>
      <c r="B24" s="1200"/>
      <c r="C24" s="1200"/>
      <c r="D24" s="1200"/>
      <c r="E24" s="1200"/>
      <c r="F24" s="1200"/>
      <c r="G24" s="1200"/>
      <c r="H24" s="3"/>
    </row>
    <row r="25" spans="1:8" ht="12.75" customHeight="1">
      <c r="A25" s="1199" t="s">
        <v>1141</v>
      </c>
      <c r="B25" s="1200"/>
      <c r="C25" s="1200"/>
      <c r="D25" s="1200"/>
      <c r="E25" s="1200"/>
      <c r="F25" s="1200"/>
      <c r="G25" s="1200"/>
      <c r="H25" s="3"/>
    </row>
    <row r="26" spans="1:8" ht="12.75" customHeight="1">
      <c r="A26" s="1199" t="s">
        <v>1142</v>
      </c>
      <c r="B26" s="1200"/>
      <c r="C26" s="1200"/>
      <c r="D26" s="1200"/>
      <c r="E26" s="1200"/>
      <c r="F26" s="1200"/>
      <c r="G26" s="1200"/>
      <c r="H26" s="3"/>
    </row>
    <row r="27" spans="1:8" ht="12.75" customHeight="1">
      <c r="A27" s="1199" t="s">
        <v>1143</v>
      </c>
      <c r="B27" s="1200"/>
      <c r="C27" s="1200"/>
      <c r="D27" s="1200"/>
      <c r="E27" s="1200"/>
      <c r="F27" s="1200"/>
      <c r="G27" s="1200"/>
      <c r="H27" s="3"/>
    </row>
    <row r="28" spans="1:8" ht="12.75" customHeight="1">
      <c r="A28" s="1199" t="s">
        <v>2515</v>
      </c>
      <c r="B28" s="1200"/>
      <c r="C28" s="1200"/>
      <c r="D28" s="1200"/>
      <c r="E28" s="1200"/>
      <c r="F28" s="1200"/>
      <c r="G28" s="1200"/>
      <c r="H28" s="3"/>
    </row>
    <row r="29" spans="1:8" ht="12.75" customHeight="1">
      <c r="A29" s="1199" t="s">
        <v>2516</v>
      </c>
      <c r="B29" s="1200"/>
      <c r="C29" s="1200"/>
      <c r="D29" s="1200"/>
      <c r="E29" s="1200"/>
      <c r="F29" s="1200"/>
      <c r="G29" s="1200"/>
      <c r="H29" s="3"/>
    </row>
    <row r="30" spans="1:8" ht="12.75" customHeight="1">
      <c r="A30" s="1199"/>
      <c r="B30" s="1200"/>
      <c r="C30" s="1200"/>
      <c r="D30" s="1200"/>
      <c r="E30" s="1200"/>
      <c r="F30" s="1200"/>
      <c r="G30" s="1200"/>
      <c r="H30" s="3"/>
    </row>
    <row r="31" spans="1:8" ht="12.75" customHeight="1">
      <c r="A31" s="1199" t="s">
        <v>2517</v>
      </c>
      <c r="B31" s="1200"/>
      <c r="C31" s="1200"/>
      <c r="D31" s="1200"/>
      <c r="E31" s="1200"/>
      <c r="F31" s="1200"/>
      <c r="G31" s="1200"/>
      <c r="H31" s="3"/>
    </row>
    <row r="32" spans="1:8" ht="13.5" customHeight="1">
      <c r="A32" s="49"/>
      <c r="B32" s="1201"/>
      <c r="C32" s="1201"/>
      <c r="D32" s="1201"/>
      <c r="E32" s="1201"/>
      <c r="F32" s="1201"/>
      <c r="G32" s="1201"/>
      <c r="H32" s="3"/>
    </row>
    <row r="33" spans="1:10" ht="15.75" customHeight="1">
      <c r="A33" s="1202"/>
      <c r="B33" s="1201"/>
      <c r="C33" s="1201"/>
      <c r="D33" s="1201"/>
      <c r="E33" s="1201"/>
      <c r="F33" s="1201"/>
      <c r="G33" s="1201"/>
      <c r="H33" s="3"/>
    </row>
    <row r="34" spans="1:10" ht="13.5" customHeight="1">
      <c r="A34" s="3" t="s">
        <v>711</v>
      </c>
      <c r="B34" s="1201"/>
      <c r="C34" s="1201"/>
      <c r="D34" s="1201"/>
      <c r="E34" s="1201"/>
      <c r="F34" s="1201"/>
      <c r="G34" s="1201"/>
      <c r="H34" s="3"/>
    </row>
    <row r="35" spans="1:10" ht="31" customHeight="1">
      <c r="A35" s="3"/>
      <c r="B35" s="1201"/>
      <c r="C35" s="1201"/>
      <c r="D35" s="1201"/>
      <c r="E35" s="1201"/>
      <c r="F35" s="1201"/>
      <c r="G35" s="1201"/>
      <c r="H35" s="3"/>
    </row>
    <row r="36" spans="1:10" ht="31" customHeight="1">
      <c r="A36" s="3"/>
      <c r="B36" s="1201"/>
      <c r="C36" s="1201"/>
      <c r="D36" s="1201"/>
      <c r="E36" s="1201"/>
      <c r="F36" s="1201"/>
      <c r="G36" s="1201"/>
      <c r="H36" s="3"/>
      <c r="J36" s="1"/>
    </row>
    <row r="37" spans="1:10" ht="31" customHeight="1">
      <c r="A37" s="3"/>
      <c r="B37" s="1201"/>
      <c r="C37" s="1201"/>
      <c r="D37" s="1201"/>
      <c r="E37" s="1201"/>
      <c r="F37" s="1201"/>
      <c r="G37" s="1201"/>
      <c r="H37" s="3"/>
    </row>
    <row r="38" spans="1:10" ht="31" customHeight="1">
      <c r="A38" s="3"/>
      <c r="B38" s="1201"/>
      <c r="C38" s="1201"/>
      <c r="D38" s="1201"/>
      <c r="E38" s="1201"/>
      <c r="F38" s="1201"/>
      <c r="G38" s="1201"/>
      <c r="H38" s="3"/>
    </row>
    <row r="39" spans="1:10" ht="31" customHeight="1">
      <c r="A39" s="3"/>
      <c r="B39" s="1201"/>
      <c r="C39" s="1201"/>
      <c r="D39" s="1201"/>
      <c r="E39" s="1201"/>
      <c r="F39" s="1201"/>
      <c r="G39" s="1201"/>
      <c r="H39" s="3"/>
    </row>
    <row r="40" spans="1:10" ht="31" customHeight="1">
      <c r="A40" s="3"/>
      <c r="B40" s="1201"/>
      <c r="C40" s="1201"/>
      <c r="D40" s="1201"/>
      <c r="E40" s="1201"/>
      <c r="F40" s="1201"/>
      <c r="G40" s="1201"/>
      <c r="H40" s="3"/>
    </row>
    <row r="41" spans="1:10" ht="31" customHeight="1">
      <c r="A41" s="3"/>
      <c r="B41" s="1201"/>
      <c r="C41" s="1201"/>
      <c r="D41" s="1201"/>
      <c r="E41" s="1201"/>
      <c r="F41" s="1201"/>
      <c r="G41" s="1201"/>
      <c r="H41" s="3"/>
    </row>
    <row r="42" spans="1:10">
      <c r="A42" s="3"/>
      <c r="B42" s="1201"/>
      <c r="C42" s="1201"/>
      <c r="D42" s="1201"/>
      <c r="E42" s="1201"/>
      <c r="F42" s="1201"/>
      <c r="G42" s="1201"/>
      <c r="H42" s="3"/>
    </row>
    <row r="43" spans="1:10">
      <c r="A43" s="3"/>
      <c r="B43" s="1201"/>
      <c r="C43" s="1201"/>
      <c r="D43" s="1201"/>
      <c r="E43" s="1201"/>
      <c r="F43" s="1201"/>
      <c r="G43" s="1201"/>
      <c r="H43" s="3"/>
    </row>
    <row r="44" spans="1:10">
      <c r="A44" s="3"/>
      <c r="B44" s="1201"/>
      <c r="C44" s="1201"/>
      <c r="D44" s="1201"/>
      <c r="E44" s="1201"/>
      <c r="F44" s="1201"/>
      <c r="G44" s="1201"/>
      <c r="H44" s="3"/>
    </row>
    <row r="45" spans="1:10">
      <c r="A45" s="3"/>
      <c r="B45" s="1201"/>
      <c r="C45" s="1201"/>
      <c r="D45" s="1201"/>
      <c r="E45" s="1201"/>
      <c r="F45" s="1201"/>
      <c r="G45" s="1201"/>
      <c r="H45" s="3"/>
    </row>
  </sheetData>
  <mergeCells count="1">
    <mergeCell ref="A2:F2"/>
  </mergeCells>
  <phoneticPr fontId="0" type="noConversion"/>
  <pageMargins left="0.56000000000000005" right="0.51" top="1.02" bottom="0.49" header="0.68" footer="0.4921259845"/>
  <pageSetup paperSize="9" scale="83" orientation="portrait" horizontalDpi="4294967292" verticalDpi="4294967292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020B-15EC-A647-83BC-C3E04927F9AE}">
  <sheetPr>
    <pageSetUpPr fitToPage="1"/>
  </sheetPr>
  <dimension ref="A1:L43"/>
  <sheetViews>
    <sheetView topLeftCell="A9" zoomScale="75" workbookViewId="0">
      <selection activeCell="B19" sqref="B19"/>
    </sheetView>
  </sheetViews>
  <sheetFormatPr baseColWidth="10" defaultColWidth="11.3984375" defaultRowHeight="13"/>
  <cols>
    <col min="1" max="1" width="10.19921875" style="2" customWidth="1"/>
    <col min="2" max="9" width="13.19921875" style="225" customWidth="1"/>
    <col min="10" max="10" width="8.796875" style="2" customWidth="1"/>
    <col min="11" max="16384" width="11.3984375" style="2"/>
  </cols>
  <sheetData>
    <row r="1" spans="1:9" s="1" customFormat="1" ht="14" customHeight="1">
      <c r="A1" s="360"/>
      <c r="B1" s="1193"/>
      <c r="C1" s="1193"/>
      <c r="D1" s="1193"/>
      <c r="E1" s="1193"/>
      <c r="F1" s="1193"/>
      <c r="G1" s="1193"/>
      <c r="H1" s="1193"/>
      <c r="I1" s="1193"/>
    </row>
    <row r="2" spans="1:9" s="1" customFormat="1" ht="39" customHeight="1">
      <c r="A2" s="2023" t="s">
        <v>2536</v>
      </c>
      <c r="B2" s="2021"/>
      <c r="C2" s="2021"/>
      <c r="D2" s="2021"/>
      <c r="E2" s="2021"/>
      <c r="F2" s="2021"/>
      <c r="G2" s="2021"/>
      <c r="H2" s="2021"/>
      <c r="I2" s="428"/>
    </row>
    <row r="3" spans="1:9" ht="27" customHeight="1">
      <c r="A3" s="178" t="s">
        <v>821</v>
      </c>
      <c r="B3" s="179" t="s">
        <v>1778</v>
      </c>
      <c r="C3" s="180" t="s">
        <v>2520</v>
      </c>
      <c r="D3" s="179" t="s">
        <v>552</v>
      </c>
      <c r="E3" s="180" t="s">
        <v>2521</v>
      </c>
      <c r="F3" s="179" t="s">
        <v>2537</v>
      </c>
      <c r="G3" s="180" t="s">
        <v>2321</v>
      </c>
      <c r="H3" s="179" t="s">
        <v>2522</v>
      </c>
      <c r="I3" s="180" t="s">
        <v>1133</v>
      </c>
    </row>
    <row r="4" spans="1:9" ht="18.75" customHeight="1">
      <c r="A4" s="274"/>
      <c r="B4" s="436" t="s">
        <v>2538</v>
      </c>
      <c r="C4" s="920" t="s">
        <v>2523</v>
      </c>
      <c r="D4" s="182" t="s">
        <v>2524</v>
      </c>
      <c r="E4" s="183" t="s">
        <v>2539</v>
      </c>
      <c r="F4" s="182"/>
      <c r="G4" s="183" t="s">
        <v>2540</v>
      </c>
      <c r="H4" s="182" t="s">
        <v>2525</v>
      </c>
      <c r="I4" s="183"/>
    </row>
    <row r="5" spans="1:9" ht="16.5" customHeight="1">
      <c r="A5" s="274"/>
      <c r="B5" s="182"/>
      <c r="C5" s="183" t="s">
        <v>2526</v>
      </c>
      <c r="D5" s="182" t="s">
        <v>2541</v>
      </c>
      <c r="E5" s="920"/>
      <c r="F5" s="436"/>
      <c r="G5" s="920"/>
      <c r="H5" s="436" t="s">
        <v>2527</v>
      </c>
      <c r="I5" s="183"/>
    </row>
    <row r="6" spans="1:9" ht="23.25" customHeight="1">
      <c r="A6" s="378"/>
      <c r="B6" s="412"/>
      <c r="C6" s="187" t="s">
        <v>2542</v>
      </c>
      <c r="D6" s="188"/>
      <c r="E6" s="187"/>
      <c r="F6" s="188"/>
      <c r="G6" s="187"/>
      <c r="H6" s="188" t="s">
        <v>2528</v>
      </c>
      <c r="I6" s="187"/>
    </row>
    <row r="7" spans="1:9" ht="2.25" customHeight="1" thickBot="1">
      <c r="A7" s="1204">
        <v>1996</v>
      </c>
      <c r="B7" s="497">
        <v>13184.001550929997</v>
      </c>
      <c r="C7" s="277">
        <v>5983.4068869585872</v>
      </c>
      <c r="D7" s="497">
        <v>11678.598705823826</v>
      </c>
      <c r="E7" s="277">
        <v>3544.7</v>
      </c>
      <c r="F7" s="497">
        <v>869.07117945000005</v>
      </c>
      <c r="G7" s="277">
        <v>1796.8786666666667</v>
      </c>
      <c r="H7" s="497">
        <v>411.9645950709093</v>
      </c>
      <c r="I7" s="277">
        <v>37468.621584899985</v>
      </c>
    </row>
    <row r="8" spans="1:9" ht="18" hidden="1" customHeight="1" thickBot="1">
      <c r="A8" s="1205">
        <v>1997</v>
      </c>
      <c r="B8" s="499">
        <v>13300.503586459999</v>
      </c>
      <c r="C8" s="501">
        <v>6218.5068752889456</v>
      </c>
      <c r="D8" s="499">
        <v>11898.794609684615</v>
      </c>
      <c r="E8" s="501">
        <v>3699.7217000000001</v>
      </c>
      <c r="F8" s="499">
        <v>820.08564491999994</v>
      </c>
      <c r="G8" s="501">
        <v>1853.7959999999998</v>
      </c>
      <c r="H8" s="499">
        <v>418.5</v>
      </c>
      <c r="I8" s="501">
        <v>38209.908416353566</v>
      </c>
    </row>
    <row r="9" spans="1:9" ht="18" customHeight="1" thickBot="1">
      <c r="A9" s="1205">
        <v>1998</v>
      </c>
      <c r="B9" s="499">
        <v>13726.93413743</v>
      </c>
      <c r="C9" s="501">
        <v>6517.6187697704527</v>
      </c>
      <c r="D9" s="499">
        <v>12534.698426142464</v>
      </c>
      <c r="E9" s="501">
        <v>3814.7841952999997</v>
      </c>
      <c r="F9" s="499">
        <v>825.83928717999993</v>
      </c>
      <c r="G9" s="501">
        <v>1952.6</v>
      </c>
      <c r="H9" s="499">
        <v>442.53826293428619</v>
      </c>
      <c r="I9" s="501">
        <v>39815.013078757205</v>
      </c>
    </row>
    <row r="10" spans="1:9" ht="18" customHeight="1" thickBot="1">
      <c r="A10" s="1205">
        <v>1999</v>
      </c>
      <c r="B10" s="499">
        <v>14269.859986000003</v>
      </c>
      <c r="C10" s="501">
        <v>6635.9923296822863</v>
      </c>
      <c r="D10" s="499">
        <v>12923.16416135502</v>
      </c>
      <c r="E10" s="501">
        <v>3984.9651892603001</v>
      </c>
      <c r="F10" s="499">
        <v>869.39271499999995</v>
      </c>
      <c r="G10" s="501">
        <v>1951.2</v>
      </c>
      <c r="H10" s="499">
        <v>469.87738272220713</v>
      </c>
      <c r="I10" s="501">
        <v>41104.451764019817</v>
      </c>
    </row>
    <row r="11" spans="1:9" ht="18" customHeight="1" thickBot="1">
      <c r="A11" s="1205">
        <v>2000</v>
      </c>
      <c r="B11" s="499">
        <v>14895.513251</v>
      </c>
      <c r="C11" s="501">
        <v>7041.5148394749094</v>
      </c>
      <c r="D11" s="499">
        <v>13440.733995653636</v>
      </c>
      <c r="E11" s="501">
        <v>4130.4973544495606</v>
      </c>
      <c r="F11" s="499">
        <v>886.60889900000006</v>
      </c>
      <c r="G11" s="501">
        <v>1968</v>
      </c>
      <c r="H11" s="499">
        <v>480.06561225603991</v>
      </c>
      <c r="I11" s="501">
        <v>42842.933951834144</v>
      </c>
    </row>
    <row r="12" spans="1:9" ht="18" customHeight="1" thickBot="1">
      <c r="A12" s="1205">
        <v>2001</v>
      </c>
      <c r="B12" s="499">
        <v>16132.139821000001</v>
      </c>
      <c r="C12" s="501">
        <v>7546.7492306168624</v>
      </c>
      <c r="D12" s="499">
        <v>14118.389210237772</v>
      </c>
      <c r="E12" s="501">
        <v>4333.6230316924066</v>
      </c>
      <c r="F12" s="499">
        <v>926.76387199999999</v>
      </c>
      <c r="G12" s="501">
        <v>2014.6</v>
      </c>
      <c r="H12" s="499">
        <v>500.57588337914626</v>
      </c>
      <c r="I12" s="501">
        <v>45572.841048926188</v>
      </c>
    </row>
    <row r="13" spans="1:9" ht="18" customHeight="1" thickBot="1">
      <c r="A13" s="1205">
        <v>2002</v>
      </c>
      <c r="B13" s="499">
        <v>16982.807524247681</v>
      </c>
      <c r="C13" s="501">
        <v>8067.6588042943567</v>
      </c>
      <c r="D13" s="499">
        <v>14430.539223398549</v>
      </c>
      <c r="E13" s="501">
        <v>4415.9295005981339</v>
      </c>
      <c r="F13" s="499">
        <v>981.40087700000004</v>
      </c>
      <c r="G13" s="501">
        <v>2000.8014692328545</v>
      </c>
      <c r="H13" s="499">
        <v>509.49608786656427</v>
      </c>
      <c r="I13" s="501">
        <v>47388.633486638144</v>
      </c>
    </row>
    <row r="14" spans="1:9" ht="18" customHeight="1" thickBot="1">
      <c r="A14" s="1205">
        <v>2003</v>
      </c>
      <c r="B14" s="499">
        <v>17712.226343618662</v>
      </c>
      <c r="C14" s="501">
        <v>8374.8829930130487</v>
      </c>
      <c r="D14" s="499">
        <v>14813.56384014453</v>
      </c>
      <c r="E14" s="501">
        <v>4720.9651053618945</v>
      </c>
      <c r="F14" s="499">
        <v>1036.8831319999999</v>
      </c>
      <c r="G14" s="501">
        <v>2076.4031583018532</v>
      </c>
      <c r="H14" s="499">
        <v>530.23678043074028</v>
      </c>
      <c r="I14" s="501">
        <v>49265.161352870731</v>
      </c>
    </row>
    <row r="15" spans="1:9" ht="18" customHeight="1" thickBot="1">
      <c r="A15" s="1205">
        <v>2004</v>
      </c>
      <c r="B15" s="499">
        <v>18211.927869253603</v>
      </c>
      <c r="C15" s="501">
        <v>8629.9334146129404</v>
      </c>
      <c r="D15" s="499">
        <v>15519.799657335181</v>
      </c>
      <c r="E15" s="501">
        <v>4885.7901600000005</v>
      </c>
      <c r="F15" s="499">
        <v>1016.403946</v>
      </c>
      <c r="G15" s="501">
        <v>2188.6177220936333</v>
      </c>
      <c r="H15" s="499">
        <v>555.24390154379591</v>
      </c>
      <c r="I15" s="501">
        <v>51007.71667083916</v>
      </c>
    </row>
    <row r="16" spans="1:9" ht="18" customHeight="1" thickBot="1">
      <c r="A16" s="1205">
        <v>2005</v>
      </c>
      <c r="B16" s="499">
        <v>18296.451625528491</v>
      </c>
      <c r="C16" s="501">
        <v>8899.1731697869727</v>
      </c>
      <c r="D16" s="499">
        <v>16110.083387414588</v>
      </c>
      <c r="E16" s="501">
        <v>4948.2082112506641</v>
      </c>
      <c r="F16" s="499">
        <v>1023.603069</v>
      </c>
      <c r="G16" s="501">
        <v>2193.6107966786522</v>
      </c>
      <c r="H16" s="499">
        <v>571.91062102459728</v>
      </c>
      <c r="I16" s="501">
        <v>52043.040880683955</v>
      </c>
    </row>
    <row r="17" spans="1:9" ht="18" customHeight="1" thickBot="1">
      <c r="A17" s="1205">
        <v>2006</v>
      </c>
      <c r="B17" s="499">
        <v>18526.116825067013</v>
      </c>
      <c r="C17" s="501">
        <v>9005.2253979999987</v>
      </c>
      <c r="D17" s="499">
        <v>16448.330289598387</v>
      </c>
      <c r="E17" s="501">
        <v>4888.0334472825143</v>
      </c>
      <c r="F17" s="499">
        <v>1015.4241959999999</v>
      </c>
      <c r="G17" s="501">
        <v>2305.0175260594792</v>
      </c>
      <c r="H17" s="499">
        <v>585.19916967563006</v>
      </c>
      <c r="I17" s="501">
        <v>52773.346851683018</v>
      </c>
    </row>
    <row r="18" spans="1:9" ht="18" customHeight="1" thickBot="1">
      <c r="A18" s="1205">
        <v>2007</v>
      </c>
      <c r="B18" s="499">
        <v>19366.801673140202</v>
      </c>
      <c r="C18" s="501">
        <v>9516.8529053703569</v>
      </c>
      <c r="D18" s="499">
        <v>17123.532189955371</v>
      </c>
      <c r="E18" s="501">
        <v>5027.4809360453346</v>
      </c>
      <c r="F18" s="499">
        <v>1191.786634</v>
      </c>
      <c r="G18" s="501">
        <v>2380.5511198549602</v>
      </c>
      <c r="H18" s="499">
        <v>607.93965186885453</v>
      </c>
      <c r="I18" s="501">
        <v>55214.945110235072</v>
      </c>
    </row>
    <row r="19" spans="1:9" s="217" customFormat="1" ht="30" customHeight="1" thickBot="1">
      <c r="A19" s="1194" t="s">
        <v>1150</v>
      </c>
      <c r="B19" s="1195">
        <v>20369</v>
      </c>
      <c r="C19" s="1196">
        <v>10178.1</v>
      </c>
      <c r="D19" s="1195">
        <v>17938.5</v>
      </c>
      <c r="E19" s="1196">
        <v>5238</v>
      </c>
      <c r="F19" s="1195">
        <v>1259</v>
      </c>
      <c r="G19" s="1196">
        <v>2506.5</v>
      </c>
      <c r="H19" s="1195">
        <v>641.9</v>
      </c>
      <c r="I19" s="1196">
        <v>58130.7</v>
      </c>
    </row>
    <row r="20" spans="1:9" ht="20" customHeight="1">
      <c r="A20" s="1206" t="s">
        <v>1087</v>
      </c>
      <c r="B20" s="1207"/>
      <c r="C20" s="1207"/>
      <c r="D20" s="1207"/>
      <c r="E20" s="1207"/>
      <c r="F20" s="1207"/>
      <c r="G20" s="1207"/>
      <c r="H20" s="1207"/>
      <c r="I20" s="1207"/>
    </row>
    <row r="21" spans="1:9" ht="12.75" customHeight="1">
      <c r="A21" s="1199"/>
      <c r="B21" s="1200"/>
      <c r="C21" s="1200"/>
      <c r="D21" s="1200"/>
      <c r="E21" s="1200"/>
      <c r="F21" s="1200"/>
      <c r="G21" s="1200"/>
      <c r="H21" s="1200"/>
      <c r="I21" s="1200"/>
    </row>
    <row r="22" spans="1:9" ht="12.75" customHeight="1">
      <c r="A22" s="1199" t="s">
        <v>2529</v>
      </c>
      <c r="B22" s="1200"/>
      <c r="C22" s="1200"/>
      <c r="D22" s="1200"/>
      <c r="E22" s="1200"/>
      <c r="F22" s="1200"/>
      <c r="G22" s="1200"/>
      <c r="H22" s="1200"/>
      <c r="I22" s="1200"/>
    </row>
    <row r="23" spans="1:9" ht="12.75" customHeight="1">
      <c r="A23" s="1199" t="s">
        <v>2530</v>
      </c>
      <c r="B23" s="1200"/>
      <c r="C23" s="1200"/>
      <c r="D23" s="1200"/>
      <c r="E23" s="1200"/>
      <c r="F23" s="1200"/>
      <c r="G23" s="1200"/>
      <c r="H23" s="1200"/>
      <c r="I23" s="1200"/>
    </row>
    <row r="24" spans="1:9" ht="12.75" customHeight="1">
      <c r="A24" s="1199" t="s">
        <v>2531</v>
      </c>
      <c r="B24" s="1200"/>
      <c r="C24" s="1200"/>
      <c r="D24" s="1200"/>
      <c r="E24" s="1200"/>
      <c r="F24" s="1200"/>
      <c r="G24" s="1200"/>
      <c r="H24" s="1200"/>
      <c r="I24" s="1200"/>
    </row>
    <row r="25" spans="1:9" ht="12.75" customHeight="1">
      <c r="A25" s="1199" t="s">
        <v>2532</v>
      </c>
      <c r="B25" s="1200"/>
      <c r="C25" s="1200"/>
      <c r="D25" s="1200"/>
      <c r="E25" s="1200"/>
      <c r="F25" s="1200"/>
      <c r="G25" s="1200"/>
      <c r="H25" s="1200"/>
      <c r="I25" s="1200"/>
    </row>
    <row r="26" spans="1:9" ht="12.75" customHeight="1">
      <c r="A26" s="1199" t="s">
        <v>2533</v>
      </c>
      <c r="B26" s="1200"/>
      <c r="C26" s="1200"/>
      <c r="D26" s="1200"/>
      <c r="E26" s="1200"/>
      <c r="F26" s="1200"/>
      <c r="G26" s="1200"/>
      <c r="H26" s="1200"/>
      <c r="I26" s="1200"/>
    </row>
    <row r="27" spans="1:9" ht="12.75" customHeight="1">
      <c r="A27" s="1199" t="s">
        <v>2534</v>
      </c>
      <c r="B27" s="1200"/>
      <c r="C27" s="1200"/>
      <c r="D27" s="1200"/>
      <c r="E27" s="1200"/>
      <c r="F27" s="1200"/>
      <c r="G27" s="1200"/>
      <c r="H27" s="1200"/>
      <c r="I27" s="1200"/>
    </row>
    <row r="28" spans="1:9" ht="12.75" customHeight="1">
      <c r="A28" s="1199" t="s">
        <v>2516</v>
      </c>
      <c r="B28" s="1200"/>
      <c r="C28" s="1200"/>
      <c r="D28" s="1200"/>
      <c r="E28" s="1200"/>
      <c r="F28" s="1200"/>
      <c r="G28" s="1200"/>
      <c r="H28" s="1200"/>
      <c r="I28" s="1200"/>
    </row>
    <row r="29" spans="1:9" ht="12.75" customHeight="1">
      <c r="A29" s="1199" t="s">
        <v>2535</v>
      </c>
      <c r="B29" s="1200"/>
      <c r="C29" s="1200"/>
      <c r="D29" s="1200"/>
      <c r="E29" s="1200"/>
      <c r="F29" s="1200"/>
      <c r="G29" s="1200"/>
      <c r="H29" s="1200"/>
      <c r="I29" s="1200"/>
    </row>
    <row r="30" spans="1:9" ht="12.75" customHeight="1">
      <c r="A30" s="1199"/>
      <c r="B30" s="1200"/>
      <c r="C30" s="1200"/>
      <c r="D30" s="1200"/>
      <c r="E30" s="1200"/>
      <c r="F30" s="1200"/>
      <c r="G30" s="1200"/>
      <c r="H30" s="1200"/>
      <c r="I30" s="1200"/>
    </row>
    <row r="31" spans="1:9" ht="12.75" customHeight="1">
      <c r="A31" s="1199" t="s">
        <v>2517</v>
      </c>
      <c r="B31" s="1200"/>
      <c r="C31" s="1200"/>
      <c r="D31" s="1200"/>
      <c r="E31" s="1200"/>
      <c r="F31" s="1200"/>
      <c r="G31" s="1200"/>
      <c r="H31" s="1200"/>
      <c r="I31" s="1200"/>
    </row>
    <row r="32" spans="1:9" ht="15" customHeight="1">
      <c r="A32" s="49"/>
      <c r="B32" s="1201"/>
      <c r="C32" s="1201"/>
      <c r="D32" s="1201"/>
      <c r="E32" s="1201"/>
      <c r="F32" s="1201"/>
      <c r="G32" s="1201"/>
      <c r="H32" s="1201"/>
      <c r="I32" s="1201"/>
    </row>
    <row r="33" spans="1:12" ht="15" customHeight="1">
      <c r="A33" s="1202"/>
      <c r="B33" s="1201"/>
      <c r="C33" s="1201"/>
      <c r="D33" s="1201"/>
      <c r="E33" s="1201"/>
      <c r="F33" s="1201"/>
      <c r="G33" s="1201"/>
      <c r="H33" s="1201"/>
      <c r="I33" s="1201"/>
    </row>
    <row r="34" spans="1:12" ht="18" customHeight="1">
      <c r="A34" s="3" t="s">
        <v>711</v>
      </c>
      <c r="B34" s="1201"/>
      <c r="C34" s="1201"/>
      <c r="D34" s="1201"/>
      <c r="E34" s="1201"/>
      <c r="F34" s="1201"/>
      <c r="G34" s="1201"/>
      <c r="H34" s="1201"/>
      <c r="I34" s="1201"/>
    </row>
    <row r="35" spans="1:12" ht="31" customHeight="1">
      <c r="A35" s="3"/>
      <c r="B35" s="1201"/>
      <c r="C35" s="1201"/>
      <c r="D35" s="1201"/>
      <c r="E35" s="1201"/>
      <c r="F35" s="1201"/>
      <c r="G35" s="1201"/>
      <c r="H35" s="1201"/>
      <c r="I35" s="1201"/>
    </row>
    <row r="36" spans="1:12" ht="31" customHeight="1">
      <c r="A36" s="290"/>
      <c r="B36" s="1203"/>
      <c r="C36" s="1203"/>
      <c r="D36" s="1203"/>
      <c r="E36" s="1203"/>
      <c r="F36" s="1203"/>
      <c r="G36" s="1203"/>
      <c r="H36" s="1203"/>
      <c r="I36" s="1203"/>
      <c r="L36" s="226"/>
    </row>
    <row r="37" spans="1:12" ht="31" customHeight="1">
      <c r="A37" s="290"/>
      <c r="B37" s="1203"/>
      <c r="C37" s="1203"/>
      <c r="D37" s="1203"/>
      <c r="E37" s="1203"/>
      <c r="F37" s="1203"/>
      <c r="G37" s="1203"/>
      <c r="H37" s="1203"/>
      <c r="I37" s="1203"/>
    </row>
    <row r="38" spans="1:12" ht="31" customHeight="1">
      <c r="A38" s="290"/>
      <c r="B38" s="1203"/>
      <c r="C38" s="1203"/>
      <c r="D38" s="1203"/>
      <c r="E38" s="1203"/>
      <c r="F38" s="1203"/>
      <c r="G38" s="1203"/>
      <c r="H38" s="1203"/>
      <c r="I38" s="1203"/>
    </row>
    <row r="39" spans="1:12" ht="31" customHeight="1">
      <c r="A39" s="290"/>
      <c r="B39" s="1203"/>
      <c r="C39" s="1203"/>
      <c r="D39" s="1203"/>
      <c r="E39" s="1203"/>
      <c r="F39" s="1203"/>
      <c r="G39" s="1203"/>
      <c r="H39" s="1203"/>
      <c r="I39" s="1203"/>
    </row>
    <row r="40" spans="1:12" ht="31" customHeight="1">
      <c r="A40" s="290"/>
      <c r="B40" s="1203"/>
      <c r="C40" s="1203"/>
      <c r="D40" s="1203"/>
      <c r="E40" s="1203"/>
      <c r="F40" s="1203"/>
      <c r="G40" s="1203"/>
      <c r="H40" s="1203"/>
      <c r="I40" s="1203"/>
    </row>
    <row r="41" spans="1:12" ht="31" customHeight="1">
      <c r="A41" s="290"/>
      <c r="B41" s="1203"/>
      <c r="C41" s="1203"/>
      <c r="D41" s="1203"/>
      <c r="E41" s="1203"/>
      <c r="F41" s="1203"/>
      <c r="G41" s="1203"/>
      <c r="H41" s="1203"/>
      <c r="I41" s="1203"/>
    </row>
    <row r="42" spans="1:12">
      <c r="A42" s="290"/>
      <c r="B42" s="1203"/>
      <c r="C42" s="1203"/>
      <c r="D42" s="1203"/>
      <c r="E42" s="1203"/>
      <c r="F42" s="1203"/>
      <c r="G42" s="1203"/>
      <c r="H42" s="1203"/>
      <c r="I42" s="1203"/>
    </row>
    <row r="43" spans="1:12">
      <c r="A43" s="290"/>
      <c r="B43" s="1203"/>
      <c r="C43" s="1203"/>
      <c r="D43" s="1203"/>
      <c r="E43" s="1203"/>
      <c r="F43" s="1203"/>
      <c r="G43" s="1203"/>
      <c r="H43" s="1203"/>
      <c r="I43" s="1203"/>
    </row>
  </sheetData>
  <mergeCells count="1">
    <mergeCell ref="A2:H2"/>
  </mergeCells>
  <phoneticPr fontId="0" type="noConversion"/>
  <pageMargins left="0.59" right="0.51" top="0.97" bottom="0.49" header="0.56999999999999995" footer="0.4921259845"/>
  <pageSetup paperSize="9" scale="78" orientation="portrait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DD5D-DA1A-3641-86B0-FAF5FDB9CE98}">
  <sheetPr>
    <pageSetUpPr fitToPage="1"/>
  </sheetPr>
  <dimension ref="A1:K41"/>
  <sheetViews>
    <sheetView topLeftCell="A12" zoomScale="75" workbookViewId="0">
      <selection activeCell="A30" sqref="A30"/>
    </sheetView>
  </sheetViews>
  <sheetFormatPr baseColWidth="10" defaultColWidth="11.3984375" defaultRowHeight="13"/>
  <cols>
    <col min="1" max="1" width="10.59765625" style="2" customWidth="1"/>
    <col min="2" max="8" width="13.59765625" style="225" customWidth="1"/>
    <col min="9" max="9" width="8.796875" style="2" customWidth="1"/>
    <col min="10" max="16384" width="11.3984375" style="2"/>
  </cols>
  <sheetData>
    <row r="1" spans="1:10" s="1" customFormat="1" ht="14" customHeight="1">
      <c r="A1" s="360"/>
      <c r="B1" s="1193"/>
      <c r="C1" s="1193"/>
      <c r="D1" s="1193"/>
      <c r="E1" s="1193"/>
      <c r="F1" s="1193"/>
      <c r="G1" s="1193"/>
      <c r="H1" s="1193"/>
    </row>
    <row r="2" spans="1:10" s="1" customFormat="1" ht="36" customHeight="1">
      <c r="A2" s="2023" t="s">
        <v>1080</v>
      </c>
      <c r="B2" s="2021"/>
      <c r="C2" s="2021"/>
      <c r="D2" s="2021"/>
      <c r="E2" s="2021"/>
      <c r="F2" s="2021"/>
      <c r="G2" s="2021"/>
      <c r="H2" s="428"/>
    </row>
    <row r="3" spans="1:10" ht="27" customHeight="1">
      <c r="A3" s="178" t="s">
        <v>821</v>
      </c>
      <c r="B3" s="179" t="s">
        <v>2543</v>
      </c>
      <c r="C3" s="180" t="s">
        <v>552</v>
      </c>
      <c r="D3" s="179" t="s">
        <v>833</v>
      </c>
      <c r="E3" s="180" t="s">
        <v>2544</v>
      </c>
      <c r="F3" s="179" t="s">
        <v>1081</v>
      </c>
      <c r="G3" s="180" t="s">
        <v>2545</v>
      </c>
      <c r="H3" s="179" t="s">
        <v>164</v>
      </c>
    </row>
    <row r="4" spans="1:10" ht="15" customHeight="1">
      <c r="A4" s="274"/>
      <c r="B4" s="436" t="s">
        <v>2546</v>
      </c>
      <c r="C4" s="920" t="s">
        <v>553</v>
      </c>
      <c r="D4" s="182" t="s">
        <v>1082</v>
      </c>
      <c r="E4" s="183" t="s">
        <v>2547</v>
      </c>
      <c r="F4" s="182"/>
      <c r="G4" s="183"/>
      <c r="H4" s="182"/>
    </row>
    <row r="5" spans="1:10" ht="15" customHeight="1">
      <c r="A5" s="274"/>
      <c r="B5" s="182" t="s">
        <v>2548</v>
      </c>
      <c r="C5" s="183"/>
      <c r="D5" s="182"/>
      <c r="E5" s="920" t="s">
        <v>1083</v>
      </c>
      <c r="F5" s="436"/>
      <c r="G5" s="920"/>
      <c r="H5" s="436"/>
      <c r="J5" s="553"/>
    </row>
    <row r="6" spans="1:10" ht="21.75" customHeight="1">
      <c r="A6" s="378"/>
      <c r="B6" s="188" t="s">
        <v>1084</v>
      </c>
      <c r="C6" s="187"/>
      <c r="D6" s="188"/>
      <c r="E6" s="187"/>
      <c r="F6" s="188"/>
      <c r="G6" s="187"/>
      <c r="H6" s="188"/>
    </row>
    <row r="7" spans="1:10" ht="2.25" customHeight="1" thickBot="1">
      <c r="A7" s="437">
        <v>1996</v>
      </c>
      <c r="B7" s="497">
        <v>17744.372332422729</v>
      </c>
      <c r="C7" s="277">
        <v>10932.716294797674</v>
      </c>
      <c r="D7" s="497">
        <v>1268.9714576684796</v>
      </c>
      <c r="E7" s="277">
        <v>4540.3470588235296</v>
      </c>
      <c r="F7" s="497">
        <v>966.86547804090924</v>
      </c>
      <c r="G7" s="277">
        <v>2015.3489631466664</v>
      </c>
      <c r="H7" s="497">
        <v>37468.621584899985</v>
      </c>
    </row>
    <row r="8" spans="1:10" ht="20.25" hidden="1" customHeight="1" thickBot="1">
      <c r="A8" s="438">
        <v>1997</v>
      </c>
      <c r="B8" s="499">
        <v>18024.21990591228</v>
      </c>
      <c r="C8" s="501">
        <v>11172.859777209607</v>
      </c>
      <c r="D8" s="499">
        <v>1237.2489177234406</v>
      </c>
      <c r="E8" s="501">
        <v>4778.8981705882352</v>
      </c>
      <c r="F8" s="499">
        <v>938.77448458000003</v>
      </c>
      <c r="G8" s="501">
        <v>2057.9071603399998</v>
      </c>
      <c r="H8" s="499">
        <v>38209.908416353559</v>
      </c>
    </row>
    <row r="9" spans="1:10" ht="20.25" customHeight="1" thickBot="1">
      <c r="A9" s="438">
        <v>1998</v>
      </c>
      <c r="B9" s="499">
        <v>18551.937219844131</v>
      </c>
      <c r="C9" s="501">
        <v>11874.35810787395</v>
      </c>
      <c r="D9" s="499">
        <v>1356.5677703307178</v>
      </c>
      <c r="E9" s="501">
        <v>4913.3724305941168</v>
      </c>
      <c r="F9" s="499">
        <v>983.21470195428628</v>
      </c>
      <c r="G9" s="501">
        <v>2135.5628481599997</v>
      </c>
      <c r="H9" s="499">
        <v>39815.013078757198</v>
      </c>
    </row>
    <row r="10" spans="1:10" ht="20.25" customHeight="1" thickBot="1">
      <c r="A10" s="438">
        <v>1999</v>
      </c>
      <c r="B10" s="499">
        <v>18978.566637981137</v>
      </c>
      <c r="C10" s="501">
        <v>12357.690062899601</v>
      </c>
      <c r="D10" s="499">
        <v>1393.9774232153918</v>
      </c>
      <c r="E10" s="501">
        <v>5198.8475422014762</v>
      </c>
      <c r="F10" s="499">
        <v>1015.086034722207</v>
      </c>
      <c r="G10" s="501">
        <v>2160.2840630000001</v>
      </c>
      <c r="H10" s="499">
        <v>41104.45176401981</v>
      </c>
    </row>
    <row r="11" spans="1:10" ht="20.25" customHeight="1" thickBot="1">
      <c r="A11" s="438">
        <v>2000</v>
      </c>
      <c r="B11" s="499">
        <v>19786.725959440424</v>
      </c>
      <c r="C11" s="501">
        <v>12926.336575347925</v>
      </c>
      <c r="D11" s="499">
        <v>1430.1583748696057</v>
      </c>
      <c r="E11" s="501">
        <v>5475.438530920148</v>
      </c>
      <c r="F11" s="499">
        <v>1014.11623525604</v>
      </c>
      <c r="G11" s="501">
        <v>2210.1582759999997</v>
      </c>
      <c r="H11" s="499">
        <v>42842.933951834144</v>
      </c>
    </row>
    <row r="12" spans="1:10" ht="20.25" customHeight="1" thickBot="1">
      <c r="A12" s="438">
        <v>2001</v>
      </c>
      <c r="B12" s="499">
        <v>21248.403601616865</v>
      </c>
      <c r="C12" s="501">
        <v>13690.949264204983</v>
      </c>
      <c r="D12" s="499">
        <v>1471.1430430916139</v>
      </c>
      <c r="E12" s="501">
        <v>5829.5053846335832</v>
      </c>
      <c r="F12" s="499">
        <v>1062.7870063791461</v>
      </c>
      <c r="G12" s="501">
        <v>2270.0527489999999</v>
      </c>
      <c r="H12" s="499">
        <v>45572.841048926195</v>
      </c>
    </row>
    <row r="13" spans="1:10" ht="20.25" customHeight="1" thickBot="1">
      <c r="A13" s="438">
        <v>2002</v>
      </c>
      <c r="B13" s="499">
        <v>22418.819866723858</v>
      </c>
      <c r="C13" s="501">
        <v>14164.252550727681</v>
      </c>
      <c r="D13" s="499">
        <v>1526.2390168419893</v>
      </c>
      <c r="E13" s="501">
        <v>5899.2236182451925</v>
      </c>
      <c r="F13" s="499">
        <v>1052.5616069842113</v>
      </c>
      <c r="G13" s="501">
        <v>2327.5368271152074</v>
      </c>
      <c r="H13" s="499">
        <v>47388.633486638137</v>
      </c>
    </row>
    <row r="14" spans="1:10" ht="20.25" customHeight="1" thickBot="1">
      <c r="A14" s="438">
        <v>2003</v>
      </c>
      <c r="B14" s="499">
        <v>23242.374321177165</v>
      </c>
      <c r="C14" s="501">
        <v>14647.207027090521</v>
      </c>
      <c r="D14" s="499">
        <v>1546.5271226262025</v>
      </c>
      <c r="E14" s="501">
        <v>6306.7298112442477</v>
      </c>
      <c r="F14" s="499">
        <v>1122.7699346072109</v>
      </c>
      <c r="G14" s="501">
        <v>2399.5531361253825</v>
      </c>
      <c r="H14" s="499">
        <v>49265.161352870731</v>
      </c>
    </row>
    <row r="15" spans="1:10" ht="20.25" customHeight="1" thickBot="1">
      <c r="A15" s="438">
        <v>2004</v>
      </c>
      <c r="B15" s="499">
        <v>23945.205223129917</v>
      </c>
      <c r="C15" s="501">
        <v>15193.377809727141</v>
      </c>
      <c r="D15" s="499">
        <v>1704.7484965799663</v>
      </c>
      <c r="E15" s="501">
        <v>6531.3195717647059</v>
      </c>
      <c r="F15" s="499">
        <v>1122.7977613085018</v>
      </c>
      <c r="G15" s="501">
        <v>2510.2678083289275</v>
      </c>
      <c r="H15" s="499">
        <v>51007.71667083916</v>
      </c>
    </row>
    <row r="16" spans="1:10" ht="20.25" customHeight="1" thickBot="1">
      <c r="A16" s="438">
        <v>2005</v>
      </c>
      <c r="B16" s="499">
        <v>23688.403109193729</v>
      </c>
      <c r="C16" s="501">
        <v>16202.451402570587</v>
      </c>
      <c r="D16" s="499">
        <v>1809.9095250833793</v>
      </c>
      <c r="E16" s="501">
        <v>6680.5273571330181</v>
      </c>
      <c r="F16" s="499">
        <v>1133.4662400245973</v>
      </c>
      <c r="G16" s="501">
        <v>2528.2832466786526</v>
      </c>
      <c r="H16" s="499">
        <v>52043.040880683955</v>
      </c>
    </row>
    <row r="17" spans="1:8" ht="20.25" customHeight="1" thickBot="1">
      <c r="A17" s="438">
        <v>2006</v>
      </c>
      <c r="B17" s="499">
        <v>24062.85220852038</v>
      </c>
      <c r="C17" s="501">
        <v>16588.221996927445</v>
      </c>
      <c r="D17" s="499">
        <v>1788.3078435812113</v>
      </c>
      <c r="E17" s="501">
        <v>6561.1769109188781</v>
      </c>
      <c r="F17" s="499">
        <v>1141.3716146756301</v>
      </c>
      <c r="G17" s="501">
        <v>2631.4162770594794</v>
      </c>
      <c r="H17" s="499">
        <v>52773.346851683018</v>
      </c>
    </row>
    <row r="18" spans="1:8" ht="20.25" customHeight="1" thickBot="1">
      <c r="A18" s="438">
        <v>2007</v>
      </c>
      <c r="B18" s="499">
        <v>25173.299610545928</v>
      </c>
      <c r="C18" s="501">
        <v>17405.941656934221</v>
      </c>
      <c r="D18" s="499">
        <v>1831.3062019557781</v>
      </c>
      <c r="E18" s="501">
        <v>6761.1122350753349</v>
      </c>
      <c r="F18" s="499">
        <v>1281.1703952217956</v>
      </c>
      <c r="G18" s="501">
        <v>2762.1150105020197</v>
      </c>
      <c r="H18" s="499">
        <v>55214.945110235072</v>
      </c>
    </row>
    <row r="19" spans="1:8" s="1208" customFormat="1" ht="30" customHeight="1" thickBot="1">
      <c r="A19" s="1194" t="s">
        <v>1085</v>
      </c>
      <c r="B19" s="660">
        <v>26511.599999999999</v>
      </c>
      <c r="C19" s="661">
        <v>18446</v>
      </c>
      <c r="D19" s="660">
        <v>1923.7</v>
      </c>
      <c r="E19" s="661">
        <v>7063.3</v>
      </c>
      <c r="F19" s="660">
        <v>1321.3</v>
      </c>
      <c r="G19" s="661">
        <v>2862.8</v>
      </c>
      <c r="H19" s="660">
        <v>58130.7</v>
      </c>
    </row>
    <row r="20" spans="1:8" ht="20" customHeight="1">
      <c r="A20" s="1197" t="s">
        <v>1087</v>
      </c>
      <c r="B20" s="1198"/>
      <c r="C20" s="1198"/>
      <c r="D20" s="1198"/>
      <c r="E20" s="1198"/>
      <c r="F20" s="1198"/>
      <c r="G20" s="1198"/>
      <c r="H20" s="1198"/>
    </row>
    <row r="21" spans="1:8" ht="12.75" customHeight="1">
      <c r="A21" s="1209"/>
      <c r="B21" s="1210"/>
      <c r="C21" s="1210"/>
      <c r="D21" s="1210"/>
      <c r="E21" s="1210"/>
      <c r="F21" s="1210"/>
      <c r="G21" s="1210"/>
      <c r="H21" s="1210"/>
    </row>
    <row r="22" spans="1:8" ht="12.75" customHeight="1">
      <c r="A22" s="1209" t="s">
        <v>2549</v>
      </c>
      <c r="B22" s="1210"/>
      <c r="C22" s="1210"/>
      <c r="D22" s="1210"/>
      <c r="E22" s="1210"/>
      <c r="F22" s="1210"/>
      <c r="G22" s="1210"/>
      <c r="H22" s="1210"/>
    </row>
    <row r="23" spans="1:8" ht="12.75" customHeight="1">
      <c r="A23" s="1209" t="s">
        <v>1076</v>
      </c>
      <c r="B23" s="1210"/>
      <c r="C23" s="1210"/>
      <c r="D23" s="1210"/>
      <c r="E23" s="1210"/>
      <c r="F23" s="1210"/>
      <c r="G23" s="1210"/>
      <c r="H23" s="1210"/>
    </row>
    <row r="24" spans="1:8" ht="12.75" customHeight="1">
      <c r="A24" s="1209" t="s">
        <v>1077</v>
      </c>
      <c r="B24" s="1210"/>
      <c r="C24" s="1210"/>
      <c r="D24" s="1210"/>
      <c r="E24" s="1210"/>
      <c r="F24" s="1210"/>
      <c r="G24" s="1210"/>
      <c r="H24" s="1210"/>
    </row>
    <row r="25" spans="1:8" ht="12.75" customHeight="1">
      <c r="A25" s="1209" t="s">
        <v>1078</v>
      </c>
      <c r="B25" s="1210"/>
      <c r="C25" s="1210"/>
      <c r="D25" s="1210"/>
      <c r="E25" s="1210"/>
      <c r="F25" s="1210"/>
      <c r="G25" s="1210"/>
      <c r="H25" s="1210"/>
    </row>
    <row r="26" spans="1:8" ht="12.75" customHeight="1">
      <c r="A26" s="1199" t="s">
        <v>1079</v>
      </c>
      <c r="B26" s="1210"/>
      <c r="C26" s="1210"/>
      <c r="D26" s="1210"/>
      <c r="E26" s="1210"/>
      <c r="F26" s="1210"/>
      <c r="G26" s="1210"/>
      <c r="H26" s="1210"/>
    </row>
    <row r="27" spans="1:8" ht="12.75" customHeight="1">
      <c r="A27" s="1199" t="s">
        <v>2515</v>
      </c>
      <c r="B27" s="1210"/>
      <c r="C27" s="1210"/>
      <c r="D27" s="1210"/>
      <c r="E27" s="1210"/>
      <c r="F27" s="1210"/>
      <c r="G27" s="1210"/>
      <c r="H27" s="1210"/>
    </row>
    <row r="28" spans="1:8" ht="12.75" customHeight="1">
      <c r="A28" s="1209"/>
      <c r="B28" s="1210"/>
      <c r="C28" s="1210"/>
      <c r="D28" s="1210"/>
      <c r="E28" s="1210"/>
      <c r="F28" s="1210"/>
      <c r="G28" s="1210"/>
      <c r="H28" s="1210"/>
    </row>
    <row r="29" spans="1:8" ht="12.75" customHeight="1">
      <c r="A29" s="1209" t="s">
        <v>2517</v>
      </c>
      <c r="B29" s="1210"/>
      <c r="C29" s="1210"/>
      <c r="D29" s="1210"/>
      <c r="E29" s="1210"/>
      <c r="F29" s="1210"/>
      <c r="G29" s="1210"/>
      <c r="H29" s="1210"/>
    </row>
    <row r="30" spans="1:8" ht="14.25" customHeight="1">
      <c r="A30" s="360"/>
      <c r="B30" s="1203"/>
      <c r="C30" s="1203"/>
      <c r="D30" s="1203"/>
      <c r="E30" s="1203"/>
      <c r="F30" s="1203"/>
      <c r="G30" s="1203"/>
      <c r="H30" s="1203"/>
    </row>
    <row r="31" spans="1:8" ht="14.25" customHeight="1">
      <c r="A31" s="226"/>
      <c r="B31" s="1203"/>
      <c r="C31" s="1203"/>
      <c r="D31" s="1203"/>
      <c r="E31" s="1203"/>
      <c r="F31" s="1203"/>
      <c r="G31" s="1203"/>
      <c r="H31" s="1203"/>
    </row>
    <row r="32" spans="1:8" ht="14.25" customHeight="1">
      <c r="A32" s="290" t="s">
        <v>711</v>
      </c>
      <c r="B32" s="1203"/>
      <c r="C32" s="1203"/>
      <c r="D32" s="1203"/>
      <c r="E32" s="1203"/>
      <c r="F32" s="1203"/>
      <c r="G32" s="1203"/>
      <c r="H32" s="1203"/>
    </row>
    <row r="33" spans="1:11" ht="18" customHeight="1">
      <c r="A33" s="290"/>
      <c r="B33" s="1203"/>
      <c r="C33" s="1203"/>
      <c r="D33" s="1203"/>
      <c r="E33" s="1203"/>
      <c r="F33" s="1203"/>
      <c r="G33" s="1203"/>
      <c r="H33" s="1203"/>
    </row>
    <row r="34" spans="1:11" ht="18" customHeight="1">
      <c r="A34" s="290"/>
      <c r="B34" s="1203"/>
      <c r="C34" s="1203"/>
      <c r="D34" s="1203"/>
      <c r="E34" s="1203"/>
      <c r="F34" s="1203"/>
      <c r="G34" s="1203"/>
      <c r="H34" s="1203"/>
      <c r="K34" s="226"/>
    </row>
    <row r="35" spans="1:11" ht="31" customHeight="1">
      <c r="A35" s="290"/>
      <c r="B35" s="1203"/>
      <c r="C35" s="1203"/>
      <c r="D35" s="1203"/>
      <c r="E35" s="1203"/>
      <c r="F35" s="1203"/>
      <c r="G35" s="1203"/>
      <c r="H35" s="1203"/>
    </row>
    <row r="36" spans="1:11" ht="31" customHeight="1">
      <c r="A36" s="290"/>
      <c r="B36" s="1203"/>
      <c r="C36" s="1203"/>
      <c r="D36" s="1203"/>
      <c r="E36" s="1203"/>
      <c r="F36" s="1203"/>
      <c r="G36" s="1203"/>
      <c r="H36" s="1203"/>
    </row>
    <row r="37" spans="1:11" ht="31" customHeight="1">
      <c r="A37" s="290"/>
      <c r="B37" s="1203"/>
      <c r="C37" s="1203"/>
      <c r="D37" s="1203"/>
      <c r="E37" s="1203"/>
      <c r="F37" s="1203"/>
      <c r="G37" s="1203"/>
      <c r="H37" s="1203"/>
    </row>
    <row r="38" spans="1:11" ht="31" customHeight="1">
      <c r="A38" s="290"/>
      <c r="B38" s="1203"/>
      <c r="C38" s="1203"/>
      <c r="D38" s="1203"/>
      <c r="E38" s="1203"/>
      <c r="F38" s="1203"/>
      <c r="G38" s="1203"/>
      <c r="H38" s="1203"/>
    </row>
    <row r="39" spans="1:11" ht="31" customHeight="1">
      <c r="A39" s="290"/>
      <c r="B39" s="1203"/>
      <c r="C39" s="1203"/>
      <c r="D39" s="1203"/>
      <c r="E39" s="1203"/>
      <c r="F39" s="1203"/>
      <c r="G39" s="1203"/>
      <c r="H39" s="1203"/>
    </row>
    <row r="40" spans="1:11">
      <c r="A40" s="290"/>
      <c r="B40" s="1203"/>
      <c r="C40" s="1203"/>
      <c r="D40" s="1203"/>
      <c r="E40" s="1203"/>
      <c r="F40" s="1203"/>
      <c r="G40" s="1203"/>
      <c r="H40" s="1203"/>
    </row>
    <row r="41" spans="1:11">
      <c r="A41" s="290"/>
      <c r="B41" s="1203"/>
      <c r="C41" s="1203"/>
      <c r="D41" s="1203"/>
      <c r="E41" s="1203"/>
      <c r="F41" s="1203"/>
      <c r="G41" s="1203"/>
      <c r="H41" s="1203"/>
    </row>
  </sheetData>
  <mergeCells count="1">
    <mergeCell ref="A2:G2"/>
  </mergeCells>
  <phoneticPr fontId="0" type="noConversion"/>
  <pageMargins left="0.59" right="0.51" top="1.05" bottom="0.49" header="0.6" footer="0.4921259845"/>
  <pageSetup paperSize="9" scale="80" orientation="portrait" horizontalDpi="4294967292" verticalDpi="4294967292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12D9-8C39-4B4D-B58F-ED023A0B4872}">
  <sheetPr>
    <pageSetUpPr fitToPage="1"/>
  </sheetPr>
  <dimension ref="A1:H43"/>
  <sheetViews>
    <sheetView topLeftCell="A17" zoomScale="75" workbookViewId="0">
      <selection activeCell="I30" sqref="I30"/>
    </sheetView>
  </sheetViews>
  <sheetFormatPr baseColWidth="10" defaultColWidth="11.3984375" defaultRowHeight="13"/>
  <cols>
    <col min="1" max="1" width="11.796875" style="2" customWidth="1"/>
    <col min="2" max="5" width="16.19921875" style="225" customWidth="1"/>
    <col min="6" max="6" width="13.3984375" style="2" customWidth="1"/>
    <col min="7" max="7" width="15.59765625" style="2" customWidth="1"/>
    <col min="8" max="8" width="12.59765625" style="2" customWidth="1"/>
    <col min="9" max="16384" width="11.3984375" style="2"/>
  </cols>
  <sheetData>
    <row r="1" spans="1:8" s="1" customFormat="1" ht="14" customHeight="1">
      <c r="A1" s="360"/>
      <c r="B1" s="1193"/>
      <c r="C1" s="1193"/>
      <c r="D1" s="1193"/>
      <c r="E1" s="1193"/>
    </row>
    <row r="2" spans="1:8" s="1" customFormat="1" ht="39" customHeight="1">
      <c r="A2" s="2033" t="s">
        <v>2170</v>
      </c>
      <c r="B2" s="2020"/>
      <c r="C2" s="2020"/>
      <c r="D2" s="2020"/>
      <c r="E2" s="2020"/>
      <c r="F2" s="2020"/>
      <c r="G2" s="2020"/>
      <c r="H2" s="428"/>
    </row>
    <row r="3" spans="1:8" ht="27" customHeight="1">
      <c r="A3" s="178" t="s">
        <v>821</v>
      </c>
      <c r="B3" s="179" t="s">
        <v>1145</v>
      </c>
      <c r="C3" s="180" t="s">
        <v>624</v>
      </c>
      <c r="D3" s="179" t="s">
        <v>1132</v>
      </c>
      <c r="E3" s="180" t="s">
        <v>164</v>
      </c>
      <c r="F3" s="179" t="s">
        <v>2372</v>
      </c>
      <c r="G3" s="180" t="s">
        <v>625</v>
      </c>
      <c r="H3" s="179" t="s">
        <v>2372</v>
      </c>
    </row>
    <row r="4" spans="1:8" ht="18" customHeight="1">
      <c r="A4" s="274"/>
      <c r="B4" s="436"/>
      <c r="C4" s="920" t="s">
        <v>2171</v>
      </c>
      <c r="D4" s="182" t="s">
        <v>2172</v>
      </c>
      <c r="E4" s="183"/>
      <c r="F4" s="182" t="s">
        <v>2373</v>
      </c>
      <c r="G4" s="183" t="s">
        <v>626</v>
      </c>
      <c r="H4" s="182" t="s">
        <v>2373</v>
      </c>
    </row>
    <row r="5" spans="1:8" ht="15" customHeight="1">
      <c r="A5" s="274"/>
      <c r="B5" s="182"/>
      <c r="C5" s="183"/>
      <c r="D5" s="182"/>
      <c r="E5" s="920"/>
      <c r="F5" s="182" t="s">
        <v>2377</v>
      </c>
      <c r="G5" s="920"/>
      <c r="H5" s="182" t="s">
        <v>2377</v>
      </c>
    </row>
    <row r="6" spans="1:8" ht="21.75" customHeight="1">
      <c r="A6" s="378"/>
      <c r="B6" s="188"/>
      <c r="C6" s="187"/>
      <c r="D6" s="188"/>
      <c r="E6" s="187"/>
      <c r="F6" s="188"/>
      <c r="G6" s="187"/>
      <c r="H6" s="188"/>
    </row>
    <row r="7" spans="1:8" ht="2.25" customHeight="1" thickBot="1">
      <c r="A7" s="437">
        <v>1996</v>
      </c>
      <c r="B7" s="497">
        <v>9177.687383202805</v>
      </c>
      <c r="C7" s="277">
        <v>2253.7791020058648</v>
      </c>
      <c r="D7" s="497">
        <v>26037.155099691325</v>
      </c>
      <c r="E7" s="277">
        <v>37468.621584899993</v>
      </c>
      <c r="F7" s="554">
        <v>4.8323025860493536E-2</v>
      </c>
      <c r="G7" s="277">
        <v>5273.2258587145679</v>
      </c>
      <c r="H7" s="554">
        <v>4.4699999999999997E-2</v>
      </c>
    </row>
    <row r="8" spans="1:8" ht="21" hidden="1" customHeight="1" thickBot="1">
      <c r="A8" s="438">
        <v>1997</v>
      </c>
      <c r="B8" s="499">
        <v>9418.8451093591284</v>
      </c>
      <c r="C8" s="501">
        <v>2342.3722205725544</v>
      </c>
      <c r="D8" s="499">
        <v>26448.691086421877</v>
      </c>
      <c r="E8" s="501">
        <v>38209.908416353559</v>
      </c>
      <c r="F8" s="556">
        <v>1.9784203424027424E-2</v>
      </c>
      <c r="G8" s="501">
        <v>5371.4148132973496</v>
      </c>
      <c r="H8" s="556">
        <v>1.8620282387585192E-2</v>
      </c>
    </row>
    <row r="9" spans="1:8" ht="21" customHeight="1" thickBot="1">
      <c r="A9" s="438">
        <v>1998</v>
      </c>
      <c r="B9" s="499">
        <v>9740.4616162185357</v>
      </c>
      <c r="C9" s="501">
        <v>2491.9842199206182</v>
      </c>
      <c r="D9" s="499">
        <v>27582.567242618046</v>
      </c>
      <c r="E9" s="501">
        <v>39815.013078757198</v>
      </c>
      <c r="F9" s="556">
        <v>4.2007550630942261E-2</v>
      </c>
      <c r="G9" s="501">
        <v>5582.675033421332</v>
      </c>
      <c r="H9" s="556">
        <v>3.9330460868706611E-2</v>
      </c>
    </row>
    <row r="10" spans="1:8" ht="21" customHeight="1" thickBot="1">
      <c r="A10" s="438">
        <v>1999</v>
      </c>
      <c r="B10" s="499">
        <v>10410.713149998719</v>
      </c>
      <c r="C10" s="501">
        <v>2592.3571232595004</v>
      </c>
      <c r="D10" s="499">
        <v>28101.381490761596</v>
      </c>
      <c r="E10" s="501">
        <v>41104.451764019817</v>
      </c>
      <c r="F10" s="556">
        <v>3.2385740592675662E-2</v>
      </c>
      <c r="G10" s="501">
        <v>5735.4478095920085</v>
      </c>
      <c r="H10" s="556">
        <v>2.7365514785668971E-2</v>
      </c>
    </row>
    <row r="11" spans="1:8" ht="21" customHeight="1" thickBot="1">
      <c r="A11" s="438">
        <v>2000</v>
      </c>
      <c r="B11" s="499">
        <v>10738.085506785732</v>
      </c>
      <c r="C11" s="501">
        <v>2676.9738820686712</v>
      </c>
      <c r="D11" s="499">
        <v>29427.874562979741</v>
      </c>
      <c r="E11" s="501">
        <v>42842.933951834144</v>
      </c>
      <c r="F11" s="556">
        <v>4.2294255566159421E-2</v>
      </c>
      <c r="G11" s="501">
        <v>5942.9441459536711</v>
      </c>
      <c r="H11" s="556">
        <v>3.6177878912025667E-2</v>
      </c>
    </row>
    <row r="12" spans="1:8" ht="21" customHeight="1" thickBot="1">
      <c r="A12" s="438">
        <v>2001</v>
      </c>
      <c r="B12" s="499">
        <v>12066.085763402813</v>
      </c>
      <c r="C12" s="501">
        <v>2827.6124836560352</v>
      </c>
      <c r="D12" s="499">
        <v>30679.142801867347</v>
      </c>
      <c r="E12" s="501">
        <v>45572.841048926195</v>
      </c>
      <c r="F12" s="556">
        <v>6.3718957720335617E-2</v>
      </c>
      <c r="G12" s="501">
        <v>6276.9577355721531</v>
      </c>
      <c r="H12" s="556">
        <v>5.6203386977126381E-2</v>
      </c>
    </row>
    <row r="13" spans="1:8" ht="21" customHeight="1" thickBot="1">
      <c r="A13" s="438">
        <v>2002</v>
      </c>
      <c r="B13" s="499">
        <v>13119.414911832959</v>
      </c>
      <c r="C13" s="501">
        <v>2820.0498229714558</v>
      </c>
      <c r="D13" s="499">
        <v>31449.168751833717</v>
      </c>
      <c r="E13" s="501">
        <v>47388.633486638129</v>
      </c>
      <c r="F13" s="556">
        <v>3.9843740173287234E-2</v>
      </c>
      <c r="G13" s="501">
        <v>6449.3898810983646</v>
      </c>
      <c r="H13" s="556">
        <v>2.7470655816116331E-2</v>
      </c>
    </row>
    <row r="14" spans="1:8" ht="21" customHeight="1" thickBot="1">
      <c r="A14" s="438">
        <v>2003</v>
      </c>
      <c r="B14" s="499">
        <v>13722.655861069588</v>
      </c>
      <c r="C14" s="501">
        <v>2987.0229199422301</v>
      </c>
      <c r="D14" s="499">
        <v>32555.482571858916</v>
      </c>
      <c r="E14" s="501">
        <v>49265.161352870738</v>
      </c>
      <c r="F14" s="556">
        <v>3.9598691250755769E-2</v>
      </c>
      <c r="G14" s="501">
        <v>6652.9131741119318</v>
      </c>
      <c r="H14" s="556">
        <v>3.1556983957512899E-2</v>
      </c>
    </row>
    <row r="15" spans="1:8" ht="21" customHeight="1" thickBot="1">
      <c r="A15" s="438">
        <v>2004</v>
      </c>
      <c r="B15" s="499">
        <v>13782.332559784953</v>
      </c>
      <c r="C15" s="501">
        <v>3171.7715212406179</v>
      </c>
      <c r="D15" s="499">
        <v>34053.612589813594</v>
      </c>
      <c r="E15" s="501">
        <v>51007.71667083916</v>
      </c>
      <c r="F15" s="556">
        <v>3.5370945108391096E-2</v>
      </c>
      <c r="G15" s="501">
        <v>6842.8964671900767</v>
      </c>
      <c r="H15" s="556">
        <v>2.8556406510371293E-2</v>
      </c>
    </row>
    <row r="16" spans="1:8" ht="21" customHeight="1" thickBot="1">
      <c r="A16" s="438">
        <v>2005</v>
      </c>
      <c r="B16" s="499">
        <v>14066.947446826567</v>
      </c>
      <c r="C16" s="501">
        <v>3389.0318928738943</v>
      </c>
      <c r="D16" s="499">
        <v>34587.061540983508</v>
      </c>
      <c r="E16" s="501">
        <v>52043.04088068397</v>
      </c>
      <c r="F16" s="556">
        <v>2.0297403558091422E-2</v>
      </c>
      <c r="G16" s="501">
        <v>6937.9111736214763</v>
      </c>
      <c r="H16" s="556">
        <v>1.3885159140865371E-2</v>
      </c>
    </row>
    <row r="17" spans="1:8" ht="21" customHeight="1" thickBot="1">
      <c r="A17" s="438">
        <v>2006</v>
      </c>
      <c r="B17" s="499">
        <v>14084.873263559057</v>
      </c>
      <c r="C17" s="501">
        <v>3434.4268800044406</v>
      </c>
      <c r="D17" s="499">
        <v>35254.046708119524</v>
      </c>
      <c r="E17" s="501">
        <v>52773.346851683018</v>
      </c>
      <c r="F17" s="556">
        <v>1.403273057532088E-2</v>
      </c>
      <c r="G17" s="501">
        <v>6982.8098875825699</v>
      </c>
      <c r="H17" s="556">
        <v>6.4715031423005619E-3</v>
      </c>
    </row>
    <row r="18" spans="1:8" ht="21" customHeight="1" thickBot="1">
      <c r="A18" s="438">
        <v>2007</v>
      </c>
      <c r="B18" s="499">
        <v>14773.435402819494</v>
      </c>
      <c r="C18" s="501">
        <v>3552.0597140138489</v>
      </c>
      <c r="D18" s="499">
        <v>36889.449993401729</v>
      </c>
      <c r="E18" s="501">
        <v>55214.945110235072</v>
      </c>
      <c r="F18" s="556">
        <v>4.6265745953427022E-2</v>
      </c>
      <c r="G18" s="501">
        <v>7247.388280999573</v>
      </c>
      <c r="H18" s="556">
        <v>3.7889960871983507E-2</v>
      </c>
    </row>
    <row r="19" spans="1:8" ht="26.25" customHeight="1" thickBot="1">
      <c r="A19" s="1229" t="s">
        <v>2173</v>
      </c>
      <c r="B19" s="1230" t="s">
        <v>1060</v>
      </c>
      <c r="C19" s="1231" t="s">
        <v>1060</v>
      </c>
      <c r="D19" s="1230" t="s">
        <v>1060</v>
      </c>
      <c r="E19" s="1232">
        <v>58130.7</v>
      </c>
      <c r="F19" s="1233">
        <v>5.2807349241110406E-2</v>
      </c>
      <c r="G19" s="1231">
        <v>7538.6172788785352</v>
      </c>
      <c r="H19" s="1233">
        <v>4.0183992713965007E-2</v>
      </c>
    </row>
    <row r="20" spans="1:8" ht="26.25" customHeight="1" thickBot="1">
      <c r="A20" s="1229" t="s">
        <v>2174</v>
      </c>
      <c r="B20" s="1230" t="s">
        <v>1060</v>
      </c>
      <c r="C20" s="1231" t="s">
        <v>1060</v>
      </c>
      <c r="D20" s="1230" t="s">
        <v>1060</v>
      </c>
      <c r="E20" s="1232">
        <v>60647</v>
      </c>
      <c r="F20" s="1233">
        <v>4.3286937883080766E-2</v>
      </c>
      <c r="G20" s="1231" t="s">
        <v>1060</v>
      </c>
      <c r="H20" s="1233" t="s">
        <v>1060</v>
      </c>
    </row>
    <row r="21" spans="1:8" ht="26.25" customHeight="1" thickBot="1">
      <c r="A21" s="1229" t="s">
        <v>2175</v>
      </c>
      <c r="B21" s="1230" t="s">
        <v>1060</v>
      </c>
      <c r="C21" s="1231" t="s">
        <v>1060</v>
      </c>
      <c r="D21" s="1230" t="s">
        <v>1060</v>
      </c>
      <c r="E21" s="1232">
        <v>62080.5</v>
      </c>
      <c r="F21" s="1233">
        <v>2.3636783352845154E-2</v>
      </c>
      <c r="G21" s="1234" t="s">
        <v>1060</v>
      </c>
      <c r="H21" s="1235" t="s">
        <v>1060</v>
      </c>
    </row>
    <row r="22" spans="1:8" ht="20" customHeight="1">
      <c r="A22" s="1197" t="s">
        <v>1087</v>
      </c>
      <c r="B22" s="1198"/>
      <c r="C22" s="1198"/>
      <c r="D22" s="1198"/>
      <c r="E22" s="1198"/>
      <c r="F22" s="1198"/>
    </row>
    <row r="23" spans="1:8" ht="10.5" customHeight="1">
      <c r="A23" s="1209"/>
      <c r="B23" s="1210"/>
      <c r="C23" s="1210"/>
      <c r="D23" s="1210"/>
      <c r="E23" s="1210"/>
    </row>
    <row r="24" spans="1:8" ht="12.75" customHeight="1">
      <c r="A24" s="1209" t="s">
        <v>627</v>
      </c>
      <c r="B24" s="1210"/>
      <c r="C24" s="1210"/>
      <c r="D24" s="1210"/>
      <c r="E24" s="1210"/>
    </row>
    <row r="25" spans="1:8" ht="12.75" customHeight="1">
      <c r="A25" s="1209" t="s">
        <v>2165</v>
      </c>
      <c r="B25" s="1210"/>
      <c r="C25" s="1210"/>
      <c r="D25" s="1210"/>
      <c r="E25" s="1210"/>
      <c r="F25" s="1210"/>
      <c r="G25" s="1210"/>
    </row>
    <row r="26" spans="1:8" ht="12.75" customHeight="1">
      <c r="A26" s="1209" t="s">
        <v>2166</v>
      </c>
      <c r="B26" s="1210"/>
      <c r="C26" s="1210"/>
      <c r="D26" s="1210"/>
      <c r="E26" s="1210"/>
      <c r="F26" s="1210"/>
      <c r="G26" s="1210"/>
    </row>
    <row r="27" spans="1:8" ht="12.75" customHeight="1">
      <c r="A27" s="1209" t="s">
        <v>2167</v>
      </c>
      <c r="B27" s="1210"/>
      <c r="C27" s="1210"/>
      <c r="D27" s="1210"/>
      <c r="E27" s="1210"/>
      <c r="F27" s="1210"/>
      <c r="G27" s="1210"/>
    </row>
    <row r="28" spans="1:8" ht="12.75" customHeight="1">
      <c r="A28" s="1199" t="s">
        <v>2168</v>
      </c>
      <c r="B28" s="1210"/>
      <c r="C28" s="1210"/>
      <c r="D28" s="1210"/>
      <c r="E28" s="1210"/>
      <c r="F28" s="1210"/>
      <c r="G28" s="1210"/>
    </row>
    <row r="29" spans="1:8" ht="12.75" customHeight="1">
      <c r="A29" s="1199" t="s">
        <v>2169</v>
      </c>
      <c r="B29" s="1210"/>
      <c r="C29" s="1210"/>
      <c r="D29" s="1210"/>
      <c r="E29" s="1210"/>
      <c r="F29" s="1210"/>
      <c r="G29" s="1210"/>
    </row>
    <row r="30" spans="1:8" ht="12.75" customHeight="1">
      <c r="A30" s="1209"/>
      <c r="B30" s="1210"/>
      <c r="C30" s="1210"/>
      <c r="D30" s="1210"/>
      <c r="E30" s="1210"/>
      <c r="F30" s="1210"/>
      <c r="G30" s="1210"/>
    </row>
    <row r="31" spans="1:8" ht="12.75" customHeight="1">
      <c r="A31" s="1209" t="s">
        <v>2176</v>
      </c>
      <c r="B31" s="1210"/>
      <c r="C31" s="1210"/>
      <c r="D31" s="1210"/>
      <c r="E31" s="1210"/>
    </row>
    <row r="32" spans="1:8" ht="15.75" customHeight="1">
      <c r="A32" s="360"/>
      <c r="B32" s="1203"/>
      <c r="C32" s="1203"/>
      <c r="D32" s="1203"/>
      <c r="E32" s="1203"/>
    </row>
    <row r="33" spans="1:8" ht="12" customHeight="1">
      <c r="A33" s="226"/>
      <c r="B33" s="1203"/>
      <c r="C33" s="1203"/>
      <c r="D33" s="1203"/>
      <c r="E33" s="1203"/>
    </row>
    <row r="34" spans="1:8" ht="15.75" customHeight="1">
      <c r="A34" s="290" t="s">
        <v>711</v>
      </c>
      <c r="B34" s="1203"/>
      <c r="C34" s="1203"/>
      <c r="D34" s="1203"/>
      <c r="E34" s="1203"/>
    </row>
    <row r="35" spans="1:8" ht="31" customHeight="1">
      <c r="A35" s="290"/>
      <c r="B35" s="1203"/>
      <c r="C35" s="1203"/>
      <c r="D35" s="1203"/>
      <c r="E35" s="1203"/>
    </row>
    <row r="36" spans="1:8" ht="31" customHeight="1">
      <c r="A36" s="290"/>
      <c r="B36" s="1203"/>
      <c r="C36" s="1203"/>
      <c r="D36" s="1203"/>
      <c r="E36" s="1203"/>
      <c r="H36" s="226"/>
    </row>
    <row r="37" spans="1:8" ht="31" customHeight="1">
      <c r="A37" s="290"/>
      <c r="B37" s="1203"/>
      <c r="C37" s="1203"/>
      <c r="D37" s="1203"/>
      <c r="E37" s="1203"/>
    </row>
    <row r="38" spans="1:8" ht="31" customHeight="1">
      <c r="A38" s="290"/>
      <c r="B38" s="1203"/>
      <c r="C38" s="1203"/>
      <c r="D38" s="1203"/>
      <c r="E38" s="1203"/>
    </row>
    <row r="39" spans="1:8" ht="31" customHeight="1">
      <c r="A39" s="290"/>
      <c r="B39" s="1203"/>
      <c r="C39" s="1203"/>
      <c r="D39" s="1203"/>
      <c r="E39" s="1203"/>
    </row>
    <row r="40" spans="1:8" ht="31" customHeight="1">
      <c r="A40" s="290"/>
      <c r="B40" s="1203"/>
      <c r="C40" s="1203"/>
      <c r="D40" s="1203"/>
      <c r="E40" s="1203"/>
    </row>
    <row r="41" spans="1:8" ht="31" customHeight="1">
      <c r="A41" s="290"/>
      <c r="B41" s="1203"/>
      <c r="C41" s="1203"/>
      <c r="D41" s="1203"/>
      <c r="E41" s="1203"/>
    </row>
    <row r="42" spans="1:8">
      <c r="A42" s="290"/>
      <c r="B42" s="1203"/>
      <c r="C42" s="1203"/>
      <c r="D42" s="1203"/>
      <c r="E42" s="1203"/>
    </row>
    <row r="43" spans="1:8">
      <c r="A43" s="290"/>
      <c r="B43" s="1203"/>
      <c r="C43" s="1203"/>
      <c r="D43" s="1203"/>
      <c r="E43" s="1203"/>
    </row>
  </sheetData>
  <mergeCells count="1">
    <mergeCell ref="A2:G2"/>
  </mergeCells>
  <phoneticPr fontId="0" type="noConversion"/>
  <pageMargins left="0.59" right="0.61" top="0.98" bottom="0.49" header="0.55000000000000004" footer="0.4921259845"/>
  <pageSetup paperSize="9" scale="70" orientation="portrait" horizontalDpi="4294967292" verticalDpi="4294967292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8719-B1C3-AE4D-B435-1123F0793CF4}">
  <sheetPr>
    <pageSetUpPr fitToPage="1"/>
  </sheetPr>
  <dimension ref="A1:AI114"/>
  <sheetViews>
    <sheetView zoomScale="75" workbookViewId="0">
      <selection activeCell="B2" sqref="B2"/>
    </sheetView>
  </sheetViews>
  <sheetFormatPr baseColWidth="10" defaultColWidth="10.19921875" defaultRowHeight="13"/>
  <cols>
    <col min="1" max="1" width="3.796875" style="1496" customWidth="1"/>
    <col min="2" max="2" width="47.19921875" style="1496" customWidth="1"/>
    <col min="3" max="3" width="0.19921875" style="1496" customWidth="1"/>
    <col min="4" max="4" width="10.19921875" style="1496" hidden="1" customWidth="1"/>
    <col min="5" max="10" width="10.19921875" style="1496" customWidth="1"/>
    <col min="11" max="11" width="11.59765625" style="1496" customWidth="1"/>
    <col min="12" max="14" width="11" style="1496" customWidth="1"/>
    <col min="15" max="15" width="2.796875" style="1496" customWidth="1"/>
    <col min="16" max="16" width="9.796875" style="1496" customWidth="1"/>
    <col min="17" max="17" width="10.3984375" style="1496" customWidth="1"/>
    <col min="18" max="18" width="3" style="1496" customWidth="1"/>
    <col min="19" max="19" width="11.3984375" style="1496" customWidth="1"/>
    <col min="20" max="16384" width="10.19921875" style="1496"/>
  </cols>
  <sheetData>
    <row r="1" spans="1:35" ht="18">
      <c r="A1" s="1494" t="s">
        <v>375</v>
      </c>
      <c r="B1" s="1495"/>
      <c r="C1" s="1495"/>
      <c r="D1" s="1495"/>
      <c r="E1" s="1495"/>
      <c r="F1" s="1495"/>
      <c r="G1" s="1495"/>
      <c r="H1" s="1495"/>
      <c r="I1" s="1495"/>
      <c r="J1" s="1495"/>
      <c r="K1" s="1495"/>
      <c r="L1" s="1495"/>
      <c r="M1" s="1495"/>
      <c r="N1" s="1495"/>
      <c r="O1" s="1495"/>
      <c r="P1" s="1495"/>
      <c r="Q1" s="1495"/>
      <c r="R1" s="1495"/>
      <c r="W1" s="1497"/>
      <c r="AC1" s="1497"/>
    </row>
    <row r="2" spans="1:35" ht="14" thickBot="1">
      <c r="A2" s="1498"/>
      <c r="B2" s="1498"/>
      <c r="C2" s="1498"/>
      <c r="D2" s="1498"/>
      <c r="E2" s="1498"/>
      <c r="F2" s="1498"/>
      <c r="G2" s="1498"/>
      <c r="H2" s="1498"/>
      <c r="I2" s="1498"/>
      <c r="J2" s="1498"/>
      <c r="K2" s="1498"/>
      <c r="L2" s="1498"/>
      <c r="M2" s="1498"/>
      <c r="N2" s="1498"/>
      <c r="O2" s="1498"/>
      <c r="P2" s="1498"/>
      <c r="Q2" s="1498"/>
      <c r="R2" s="1498"/>
      <c r="S2" s="1499"/>
    </row>
    <row r="3" spans="1:35" s="1506" customFormat="1" ht="10.5" customHeight="1">
      <c r="A3" s="1500"/>
      <c r="B3" s="1500"/>
      <c r="C3" s="1501"/>
      <c r="D3" s="1500"/>
      <c r="E3" s="1501"/>
      <c r="F3" s="1500"/>
      <c r="G3" s="1501"/>
      <c r="H3" s="1500"/>
      <c r="I3" s="1501"/>
      <c r="J3" s="1500"/>
      <c r="K3" s="1501"/>
      <c r="L3" s="1500"/>
      <c r="M3" s="1501"/>
      <c r="N3" s="1500"/>
      <c r="O3" s="1502"/>
      <c r="P3" s="1503"/>
      <c r="Q3" s="1504"/>
      <c r="R3" s="1505"/>
      <c r="S3" s="1501"/>
      <c r="U3" s="1496"/>
      <c r="V3" s="1507"/>
      <c r="W3" s="1507"/>
      <c r="X3" s="1507"/>
      <c r="Y3" s="1507"/>
      <c r="Z3" s="1508"/>
      <c r="AA3" s="1508"/>
      <c r="AB3" s="1508"/>
      <c r="AC3" s="1508"/>
      <c r="AF3" s="1509"/>
      <c r="AG3" s="1509"/>
      <c r="AH3" s="1509"/>
      <c r="AI3" s="1509"/>
    </row>
    <row r="4" spans="1:35" ht="13.5" customHeight="1">
      <c r="A4" s="1510" t="s">
        <v>281</v>
      </c>
      <c r="B4" s="1511"/>
      <c r="C4" s="1512">
        <v>1996</v>
      </c>
      <c r="D4" s="1513">
        <v>1997</v>
      </c>
      <c r="E4" s="1512">
        <v>1998</v>
      </c>
      <c r="F4" s="1513">
        <v>1999</v>
      </c>
      <c r="G4" s="1512">
        <v>2000</v>
      </c>
      <c r="H4" s="1513">
        <v>2001</v>
      </c>
      <c r="I4" s="1512">
        <v>2002</v>
      </c>
      <c r="J4" s="1513">
        <v>2003</v>
      </c>
      <c r="K4" s="1512">
        <v>2004</v>
      </c>
      <c r="L4" s="1513">
        <v>2005</v>
      </c>
      <c r="M4" s="1512">
        <v>2006</v>
      </c>
      <c r="N4" s="1513">
        <v>2007</v>
      </c>
      <c r="O4" s="1514"/>
      <c r="P4" s="1503" t="s">
        <v>2372</v>
      </c>
      <c r="Q4" s="1504" t="s">
        <v>282</v>
      </c>
      <c r="R4" s="1505"/>
      <c r="S4" s="1515" t="s">
        <v>283</v>
      </c>
      <c r="V4" s="1507"/>
      <c r="W4" s="1507"/>
      <c r="X4" s="1507"/>
      <c r="Y4" s="1507"/>
      <c r="Z4" s="1516"/>
      <c r="AA4" s="1516"/>
      <c r="AB4" s="1516"/>
      <c r="AC4" s="1516"/>
      <c r="AF4" s="1509"/>
      <c r="AG4" s="1509"/>
      <c r="AH4" s="1509"/>
      <c r="AI4" s="1509"/>
    </row>
    <row r="5" spans="1:35" ht="15" customHeight="1">
      <c r="A5" s="1510" t="s">
        <v>284</v>
      </c>
      <c r="B5" s="1517"/>
      <c r="C5" s="1518"/>
      <c r="D5" s="1519"/>
      <c r="E5" s="1518"/>
      <c r="F5" s="1519"/>
      <c r="G5" s="1518"/>
      <c r="H5" s="1519"/>
      <c r="I5" s="1518"/>
      <c r="J5" s="1519"/>
      <c r="K5" s="1518"/>
      <c r="L5" s="1519"/>
      <c r="M5" s="1518"/>
      <c r="N5" s="1519"/>
      <c r="O5" s="1520"/>
      <c r="P5" s="1503" t="s">
        <v>1641</v>
      </c>
      <c r="Q5" s="1504" t="s">
        <v>285</v>
      </c>
      <c r="R5" s="1505"/>
      <c r="S5" s="1515" t="s">
        <v>315</v>
      </c>
      <c r="V5" s="1507"/>
      <c r="W5" s="1507"/>
      <c r="X5" s="1507"/>
      <c r="Y5" s="1507"/>
      <c r="Z5" s="1516"/>
      <c r="AA5" s="1516"/>
      <c r="AB5" s="1516"/>
      <c r="AC5" s="1516"/>
      <c r="AF5" s="1509"/>
      <c r="AG5" s="1509"/>
      <c r="AH5" s="1509"/>
      <c r="AI5" s="1509"/>
    </row>
    <row r="6" spans="1:35" ht="14.25" customHeight="1">
      <c r="A6" s="1521"/>
      <c r="B6" s="1521"/>
      <c r="C6" s="1522"/>
      <c r="D6" s="1523"/>
      <c r="E6" s="1522"/>
      <c r="F6" s="1523"/>
      <c r="G6" s="1522"/>
      <c r="H6" s="1523"/>
      <c r="I6" s="1522"/>
      <c r="J6" s="1523"/>
      <c r="K6" s="1522"/>
      <c r="L6" s="1523"/>
      <c r="M6" s="1522"/>
      <c r="N6" s="1523"/>
      <c r="O6" s="1524"/>
      <c r="P6" s="1525"/>
      <c r="Q6" s="1526" t="s">
        <v>1820</v>
      </c>
      <c r="R6" s="1527"/>
      <c r="S6" s="1522"/>
      <c r="V6" s="1507"/>
      <c r="W6" s="1507"/>
      <c r="X6" s="1507"/>
      <c r="Y6" s="1507"/>
      <c r="Z6" s="1528"/>
      <c r="AA6" s="1528"/>
      <c r="AB6" s="1528"/>
      <c r="AC6" s="1528"/>
      <c r="AF6" s="1528"/>
      <c r="AG6" s="1528"/>
      <c r="AH6" s="1528"/>
      <c r="AI6" s="1528"/>
    </row>
    <row r="7" spans="1:35">
      <c r="A7" s="1529"/>
      <c r="B7" s="1530"/>
      <c r="C7" s="1531"/>
      <c r="D7" s="1530"/>
      <c r="E7" s="1531"/>
      <c r="F7" s="1530"/>
      <c r="G7" s="1531"/>
      <c r="H7" s="1530"/>
      <c r="I7" s="1531"/>
      <c r="J7" s="1530"/>
      <c r="K7" s="1531"/>
      <c r="L7" s="1530"/>
      <c r="M7" s="1531"/>
      <c r="N7" s="1530"/>
      <c r="O7" s="1532"/>
      <c r="P7" s="1531"/>
      <c r="Q7" s="1533" t="s">
        <v>1642</v>
      </c>
      <c r="R7" s="1534"/>
      <c r="S7" s="1531"/>
      <c r="V7" s="1507"/>
      <c r="W7" s="1507"/>
      <c r="X7" s="1507"/>
      <c r="Y7" s="1507"/>
      <c r="Z7" s="1516"/>
      <c r="AA7" s="1516"/>
      <c r="AB7" s="1516"/>
      <c r="AC7" s="1516"/>
      <c r="AF7" s="1509"/>
      <c r="AG7" s="1509"/>
      <c r="AH7" s="1509"/>
      <c r="AI7" s="1509"/>
    </row>
    <row r="8" spans="1:35" ht="18" customHeight="1" thickBot="1">
      <c r="A8" s="1535" t="s">
        <v>292</v>
      </c>
      <c r="B8" s="1536"/>
      <c r="C8" s="1537">
        <v>5976.68608119694</v>
      </c>
      <c r="D8" s="1538">
        <v>5920.5324887865727</v>
      </c>
      <c r="E8" s="1537">
        <v>5989.0401962979158</v>
      </c>
      <c r="F8" s="1538">
        <v>6272.8466257392192</v>
      </c>
      <c r="G8" s="1537">
        <v>6460.9578237170608</v>
      </c>
      <c r="H8" s="1538">
        <v>7635.1420777467765</v>
      </c>
      <c r="I8" s="1537">
        <v>8429.5101560943567</v>
      </c>
      <c r="J8" s="1538">
        <v>8778.10319716105</v>
      </c>
      <c r="K8" s="1537">
        <v>8632.7243530636424</v>
      </c>
      <c r="L8" s="1538">
        <v>8704.8174529394601</v>
      </c>
      <c r="M8" s="1537">
        <v>8536.5423231378227</v>
      </c>
      <c r="N8" s="1538">
        <v>8960.8447878915576</v>
      </c>
      <c r="O8" s="1539"/>
      <c r="P8" s="1540">
        <v>4.9704253630147965E-2</v>
      </c>
      <c r="Q8" s="1541">
        <v>4.5787689497094775E-2</v>
      </c>
      <c r="R8" s="1542"/>
      <c r="S8" s="1543">
        <v>9429.1</v>
      </c>
      <c r="V8" s="1507"/>
      <c r="W8" s="1507"/>
      <c r="X8" s="1507"/>
      <c r="Y8" s="1507"/>
      <c r="AF8" s="1509"/>
      <c r="AG8" s="1509"/>
      <c r="AH8" s="1509"/>
      <c r="AI8" s="1509"/>
    </row>
    <row r="9" spans="1:35" ht="14" thickBot="1">
      <c r="A9" s="1544"/>
      <c r="B9" s="1545" t="s">
        <v>307</v>
      </c>
      <c r="C9" s="1546">
        <v>129.23078991</v>
      </c>
      <c r="D9" s="1547">
        <v>117.49672024</v>
      </c>
      <c r="E9" s="1546">
        <v>116.89201141000001</v>
      </c>
      <c r="F9" s="1547">
        <v>126.031144</v>
      </c>
      <c r="G9" s="1546">
        <v>145.00575000000001</v>
      </c>
      <c r="H9" s="1547">
        <v>164.3904</v>
      </c>
      <c r="I9" s="1546">
        <v>177.72408200000001</v>
      </c>
      <c r="J9" s="1547">
        <v>155.57770199999999</v>
      </c>
      <c r="K9" s="1546">
        <v>137.73953900000001</v>
      </c>
      <c r="L9" s="1547">
        <v>126.93680499999999</v>
      </c>
      <c r="M9" s="1546">
        <v>121.25849500000001</v>
      </c>
      <c r="N9" s="1547">
        <v>180.203757</v>
      </c>
      <c r="O9" s="1548"/>
      <c r="P9" s="1549">
        <v>0.48611243278254435</v>
      </c>
      <c r="Q9" s="1550">
        <v>4.9268310241584512E-2</v>
      </c>
      <c r="R9" s="1551"/>
      <c r="S9" s="1552" t="s">
        <v>1060</v>
      </c>
      <c r="V9" s="1507"/>
      <c r="W9" s="1507"/>
      <c r="X9" s="1507"/>
      <c r="Y9" s="1507"/>
      <c r="Z9" s="1516"/>
      <c r="AA9" s="1516"/>
      <c r="AB9" s="1516"/>
      <c r="AC9" s="1516"/>
      <c r="AF9" s="1509"/>
      <c r="AG9" s="1509"/>
      <c r="AH9" s="1509"/>
      <c r="AI9" s="1509"/>
    </row>
    <row r="10" spans="1:35" ht="14" thickBot="1">
      <c r="A10" s="1545"/>
      <c r="B10" s="1545" t="s">
        <v>308</v>
      </c>
      <c r="C10" s="1546">
        <v>4784.5780118902267</v>
      </c>
      <c r="D10" s="1547">
        <v>4715.2771265677929</v>
      </c>
      <c r="E10" s="1546">
        <v>4705.6176243116033</v>
      </c>
      <c r="F10" s="1547">
        <v>4970.909962638395</v>
      </c>
      <c r="G10" s="1546">
        <v>5115.6656802381985</v>
      </c>
      <c r="H10" s="1547">
        <v>6059.2656324562704</v>
      </c>
      <c r="I10" s="1546">
        <v>6823.5309806680871</v>
      </c>
      <c r="J10" s="1547">
        <v>7254.6764879217662</v>
      </c>
      <c r="K10" s="1546">
        <v>7117.8318535254821</v>
      </c>
      <c r="L10" s="1547">
        <v>7397.3768416285438</v>
      </c>
      <c r="M10" s="1546">
        <v>7523.1773202740087</v>
      </c>
      <c r="N10" s="1547">
        <v>7771.8251720893604</v>
      </c>
      <c r="O10" s="1548"/>
      <c r="P10" s="1549">
        <v>3.305090937379318E-2</v>
      </c>
      <c r="Q10" s="1550">
        <v>5.7333082690822712E-2</v>
      </c>
      <c r="R10" s="1551"/>
      <c r="S10" s="1552" t="s">
        <v>1060</v>
      </c>
      <c r="V10" s="1507"/>
      <c r="W10" s="1507"/>
      <c r="X10" s="1507"/>
      <c r="Y10" s="1507"/>
      <c r="Z10" s="1516"/>
      <c r="AA10" s="1516"/>
      <c r="AB10" s="1516"/>
      <c r="AC10" s="1516"/>
      <c r="AF10" s="1509"/>
      <c r="AG10" s="1509"/>
      <c r="AH10" s="1509"/>
      <c r="AI10" s="1509"/>
    </row>
    <row r="11" spans="1:35" ht="14" thickBot="1">
      <c r="A11" s="1545"/>
      <c r="B11" s="1545" t="s">
        <v>309</v>
      </c>
      <c r="C11" s="1546">
        <v>1062.8772793967141</v>
      </c>
      <c r="D11" s="1547">
        <v>1087.7586419787795</v>
      </c>
      <c r="E11" s="1546">
        <v>1166.5305605763128</v>
      </c>
      <c r="F11" s="1547">
        <v>1175.9055191008242</v>
      </c>
      <c r="G11" s="1546">
        <v>1200.286393478862</v>
      </c>
      <c r="H11" s="1547">
        <v>1411.4860452905059</v>
      </c>
      <c r="I11" s="1546">
        <v>1428.2550934262702</v>
      </c>
      <c r="J11" s="1547">
        <v>1367.8490072392833</v>
      </c>
      <c r="K11" s="1546">
        <v>1377.1529605381609</v>
      </c>
      <c r="L11" s="1547">
        <v>1180.5038063109164</v>
      </c>
      <c r="M11" s="1546">
        <v>892.10650786381348</v>
      </c>
      <c r="N11" s="1547">
        <v>1008.8158588021977</v>
      </c>
      <c r="O11" s="1548"/>
      <c r="P11" s="1549">
        <v>0.13082445863762349</v>
      </c>
      <c r="Q11" s="1550">
        <v>-1.6010096584411992E-2</v>
      </c>
      <c r="R11" s="1551"/>
      <c r="S11" s="1552" t="s">
        <v>1060</v>
      </c>
      <c r="V11" s="1507"/>
      <c r="W11" s="1507"/>
      <c r="X11" s="1507"/>
      <c r="Y11" s="1507"/>
      <c r="Z11" s="1516"/>
      <c r="AA11" s="1516"/>
      <c r="AB11" s="1516"/>
      <c r="AC11" s="1516"/>
      <c r="AF11" s="1509"/>
      <c r="AG11" s="1509"/>
      <c r="AH11" s="1509"/>
      <c r="AI11" s="1509"/>
    </row>
    <row r="12" spans="1:35" s="1562" customFormat="1" ht="14" thickBot="1">
      <c r="A12" s="1545"/>
      <c r="B12" s="1553"/>
      <c r="C12" s="1554"/>
      <c r="D12" s="1555"/>
      <c r="E12" s="1554"/>
      <c r="F12" s="1555"/>
      <c r="G12" s="1554"/>
      <c r="H12" s="1555"/>
      <c r="I12" s="1554"/>
      <c r="J12" s="1555"/>
      <c r="K12" s="1554"/>
      <c r="L12" s="1555"/>
      <c r="M12" s="1554"/>
      <c r="N12" s="1555"/>
      <c r="O12" s="1556"/>
      <c r="P12" s="1557"/>
      <c r="Q12" s="1558"/>
      <c r="R12" s="1559"/>
      <c r="S12" s="1560"/>
      <c r="T12" s="1561"/>
    </row>
    <row r="13" spans="1:35" s="1562" customFormat="1" ht="15.75" customHeight="1" thickBot="1">
      <c r="A13" s="1544" t="s">
        <v>293</v>
      </c>
      <c r="B13" s="1545"/>
      <c r="C13" s="1563">
        <v>2694.5104040117299</v>
      </c>
      <c r="D13" s="1564">
        <v>2815.7448411451096</v>
      </c>
      <c r="E13" s="1563">
        <v>2973.2056398412365</v>
      </c>
      <c r="F13" s="1564">
        <v>3109.7236465190003</v>
      </c>
      <c r="G13" s="1563">
        <v>3228.4015641373426</v>
      </c>
      <c r="H13" s="1564">
        <v>3420.9561673120697</v>
      </c>
      <c r="I13" s="1563">
        <v>3447.3545767100568</v>
      </c>
      <c r="J13" s="1564">
        <v>3663.0755838507671</v>
      </c>
      <c r="K13" s="1563">
        <v>3771.1797269619269</v>
      </c>
      <c r="L13" s="1564">
        <v>3968.7366137610011</v>
      </c>
      <c r="M13" s="1563">
        <v>4049.5170354256738</v>
      </c>
      <c r="N13" s="1564">
        <v>4185.9254439417819</v>
      </c>
      <c r="O13" s="1565"/>
      <c r="P13" s="1566">
        <v>3.368510548857806E-2</v>
      </c>
      <c r="Q13" s="1567">
        <v>3.8741285801893621E-2</v>
      </c>
      <c r="R13" s="1568"/>
      <c r="S13" s="1569">
        <v>4326.9287840882835</v>
      </c>
    </row>
    <row r="14" spans="1:35" ht="14" thickBot="1">
      <c r="A14" s="1545"/>
      <c r="B14" s="1545" t="s">
        <v>310</v>
      </c>
      <c r="C14" s="1546">
        <v>1132.4277999999999</v>
      </c>
      <c r="D14" s="1547">
        <v>1151.4795999999999</v>
      </c>
      <c r="E14" s="1546">
        <v>1283.9227999999998</v>
      </c>
      <c r="F14" s="1547">
        <v>1378.5406000000003</v>
      </c>
      <c r="G14" s="1546">
        <v>1422.4462000000001</v>
      </c>
      <c r="H14" s="1547">
        <v>1475.3188</v>
      </c>
      <c r="I14" s="1546">
        <v>1413.5950692328547</v>
      </c>
      <c r="J14" s="1547">
        <v>1512.470256033693</v>
      </c>
      <c r="K14" s="1546">
        <v>1537.8133155193091</v>
      </c>
      <c r="L14" s="1547">
        <v>1654.441825486788</v>
      </c>
      <c r="M14" s="1546">
        <v>1635.3951577832072</v>
      </c>
      <c r="N14" s="1547">
        <v>1684.9588605859158</v>
      </c>
      <c r="O14" s="1548"/>
      <c r="P14" s="1549">
        <v>3.0306866549545397E-2</v>
      </c>
      <c r="Q14" s="1550">
        <v>3.0663058315913316E-2</v>
      </c>
      <c r="R14" s="1551"/>
      <c r="S14" s="1552" t="s">
        <v>1060</v>
      </c>
    </row>
    <row r="15" spans="1:35" ht="15" customHeight="1" thickBot="1">
      <c r="A15" s="1545"/>
      <c r="B15" s="1545" t="s">
        <v>316</v>
      </c>
      <c r="C15" s="1546">
        <v>1525.5826040117299</v>
      </c>
      <c r="D15" s="1547">
        <v>1627.0652411451097</v>
      </c>
      <c r="E15" s="1546">
        <v>1653.8828398412368</v>
      </c>
      <c r="F15" s="1547">
        <v>1690.0830465189999</v>
      </c>
      <c r="G15" s="1546">
        <v>1762.9553641373423</v>
      </c>
      <c r="H15" s="1547">
        <v>1900.4373673120701</v>
      </c>
      <c r="I15" s="1546">
        <v>1986.859507477202</v>
      </c>
      <c r="J15" s="1547">
        <v>2102.2053278170742</v>
      </c>
      <c r="K15" s="1546">
        <v>2185.2164114426178</v>
      </c>
      <c r="L15" s="1547">
        <v>2265.2797882742134</v>
      </c>
      <c r="M15" s="1546">
        <v>2366.2240814424667</v>
      </c>
      <c r="N15" s="1547">
        <v>2450.8155833558662</v>
      </c>
      <c r="O15" s="1548"/>
      <c r="P15" s="1549">
        <v>3.5749573583002237E-2</v>
      </c>
      <c r="Q15" s="1550">
        <v>4.4668338515301942E-2</v>
      </c>
      <c r="R15" s="1551"/>
      <c r="S15" s="1552" t="s">
        <v>1060</v>
      </c>
    </row>
    <row r="16" spans="1:35" ht="14" thickBot="1">
      <c r="A16" s="1545"/>
      <c r="B16" s="1545" t="s">
        <v>311</v>
      </c>
      <c r="C16" s="1546">
        <v>36.5</v>
      </c>
      <c r="D16" s="1547">
        <v>37.200000000000003</v>
      </c>
      <c r="E16" s="1546">
        <v>35.4</v>
      </c>
      <c r="F16" s="1547">
        <v>41.1</v>
      </c>
      <c r="G16" s="1546">
        <v>43</v>
      </c>
      <c r="H16" s="1547">
        <v>45.2</v>
      </c>
      <c r="I16" s="1546">
        <v>46.9</v>
      </c>
      <c r="J16" s="1547">
        <v>48.4</v>
      </c>
      <c r="K16" s="1546">
        <v>48.15</v>
      </c>
      <c r="L16" s="1547">
        <v>49.015000000000001</v>
      </c>
      <c r="M16" s="1546">
        <v>47.897796200000002</v>
      </c>
      <c r="N16" s="1547">
        <v>50.151000000000003</v>
      </c>
      <c r="O16" s="1548"/>
      <c r="P16" s="1549">
        <v>4.7041909623390943E-2</v>
      </c>
      <c r="Q16" s="1550">
        <v>3.9461675427832965E-2</v>
      </c>
      <c r="R16" s="1551"/>
      <c r="S16" s="1552" t="s">
        <v>1060</v>
      </c>
    </row>
    <row r="17" spans="1:24" ht="14" thickBot="1">
      <c r="A17" s="1545"/>
      <c r="B17" s="1545"/>
      <c r="C17" s="1554"/>
      <c r="D17" s="1555"/>
      <c r="E17" s="1554"/>
      <c r="F17" s="1555"/>
      <c r="G17" s="1554"/>
      <c r="H17" s="1555"/>
      <c r="I17" s="1554"/>
      <c r="J17" s="1555"/>
      <c r="K17" s="1554"/>
      <c r="L17" s="1555"/>
      <c r="M17" s="1554"/>
      <c r="N17" s="1555"/>
      <c r="O17" s="1556"/>
      <c r="P17" s="1557"/>
      <c r="Q17" s="1558"/>
      <c r="R17" s="1559"/>
      <c r="S17" s="1560"/>
    </row>
    <row r="18" spans="1:24" ht="16" thickBot="1">
      <c r="A18" s="1544" t="s">
        <v>317</v>
      </c>
      <c r="B18" s="1545"/>
      <c r="C18" s="1563">
        <v>623.1</v>
      </c>
      <c r="D18" s="1564">
        <v>-213.6</v>
      </c>
      <c r="E18" s="1563">
        <v>-306.39999999999998</v>
      </c>
      <c r="F18" s="1564">
        <v>-200.29999999999927</v>
      </c>
      <c r="G18" s="1563">
        <v>98.828987000000325</v>
      </c>
      <c r="H18" s="1564">
        <v>454.38000000000136</v>
      </c>
      <c r="I18" s="1563">
        <v>-588.16000000000054</v>
      </c>
      <c r="J18" s="1564">
        <v>-1266.4017009999975</v>
      </c>
      <c r="K18" s="1563">
        <v>-1468.84478399</v>
      </c>
      <c r="L18" s="1564">
        <v>-918.22178139000243</v>
      </c>
      <c r="M18" s="1563">
        <v>-1381.5431163093563</v>
      </c>
      <c r="N18" s="1564">
        <v>-679.88308698999754</v>
      </c>
      <c r="O18" s="1565"/>
      <c r="P18" s="1566" t="s">
        <v>1060</v>
      </c>
      <c r="Q18" s="1567" t="s">
        <v>1060</v>
      </c>
      <c r="R18" s="1568"/>
      <c r="S18" s="1569">
        <v>297.69260591019338</v>
      </c>
    </row>
    <row r="19" spans="1:24" ht="14" thickBot="1">
      <c r="A19" s="1545"/>
      <c r="B19" s="1570"/>
      <c r="C19" s="1554"/>
      <c r="D19" s="1555"/>
      <c r="E19" s="1571"/>
      <c r="F19" s="1572"/>
      <c r="G19" s="1571"/>
      <c r="H19" s="1572"/>
      <c r="I19" s="1571"/>
      <c r="J19" s="1572"/>
      <c r="K19" s="1571"/>
      <c r="L19" s="1572"/>
      <c r="M19" s="1571"/>
      <c r="N19" s="1572"/>
      <c r="O19" s="1573"/>
      <c r="P19" s="1574"/>
      <c r="Q19" s="1575"/>
      <c r="R19" s="1576"/>
      <c r="S19" s="1560"/>
    </row>
    <row r="20" spans="1:24" s="1562" customFormat="1" ht="14" thickBot="1">
      <c r="A20" s="1544" t="s">
        <v>286</v>
      </c>
      <c r="B20" s="1545"/>
      <c r="C20" s="1563">
        <v>2760.27</v>
      </c>
      <c r="D20" s="1564">
        <v>3024.94</v>
      </c>
      <c r="E20" s="1563">
        <v>3270.2</v>
      </c>
      <c r="F20" s="1564">
        <v>3620.5</v>
      </c>
      <c r="G20" s="1563">
        <v>3725.7</v>
      </c>
      <c r="H20" s="1564">
        <v>3837.6</v>
      </c>
      <c r="I20" s="1569">
        <v>4062.6</v>
      </c>
      <c r="J20" s="1564">
        <v>4268.5</v>
      </c>
      <c r="K20" s="1569">
        <v>4550.2</v>
      </c>
      <c r="L20" s="1564">
        <v>4782.4252710000001</v>
      </c>
      <c r="M20" s="1569">
        <v>4933.2407849999991</v>
      </c>
      <c r="N20" s="1564">
        <v>5178.7248829999999</v>
      </c>
      <c r="O20" s="1565"/>
      <c r="P20" s="1566">
        <v>4.9761223645604202E-2</v>
      </c>
      <c r="Q20" s="1567">
        <v>5.2405646446494147E-2</v>
      </c>
      <c r="R20" s="1568"/>
      <c r="S20" s="1569">
        <v>5255.9379517039815</v>
      </c>
    </row>
    <row r="21" spans="1:24" s="1562" customFormat="1" ht="15.75" customHeight="1" thickBot="1">
      <c r="A21" s="1545" t="s">
        <v>318</v>
      </c>
      <c r="B21" s="1545"/>
      <c r="C21" s="1577">
        <v>1815.57</v>
      </c>
      <c r="D21" s="1578">
        <v>2087.14</v>
      </c>
      <c r="E21" s="1577">
        <v>2263.1999999999998</v>
      </c>
      <c r="F21" s="1578">
        <v>2476.6</v>
      </c>
      <c r="G21" s="1577">
        <v>2532.8000000000002</v>
      </c>
      <c r="H21" s="1578">
        <v>2671.6</v>
      </c>
      <c r="I21" s="1577">
        <v>2848.4</v>
      </c>
      <c r="J21" s="1578">
        <v>2961.1</v>
      </c>
      <c r="K21" s="1577">
        <v>3025.3</v>
      </c>
      <c r="L21" s="1578">
        <v>3119.6250399999999</v>
      </c>
      <c r="M21" s="1577">
        <v>3230.0145429999998</v>
      </c>
      <c r="N21" s="1578">
        <v>3432.1861340000005</v>
      </c>
      <c r="O21" s="1579"/>
      <c r="P21" s="1580">
        <v>6.2591542022044866E-2</v>
      </c>
      <c r="Q21" s="1581">
        <v>4.7355724804164279E-2</v>
      </c>
      <c r="R21" s="1582"/>
      <c r="S21" s="1577">
        <v>3398.253929</v>
      </c>
    </row>
    <row r="22" spans="1:24" s="1562" customFormat="1" ht="15.75" customHeight="1" thickBot="1">
      <c r="A22" s="1545" t="s">
        <v>319</v>
      </c>
      <c r="B22" s="1545"/>
      <c r="C22" s="1577">
        <v>293</v>
      </c>
      <c r="D22" s="1578">
        <v>237.5</v>
      </c>
      <c r="E22" s="1577">
        <v>264.39999999999998</v>
      </c>
      <c r="F22" s="1578">
        <v>277.10000000000002</v>
      </c>
      <c r="G22" s="1577">
        <v>317</v>
      </c>
      <c r="H22" s="1578">
        <v>315</v>
      </c>
      <c r="I22" s="1577">
        <v>343.8</v>
      </c>
      <c r="J22" s="1578">
        <v>375.1</v>
      </c>
      <c r="K22" s="1577">
        <v>421.4</v>
      </c>
      <c r="L22" s="1578">
        <v>447.8</v>
      </c>
      <c r="M22" s="1577">
        <v>476.1</v>
      </c>
      <c r="N22" s="1578">
        <v>496.7</v>
      </c>
      <c r="O22" s="1579"/>
      <c r="P22" s="1580">
        <v>4.3268220961982795E-2</v>
      </c>
      <c r="Q22" s="1581">
        <v>7.2570521309291092E-2</v>
      </c>
      <c r="R22" s="1582"/>
      <c r="S22" s="1583">
        <v>532.74577793432491</v>
      </c>
    </row>
    <row r="23" spans="1:24" ht="15.75" customHeight="1" thickBot="1">
      <c r="A23" s="1545" t="s">
        <v>320</v>
      </c>
      <c r="B23" s="1545"/>
      <c r="C23" s="1577">
        <v>203.5</v>
      </c>
      <c r="D23" s="1578">
        <v>228.6</v>
      </c>
      <c r="E23" s="1577">
        <v>266.2</v>
      </c>
      <c r="F23" s="1578">
        <v>375.1</v>
      </c>
      <c r="G23" s="1577">
        <v>378.5</v>
      </c>
      <c r="H23" s="1578">
        <v>314.89999999999998</v>
      </c>
      <c r="I23" s="1577">
        <v>319.7</v>
      </c>
      <c r="J23" s="1578">
        <v>367.7</v>
      </c>
      <c r="K23" s="1577">
        <v>381.7</v>
      </c>
      <c r="L23" s="1578">
        <v>412.4</v>
      </c>
      <c r="M23" s="1577">
        <v>405.9</v>
      </c>
      <c r="N23" s="1578">
        <v>394.24799999999999</v>
      </c>
      <c r="O23" s="1579"/>
      <c r="P23" s="1580">
        <v>-2.870657797487064E-2</v>
      </c>
      <c r="Q23" s="1581">
        <v>4.4603007728706068E-2</v>
      </c>
      <c r="R23" s="1582"/>
      <c r="S23" s="1583">
        <v>411.8326465910269</v>
      </c>
    </row>
    <row r="24" spans="1:24" ht="17.25" customHeight="1" thickBot="1">
      <c r="A24" s="1545" t="s">
        <v>321</v>
      </c>
      <c r="B24" s="1545"/>
      <c r="C24" s="1577">
        <v>448.2</v>
      </c>
      <c r="D24" s="1578">
        <v>471.7</v>
      </c>
      <c r="E24" s="1577">
        <v>476.4</v>
      </c>
      <c r="F24" s="1578">
        <v>491.7</v>
      </c>
      <c r="G24" s="1577">
        <v>497.4</v>
      </c>
      <c r="H24" s="1578">
        <v>536.1</v>
      </c>
      <c r="I24" s="1577">
        <v>550.70000000000005</v>
      </c>
      <c r="J24" s="1578">
        <v>564.6</v>
      </c>
      <c r="K24" s="1577">
        <v>721.8</v>
      </c>
      <c r="L24" s="1578">
        <v>802.60023099999989</v>
      </c>
      <c r="M24" s="1577">
        <v>821.22624199999996</v>
      </c>
      <c r="N24" s="1578">
        <v>855.59074899999996</v>
      </c>
      <c r="O24" s="1579"/>
      <c r="P24" s="1580">
        <v>4.184535910142051E-2</v>
      </c>
      <c r="Q24" s="1581">
        <v>6.7222383184778689E-2</v>
      </c>
      <c r="R24" s="1582"/>
      <c r="S24" s="1583">
        <v>913.10559817862975</v>
      </c>
    </row>
    <row r="25" spans="1:24" s="1562" customFormat="1" ht="14" thickBot="1">
      <c r="A25" s="1584"/>
      <c r="B25" s="1584"/>
      <c r="C25" s="1585"/>
      <c r="D25" s="1586"/>
      <c r="E25" s="1585"/>
      <c r="F25" s="1586"/>
      <c r="G25" s="1585"/>
      <c r="H25" s="1586"/>
      <c r="I25" s="1585"/>
      <c r="J25" s="1586"/>
      <c r="K25" s="1585"/>
      <c r="L25" s="1586"/>
      <c r="M25" s="1585"/>
      <c r="N25" s="1586"/>
      <c r="O25" s="1587"/>
      <c r="P25" s="1588"/>
      <c r="Q25" s="1589"/>
      <c r="R25" s="1590"/>
      <c r="S25" s="1591"/>
    </row>
    <row r="26" spans="1:24" ht="13.5" customHeight="1" thickBot="1">
      <c r="A26" s="1544" t="s">
        <v>1893</v>
      </c>
      <c r="B26" s="1545"/>
      <c r="C26" s="1563">
        <v>25053.709374727299</v>
      </c>
      <c r="D26" s="1564">
        <v>26294.842583881065</v>
      </c>
      <c r="E26" s="1563">
        <v>27513.684732536305</v>
      </c>
      <c r="F26" s="1564">
        <v>27912.972601594232</v>
      </c>
      <c r="G26" s="1563">
        <v>28908.880472022902</v>
      </c>
      <c r="H26" s="1564">
        <v>29782.027471645619</v>
      </c>
      <c r="I26" s="1563">
        <v>31581.01682533585</v>
      </c>
      <c r="J26" s="1564">
        <v>33359.723610615663</v>
      </c>
      <c r="K26" s="1563">
        <v>35061.912269996828</v>
      </c>
      <c r="L26" s="1564">
        <v>35024.316615014475</v>
      </c>
      <c r="M26" s="1563">
        <v>36135.30860115125</v>
      </c>
      <c r="N26" s="1564">
        <v>37033.850099507705</v>
      </c>
      <c r="O26" s="1565"/>
      <c r="P26" s="1566">
        <v>2.4866025312644702E-2</v>
      </c>
      <c r="Q26" s="1567">
        <v>3.3567633668603714E-2</v>
      </c>
      <c r="R26" s="1568"/>
      <c r="S26" s="1569">
        <v>38252.840658297544</v>
      </c>
    </row>
    <row r="27" spans="1:24" ht="16.5" customHeight="1" thickBot="1">
      <c r="A27" s="1545" t="s">
        <v>312</v>
      </c>
      <c r="B27" s="1545"/>
      <c r="C27" s="1577">
        <v>14197.53</v>
      </c>
      <c r="D27" s="1578">
        <v>14850.16</v>
      </c>
      <c r="E27" s="1577">
        <v>15432.1</v>
      </c>
      <c r="F27" s="1578">
        <v>15337.8</v>
      </c>
      <c r="G27" s="1577">
        <v>15974.171012999999</v>
      </c>
      <c r="H27" s="1578">
        <v>16460.62</v>
      </c>
      <c r="I27" s="1577">
        <v>17838.560000000001</v>
      </c>
      <c r="J27" s="1578">
        <v>19087.413701000001</v>
      </c>
      <c r="K27" s="1577">
        <v>20335.09678399</v>
      </c>
      <c r="L27" s="1578">
        <v>20746.024557220004</v>
      </c>
      <c r="M27" s="1577">
        <v>21587.969001450001</v>
      </c>
      <c r="N27" s="1578">
        <v>21815.115705669999</v>
      </c>
      <c r="O27" s="1579"/>
      <c r="P27" s="1580">
        <v>1.0521911727997324E-2</v>
      </c>
      <c r="Q27" s="1581">
        <v>3.9210701219333455E-2</v>
      </c>
      <c r="R27" s="1582"/>
      <c r="S27" s="1577">
        <v>22145.131914679998</v>
      </c>
    </row>
    <row r="28" spans="1:24" ht="15" customHeight="1" thickBot="1">
      <c r="A28" s="1545"/>
      <c r="B28" s="1570" t="s">
        <v>322</v>
      </c>
      <c r="C28" s="1571">
        <v>9219.6299999999992</v>
      </c>
      <c r="D28" s="1572">
        <v>9837.66</v>
      </c>
      <c r="E28" s="1571">
        <v>10341</v>
      </c>
      <c r="F28" s="1572">
        <v>10472.9</v>
      </c>
      <c r="G28" s="1571">
        <v>10813.888999999999</v>
      </c>
      <c r="H28" s="1572">
        <v>11283.12</v>
      </c>
      <c r="I28" s="1571">
        <v>12447.76</v>
      </c>
      <c r="J28" s="1572">
        <v>13798.607467</v>
      </c>
      <c r="K28" s="1571">
        <v>14954.286842000001</v>
      </c>
      <c r="L28" s="1572">
        <v>15323.051681830002</v>
      </c>
      <c r="M28" s="1571">
        <v>16004.843842140001</v>
      </c>
      <c r="N28" s="1572">
        <v>16197.424153169999</v>
      </c>
      <c r="O28" s="1573"/>
      <c r="P28" s="1574">
        <v>1.2032626680364311E-2</v>
      </c>
      <c r="Q28" s="1575">
        <v>5.1123420740081027E-2</v>
      </c>
      <c r="R28" s="1576"/>
      <c r="S28" s="1571">
        <v>16223.186031679999</v>
      </c>
    </row>
    <row r="29" spans="1:24" ht="15" customHeight="1" thickBot="1">
      <c r="A29" s="1545"/>
      <c r="B29" s="1570" t="s">
        <v>323</v>
      </c>
      <c r="C29" s="1571">
        <v>4337.5</v>
      </c>
      <c r="D29" s="1572">
        <v>4410.6000000000004</v>
      </c>
      <c r="E29" s="1571">
        <v>4453.3</v>
      </c>
      <c r="F29" s="1572">
        <v>3766.7</v>
      </c>
      <c r="G29" s="1571">
        <v>2917.3519609999998</v>
      </c>
      <c r="H29" s="1572">
        <v>1987</v>
      </c>
      <c r="I29" s="1571">
        <v>1958.4</v>
      </c>
      <c r="J29" s="1572">
        <v>1882.6076640000001</v>
      </c>
      <c r="K29" s="1571">
        <v>1358.7895999899999</v>
      </c>
      <c r="L29" s="1572">
        <v>1397.6693543900001</v>
      </c>
      <c r="M29" s="1571">
        <v>1384.0624223099999</v>
      </c>
      <c r="N29" s="1572">
        <v>1410.6232075</v>
      </c>
      <c r="O29" s="1573"/>
      <c r="P29" s="1574">
        <v>1.9190453235245153E-2</v>
      </c>
      <c r="Q29" s="1575">
        <v>-0.11991331112683845</v>
      </c>
      <c r="R29" s="1576"/>
      <c r="S29" s="1571">
        <v>1412.4505677400002</v>
      </c>
    </row>
    <row r="30" spans="1:24" ht="15" customHeight="1" thickBot="1">
      <c r="A30" s="1545"/>
      <c r="B30" s="1570" t="s">
        <v>324</v>
      </c>
      <c r="C30" s="1571">
        <v>640.4</v>
      </c>
      <c r="D30" s="1572">
        <v>601.9</v>
      </c>
      <c r="E30" s="1571">
        <v>637.79999999999995</v>
      </c>
      <c r="F30" s="1572">
        <v>1098.2</v>
      </c>
      <c r="G30" s="1571">
        <v>2242.9300519999997</v>
      </c>
      <c r="H30" s="1572">
        <v>3190.5</v>
      </c>
      <c r="I30" s="1571">
        <v>3432.4</v>
      </c>
      <c r="J30" s="1572">
        <v>3406.1985699999996</v>
      </c>
      <c r="K30" s="1571">
        <v>4022.0203419999989</v>
      </c>
      <c r="L30" s="1572">
        <v>4025.3035210000007</v>
      </c>
      <c r="M30" s="1571">
        <v>4199.0627370000002</v>
      </c>
      <c r="N30" s="1572">
        <v>4207.0683449999997</v>
      </c>
      <c r="O30" s="1573"/>
      <c r="P30" s="1574">
        <v>1.9065225983545542E-3</v>
      </c>
      <c r="Q30" s="1575">
        <v>0.23319792016295859</v>
      </c>
      <c r="R30" s="1576"/>
      <c r="S30" s="1571">
        <v>4509.4953152600001</v>
      </c>
    </row>
    <row r="31" spans="1:24" ht="15.75" customHeight="1" thickBot="1">
      <c r="A31" s="1545" t="s">
        <v>1564</v>
      </c>
      <c r="B31" s="1545"/>
      <c r="C31" s="1577">
        <v>1770.8</v>
      </c>
      <c r="D31" s="1578">
        <v>1884.4</v>
      </c>
      <c r="E31" s="1577">
        <v>2155</v>
      </c>
      <c r="F31" s="1578">
        <v>2249.6</v>
      </c>
      <c r="G31" s="1577">
        <v>2343.1</v>
      </c>
      <c r="H31" s="1578">
        <v>2428.3000000000002</v>
      </c>
      <c r="I31" s="1577">
        <v>2541</v>
      </c>
      <c r="J31" s="1578">
        <v>2627.5</v>
      </c>
      <c r="K31" s="1577">
        <v>2868.2</v>
      </c>
      <c r="L31" s="1578">
        <v>3031.6779155400004</v>
      </c>
      <c r="M31" s="1577">
        <v>3081.5039062299998</v>
      </c>
      <c r="N31" s="1578">
        <v>3200.9812532199999</v>
      </c>
      <c r="O31" s="1579"/>
      <c r="P31" s="1580">
        <v>3.8772414582518566E-2</v>
      </c>
      <c r="Q31" s="1581">
        <v>4.4943654204782524E-2</v>
      </c>
      <c r="R31" s="1582"/>
      <c r="S31" s="1577">
        <v>3337.6332843099999</v>
      </c>
      <c r="U31" s="1516"/>
      <c r="V31" s="1516"/>
      <c r="W31" s="1516"/>
      <c r="X31" s="1516"/>
    </row>
    <row r="32" spans="1:24" ht="13.5" customHeight="1" thickBot="1">
      <c r="A32" s="1545"/>
      <c r="B32" s="1570" t="s">
        <v>287</v>
      </c>
      <c r="C32" s="1592">
        <v>1678.5</v>
      </c>
      <c r="D32" s="1593">
        <v>1778</v>
      </c>
      <c r="E32" s="1592">
        <v>2097.1999999999998</v>
      </c>
      <c r="F32" s="1593">
        <v>2189.9</v>
      </c>
      <c r="G32" s="1592">
        <v>2288</v>
      </c>
      <c r="H32" s="1593">
        <v>2400.1999999999998</v>
      </c>
      <c r="I32" s="1592">
        <v>2502.83</v>
      </c>
      <c r="J32" s="1593">
        <v>2588.5</v>
      </c>
      <c r="K32" s="1592">
        <v>2832.3</v>
      </c>
      <c r="L32" s="1593">
        <v>2994.9866096700002</v>
      </c>
      <c r="M32" s="1592">
        <v>3038.7113187199998</v>
      </c>
      <c r="N32" s="1593">
        <v>3155.0668707</v>
      </c>
      <c r="O32" s="1594"/>
      <c r="P32" s="1595">
        <v>3.829108453415464E-2</v>
      </c>
      <c r="Q32" s="1596">
        <v>4.6423864437470375E-2</v>
      </c>
      <c r="R32" s="1597"/>
      <c r="S32" s="1592">
        <v>3290.4542289599999</v>
      </c>
    </row>
    <row r="33" spans="1:30" ht="13.5" customHeight="1" thickBot="1">
      <c r="A33" s="1545"/>
      <c r="B33" s="1570" t="s">
        <v>313</v>
      </c>
      <c r="C33" s="1592">
        <v>92.3</v>
      </c>
      <c r="D33" s="1593">
        <v>106.4</v>
      </c>
      <c r="E33" s="1592">
        <v>57.8</v>
      </c>
      <c r="F33" s="1593">
        <v>59.7</v>
      </c>
      <c r="G33" s="1592">
        <v>55.1</v>
      </c>
      <c r="H33" s="1593">
        <v>28.1</v>
      </c>
      <c r="I33" s="1592">
        <v>38.17</v>
      </c>
      <c r="J33" s="1593">
        <v>39</v>
      </c>
      <c r="K33" s="1592">
        <v>35.9</v>
      </c>
      <c r="L33" s="1593">
        <v>36.691305870000001</v>
      </c>
      <c r="M33" s="1592">
        <v>42.792587509999997</v>
      </c>
      <c r="N33" s="1593">
        <v>45.914382520000004</v>
      </c>
      <c r="O33" s="1594"/>
      <c r="P33" s="1595">
        <v>7.2951770193155241E-2</v>
      </c>
      <c r="Q33" s="1596">
        <v>-2.5254559973464596E-2</v>
      </c>
      <c r="R33" s="1597"/>
      <c r="S33" s="1592">
        <v>47.179055349999999</v>
      </c>
    </row>
    <row r="34" spans="1:30" ht="16.5" customHeight="1" thickBot="1">
      <c r="A34" s="1545" t="s">
        <v>1565</v>
      </c>
      <c r="B34" s="1545"/>
      <c r="C34" s="1577">
        <v>9085.3793747272994</v>
      </c>
      <c r="D34" s="1578">
        <v>9560.2825838810622</v>
      </c>
      <c r="E34" s="1577">
        <v>9926.5847325363065</v>
      </c>
      <c r="F34" s="1578">
        <v>10325.572601594235</v>
      </c>
      <c r="G34" s="1577">
        <v>10591.609459022904</v>
      </c>
      <c r="H34" s="1578">
        <v>10893.107471645619</v>
      </c>
      <c r="I34" s="1577">
        <v>11201.456825335847</v>
      </c>
      <c r="J34" s="1578">
        <v>11644.809909615658</v>
      </c>
      <c r="K34" s="1577">
        <v>11858.615486006827</v>
      </c>
      <c r="L34" s="1578">
        <v>11246.614142254472</v>
      </c>
      <c r="M34" s="1577">
        <v>11465.835693471246</v>
      </c>
      <c r="N34" s="1578">
        <v>12017.753140617704</v>
      </c>
      <c r="O34" s="1579"/>
      <c r="P34" s="1580">
        <v>4.8135823842367254E-2</v>
      </c>
      <c r="Q34" s="1581">
        <v>2.1468139095274452E-2</v>
      </c>
      <c r="R34" s="1582"/>
      <c r="S34" s="1583">
        <v>12770.075459307543</v>
      </c>
      <c r="T34" s="1598"/>
    </row>
    <row r="35" spans="1:30" ht="12.75" customHeight="1" thickBot="1">
      <c r="A35" s="1545"/>
      <c r="B35" s="1545"/>
      <c r="C35" s="1554"/>
      <c r="D35" s="1555"/>
      <c r="E35" s="1554"/>
      <c r="F35" s="1555"/>
      <c r="G35" s="1554"/>
      <c r="H35" s="1555"/>
      <c r="I35" s="1554"/>
      <c r="J35" s="1555"/>
      <c r="K35" s="1554"/>
      <c r="L35" s="1555"/>
      <c r="M35" s="1554"/>
      <c r="N35" s="1555"/>
      <c r="O35" s="1556"/>
      <c r="P35" s="1557"/>
      <c r="Q35" s="1558"/>
      <c r="R35" s="1559"/>
      <c r="S35" s="1560"/>
    </row>
    <row r="36" spans="1:30" ht="16.5" customHeight="1" thickBot="1">
      <c r="A36" s="1544" t="s">
        <v>305</v>
      </c>
      <c r="B36" s="1545"/>
      <c r="C36" s="1563">
        <v>360.34572496402706</v>
      </c>
      <c r="D36" s="1564">
        <v>367.4485025408178</v>
      </c>
      <c r="E36" s="1563">
        <v>375.28251008174271</v>
      </c>
      <c r="F36" s="1564">
        <v>388.70889016736163</v>
      </c>
      <c r="G36" s="1563">
        <v>420.16510495683008</v>
      </c>
      <c r="H36" s="1564">
        <v>442.73533222173643</v>
      </c>
      <c r="I36" s="1563">
        <v>456.31192849787288</v>
      </c>
      <c r="J36" s="1564">
        <v>462.16066224325613</v>
      </c>
      <c r="K36" s="1563">
        <v>460.54510480676197</v>
      </c>
      <c r="L36" s="1564">
        <v>480.96670935903251</v>
      </c>
      <c r="M36" s="1563">
        <v>500.28122327763629</v>
      </c>
      <c r="N36" s="1564">
        <v>535.48298288401816</v>
      </c>
      <c r="O36" s="1565"/>
      <c r="P36" s="1566">
        <v>7.0363943255264516E-2</v>
      </c>
      <c r="Q36" s="1567">
        <v>4.0289344028310081E-2</v>
      </c>
      <c r="R36" s="1568"/>
      <c r="S36" s="1569">
        <v>568.20000000000005</v>
      </c>
    </row>
    <row r="37" spans="1:30" ht="12.75" customHeight="1" thickBot="1">
      <c r="A37" s="1544"/>
      <c r="B37" s="1570"/>
      <c r="C37" s="1599"/>
      <c r="D37" s="1600"/>
      <c r="E37" s="1554"/>
      <c r="F37" s="1555"/>
      <c r="G37" s="1554"/>
      <c r="H37" s="1555"/>
      <c r="I37" s="1560"/>
      <c r="J37" s="1555"/>
      <c r="K37" s="1560"/>
      <c r="L37" s="1555"/>
      <c r="M37" s="1560"/>
      <c r="N37" s="1555"/>
      <c r="O37" s="1556"/>
      <c r="P37" s="1557"/>
      <c r="Q37" s="1558"/>
      <c r="R37" s="1559"/>
      <c r="S37" s="1601"/>
    </row>
    <row r="38" spans="1:30" ht="17.25" customHeight="1" thickBot="1">
      <c r="A38" s="1602" t="s">
        <v>306</v>
      </c>
      <c r="B38" s="1603"/>
      <c r="C38" s="1604">
        <v>37468.621584899993</v>
      </c>
      <c r="D38" s="1605">
        <v>38209.908416353559</v>
      </c>
      <c r="E38" s="1604">
        <v>39815.013078757198</v>
      </c>
      <c r="F38" s="1605">
        <v>41104.451764019817</v>
      </c>
      <c r="G38" s="1604">
        <v>42842.933951834144</v>
      </c>
      <c r="H38" s="1605">
        <v>45572.841048926202</v>
      </c>
      <c r="I38" s="1604">
        <v>47388.633486638137</v>
      </c>
      <c r="J38" s="1605">
        <v>49265.161352870738</v>
      </c>
      <c r="K38" s="1604">
        <v>51007.71667083916</v>
      </c>
      <c r="L38" s="1605">
        <v>52043.04088068397</v>
      </c>
      <c r="M38" s="1604">
        <v>52773.346851683025</v>
      </c>
      <c r="N38" s="1605">
        <v>55214.945110235072</v>
      </c>
      <c r="O38" s="1606"/>
      <c r="P38" s="1607">
        <v>4.6265745953426807E-2</v>
      </c>
      <c r="Q38" s="1608">
        <v>3.7000258554652721E-2</v>
      </c>
      <c r="R38" s="1609"/>
      <c r="S38" s="1610">
        <v>58130.7</v>
      </c>
    </row>
    <row r="39" spans="1:30" ht="14.25" customHeight="1">
      <c r="A39" s="1611" t="s">
        <v>778</v>
      </c>
      <c r="B39" s="1611"/>
      <c r="C39" s="1612"/>
      <c r="D39" s="1612"/>
      <c r="E39" s="1612"/>
      <c r="F39" s="1612"/>
      <c r="G39" s="1612"/>
      <c r="H39" s="1612"/>
      <c r="I39" s="1612"/>
      <c r="J39" s="1612"/>
      <c r="K39" s="1495"/>
      <c r="L39" s="1495"/>
      <c r="M39" s="1495"/>
      <c r="N39" s="1495"/>
      <c r="O39" s="1495"/>
      <c r="P39" s="1612"/>
      <c r="Q39" s="1612"/>
      <c r="R39" s="1612"/>
    </row>
    <row r="40" spans="1:30">
      <c r="A40" s="1495"/>
      <c r="B40" s="1612"/>
      <c r="C40" s="1495"/>
      <c r="D40" s="1612"/>
      <c r="E40" s="1495"/>
      <c r="F40" s="1495"/>
      <c r="G40" s="1495"/>
      <c r="H40" s="1495"/>
      <c r="I40" s="1495"/>
      <c r="J40" s="1495"/>
      <c r="K40" s="1495"/>
      <c r="L40" s="1495"/>
      <c r="M40" s="1495"/>
      <c r="N40" s="1495"/>
      <c r="O40" s="1495"/>
      <c r="P40" s="1612"/>
      <c r="Q40" s="1495"/>
      <c r="R40" s="1495"/>
      <c r="S40" s="1516"/>
      <c r="T40" s="1516"/>
      <c r="U40" s="1516"/>
      <c r="V40" s="1516"/>
      <c r="Y40" s="1516"/>
      <c r="Z40" s="1516"/>
      <c r="AA40" s="1516"/>
      <c r="AB40" s="1516"/>
      <c r="AC40" s="1507"/>
      <c r="AD40" s="1613"/>
    </row>
    <row r="41" spans="1:30">
      <c r="A41" s="1495" t="s">
        <v>314</v>
      </c>
      <c r="B41" s="1612"/>
      <c r="C41" s="1495"/>
      <c r="D41" s="1612"/>
      <c r="E41" s="1495"/>
      <c r="F41" s="1495"/>
      <c r="G41" s="1495"/>
      <c r="H41" s="1495"/>
      <c r="I41" s="1495"/>
      <c r="J41" s="1495"/>
      <c r="K41" s="1495"/>
      <c r="L41" s="1495"/>
      <c r="M41" s="1495"/>
      <c r="N41" s="1495"/>
      <c r="O41" s="1495"/>
      <c r="P41" s="1612"/>
      <c r="Q41" s="1495"/>
      <c r="R41" s="1495"/>
      <c r="S41" s="1516"/>
      <c r="T41" s="1516"/>
      <c r="U41" s="1516"/>
      <c r="V41" s="1516"/>
      <c r="Y41" s="1516"/>
      <c r="Z41" s="1516"/>
      <c r="AA41" s="1516"/>
      <c r="AB41" s="1516"/>
      <c r="AC41" s="1507"/>
      <c r="AD41" s="1613"/>
    </row>
    <row r="42" spans="1:30">
      <c r="A42" s="1495"/>
      <c r="B42" s="1612"/>
      <c r="C42" s="1495"/>
      <c r="D42" s="1495"/>
      <c r="E42" s="1495"/>
      <c r="F42" s="1495"/>
      <c r="G42" s="1495"/>
      <c r="H42" s="1495"/>
      <c r="I42" s="1495"/>
      <c r="J42" s="1495"/>
      <c r="K42" s="1495"/>
      <c r="L42" s="1495"/>
      <c r="M42" s="1495"/>
      <c r="N42" s="1495"/>
      <c r="O42" s="1495"/>
      <c r="P42" s="1495"/>
      <c r="Q42" s="1495"/>
      <c r="R42" s="1495"/>
    </row>
    <row r="43" spans="1:30">
      <c r="A43" s="1612"/>
      <c r="B43" s="1612"/>
      <c r="C43" s="1495"/>
      <c r="D43" s="1495"/>
      <c r="E43" s="1614"/>
      <c r="F43" s="1495"/>
      <c r="G43" s="1495"/>
      <c r="H43" s="1495"/>
      <c r="I43" s="1495"/>
      <c r="J43" s="1495"/>
      <c r="K43" s="1495"/>
      <c r="L43" s="1495"/>
      <c r="M43" s="1495"/>
      <c r="N43" s="1495"/>
      <c r="O43" s="1495"/>
      <c r="P43" s="1495"/>
      <c r="Q43" s="1614"/>
      <c r="R43" s="1495"/>
    </row>
    <row r="44" spans="1:30">
      <c r="A44" s="1612" t="s">
        <v>711</v>
      </c>
      <c r="B44" s="1612"/>
      <c r="C44" s="1495"/>
      <c r="D44" s="1495"/>
      <c r="E44" s="1495"/>
      <c r="F44" s="1495"/>
      <c r="G44" s="1495"/>
      <c r="H44" s="1495"/>
      <c r="I44" s="1495"/>
      <c r="J44" s="1495"/>
      <c r="K44" s="1495"/>
      <c r="L44" s="1495"/>
      <c r="M44" s="1495"/>
      <c r="N44" s="1495"/>
      <c r="O44" s="1495"/>
      <c r="P44" s="1495"/>
      <c r="Q44" s="1495"/>
      <c r="R44" s="1495"/>
    </row>
    <row r="45" spans="1:30">
      <c r="A45" s="1612"/>
      <c r="B45" s="1612"/>
      <c r="C45" s="1495"/>
      <c r="D45" s="1495"/>
      <c r="E45" s="1495"/>
      <c r="F45" s="1495"/>
      <c r="G45" s="1495"/>
      <c r="H45" s="1495"/>
      <c r="I45" s="1495"/>
      <c r="J45" s="1495"/>
      <c r="K45" s="1495"/>
      <c r="L45" s="1495"/>
      <c r="M45" s="1495"/>
      <c r="N45" s="1495"/>
      <c r="O45" s="1495"/>
      <c r="P45" s="1495"/>
      <c r="Q45" s="1495"/>
      <c r="R45" s="1495"/>
    </row>
    <row r="46" spans="1:30">
      <c r="A46" s="1612"/>
      <c r="B46" s="1612"/>
      <c r="C46" s="1495"/>
      <c r="D46" s="1495"/>
      <c r="E46" s="1495"/>
      <c r="F46" s="1495"/>
      <c r="G46" s="1495"/>
      <c r="H46" s="1495"/>
      <c r="I46" s="1495"/>
      <c r="J46" s="1495"/>
      <c r="K46" s="1495"/>
      <c r="L46" s="1495"/>
      <c r="M46" s="1495"/>
      <c r="N46" s="1495"/>
      <c r="O46" s="1495"/>
      <c r="P46" s="1495"/>
      <c r="Q46" s="1495"/>
      <c r="R46" s="1495"/>
    </row>
    <row r="47" spans="1:30">
      <c r="A47" s="1612"/>
      <c r="B47" s="1612"/>
      <c r="C47" s="1495"/>
      <c r="D47" s="1495"/>
      <c r="E47" s="1495"/>
      <c r="F47" s="1495"/>
      <c r="G47" s="1495"/>
      <c r="H47" s="1495"/>
      <c r="I47" s="1495"/>
      <c r="J47" s="1495"/>
      <c r="K47" s="1495"/>
      <c r="L47" s="1495"/>
      <c r="M47" s="1495"/>
      <c r="N47" s="1495"/>
      <c r="O47" s="1495"/>
      <c r="P47" s="1495"/>
      <c r="Q47" s="1495"/>
      <c r="R47" s="1495"/>
    </row>
    <row r="48" spans="1:30">
      <c r="A48" s="1612"/>
      <c r="B48" s="1612"/>
      <c r="C48" s="1495"/>
      <c r="D48" s="1495"/>
      <c r="E48" s="1495"/>
      <c r="F48" s="1495"/>
      <c r="G48" s="1495"/>
      <c r="H48" s="1495"/>
      <c r="I48" s="1495"/>
      <c r="J48" s="1495"/>
      <c r="K48" s="1495"/>
      <c r="L48" s="1495"/>
      <c r="M48" s="1495"/>
      <c r="N48" s="1495"/>
      <c r="O48" s="1495"/>
      <c r="P48" s="1495"/>
      <c r="Q48" s="1495"/>
      <c r="R48" s="1495"/>
    </row>
    <row r="49" spans="1:18">
      <c r="A49" s="1612"/>
      <c r="B49" s="1495"/>
      <c r="C49" s="1495"/>
      <c r="D49" s="1495"/>
      <c r="E49" s="1495"/>
      <c r="F49" s="1495"/>
      <c r="G49" s="1495"/>
      <c r="H49" s="1495"/>
      <c r="I49" s="1495"/>
      <c r="J49" s="1495"/>
      <c r="K49" s="1495"/>
      <c r="L49" s="1495"/>
      <c r="M49" s="1495"/>
      <c r="N49" s="1495"/>
      <c r="O49" s="1495"/>
      <c r="P49" s="1495"/>
      <c r="Q49" s="1495"/>
      <c r="R49" s="1495"/>
    </row>
    <row r="50" spans="1:18">
      <c r="A50" s="1612"/>
      <c r="B50" s="1495"/>
      <c r="C50" s="1495"/>
      <c r="D50" s="1495"/>
      <c r="E50" s="1495"/>
      <c r="F50" s="1495"/>
      <c r="G50" s="1495"/>
      <c r="H50" s="1495"/>
      <c r="I50" s="1495"/>
      <c r="J50" s="1495"/>
      <c r="K50" s="1495"/>
      <c r="L50" s="1495"/>
      <c r="M50" s="1495"/>
      <c r="N50" s="1495"/>
      <c r="O50" s="1495"/>
      <c r="P50" s="1495"/>
      <c r="Q50" s="1495"/>
      <c r="R50" s="1495"/>
    </row>
    <row r="51" spans="1:18">
      <c r="A51" s="1495"/>
      <c r="B51" s="1495"/>
      <c r="C51" s="1495"/>
      <c r="D51" s="1495"/>
      <c r="E51" s="1495"/>
      <c r="F51" s="1495"/>
      <c r="G51" s="1495"/>
      <c r="H51" s="1495"/>
      <c r="I51" s="1495"/>
      <c r="J51" s="1495"/>
      <c r="K51" s="1495"/>
      <c r="L51" s="1495"/>
      <c r="M51" s="1495"/>
      <c r="N51" s="1495"/>
      <c r="O51" s="1495"/>
      <c r="P51" s="1495"/>
      <c r="Q51" s="1495"/>
      <c r="R51" s="1495"/>
    </row>
    <row r="52" spans="1:18">
      <c r="A52" s="1495"/>
      <c r="B52" s="1495"/>
      <c r="C52" s="1495"/>
      <c r="D52" s="1495"/>
      <c r="E52" s="1495"/>
      <c r="F52" s="1495"/>
      <c r="G52" s="1495"/>
      <c r="H52" s="1495"/>
      <c r="I52" s="1495"/>
      <c r="J52" s="1495"/>
      <c r="K52" s="1495"/>
      <c r="L52" s="1495"/>
      <c r="M52" s="1495"/>
      <c r="N52" s="1495"/>
      <c r="O52" s="1495"/>
      <c r="P52" s="1495"/>
      <c r="Q52" s="1495"/>
      <c r="R52" s="1495"/>
    </row>
    <row r="53" spans="1:18">
      <c r="A53" s="1495"/>
      <c r="B53" s="1612"/>
      <c r="C53" s="1495"/>
      <c r="D53" s="1495"/>
      <c r="E53" s="1495"/>
      <c r="F53" s="1495"/>
      <c r="G53" s="1495"/>
      <c r="H53" s="1495"/>
      <c r="I53" s="1495"/>
      <c r="J53" s="1495"/>
      <c r="K53" s="1495"/>
      <c r="L53" s="1495"/>
      <c r="M53" s="1495"/>
      <c r="N53" s="1495"/>
      <c r="O53" s="1495"/>
      <c r="P53" s="1495"/>
      <c r="Q53" s="1495"/>
      <c r="R53" s="1495"/>
    </row>
    <row r="54" spans="1:18">
      <c r="A54" s="1495"/>
      <c r="B54" s="1612"/>
      <c r="C54" s="1495"/>
      <c r="D54" s="1495"/>
      <c r="E54" s="1495"/>
      <c r="F54" s="1495"/>
      <c r="G54" s="1495"/>
      <c r="H54" s="1495"/>
      <c r="I54" s="1495"/>
      <c r="J54" s="1495"/>
      <c r="K54" s="1495"/>
      <c r="L54" s="1495"/>
      <c r="M54" s="1495"/>
      <c r="N54" s="1495"/>
      <c r="O54" s="1495"/>
      <c r="P54" s="1495"/>
      <c r="Q54" s="1495"/>
      <c r="R54" s="1495"/>
    </row>
    <row r="55" spans="1:18" ht="16">
      <c r="A55" s="1494"/>
      <c r="B55" s="1612"/>
      <c r="C55" s="1495"/>
      <c r="D55" s="1495"/>
      <c r="E55" s="1495"/>
      <c r="F55" s="1495"/>
      <c r="G55" s="1495"/>
      <c r="H55" s="1495"/>
      <c r="I55" s="1495"/>
      <c r="J55" s="1495"/>
      <c r="K55" s="1495"/>
      <c r="L55" s="1495"/>
      <c r="M55" s="1495"/>
      <c r="N55" s="1495"/>
      <c r="O55" s="1495"/>
      <c r="P55" s="1495"/>
      <c r="Q55" s="1495"/>
      <c r="R55" s="1495"/>
    </row>
    <row r="56" spans="1:18">
      <c r="A56" s="1612"/>
      <c r="B56" s="1612"/>
      <c r="C56" s="1495"/>
      <c r="D56" s="1495"/>
      <c r="E56" s="1495"/>
      <c r="F56" s="1495"/>
      <c r="G56" s="1495"/>
      <c r="H56" s="1495"/>
      <c r="I56" s="1495"/>
      <c r="J56" s="1495"/>
      <c r="K56" s="1495"/>
      <c r="L56" s="1495"/>
      <c r="M56" s="1495"/>
      <c r="N56" s="1495"/>
      <c r="O56" s="1495"/>
      <c r="P56" s="1495"/>
      <c r="Q56" s="1495"/>
      <c r="R56" s="1495"/>
    </row>
    <row r="57" spans="1:18">
      <c r="A57" s="1612"/>
      <c r="B57" s="1612"/>
      <c r="C57" s="1495"/>
      <c r="D57" s="1495"/>
      <c r="E57" s="1495"/>
      <c r="F57" s="1495"/>
      <c r="G57" s="1495"/>
      <c r="H57" s="1495"/>
      <c r="I57" s="1495"/>
      <c r="J57" s="1495"/>
      <c r="K57" s="1495"/>
      <c r="L57" s="1495"/>
      <c r="M57" s="1495"/>
      <c r="N57" s="1495"/>
      <c r="O57" s="1495"/>
      <c r="P57" s="1495"/>
      <c r="Q57" s="1495"/>
      <c r="R57" s="1495"/>
    </row>
    <row r="58" spans="1:18">
      <c r="A58" s="1612"/>
      <c r="B58" s="1612"/>
      <c r="C58" s="1495"/>
      <c r="D58" s="1495"/>
      <c r="E58" s="1495"/>
      <c r="F58" s="1495"/>
      <c r="G58" s="1495"/>
      <c r="H58" s="1495"/>
      <c r="I58" s="1495"/>
      <c r="J58" s="1495"/>
      <c r="K58" s="1495"/>
      <c r="L58" s="1495"/>
      <c r="M58" s="1495"/>
      <c r="N58" s="1495"/>
      <c r="O58" s="1495"/>
      <c r="P58" s="1495"/>
      <c r="Q58" s="1495"/>
      <c r="R58" s="1495"/>
    </row>
    <row r="59" spans="1:18">
      <c r="A59" s="1612"/>
      <c r="B59" s="1612"/>
      <c r="C59" s="1495"/>
      <c r="D59" s="1495"/>
      <c r="E59" s="1495"/>
      <c r="F59" s="1495"/>
      <c r="G59" s="1495"/>
      <c r="H59" s="1495"/>
      <c r="I59" s="1495"/>
      <c r="J59" s="1495"/>
      <c r="K59" s="1495"/>
      <c r="L59" s="1495"/>
      <c r="M59" s="1495"/>
      <c r="N59" s="1495"/>
      <c r="O59" s="1495"/>
      <c r="P59" s="1495"/>
      <c r="Q59" s="1495"/>
      <c r="R59" s="1495"/>
    </row>
    <row r="60" spans="1:18">
      <c r="A60" s="1612"/>
      <c r="B60" s="1612"/>
      <c r="C60" s="1495"/>
      <c r="D60" s="1495"/>
      <c r="E60" s="1495"/>
      <c r="F60" s="1495"/>
      <c r="G60" s="1495"/>
      <c r="H60" s="1495"/>
      <c r="I60" s="1495"/>
      <c r="J60" s="1495"/>
      <c r="K60" s="1495"/>
      <c r="L60" s="1495"/>
      <c r="M60" s="1495"/>
      <c r="N60" s="1495"/>
      <c r="O60" s="1495"/>
      <c r="P60" s="1495"/>
      <c r="Q60" s="1495"/>
      <c r="R60" s="1495"/>
    </row>
    <row r="61" spans="1:18">
      <c r="A61" s="1612"/>
      <c r="B61" s="1612"/>
      <c r="C61" s="1495"/>
      <c r="D61" s="1495"/>
      <c r="E61" s="1495"/>
      <c r="F61" s="1495"/>
      <c r="G61" s="1495"/>
      <c r="H61" s="1495"/>
      <c r="I61" s="1495"/>
      <c r="J61" s="1495"/>
      <c r="K61" s="1495"/>
      <c r="L61" s="1495"/>
      <c r="M61" s="1495"/>
      <c r="N61" s="1495"/>
      <c r="O61" s="1495"/>
      <c r="P61" s="1495"/>
      <c r="Q61" s="1495"/>
      <c r="R61" s="1495"/>
    </row>
    <row r="62" spans="1:18">
      <c r="A62" s="1612"/>
      <c r="B62" s="1612"/>
      <c r="C62" s="1495"/>
      <c r="D62" s="1495"/>
      <c r="E62" s="1495"/>
      <c r="F62" s="1495"/>
      <c r="G62" s="1495"/>
      <c r="H62" s="1495"/>
      <c r="I62" s="1495"/>
      <c r="J62" s="1495"/>
      <c r="K62" s="1495"/>
      <c r="L62" s="1495"/>
      <c r="M62" s="1495"/>
      <c r="N62" s="1495"/>
      <c r="O62" s="1495"/>
      <c r="P62" s="1495"/>
      <c r="Q62" s="1495"/>
      <c r="R62" s="1495"/>
    </row>
    <row r="63" spans="1:18">
      <c r="A63" s="1612"/>
      <c r="B63" s="1612"/>
      <c r="C63" s="1495"/>
      <c r="D63" s="1495"/>
      <c r="E63" s="1495"/>
      <c r="F63" s="1495"/>
      <c r="G63" s="1495"/>
      <c r="H63" s="1495"/>
      <c r="I63" s="1495"/>
      <c r="J63" s="1495"/>
      <c r="K63" s="1495"/>
      <c r="L63" s="1495"/>
      <c r="M63" s="1495"/>
      <c r="N63" s="1495"/>
      <c r="O63" s="1495"/>
      <c r="P63" s="1495"/>
      <c r="Q63" s="1495"/>
      <c r="R63" s="1495"/>
    </row>
    <row r="64" spans="1:18">
      <c r="A64" s="1612"/>
      <c r="B64" s="1612"/>
      <c r="C64" s="1495"/>
      <c r="D64" s="1495"/>
      <c r="E64" s="1495"/>
      <c r="F64" s="1495"/>
      <c r="G64" s="1495"/>
      <c r="H64" s="1495"/>
      <c r="I64" s="1495"/>
      <c r="J64" s="1495"/>
      <c r="K64" s="1495"/>
      <c r="L64" s="1495"/>
      <c r="M64" s="1495"/>
      <c r="N64" s="1495"/>
      <c r="O64" s="1495"/>
      <c r="P64" s="1495"/>
      <c r="Q64" s="1495"/>
      <c r="R64" s="1495"/>
    </row>
    <row r="65" spans="1:18">
      <c r="A65" s="1495"/>
      <c r="B65" s="1612"/>
      <c r="C65" s="1495"/>
      <c r="D65" s="1495"/>
      <c r="E65" s="1495"/>
      <c r="F65" s="1495"/>
      <c r="G65" s="1495"/>
      <c r="H65" s="1495"/>
      <c r="I65" s="1495"/>
      <c r="J65" s="1495"/>
      <c r="K65" s="1495"/>
      <c r="L65" s="1495"/>
      <c r="M65" s="1495"/>
      <c r="N65" s="1495"/>
      <c r="O65" s="1495"/>
      <c r="P65" s="1495"/>
      <c r="Q65" s="1495"/>
      <c r="R65" s="1495"/>
    </row>
    <row r="66" spans="1:18">
      <c r="A66" s="1612"/>
      <c r="B66" s="1612"/>
      <c r="C66" s="1495"/>
      <c r="D66" s="1495"/>
      <c r="E66" s="1495"/>
      <c r="F66" s="1495"/>
      <c r="G66" s="1495"/>
      <c r="H66" s="1495"/>
      <c r="I66" s="1495"/>
      <c r="J66" s="1495"/>
      <c r="K66" s="1495"/>
      <c r="L66" s="1495"/>
      <c r="M66" s="1495"/>
      <c r="N66" s="1495"/>
      <c r="O66" s="1495"/>
      <c r="P66" s="1495"/>
      <c r="Q66" s="1495"/>
      <c r="R66" s="1495"/>
    </row>
    <row r="67" spans="1:18">
      <c r="A67" s="1612"/>
      <c r="B67" s="1612"/>
      <c r="C67" s="1495"/>
      <c r="D67" s="1495"/>
      <c r="E67" s="1495"/>
      <c r="F67" s="1495"/>
      <c r="G67" s="1495"/>
      <c r="H67" s="1495"/>
      <c r="I67" s="1495"/>
      <c r="J67" s="1495"/>
      <c r="K67" s="1495"/>
      <c r="L67" s="1495"/>
      <c r="M67" s="1495"/>
      <c r="N67" s="1495"/>
      <c r="O67" s="1495"/>
      <c r="P67" s="1495"/>
      <c r="Q67" s="1495"/>
      <c r="R67" s="1495"/>
    </row>
    <row r="68" spans="1:18">
      <c r="A68" s="1612"/>
      <c r="B68" s="1612"/>
      <c r="C68" s="1495"/>
      <c r="D68" s="1495"/>
      <c r="E68" s="1495"/>
      <c r="F68" s="1495"/>
      <c r="G68" s="1495"/>
      <c r="H68" s="1495"/>
      <c r="I68" s="1495"/>
      <c r="J68" s="1495"/>
      <c r="K68" s="1495"/>
      <c r="L68" s="1495"/>
      <c r="M68" s="1495"/>
      <c r="N68" s="1495"/>
      <c r="O68" s="1495"/>
      <c r="P68" s="1495"/>
      <c r="Q68" s="1495"/>
      <c r="R68" s="1495"/>
    </row>
    <row r="69" spans="1:18">
      <c r="A69" s="1612"/>
      <c r="B69" s="1612"/>
      <c r="C69" s="1495"/>
      <c r="D69" s="1495"/>
      <c r="E69" s="1495"/>
      <c r="F69" s="1495"/>
      <c r="G69" s="1495"/>
      <c r="H69" s="1495"/>
      <c r="I69" s="1495"/>
      <c r="J69" s="1495"/>
      <c r="K69" s="1495"/>
      <c r="L69" s="1495"/>
      <c r="M69" s="1495"/>
      <c r="N69" s="1495"/>
      <c r="O69" s="1495"/>
      <c r="P69" s="1495"/>
      <c r="Q69" s="1495"/>
      <c r="R69" s="1495"/>
    </row>
    <row r="70" spans="1:18">
      <c r="A70" s="1612"/>
      <c r="B70" s="1612"/>
      <c r="C70" s="1495"/>
      <c r="D70" s="1495"/>
      <c r="E70" s="1495"/>
      <c r="F70" s="1495"/>
      <c r="G70" s="1495"/>
      <c r="H70" s="1495"/>
      <c r="I70" s="1495"/>
      <c r="J70" s="1495"/>
      <c r="K70" s="1495"/>
      <c r="L70" s="1495"/>
      <c r="M70" s="1495"/>
      <c r="N70" s="1495"/>
      <c r="O70" s="1495"/>
      <c r="P70" s="1495"/>
      <c r="Q70" s="1495"/>
      <c r="R70" s="1495"/>
    </row>
    <row r="71" spans="1:18">
      <c r="A71" s="1612"/>
      <c r="B71" s="1612"/>
      <c r="C71" s="1495"/>
      <c r="D71" s="1495"/>
      <c r="E71" s="1495"/>
      <c r="F71" s="1495"/>
      <c r="G71" s="1495"/>
      <c r="H71" s="1495"/>
      <c r="I71" s="1495"/>
      <c r="J71" s="1495"/>
      <c r="K71" s="1495"/>
      <c r="L71" s="1495"/>
      <c r="M71" s="1495"/>
      <c r="N71" s="1495"/>
      <c r="O71" s="1495"/>
      <c r="P71" s="1495"/>
      <c r="Q71" s="1495"/>
      <c r="R71" s="1495"/>
    </row>
    <row r="72" spans="1:18">
      <c r="A72" s="1612"/>
      <c r="B72" s="1495"/>
      <c r="C72" s="1495"/>
      <c r="D72" s="1495"/>
      <c r="E72" s="1495"/>
      <c r="F72" s="1495"/>
      <c r="G72" s="1495"/>
      <c r="H72" s="1495"/>
      <c r="I72" s="1495"/>
      <c r="J72" s="1495"/>
      <c r="K72" s="1495"/>
      <c r="L72" s="1495"/>
      <c r="M72" s="1495"/>
      <c r="N72" s="1495"/>
      <c r="O72" s="1495"/>
      <c r="P72" s="1495"/>
      <c r="Q72" s="1495"/>
      <c r="R72" s="1495"/>
    </row>
    <row r="73" spans="1:18">
      <c r="A73" s="1495"/>
      <c r="B73" s="1495"/>
      <c r="C73" s="1495"/>
      <c r="D73" s="1495"/>
      <c r="E73" s="1495"/>
      <c r="F73" s="1495"/>
      <c r="G73" s="1495"/>
      <c r="H73" s="1495"/>
      <c r="I73" s="1495"/>
      <c r="J73" s="1495"/>
      <c r="K73" s="1495"/>
      <c r="L73" s="1495"/>
      <c r="M73" s="1495"/>
      <c r="N73" s="1495"/>
      <c r="O73" s="1495"/>
      <c r="P73" s="1495"/>
      <c r="Q73" s="1495"/>
      <c r="R73" s="1495"/>
    </row>
    <row r="74" spans="1:18">
      <c r="A74" s="1495"/>
      <c r="B74" s="1495"/>
      <c r="C74" s="1495"/>
      <c r="D74" s="1495"/>
      <c r="E74" s="1495"/>
      <c r="F74" s="1495"/>
      <c r="G74" s="1495"/>
      <c r="H74" s="1495"/>
      <c r="I74" s="1495"/>
      <c r="J74" s="1495"/>
      <c r="K74" s="1495"/>
      <c r="L74" s="1495"/>
      <c r="M74" s="1495"/>
      <c r="N74" s="1495"/>
      <c r="O74" s="1495"/>
      <c r="P74" s="1495"/>
      <c r="Q74" s="1495"/>
      <c r="R74" s="1495"/>
    </row>
    <row r="75" spans="1:18">
      <c r="A75" s="1495"/>
      <c r="B75" s="1495"/>
      <c r="C75" s="1495"/>
      <c r="D75" s="1495"/>
      <c r="E75" s="1495"/>
      <c r="F75" s="1495"/>
      <c r="G75" s="1495"/>
      <c r="H75" s="1495"/>
      <c r="I75" s="1495"/>
      <c r="J75" s="1495"/>
      <c r="K75" s="1495"/>
      <c r="L75" s="1495"/>
      <c r="M75" s="1495"/>
      <c r="N75" s="1495"/>
      <c r="O75" s="1495"/>
      <c r="P75" s="1495"/>
      <c r="Q75" s="1495"/>
      <c r="R75" s="1495"/>
    </row>
    <row r="76" spans="1:18">
      <c r="A76" s="1495"/>
      <c r="B76" s="1612"/>
      <c r="C76" s="1495"/>
      <c r="D76" s="1495"/>
      <c r="E76" s="1495"/>
      <c r="F76" s="1495"/>
      <c r="G76" s="1495"/>
      <c r="H76" s="1495"/>
      <c r="I76" s="1495"/>
      <c r="J76" s="1495"/>
      <c r="K76" s="1495"/>
      <c r="L76" s="1495"/>
      <c r="M76" s="1495"/>
      <c r="N76" s="1495"/>
      <c r="O76" s="1495"/>
      <c r="P76" s="1495"/>
      <c r="Q76" s="1495"/>
      <c r="R76" s="1495"/>
    </row>
    <row r="77" spans="1:18">
      <c r="A77" s="1495"/>
      <c r="B77" s="1612"/>
      <c r="C77" s="1495"/>
      <c r="D77" s="1495"/>
      <c r="E77" s="1495"/>
      <c r="F77" s="1495"/>
      <c r="G77" s="1495"/>
      <c r="H77" s="1495"/>
      <c r="I77" s="1495"/>
      <c r="J77" s="1495"/>
      <c r="K77" s="1495"/>
      <c r="L77" s="1495"/>
      <c r="M77" s="1495"/>
      <c r="N77" s="1495"/>
      <c r="O77" s="1495"/>
      <c r="P77" s="1495"/>
      <c r="Q77" s="1495"/>
      <c r="R77" s="1495"/>
    </row>
    <row r="78" spans="1:18">
      <c r="A78" s="1495"/>
      <c r="B78" s="1612"/>
      <c r="C78" s="1495"/>
      <c r="D78" s="1495"/>
      <c r="E78" s="1495"/>
      <c r="F78" s="1495"/>
      <c r="G78" s="1495"/>
      <c r="H78" s="1495"/>
      <c r="I78" s="1495"/>
      <c r="J78" s="1495"/>
      <c r="K78" s="1495"/>
      <c r="L78" s="1495"/>
      <c r="M78" s="1495"/>
      <c r="N78" s="1495"/>
      <c r="O78" s="1495"/>
      <c r="P78" s="1495"/>
      <c r="Q78" s="1495"/>
      <c r="R78" s="1495"/>
    </row>
    <row r="79" spans="1:18">
      <c r="A79" s="1612"/>
      <c r="B79" s="1612"/>
      <c r="C79" s="1495"/>
      <c r="D79" s="1495"/>
      <c r="E79" s="1495"/>
      <c r="F79" s="1495"/>
      <c r="G79" s="1495"/>
      <c r="H79" s="1495"/>
      <c r="I79" s="1495"/>
      <c r="J79" s="1495"/>
      <c r="K79" s="1495"/>
      <c r="L79" s="1495"/>
      <c r="M79" s="1495"/>
      <c r="N79" s="1495"/>
      <c r="O79" s="1495"/>
      <c r="P79" s="1495"/>
      <c r="Q79" s="1495"/>
      <c r="R79" s="1495"/>
    </row>
    <row r="80" spans="1:18">
      <c r="A80" s="1612"/>
      <c r="B80" s="1612"/>
      <c r="C80" s="1495"/>
      <c r="D80" s="1495"/>
      <c r="E80" s="1495"/>
      <c r="F80" s="1495"/>
      <c r="G80" s="1495"/>
      <c r="H80" s="1495"/>
      <c r="I80" s="1495"/>
      <c r="J80" s="1495"/>
      <c r="K80" s="1495"/>
      <c r="L80" s="1495"/>
      <c r="M80" s="1495"/>
      <c r="N80" s="1495"/>
      <c r="O80" s="1495"/>
      <c r="P80" s="1495"/>
      <c r="Q80" s="1495"/>
      <c r="R80" s="1495"/>
    </row>
    <row r="81" spans="1:18">
      <c r="A81" s="1612"/>
      <c r="B81" s="1612"/>
      <c r="C81" s="1495"/>
      <c r="D81" s="1495"/>
      <c r="E81" s="1495"/>
      <c r="F81" s="1495"/>
      <c r="G81" s="1495"/>
      <c r="H81" s="1495"/>
      <c r="I81" s="1495"/>
      <c r="J81" s="1495"/>
      <c r="K81" s="1495"/>
      <c r="L81" s="1495"/>
      <c r="M81" s="1495"/>
      <c r="N81" s="1495"/>
      <c r="O81" s="1495"/>
      <c r="P81" s="1495"/>
      <c r="Q81" s="1495"/>
      <c r="R81" s="1495"/>
    </row>
    <row r="82" spans="1:18">
      <c r="A82" s="1612"/>
      <c r="B82" s="1612"/>
      <c r="C82" s="1495"/>
      <c r="D82" s="1495"/>
      <c r="E82" s="1495"/>
      <c r="F82" s="1495"/>
      <c r="G82" s="1495"/>
      <c r="H82" s="1495"/>
      <c r="I82" s="1495"/>
      <c r="J82" s="1495"/>
      <c r="K82" s="1495"/>
      <c r="L82" s="1495"/>
      <c r="M82" s="1495"/>
      <c r="N82" s="1495"/>
      <c r="O82" s="1495"/>
      <c r="P82" s="1495"/>
      <c r="Q82" s="1495"/>
      <c r="R82" s="1495"/>
    </row>
    <row r="83" spans="1:18">
      <c r="A83" s="1612"/>
      <c r="B83" s="1612"/>
      <c r="C83" s="1495"/>
      <c r="D83" s="1495"/>
      <c r="E83" s="1495"/>
      <c r="F83" s="1495"/>
      <c r="G83" s="1495"/>
      <c r="H83" s="1495"/>
      <c r="I83" s="1495"/>
      <c r="J83" s="1495"/>
      <c r="K83" s="1495"/>
      <c r="L83" s="1495"/>
      <c r="M83" s="1495"/>
      <c r="N83" s="1495"/>
      <c r="O83" s="1495"/>
      <c r="P83" s="1495"/>
      <c r="Q83" s="1495"/>
      <c r="R83" s="1495"/>
    </row>
    <row r="84" spans="1:18">
      <c r="A84" s="1612"/>
      <c r="B84" s="1612"/>
      <c r="C84" s="1495"/>
      <c r="D84" s="1495"/>
      <c r="E84" s="1495"/>
      <c r="F84" s="1495"/>
      <c r="G84" s="1495"/>
      <c r="H84" s="1495"/>
      <c r="I84" s="1495"/>
      <c r="J84" s="1495"/>
      <c r="K84" s="1495"/>
      <c r="L84" s="1495"/>
      <c r="M84" s="1495"/>
      <c r="N84" s="1495"/>
      <c r="O84" s="1495"/>
      <c r="P84" s="1495"/>
      <c r="Q84" s="1495"/>
      <c r="R84" s="1495"/>
    </row>
    <row r="85" spans="1:18" ht="16">
      <c r="A85" s="1494"/>
      <c r="B85" s="1612"/>
      <c r="C85" s="1495"/>
      <c r="D85" s="1495"/>
      <c r="E85" s="1495"/>
      <c r="F85" s="1495"/>
      <c r="G85" s="1495"/>
      <c r="H85" s="1495"/>
      <c r="I85" s="1495"/>
      <c r="J85" s="1495"/>
      <c r="K85" s="1495"/>
      <c r="L85" s="1495"/>
      <c r="M85" s="1495"/>
      <c r="N85" s="1495"/>
      <c r="O85" s="1495"/>
      <c r="P85" s="1495"/>
      <c r="Q85" s="1495"/>
      <c r="R85" s="1495"/>
    </row>
    <row r="86" spans="1:18">
      <c r="A86" s="1612"/>
      <c r="B86" s="1612"/>
      <c r="C86" s="1495"/>
      <c r="D86" s="1495"/>
      <c r="E86" s="1495"/>
      <c r="F86" s="1495"/>
      <c r="G86" s="1495"/>
      <c r="H86" s="1495"/>
      <c r="I86" s="1495"/>
      <c r="J86" s="1495"/>
      <c r="K86" s="1495"/>
      <c r="L86" s="1495"/>
      <c r="M86" s="1495"/>
      <c r="N86" s="1495"/>
      <c r="O86" s="1495"/>
      <c r="P86" s="1495"/>
      <c r="Q86" s="1495"/>
      <c r="R86" s="1495"/>
    </row>
    <row r="87" spans="1:18">
      <c r="A87" s="1495"/>
      <c r="B87" s="1612"/>
      <c r="C87" s="1495"/>
      <c r="D87" s="1495"/>
      <c r="E87" s="1495"/>
      <c r="F87" s="1495"/>
      <c r="G87" s="1495"/>
      <c r="H87" s="1495"/>
      <c r="I87" s="1495"/>
      <c r="J87" s="1495"/>
      <c r="K87" s="1495"/>
      <c r="L87" s="1495"/>
      <c r="M87" s="1495"/>
      <c r="N87" s="1495"/>
      <c r="O87" s="1495"/>
      <c r="P87" s="1495"/>
      <c r="Q87" s="1495"/>
      <c r="R87" s="1495"/>
    </row>
    <row r="88" spans="1:18">
      <c r="A88" s="1612"/>
      <c r="B88" s="1612"/>
      <c r="C88" s="1495"/>
      <c r="D88" s="1495"/>
      <c r="E88" s="1495"/>
      <c r="F88" s="1495"/>
      <c r="G88" s="1495"/>
      <c r="H88" s="1495"/>
      <c r="I88" s="1495"/>
      <c r="J88" s="1495"/>
      <c r="K88" s="1495"/>
      <c r="L88" s="1495"/>
      <c r="M88" s="1495"/>
      <c r="N88" s="1495"/>
      <c r="O88" s="1495"/>
      <c r="P88" s="1495"/>
      <c r="Q88" s="1495"/>
      <c r="R88" s="1495"/>
    </row>
    <row r="89" spans="1:18">
      <c r="A89" s="1612"/>
      <c r="B89" s="1612"/>
      <c r="C89" s="1495"/>
      <c r="D89" s="1495"/>
      <c r="E89" s="1495"/>
      <c r="F89" s="1495"/>
      <c r="G89" s="1495"/>
      <c r="H89" s="1495"/>
      <c r="I89" s="1495"/>
      <c r="J89" s="1495"/>
      <c r="K89" s="1495"/>
      <c r="L89" s="1495"/>
      <c r="M89" s="1495"/>
      <c r="N89" s="1495"/>
      <c r="O89" s="1495"/>
      <c r="P89" s="1495"/>
      <c r="Q89" s="1495"/>
      <c r="R89" s="1495"/>
    </row>
    <row r="90" spans="1:18">
      <c r="A90" s="1612"/>
      <c r="B90" s="1612"/>
      <c r="C90" s="1495"/>
      <c r="D90" s="1495"/>
      <c r="E90" s="1495"/>
      <c r="F90" s="1495"/>
      <c r="G90" s="1495"/>
      <c r="H90" s="1495"/>
      <c r="I90" s="1495"/>
      <c r="J90" s="1495"/>
      <c r="K90" s="1495"/>
      <c r="L90" s="1495"/>
      <c r="M90" s="1495"/>
      <c r="N90" s="1495"/>
      <c r="O90" s="1495"/>
      <c r="P90" s="1495"/>
      <c r="Q90" s="1495"/>
      <c r="R90" s="1495"/>
    </row>
    <row r="91" spans="1:18">
      <c r="A91" s="1612"/>
      <c r="B91" s="1612"/>
      <c r="C91" s="1495"/>
      <c r="D91" s="1495"/>
      <c r="E91" s="1495"/>
      <c r="F91" s="1495"/>
      <c r="G91" s="1495"/>
      <c r="H91" s="1495"/>
      <c r="I91" s="1495"/>
      <c r="J91" s="1495"/>
      <c r="K91" s="1495"/>
      <c r="L91" s="1495"/>
      <c r="M91" s="1495"/>
      <c r="N91" s="1495"/>
      <c r="O91" s="1495"/>
      <c r="P91" s="1495"/>
      <c r="Q91" s="1495"/>
      <c r="R91" s="1495"/>
    </row>
    <row r="92" spans="1:18">
      <c r="A92" s="1495"/>
      <c r="B92" s="1495"/>
      <c r="C92" s="1495"/>
      <c r="D92" s="1495"/>
      <c r="E92" s="1495"/>
      <c r="F92" s="1495"/>
      <c r="G92" s="1495"/>
      <c r="H92" s="1495"/>
      <c r="I92" s="1495"/>
      <c r="J92" s="1495"/>
      <c r="K92" s="1495"/>
      <c r="L92" s="1495"/>
      <c r="M92" s="1495"/>
      <c r="N92" s="1495"/>
      <c r="O92" s="1495"/>
      <c r="P92" s="1495"/>
      <c r="Q92" s="1495"/>
      <c r="R92" s="1495"/>
    </row>
    <row r="93" spans="1:18">
      <c r="A93" s="1495"/>
      <c r="B93" s="1495"/>
      <c r="C93" s="1495"/>
      <c r="D93" s="1495"/>
      <c r="E93" s="1495"/>
      <c r="F93" s="1495"/>
      <c r="G93" s="1495"/>
      <c r="H93" s="1495"/>
      <c r="I93" s="1495"/>
      <c r="J93" s="1495"/>
      <c r="K93" s="1495"/>
      <c r="L93" s="1495"/>
      <c r="M93" s="1495"/>
      <c r="N93" s="1495"/>
      <c r="O93" s="1495"/>
      <c r="P93" s="1495"/>
      <c r="Q93" s="1495"/>
      <c r="R93" s="1495"/>
    </row>
    <row r="94" spans="1:18">
      <c r="A94" s="1495"/>
      <c r="B94" s="1495"/>
      <c r="C94" s="1495"/>
      <c r="D94" s="1495"/>
      <c r="E94" s="1495"/>
      <c r="F94" s="1495"/>
      <c r="G94" s="1495"/>
      <c r="H94" s="1495"/>
      <c r="I94" s="1495"/>
      <c r="J94" s="1495"/>
      <c r="K94" s="1495"/>
      <c r="L94" s="1495"/>
      <c r="M94" s="1495"/>
      <c r="N94" s="1495"/>
      <c r="O94" s="1495"/>
      <c r="P94" s="1495"/>
      <c r="Q94" s="1495"/>
      <c r="R94" s="1495"/>
    </row>
    <row r="95" spans="1:18">
      <c r="A95" s="1495"/>
      <c r="B95" s="1495"/>
      <c r="C95" s="1495"/>
      <c r="D95" s="1495"/>
      <c r="E95" s="1495"/>
      <c r="F95" s="1495"/>
      <c r="G95" s="1495"/>
      <c r="H95" s="1495"/>
      <c r="I95" s="1495"/>
      <c r="J95" s="1495"/>
      <c r="K95" s="1495"/>
      <c r="L95" s="1495"/>
      <c r="M95" s="1495"/>
      <c r="N95" s="1495"/>
      <c r="O95" s="1495"/>
      <c r="P95" s="1495"/>
      <c r="Q95" s="1495"/>
      <c r="R95" s="1495"/>
    </row>
    <row r="96" spans="1:18">
      <c r="A96" s="1495"/>
      <c r="B96" s="1495"/>
      <c r="C96" s="1495"/>
      <c r="D96" s="1495"/>
      <c r="E96" s="1495"/>
      <c r="F96" s="1495"/>
      <c r="G96" s="1495"/>
      <c r="H96" s="1495"/>
      <c r="I96" s="1495"/>
      <c r="J96" s="1495"/>
      <c r="K96" s="1495"/>
      <c r="L96" s="1495"/>
      <c r="M96" s="1495"/>
      <c r="N96" s="1495"/>
      <c r="O96" s="1495"/>
      <c r="P96" s="1495"/>
      <c r="Q96" s="1495"/>
      <c r="R96" s="1495"/>
    </row>
    <row r="97" spans="1:18">
      <c r="A97" s="1495"/>
      <c r="B97" s="1495"/>
      <c r="C97" s="1495"/>
      <c r="D97" s="1495"/>
      <c r="E97" s="1495"/>
      <c r="F97" s="1495"/>
      <c r="G97" s="1495"/>
      <c r="H97" s="1495"/>
      <c r="I97" s="1495"/>
      <c r="J97" s="1495"/>
      <c r="K97" s="1495"/>
      <c r="L97" s="1495"/>
      <c r="M97" s="1495"/>
      <c r="N97" s="1495"/>
      <c r="O97" s="1495"/>
      <c r="P97" s="1495"/>
      <c r="Q97" s="1495"/>
      <c r="R97" s="1495"/>
    </row>
    <row r="98" spans="1:18">
      <c r="A98" s="1495"/>
      <c r="B98" s="1495"/>
      <c r="C98" s="1495"/>
      <c r="D98" s="1495"/>
      <c r="E98" s="1495"/>
      <c r="F98" s="1495"/>
      <c r="G98" s="1495"/>
      <c r="H98" s="1495"/>
      <c r="I98" s="1495"/>
      <c r="J98" s="1495"/>
      <c r="K98" s="1495"/>
      <c r="L98" s="1495"/>
      <c r="M98" s="1495"/>
      <c r="N98" s="1495"/>
      <c r="O98" s="1495"/>
      <c r="P98" s="1495"/>
      <c r="Q98" s="1495"/>
      <c r="R98" s="1495"/>
    </row>
    <row r="99" spans="1:18">
      <c r="A99" s="1495"/>
      <c r="B99" s="1495"/>
      <c r="C99" s="1495"/>
      <c r="D99" s="1495"/>
      <c r="E99" s="1495"/>
      <c r="F99" s="1495"/>
      <c r="G99" s="1495"/>
      <c r="H99" s="1495"/>
      <c r="I99" s="1495"/>
      <c r="J99" s="1495"/>
      <c r="K99" s="1495"/>
      <c r="L99" s="1495"/>
      <c r="M99" s="1495"/>
      <c r="N99" s="1495"/>
      <c r="O99" s="1495"/>
      <c r="P99" s="1495"/>
      <c r="Q99" s="1495"/>
      <c r="R99" s="1495"/>
    </row>
    <row r="100" spans="1:18">
      <c r="A100" s="1495"/>
      <c r="B100" s="1495"/>
      <c r="C100" s="1495"/>
      <c r="D100" s="1495"/>
      <c r="E100" s="1495"/>
      <c r="F100" s="1495"/>
      <c r="G100" s="1495"/>
      <c r="H100" s="1495"/>
      <c r="I100" s="1495"/>
      <c r="J100" s="1495"/>
      <c r="K100" s="1495"/>
      <c r="L100" s="1495"/>
      <c r="M100" s="1495"/>
      <c r="N100" s="1495"/>
      <c r="O100" s="1495"/>
      <c r="P100" s="1495"/>
      <c r="Q100" s="1495"/>
      <c r="R100" s="1495"/>
    </row>
    <row r="101" spans="1:18">
      <c r="A101" s="1495"/>
      <c r="B101" s="1495"/>
      <c r="C101" s="1495"/>
      <c r="D101" s="1495"/>
      <c r="E101" s="1495"/>
      <c r="F101" s="1495"/>
      <c r="G101" s="1495"/>
      <c r="H101" s="1495"/>
      <c r="I101" s="1495"/>
      <c r="J101" s="1495"/>
      <c r="K101" s="1495"/>
      <c r="L101" s="1495"/>
      <c r="M101" s="1495"/>
      <c r="N101" s="1495"/>
      <c r="O101" s="1495"/>
      <c r="P101" s="1495"/>
      <c r="Q101" s="1495"/>
      <c r="R101" s="1495"/>
    </row>
    <row r="102" spans="1:18">
      <c r="A102" s="1495"/>
      <c r="B102" s="1495"/>
      <c r="C102" s="1495"/>
      <c r="D102" s="1495"/>
      <c r="E102" s="1495"/>
      <c r="F102" s="1495"/>
      <c r="G102" s="1495"/>
      <c r="H102" s="1495"/>
      <c r="I102" s="1495"/>
      <c r="J102" s="1495"/>
      <c r="K102" s="1495"/>
      <c r="L102" s="1495"/>
      <c r="M102" s="1495"/>
      <c r="N102" s="1495"/>
      <c r="O102" s="1495"/>
      <c r="P102" s="1495"/>
      <c r="Q102" s="1495"/>
      <c r="R102" s="1495"/>
    </row>
    <row r="103" spans="1:18">
      <c r="A103" s="1495"/>
      <c r="B103" s="1495"/>
      <c r="C103" s="1495"/>
      <c r="D103" s="1495"/>
      <c r="E103" s="1495"/>
      <c r="F103" s="1495"/>
      <c r="G103" s="1495"/>
      <c r="H103" s="1495"/>
      <c r="I103" s="1495"/>
      <c r="J103" s="1495"/>
      <c r="K103" s="1495"/>
      <c r="L103" s="1495"/>
      <c r="M103" s="1495"/>
      <c r="N103" s="1495"/>
      <c r="O103" s="1495"/>
      <c r="P103" s="1495"/>
      <c r="Q103" s="1495"/>
      <c r="R103" s="1495"/>
    </row>
    <row r="104" spans="1:18">
      <c r="A104" s="1495"/>
      <c r="B104" s="1495"/>
      <c r="C104" s="1495"/>
      <c r="D104" s="1495"/>
      <c r="E104" s="1495"/>
      <c r="F104" s="1495"/>
      <c r="G104" s="1495"/>
      <c r="H104" s="1495"/>
      <c r="I104" s="1495"/>
      <c r="J104" s="1495"/>
      <c r="K104" s="1495"/>
      <c r="L104" s="1495"/>
      <c r="M104" s="1495"/>
      <c r="N104" s="1495"/>
      <c r="O104" s="1495"/>
      <c r="P104" s="1495"/>
      <c r="Q104" s="1495"/>
      <c r="R104" s="1495"/>
    </row>
    <row r="105" spans="1:18">
      <c r="A105" s="1495"/>
      <c r="B105" s="1495"/>
      <c r="C105" s="1495"/>
      <c r="D105" s="1495"/>
      <c r="E105" s="1495"/>
      <c r="F105" s="1495"/>
      <c r="G105" s="1495"/>
      <c r="H105" s="1495"/>
      <c r="I105" s="1495"/>
      <c r="J105" s="1495"/>
      <c r="K105" s="1495"/>
      <c r="L105" s="1495"/>
      <c r="M105" s="1495"/>
      <c r="N105" s="1495"/>
      <c r="O105" s="1495"/>
      <c r="P105" s="1495"/>
      <c r="Q105" s="1495"/>
      <c r="R105" s="1495"/>
    </row>
    <row r="106" spans="1:18">
      <c r="A106" s="1495"/>
      <c r="B106" s="1495"/>
      <c r="C106" s="1495"/>
      <c r="D106" s="1495"/>
      <c r="E106" s="1495"/>
      <c r="F106" s="1495"/>
      <c r="G106" s="1495"/>
      <c r="H106" s="1495"/>
      <c r="I106" s="1495"/>
      <c r="J106" s="1495"/>
      <c r="K106" s="1495"/>
      <c r="L106" s="1495"/>
      <c r="M106" s="1495"/>
      <c r="N106" s="1495"/>
      <c r="O106" s="1495"/>
      <c r="P106" s="1495"/>
      <c r="Q106" s="1495"/>
      <c r="R106" s="1495"/>
    </row>
    <row r="107" spans="1:18">
      <c r="A107" s="1495"/>
      <c r="B107" s="1495"/>
      <c r="C107" s="1495"/>
      <c r="D107" s="1495"/>
      <c r="E107" s="1495"/>
      <c r="F107" s="1495"/>
      <c r="G107" s="1495"/>
      <c r="H107" s="1495"/>
      <c r="I107" s="1495"/>
      <c r="J107" s="1495"/>
      <c r="K107" s="1495"/>
      <c r="L107" s="1495"/>
      <c r="M107" s="1495"/>
      <c r="N107" s="1495"/>
      <c r="O107" s="1495"/>
      <c r="P107" s="1495"/>
      <c r="Q107" s="1495"/>
      <c r="R107" s="1495"/>
    </row>
    <row r="108" spans="1:18">
      <c r="A108" s="1495"/>
      <c r="B108" s="1495"/>
      <c r="C108" s="1495"/>
      <c r="D108" s="1495"/>
      <c r="E108" s="1495"/>
      <c r="F108" s="1495"/>
      <c r="G108" s="1495"/>
      <c r="H108" s="1495"/>
      <c r="I108" s="1495"/>
      <c r="J108" s="1495"/>
      <c r="K108" s="1495"/>
      <c r="L108" s="1495"/>
      <c r="M108" s="1495"/>
      <c r="N108" s="1495"/>
      <c r="O108" s="1495"/>
      <c r="P108" s="1495"/>
      <c r="Q108" s="1495"/>
      <c r="R108" s="1495"/>
    </row>
    <row r="109" spans="1:18">
      <c r="A109" s="1495"/>
      <c r="B109" s="1495"/>
      <c r="C109" s="1495"/>
      <c r="D109" s="1495"/>
      <c r="E109" s="1495"/>
      <c r="F109" s="1495"/>
      <c r="G109" s="1495"/>
      <c r="H109" s="1495"/>
      <c r="I109" s="1495"/>
      <c r="J109" s="1495"/>
      <c r="K109" s="1495"/>
      <c r="L109" s="1495"/>
      <c r="M109" s="1495"/>
      <c r="N109" s="1495"/>
      <c r="O109" s="1495"/>
      <c r="P109" s="1495"/>
      <c r="Q109" s="1495"/>
      <c r="R109" s="1495"/>
    </row>
    <row r="110" spans="1:18">
      <c r="A110" s="1495"/>
      <c r="B110" s="1495"/>
      <c r="C110" s="1495"/>
      <c r="D110" s="1495"/>
      <c r="E110" s="1495"/>
      <c r="F110" s="1495"/>
      <c r="G110" s="1495"/>
      <c r="H110" s="1495"/>
      <c r="I110" s="1495"/>
      <c r="J110" s="1495"/>
      <c r="K110" s="1495"/>
      <c r="L110" s="1495"/>
      <c r="M110" s="1495"/>
      <c r="N110" s="1495"/>
      <c r="O110" s="1495"/>
      <c r="P110" s="1495"/>
      <c r="Q110" s="1495"/>
      <c r="R110" s="1495"/>
    </row>
    <row r="111" spans="1:18">
      <c r="A111" s="1495"/>
      <c r="B111" s="1495"/>
      <c r="C111" s="1495"/>
      <c r="D111" s="1495"/>
      <c r="E111" s="1495"/>
      <c r="F111" s="1495"/>
      <c r="G111" s="1495"/>
      <c r="H111" s="1495"/>
      <c r="I111" s="1495"/>
      <c r="J111" s="1495"/>
      <c r="K111" s="1495"/>
      <c r="L111" s="1495"/>
      <c r="M111" s="1495"/>
      <c r="N111" s="1495"/>
      <c r="O111" s="1495"/>
      <c r="P111" s="1495"/>
      <c r="Q111" s="1495"/>
      <c r="R111" s="1495"/>
    </row>
    <row r="112" spans="1:18">
      <c r="A112" s="1495"/>
      <c r="B112" s="1495"/>
      <c r="C112" s="1495"/>
      <c r="D112" s="1495"/>
      <c r="E112" s="1495"/>
      <c r="F112" s="1495"/>
      <c r="G112" s="1495"/>
      <c r="H112" s="1495"/>
      <c r="I112" s="1495"/>
      <c r="J112" s="1495"/>
      <c r="K112" s="1495"/>
      <c r="L112" s="1495"/>
      <c r="M112" s="1495"/>
      <c r="N112" s="1495"/>
      <c r="O112" s="1495"/>
      <c r="P112" s="1495"/>
      <c r="Q112" s="1495"/>
      <c r="R112" s="1495"/>
    </row>
    <row r="113" spans="1:18">
      <c r="A113" s="1495"/>
      <c r="B113" s="1495"/>
      <c r="C113" s="1495"/>
      <c r="D113" s="1495"/>
      <c r="E113" s="1495"/>
      <c r="F113" s="1495"/>
      <c r="G113" s="1495"/>
      <c r="H113" s="1495"/>
      <c r="I113" s="1495"/>
      <c r="J113" s="1495"/>
      <c r="K113" s="1495"/>
      <c r="L113" s="1495"/>
      <c r="M113" s="1495"/>
      <c r="N113" s="1495"/>
      <c r="O113" s="1495"/>
      <c r="P113" s="1495"/>
      <c r="Q113" s="1495"/>
      <c r="R113" s="1495"/>
    </row>
    <row r="114" spans="1:18">
      <c r="A114" s="1495"/>
      <c r="B114" s="1495"/>
      <c r="C114" s="1495"/>
      <c r="D114" s="1495"/>
      <c r="E114" s="1495"/>
      <c r="F114" s="1495"/>
      <c r="G114" s="1495"/>
      <c r="H114" s="1495"/>
      <c r="I114" s="1495"/>
      <c r="J114" s="1495"/>
      <c r="K114" s="1495"/>
      <c r="L114" s="1495"/>
      <c r="M114" s="1495"/>
      <c r="N114" s="1495"/>
      <c r="O114" s="1495"/>
      <c r="P114" s="1495"/>
      <c r="Q114" s="1495"/>
      <c r="R114" s="1495"/>
    </row>
  </sheetData>
  <phoneticPr fontId="90" type="noConversion"/>
  <pageMargins left="0.35" right="0.23" top="0.59055118110236227" bottom="0.35433070866141736" header="0.23622047244094491" footer="0.19685039370078741"/>
  <pageSetup paperSize="9" scale="74" orientation="landscape" cellComments="asDisplayed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3E5A-2621-3C43-92AD-BD59ECA3DF6E}">
  <sheetPr>
    <pageSetUpPr fitToPage="1"/>
  </sheetPr>
  <dimension ref="A1:AJ86"/>
  <sheetViews>
    <sheetView zoomScale="75" workbookViewId="0">
      <selection activeCell="B2" sqref="B2"/>
    </sheetView>
  </sheetViews>
  <sheetFormatPr baseColWidth="10" defaultColWidth="10.19921875" defaultRowHeight="13"/>
  <cols>
    <col min="1" max="1" width="3.796875" style="1372" customWidth="1"/>
    <col min="2" max="2" width="45" style="1372" customWidth="1"/>
    <col min="3" max="3" width="0.3984375" style="1372" customWidth="1"/>
    <col min="4" max="4" width="9.796875" style="1372" hidden="1" customWidth="1"/>
    <col min="5" max="11" width="9.796875" style="1372" customWidth="1"/>
    <col min="12" max="12" width="10.3984375" style="1372" customWidth="1"/>
    <col min="13" max="13" width="9.796875" style="1372" customWidth="1"/>
    <col min="14" max="14" width="10.3984375" style="1372" customWidth="1"/>
    <col min="15" max="15" width="3.19921875" style="1372" customWidth="1"/>
    <col min="16" max="16" width="11" style="1372" customWidth="1"/>
    <col min="17" max="17" width="11.3984375" style="1372" customWidth="1"/>
    <col min="18" max="18" width="3.19921875" style="1372" customWidth="1"/>
    <col min="19" max="19" width="11.796875" style="1372" customWidth="1"/>
    <col min="20" max="16384" width="10.19921875" style="1372"/>
  </cols>
  <sheetData>
    <row r="1" spans="1:36" ht="18">
      <c r="A1" s="1370" t="s">
        <v>376</v>
      </c>
      <c r="B1" s="1371"/>
      <c r="C1" s="1371"/>
      <c r="D1" s="1371"/>
      <c r="E1" s="1371"/>
      <c r="F1" s="1371"/>
      <c r="G1" s="1371"/>
      <c r="H1" s="1371"/>
      <c r="I1" s="1371"/>
      <c r="J1" s="1371"/>
      <c r="K1" s="1371"/>
      <c r="L1" s="1371"/>
      <c r="M1" s="1371"/>
      <c r="N1" s="1371"/>
      <c r="O1" s="1371"/>
      <c r="P1" s="1371"/>
      <c r="Q1" s="1371"/>
      <c r="R1" s="1371"/>
      <c r="W1" s="1373"/>
      <c r="AC1" s="1373"/>
    </row>
    <row r="2" spans="1:36" ht="14" thickBot="1">
      <c r="A2" s="1374"/>
      <c r="B2" s="1374"/>
      <c r="C2" s="1374"/>
      <c r="D2" s="1374"/>
      <c r="E2" s="1374"/>
      <c r="F2" s="1374"/>
      <c r="G2" s="1374"/>
      <c r="H2" s="1374"/>
      <c r="I2" s="1374"/>
      <c r="J2" s="1374"/>
      <c r="K2" s="1374"/>
      <c r="L2" s="1374"/>
      <c r="M2" s="1374"/>
      <c r="N2" s="1374"/>
      <c r="O2" s="1374"/>
      <c r="P2" s="1374"/>
      <c r="Q2" s="1374"/>
      <c r="R2" s="1374"/>
      <c r="S2" s="1375"/>
    </row>
    <row r="3" spans="1:36" s="1384" customFormat="1" ht="10.5" customHeight="1">
      <c r="A3" s="1376"/>
      <c r="B3" s="1376"/>
      <c r="C3" s="1377"/>
      <c r="D3" s="1376"/>
      <c r="E3" s="1377"/>
      <c r="F3" s="1376"/>
      <c r="G3" s="1377"/>
      <c r="H3" s="1376"/>
      <c r="I3" s="1377"/>
      <c r="J3" s="1376"/>
      <c r="K3" s="1377"/>
      <c r="L3" s="1376"/>
      <c r="M3" s="1377"/>
      <c r="N3" s="1376"/>
      <c r="O3" s="1378"/>
      <c r="P3" s="1379"/>
      <c r="Q3" s="1380"/>
      <c r="R3" s="1381"/>
      <c r="S3" s="1377"/>
      <c r="T3" s="1372"/>
      <c r="U3" s="1382"/>
      <c r="V3" s="1382"/>
      <c r="W3" s="1382"/>
      <c r="X3" s="1382"/>
      <c r="Y3" s="1383"/>
      <c r="Z3" s="1383"/>
      <c r="AA3" s="1383"/>
      <c r="AB3" s="1383"/>
      <c r="AE3" s="1385"/>
      <c r="AF3" s="1385"/>
      <c r="AG3" s="1385"/>
      <c r="AH3" s="1385"/>
    </row>
    <row r="4" spans="1:36" ht="13.5" customHeight="1">
      <c r="A4" s="1386" t="s">
        <v>281</v>
      </c>
      <c r="B4" s="1387"/>
      <c r="C4" s="1388">
        <v>1996</v>
      </c>
      <c r="D4" s="1389">
        <v>1997</v>
      </c>
      <c r="E4" s="1388">
        <v>1998</v>
      </c>
      <c r="F4" s="1389">
        <v>1999</v>
      </c>
      <c r="G4" s="1388">
        <v>2000</v>
      </c>
      <c r="H4" s="1389">
        <v>2001</v>
      </c>
      <c r="I4" s="1388">
        <v>2002</v>
      </c>
      <c r="J4" s="1389">
        <v>2003</v>
      </c>
      <c r="K4" s="1388">
        <v>2004</v>
      </c>
      <c r="L4" s="1389">
        <v>2005</v>
      </c>
      <c r="M4" s="1388">
        <v>2006</v>
      </c>
      <c r="N4" s="1389">
        <v>2007</v>
      </c>
      <c r="O4" s="1390"/>
      <c r="P4" s="1379" t="s">
        <v>2372</v>
      </c>
      <c r="Q4" s="1380" t="s">
        <v>282</v>
      </c>
      <c r="R4" s="1381"/>
      <c r="S4" s="1391" t="s">
        <v>283</v>
      </c>
      <c r="U4" s="1382"/>
      <c r="V4" s="1382"/>
      <c r="W4" s="1382"/>
      <c r="X4" s="1382"/>
      <c r="Y4" s="1392"/>
      <c r="Z4" s="1392"/>
      <c r="AA4" s="1392"/>
      <c r="AB4" s="1392"/>
      <c r="AE4" s="1385"/>
      <c r="AF4" s="1385"/>
      <c r="AG4" s="1385"/>
      <c r="AH4" s="1385"/>
    </row>
    <row r="5" spans="1:36" ht="15.75" customHeight="1">
      <c r="A5" s="1386" t="s">
        <v>284</v>
      </c>
      <c r="B5" s="1393"/>
      <c r="C5" s="1394"/>
      <c r="D5" s="1395"/>
      <c r="E5" s="1394"/>
      <c r="F5" s="1395"/>
      <c r="G5" s="1394"/>
      <c r="H5" s="1395"/>
      <c r="I5" s="1394"/>
      <c r="J5" s="1395"/>
      <c r="K5" s="1394"/>
      <c r="L5" s="1395"/>
      <c r="M5" s="1394"/>
      <c r="N5" s="1395"/>
      <c r="O5" s="1396"/>
      <c r="P5" s="1379" t="s">
        <v>1641</v>
      </c>
      <c r="Q5" s="1380" t="s">
        <v>285</v>
      </c>
      <c r="R5" s="1381"/>
      <c r="S5" s="1391" t="s">
        <v>291</v>
      </c>
      <c r="U5" s="1382"/>
      <c r="V5" s="1382"/>
      <c r="W5" s="1382"/>
      <c r="X5" s="1382"/>
      <c r="Y5" s="1392"/>
      <c r="Z5" s="1392"/>
      <c r="AA5" s="1392"/>
      <c r="AB5" s="1392"/>
      <c r="AE5" s="1385"/>
      <c r="AF5" s="1385"/>
      <c r="AG5" s="1385"/>
      <c r="AH5" s="1385"/>
    </row>
    <row r="6" spans="1:36" ht="14.25" customHeight="1">
      <c r="A6" s="1397"/>
      <c r="B6" s="1397"/>
      <c r="C6" s="1398"/>
      <c r="D6" s="1399"/>
      <c r="E6" s="1398"/>
      <c r="F6" s="1399"/>
      <c r="G6" s="1398"/>
      <c r="H6" s="1399"/>
      <c r="I6" s="1398"/>
      <c r="J6" s="1399"/>
      <c r="K6" s="1398"/>
      <c r="L6" s="1399"/>
      <c r="M6" s="1398"/>
      <c r="N6" s="1399"/>
      <c r="O6" s="1400"/>
      <c r="P6" s="1401"/>
      <c r="Q6" s="1402" t="s">
        <v>1820</v>
      </c>
      <c r="R6" s="1403"/>
      <c r="S6" s="1398"/>
      <c r="U6" s="1382"/>
      <c r="V6" s="1382"/>
      <c r="W6" s="1382"/>
      <c r="X6" s="1382"/>
      <c r="Y6" s="1404"/>
      <c r="Z6" s="1404"/>
      <c r="AA6" s="1404"/>
      <c r="AB6" s="1404"/>
      <c r="AE6" s="1404"/>
      <c r="AF6" s="1404"/>
      <c r="AG6" s="1404"/>
      <c r="AH6" s="1404"/>
    </row>
    <row r="7" spans="1:36">
      <c r="A7" s="1405"/>
      <c r="B7" s="1406"/>
      <c r="C7" s="1407"/>
      <c r="D7" s="1406"/>
      <c r="E7" s="1407"/>
      <c r="F7" s="1406"/>
      <c r="G7" s="1407"/>
      <c r="H7" s="1406"/>
      <c r="I7" s="1407"/>
      <c r="J7" s="1406"/>
      <c r="K7" s="1407"/>
      <c r="L7" s="1406"/>
      <c r="M7" s="1407"/>
      <c r="N7" s="1406"/>
      <c r="O7" s="1408"/>
      <c r="P7" s="1407"/>
      <c r="Q7" s="1409" t="s">
        <v>1642</v>
      </c>
      <c r="R7" s="1410"/>
      <c r="S7" s="1407"/>
      <c r="U7" s="1382"/>
      <c r="V7" s="1382"/>
      <c r="W7" s="1382"/>
      <c r="X7" s="1382"/>
      <c r="Y7" s="1392"/>
      <c r="Z7" s="1392"/>
      <c r="AA7" s="1392"/>
      <c r="AB7" s="1392"/>
      <c r="AE7" s="1385"/>
      <c r="AF7" s="1385"/>
      <c r="AG7" s="1385"/>
      <c r="AH7" s="1385"/>
    </row>
    <row r="8" spans="1:36" ht="18" customHeight="1" thickBot="1">
      <c r="A8" s="1411" t="s">
        <v>292</v>
      </c>
      <c r="B8" s="1412"/>
      <c r="C8" s="1413">
        <v>5976.68608119694</v>
      </c>
      <c r="D8" s="1414">
        <v>5920.5324887865727</v>
      </c>
      <c r="E8" s="1413">
        <v>5989.0401962979158</v>
      </c>
      <c r="F8" s="1414">
        <v>6272.8466257392192</v>
      </c>
      <c r="G8" s="1413">
        <v>6460.9578237170608</v>
      </c>
      <c r="H8" s="1414">
        <v>7635.1420777467765</v>
      </c>
      <c r="I8" s="1413">
        <v>8429.5101560943567</v>
      </c>
      <c r="J8" s="1414">
        <v>8778.10319716105</v>
      </c>
      <c r="K8" s="1413">
        <v>8632.7243530636424</v>
      </c>
      <c r="L8" s="1414">
        <v>8704.8174529394601</v>
      </c>
      <c r="M8" s="1413">
        <v>8536.5423231378227</v>
      </c>
      <c r="N8" s="1414">
        <v>8960.8447878915576</v>
      </c>
      <c r="O8" s="1415"/>
      <c r="P8" s="1416">
        <v>4.9704253630147965E-2</v>
      </c>
      <c r="Q8" s="1417">
        <v>4.5787689497094775E-2</v>
      </c>
      <c r="R8" s="1418"/>
      <c r="S8" s="1419">
        <v>9429.1</v>
      </c>
      <c r="U8" s="1382"/>
      <c r="V8" s="1382"/>
      <c r="W8" s="1382"/>
      <c r="X8" s="1382"/>
      <c r="AE8" s="1385"/>
      <c r="AF8" s="1385"/>
      <c r="AG8" s="1385"/>
      <c r="AH8" s="1385"/>
    </row>
    <row r="9" spans="1:36" s="1429" customFormat="1" ht="14" thickBot="1">
      <c r="A9" s="1420"/>
      <c r="B9" s="1421"/>
      <c r="C9" s="1422"/>
      <c r="D9" s="1423"/>
      <c r="E9" s="1422"/>
      <c r="F9" s="1423"/>
      <c r="G9" s="1422"/>
      <c r="H9" s="1423"/>
      <c r="I9" s="1422"/>
      <c r="J9" s="1423"/>
      <c r="K9" s="1422"/>
      <c r="L9" s="1423"/>
      <c r="M9" s="1422"/>
      <c r="N9" s="1423"/>
      <c r="O9" s="1424"/>
      <c r="P9" s="1425"/>
      <c r="Q9" s="1426"/>
      <c r="R9" s="1427"/>
      <c r="S9" s="1428"/>
    </row>
    <row r="10" spans="1:36" s="1429" customFormat="1" ht="16.5" customHeight="1" thickBot="1">
      <c r="A10" s="1430" t="s">
        <v>293</v>
      </c>
      <c r="B10" s="1420"/>
      <c r="C10" s="1431">
        <v>2694.5104040117299</v>
      </c>
      <c r="D10" s="1432">
        <v>2815.7448411451096</v>
      </c>
      <c r="E10" s="1431">
        <v>2973.2056398412365</v>
      </c>
      <c r="F10" s="1432">
        <v>3109.7236465190003</v>
      </c>
      <c r="G10" s="1431">
        <v>3228.4015641373426</v>
      </c>
      <c r="H10" s="1432">
        <v>3420.9561673120697</v>
      </c>
      <c r="I10" s="1431">
        <v>3447.3545767100568</v>
      </c>
      <c r="J10" s="1432">
        <v>3663.0755838507671</v>
      </c>
      <c r="K10" s="1431">
        <v>3771.1797269619269</v>
      </c>
      <c r="L10" s="1432">
        <v>3968.7366137610011</v>
      </c>
      <c r="M10" s="1431">
        <v>4049.5170354256738</v>
      </c>
      <c r="N10" s="1432">
        <v>4185.9254439417819</v>
      </c>
      <c r="O10" s="1433"/>
      <c r="P10" s="1434">
        <v>3.368510548857806E-2</v>
      </c>
      <c r="Q10" s="1435">
        <v>3.8741285801893621E-2</v>
      </c>
      <c r="R10" s="1436"/>
      <c r="S10" s="1437">
        <v>4326.9287840882835</v>
      </c>
    </row>
    <row r="11" spans="1:36" ht="14" thickBot="1">
      <c r="A11" s="1420"/>
      <c r="B11" s="1438"/>
      <c r="C11" s="1422"/>
      <c r="D11" s="1423"/>
      <c r="E11" s="1422"/>
      <c r="F11" s="1423"/>
      <c r="G11" s="1422"/>
      <c r="H11" s="1423"/>
      <c r="I11" s="1422"/>
      <c r="J11" s="1423"/>
      <c r="K11" s="1422"/>
      <c r="L11" s="1423"/>
      <c r="M11" s="1422"/>
      <c r="N11" s="1423"/>
      <c r="O11" s="1424"/>
      <c r="P11" s="1425"/>
      <c r="Q11" s="1426"/>
      <c r="R11" s="1427"/>
      <c r="S11" s="1428"/>
    </row>
    <row r="12" spans="1:36" s="1429" customFormat="1" ht="14" thickBot="1">
      <c r="A12" s="1430" t="s">
        <v>286</v>
      </c>
      <c r="B12" s="1420"/>
      <c r="C12" s="1431">
        <v>944.7</v>
      </c>
      <c r="D12" s="1432">
        <v>937.8</v>
      </c>
      <c r="E12" s="1431">
        <v>1007</v>
      </c>
      <c r="F12" s="1432">
        <v>1143.9000000000001</v>
      </c>
      <c r="G12" s="1431">
        <v>1192.9000000000001</v>
      </c>
      <c r="H12" s="1432">
        <v>1166</v>
      </c>
      <c r="I12" s="1431">
        <v>1214.2</v>
      </c>
      <c r="J12" s="1432">
        <v>1307.4000000000001</v>
      </c>
      <c r="K12" s="1431">
        <v>1524.9</v>
      </c>
      <c r="L12" s="1432">
        <v>1662.8002309999999</v>
      </c>
      <c r="M12" s="1431">
        <v>1703.226242</v>
      </c>
      <c r="N12" s="1432">
        <v>1746.5387489999998</v>
      </c>
      <c r="O12" s="1433"/>
      <c r="P12" s="1434">
        <v>2.5429685106977074E-2</v>
      </c>
      <c r="Q12" s="1435">
        <v>6.3095020348429509E-2</v>
      </c>
      <c r="R12" s="1436"/>
      <c r="S12" s="1437">
        <v>1857.6840227039816</v>
      </c>
    </row>
    <row r="13" spans="1:36" s="1429" customFormat="1" ht="15.75" customHeight="1" thickBot="1">
      <c r="A13" s="1439" t="s">
        <v>294</v>
      </c>
      <c r="B13" s="1420"/>
      <c r="C13" s="1440">
        <v>293</v>
      </c>
      <c r="D13" s="1441">
        <v>237.5</v>
      </c>
      <c r="E13" s="1440">
        <v>264.39999999999998</v>
      </c>
      <c r="F13" s="1441">
        <v>277.10000000000002</v>
      </c>
      <c r="G13" s="1440">
        <v>317</v>
      </c>
      <c r="H13" s="1441">
        <v>315</v>
      </c>
      <c r="I13" s="1440">
        <v>343.8</v>
      </c>
      <c r="J13" s="1441">
        <v>375.1</v>
      </c>
      <c r="K13" s="1440">
        <v>421.4</v>
      </c>
      <c r="L13" s="1441">
        <v>447.8</v>
      </c>
      <c r="M13" s="1440">
        <v>476.1</v>
      </c>
      <c r="N13" s="1441">
        <v>496.7</v>
      </c>
      <c r="O13" s="1442"/>
      <c r="P13" s="1443">
        <v>4.3268220961982795E-2</v>
      </c>
      <c r="Q13" s="1444">
        <v>7.2570521309291092E-2</v>
      </c>
      <c r="R13" s="1445"/>
      <c r="S13" s="1446">
        <v>532.74577793432491</v>
      </c>
      <c r="T13" s="1447"/>
      <c r="U13" s="1447"/>
      <c r="V13" s="1447"/>
      <c r="W13" s="1447"/>
      <c r="X13" s="1447"/>
      <c r="Y13" s="1447"/>
      <c r="Z13" s="1447"/>
      <c r="AA13" s="1447"/>
      <c r="AB13" s="1447"/>
      <c r="AC13" s="1447"/>
      <c r="AD13" s="1447"/>
      <c r="AE13" s="1447"/>
      <c r="AF13" s="1447"/>
      <c r="AG13" s="1447"/>
      <c r="AH13" s="1447"/>
      <c r="AI13" s="1447"/>
      <c r="AJ13" s="1447"/>
    </row>
    <row r="14" spans="1:36" ht="15" customHeight="1" thickBot="1">
      <c r="A14" s="1439" t="s">
        <v>295</v>
      </c>
      <c r="B14" s="1420"/>
      <c r="C14" s="1440">
        <v>203.5</v>
      </c>
      <c r="D14" s="1441">
        <v>228.6</v>
      </c>
      <c r="E14" s="1440">
        <v>266.2</v>
      </c>
      <c r="F14" s="1441">
        <v>375.1</v>
      </c>
      <c r="G14" s="1440">
        <v>378.5</v>
      </c>
      <c r="H14" s="1441">
        <v>314.89999999999998</v>
      </c>
      <c r="I14" s="1440">
        <v>319.7</v>
      </c>
      <c r="J14" s="1441">
        <v>367.7</v>
      </c>
      <c r="K14" s="1440">
        <v>381.7</v>
      </c>
      <c r="L14" s="1441">
        <v>412.4</v>
      </c>
      <c r="M14" s="1440">
        <v>405.9</v>
      </c>
      <c r="N14" s="1441">
        <v>394.24799999999999</v>
      </c>
      <c r="O14" s="1442"/>
      <c r="P14" s="1443">
        <v>-2.870657797487064E-2</v>
      </c>
      <c r="Q14" s="1444">
        <v>4.4603007728706068E-2</v>
      </c>
      <c r="R14" s="1445"/>
      <c r="S14" s="1446">
        <v>411.8326465910269</v>
      </c>
      <c r="T14" s="1447"/>
      <c r="U14" s="1447"/>
      <c r="V14" s="1447"/>
      <c r="W14" s="1447"/>
      <c r="X14" s="1447"/>
      <c r="Y14" s="1447"/>
      <c r="Z14" s="1447"/>
      <c r="AA14" s="1447"/>
      <c r="AB14" s="1447"/>
      <c r="AC14" s="1447"/>
      <c r="AD14" s="1447"/>
      <c r="AE14" s="1447"/>
      <c r="AF14" s="1447"/>
      <c r="AG14" s="1447"/>
      <c r="AH14" s="1447"/>
      <c r="AI14" s="1447"/>
      <c r="AJ14" s="1447"/>
    </row>
    <row r="15" spans="1:36" ht="15" customHeight="1" thickBot="1">
      <c r="A15" s="1439" t="s">
        <v>296</v>
      </c>
      <c r="B15" s="1420"/>
      <c r="C15" s="1440">
        <v>448.2</v>
      </c>
      <c r="D15" s="1441">
        <v>471.7</v>
      </c>
      <c r="E15" s="1440">
        <v>476.4</v>
      </c>
      <c r="F15" s="1441">
        <v>491.7</v>
      </c>
      <c r="G15" s="1440">
        <v>497.4</v>
      </c>
      <c r="H15" s="1441">
        <v>536.1</v>
      </c>
      <c r="I15" s="1440">
        <v>550.70000000000005</v>
      </c>
      <c r="J15" s="1441">
        <v>564.6</v>
      </c>
      <c r="K15" s="1440">
        <v>721.8</v>
      </c>
      <c r="L15" s="1441">
        <v>802.60023099999989</v>
      </c>
      <c r="M15" s="1440">
        <v>821.22624199999996</v>
      </c>
      <c r="N15" s="1441">
        <v>855.59074899999996</v>
      </c>
      <c r="O15" s="1442"/>
      <c r="P15" s="1443">
        <v>4.184535910142051E-2</v>
      </c>
      <c r="Q15" s="1444">
        <v>6.7222383184778689E-2</v>
      </c>
      <c r="R15" s="1445"/>
      <c r="S15" s="1446">
        <v>913.10559817862975</v>
      </c>
      <c r="T15" s="1447"/>
      <c r="U15" s="1447"/>
      <c r="V15" s="1447"/>
      <c r="W15" s="1447"/>
      <c r="X15" s="1447"/>
      <c r="Y15" s="1447"/>
      <c r="Z15" s="1447"/>
      <c r="AA15" s="1447"/>
      <c r="AB15" s="1447"/>
      <c r="AC15" s="1447"/>
      <c r="AD15" s="1447"/>
      <c r="AE15" s="1447"/>
      <c r="AF15" s="1447"/>
      <c r="AG15" s="1447"/>
      <c r="AH15" s="1447"/>
      <c r="AI15" s="1447"/>
      <c r="AJ15" s="1447"/>
    </row>
    <row r="16" spans="1:36" s="1429" customFormat="1" ht="14" thickBot="1">
      <c r="A16" s="1448"/>
      <c r="B16" s="1448"/>
      <c r="C16" s="1449"/>
      <c r="D16" s="1450"/>
      <c r="E16" s="1449"/>
      <c r="F16" s="1450"/>
      <c r="G16" s="1449"/>
      <c r="H16" s="1450"/>
      <c r="I16" s="1449"/>
      <c r="J16" s="1450"/>
      <c r="K16" s="1449"/>
      <c r="L16" s="1450"/>
      <c r="M16" s="1449"/>
      <c r="N16" s="1450"/>
      <c r="O16" s="1451"/>
      <c r="P16" s="1452"/>
      <c r="Q16" s="1453"/>
      <c r="R16" s="1454"/>
      <c r="S16" s="1455"/>
    </row>
    <row r="17" spans="1:19" s="1457" customFormat="1" ht="16.5" customHeight="1" thickBot="1">
      <c r="A17" s="1456" t="s">
        <v>297</v>
      </c>
      <c r="B17" s="1456"/>
      <c r="C17" s="1431">
        <v>16873.599999999999</v>
      </c>
      <c r="D17" s="1432">
        <v>17009.099999999999</v>
      </c>
      <c r="E17" s="1431">
        <v>17841.5</v>
      </c>
      <c r="F17" s="1432">
        <v>18231.2</v>
      </c>
      <c r="G17" s="1431">
        <v>19316.223118000002</v>
      </c>
      <c r="H17" s="1432">
        <v>20344.518999999997</v>
      </c>
      <c r="I17" s="1431">
        <v>20951.55</v>
      </c>
      <c r="J17" s="1432">
        <v>21678.133227000002</v>
      </c>
      <c r="K17" s="1431">
        <v>22971.142229620003</v>
      </c>
      <c r="L17" s="1432">
        <v>24341.551358520002</v>
      </c>
      <c r="M17" s="1431">
        <v>24619.755745440005</v>
      </c>
      <c r="N17" s="1432">
        <v>25832.508284429998</v>
      </c>
      <c r="O17" s="1433"/>
      <c r="P17" s="1434">
        <v>4.9259324565582574E-2</v>
      </c>
      <c r="Q17" s="1435">
        <v>4.1980203981320408E-2</v>
      </c>
      <c r="R17" s="1436"/>
      <c r="S17" s="1431">
        <v>27138.537360089998</v>
      </c>
    </row>
    <row r="18" spans="1:19" ht="14" thickBot="1">
      <c r="A18" s="1420"/>
      <c r="B18" s="1439" t="s">
        <v>287</v>
      </c>
      <c r="C18" s="1440">
        <v>12459</v>
      </c>
      <c r="D18" s="1441">
        <v>13138.5</v>
      </c>
      <c r="E18" s="1440">
        <v>14024.1</v>
      </c>
      <c r="F18" s="1441">
        <v>14620.5</v>
      </c>
      <c r="G18" s="1440">
        <v>15478.308999999999</v>
      </c>
      <c r="H18" s="1441">
        <v>16386.458999999999</v>
      </c>
      <c r="I18" s="1440">
        <v>17095.580000000002</v>
      </c>
      <c r="J18" s="1441">
        <v>17924.119704000001</v>
      </c>
      <c r="K18" s="1440">
        <v>19139.808546</v>
      </c>
      <c r="L18" s="1441">
        <v>20347.706646750001</v>
      </c>
      <c r="M18" s="1440">
        <v>20602.626921510004</v>
      </c>
      <c r="N18" s="1441">
        <v>21578.68886531</v>
      </c>
      <c r="O18" s="1442"/>
      <c r="P18" s="1443">
        <v>4.7375606398082581E-2</v>
      </c>
      <c r="Q18" s="1444">
        <v>4.9045802448809406E-2</v>
      </c>
      <c r="R18" s="1445"/>
      <c r="S18" s="1440">
        <v>22721.911483739997</v>
      </c>
    </row>
    <row r="19" spans="1:19" ht="15" customHeight="1" thickBot="1">
      <c r="A19" s="1420"/>
      <c r="B19" s="1438" t="s">
        <v>298</v>
      </c>
      <c r="C19" s="1458">
        <v>1678.5</v>
      </c>
      <c r="D19" s="1459">
        <v>1778</v>
      </c>
      <c r="E19" s="1458">
        <v>2097.1999999999998</v>
      </c>
      <c r="F19" s="1459">
        <v>2189.9</v>
      </c>
      <c r="G19" s="1458">
        <v>2288</v>
      </c>
      <c r="H19" s="1459">
        <v>2400.1999999999998</v>
      </c>
      <c r="I19" s="1458">
        <v>2502.83</v>
      </c>
      <c r="J19" s="1459">
        <v>2588.5</v>
      </c>
      <c r="K19" s="1458">
        <v>2832.3</v>
      </c>
      <c r="L19" s="1459">
        <v>2994.9866096700002</v>
      </c>
      <c r="M19" s="1458">
        <v>3038.7113187199998</v>
      </c>
      <c r="N19" s="1459">
        <v>3155.0668707</v>
      </c>
      <c r="O19" s="1460"/>
      <c r="P19" s="1461">
        <v>3.829108453415464E-2</v>
      </c>
      <c r="Q19" s="1462">
        <v>4.6423864437470375E-2</v>
      </c>
      <c r="R19" s="1463"/>
      <c r="S19" s="1458">
        <v>3290.4542289599999</v>
      </c>
    </row>
    <row r="20" spans="1:19" s="1429" customFormat="1" ht="16.5" customHeight="1" thickBot="1">
      <c r="A20" s="1420"/>
      <c r="B20" s="1438" t="s">
        <v>299</v>
      </c>
      <c r="C20" s="1464">
        <v>1815.57</v>
      </c>
      <c r="D20" s="1465">
        <v>2087.14</v>
      </c>
      <c r="E20" s="1464">
        <v>2263.1999999999998</v>
      </c>
      <c r="F20" s="1465">
        <v>2476.6</v>
      </c>
      <c r="G20" s="1464">
        <v>2532.8000000000002</v>
      </c>
      <c r="H20" s="1465">
        <v>2671.6</v>
      </c>
      <c r="I20" s="1464">
        <v>2848.4</v>
      </c>
      <c r="J20" s="1465">
        <v>2961.1</v>
      </c>
      <c r="K20" s="1464">
        <v>3025.3</v>
      </c>
      <c r="L20" s="1465">
        <v>3119.6250399999999</v>
      </c>
      <c r="M20" s="1464">
        <v>3230.0145429999998</v>
      </c>
      <c r="N20" s="1465">
        <v>3432.1861340000005</v>
      </c>
      <c r="O20" s="1466"/>
      <c r="P20" s="1467">
        <v>6.2591542022044866E-2</v>
      </c>
      <c r="Q20" s="1468">
        <v>4.7355724804164279E-2</v>
      </c>
      <c r="R20" s="1469"/>
      <c r="S20" s="1464">
        <v>3398.253929</v>
      </c>
    </row>
    <row r="21" spans="1:19" ht="17.25" customHeight="1" thickBot="1">
      <c r="A21" s="1420"/>
      <c r="B21" s="1439" t="s">
        <v>300</v>
      </c>
      <c r="C21" s="1440">
        <v>3901.9</v>
      </c>
      <c r="D21" s="1441">
        <v>3394.7</v>
      </c>
      <c r="E21" s="1440">
        <v>3357.3</v>
      </c>
      <c r="F21" s="1441">
        <v>2846.8</v>
      </c>
      <c r="G21" s="1440">
        <v>2254.1563019999999</v>
      </c>
      <c r="H21" s="1441">
        <v>1604.76</v>
      </c>
      <c r="I21" s="1440">
        <v>1460.47</v>
      </c>
      <c r="J21" s="1441">
        <v>1393.5729260000001</v>
      </c>
      <c r="K21" s="1440">
        <v>1076.3591796200001</v>
      </c>
      <c r="L21" s="1441">
        <v>1181.10792477</v>
      </c>
      <c r="M21" s="1440">
        <v>1126.0691719299998</v>
      </c>
      <c r="N21" s="1441">
        <v>1216.0416881200003</v>
      </c>
      <c r="O21" s="1442"/>
      <c r="P21" s="1443">
        <v>7.9899635326837304E-2</v>
      </c>
      <c r="Q21" s="1444">
        <v>-0.1067040435719695</v>
      </c>
      <c r="R21" s="1445"/>
      <c r="S21" s="1440">
        <v>1288.55575733</v>
      </c>
    </row>
    <row r="22" spans="1:19" ht="15" customHeight="1" thickBot="1">
      <c r="A22" s="1420"/>
      <c r="B22" s="1438" t="s">
        <v>301</v>
      </c>
      <c r="C22" s="1458">
        <v>92.3</v>
      </c>
      <c r="D22" s="1459">
        <v>106.4</v>
      </c>
      <c r="E22" s="1458">
        <v>57.8</v>
      </c>
      <c r="F22" s="1459">
        <v>59.7</v>
      </c>
      <c r="G22" s="1458">
        <v>55.1</v>
      </c>
      <c r="H22" s="1459">
        <v>28.1</v>
      </c>
      <c r="I22" s="1458">
        <v>38.17</v>
      </c>
      <c r="J22" s="1459">
        <v>39</v>
      </c>
      <c r="K22" s="1458">
        <v>35.9</v>
      </c>
      <c r="L22" s="1459">
        <v>36.691305870000001</v>
      </c>
      <c r="M22" s="1458">
        <v>42.792587509999997</v>
      </c>
      <c r="N22" s="1459">
        <v>45.914382520000004</v>
      </c>
      <c r="O22" s="1460"/>
      <c r="P22" s="1461">
        <v>7.2951770193155241E-2</v>
      </c>
      <c r="Q22" s="1462">
        <v>-2.5254559973464596E-2</v>
      </c>
      <c r="R22" s="1463"/>
      <c r="S22" s="1458">
        <v>47.179055349999999</v>
      </c>
    </row>
    <row r="23" spans="1:19" ht="16.5" customHeight="1" thickBot="1">
      <c r="A23" s="1420"/>
      <c r="B23" s="1439" t="s">
        <v>302</v>
      </c>
      <c r="C23" s="1440">
        <v>512.70000000000005</v>
      </c>
      <c r="D23" s="1441">
        <v>475.9</v>
      </c>
      <c r="E23" s="1440">
        <v>460.1</v>
      </c>
      <c r="F23" s="1441">
        <v>763.9</v>
      </c>
      <c r="G23" s="1440">
        <v>1583.757816</v>
      </c>
      <c r="H23" s="1441">
        <v>2353.3000000000002</v>
      </c>
      <c r="I23" s="1440">
        <v>2395.5</v>
      </c>
      <c r="J23" s="1441">
        <v>2360.4405969999998</v>
      </c>
      <c r="K23" s="1440">
        <v>2754.9745040000003</v>
      </c>
      <c r="L23" s="1441">
        <v>2812.7367870000003</v>
      </c>
      <c r="M23" s="1440">
        <v>2891.0596519999999</v>
      </c>
      <c r="N23" s="1441">
        <v>3037.7777310000001</v>
      </c>
      <c r="O23" s="1470"/>
      <c r="P23" s="1471">
        <v>5.0748893713937093E-2</v>
      </c>
      <c r="Q23" s="1472">
        <v>0.23332687637649774</v>
      </c>
      <c r="R23" s="1473"/>
      <c r="S23" s="1440">
        <v>3128.0701190199998</v>
      </c>
    </row>
    <row r="24" spans="1:19" ht="13.5" customHeight="1" thickBot="1">
      <c r="A24" s="1420"/>
      <c r="B24" s="1438"/>
      <c r="C24" s="1464"/>
      <c r="D24" s="1465"/>
      <c r="E24" s="1464"/>
      <c r="F24" s="1465"/>
      <c r="G24" s="1464"/>
      <c r="H24" s="1465"/>
      <c r="I24" s="1464"/>
      <c r="J24" s="1465"/>
      <c r="K24" s="1464"/>
      <c r="L24" s="1465"/>
      <c r="M24" s="1464"/>
      <c r="N24" s="1465"/>
      <c r="O24" s="1466"/>
      <c r="P24" s="1467"/>
      <c r="Q24" s="1468"/>
      <c r="R24" s="1469"/>
      <c r="S24" s="1464"/>
    </row>
    <row r="25" spans="1:19" ht="17.25" customHeight="1" thickBot="1">
      <c r="A25" s="1430" t="s">
        <v>303</v>
      </c>
      <c r="B25" s="1438"/>
      <c r="C25" s="1431">
        <v>1533.4</v>
      </c>
      <c r="D25" s="1432">
        <v>1599</v>
      </c>
      <c r="E25" s="1431">
        <v>1702.4</v>
      </c>
      <c r="F25" s="1432">
        <v>1632.5</v>
      </c>
      <c r="G25" s="1431">
        <v>1632.6768820000002</v>
      </c>
      <c r="H25" s="1432">
        <v>1670.33</v>
      </c>
      <c r="I25" s="1431">
        <v>1688.25</v>
      </c>
      <c r="J25" s="1432">
        <v>1731.4787729999994</v>
      </c>
      <c r="K25" s="1431">
        <v>1788.6097703800008</v>
      </c>
      <c r="L25" s="1432">
        <v>1637.5543728499972</v>
      </c>
      <c r="M25" s="1431">
        <v>1898.1885889306407</v>
      </c>
      <c r="N25" s="1432">
        <v>1935.891721470005</v>
      </c>
      <c r="O25" s="1466"/>
      <c r="P25" s="1434">
        <v>1.9862690545729533E-2</v>
      </c>
      <c r="Q25" s="1435">
        <v>1.4383464944187629E-2</v>
      </c>
      <c r="R25" s="1469"/>
      <c r="S25" s="1437">
        <v>2040.1743738101948</v>
      </c>
    </row>
    <row r="26" spans="1:19" ht="13.5" customHeight="1" thickBot="1">
      <c r="A26" s="1420"/>
      <c r="B26" s="1439" t="s">
        <v>288</v>
      </c>
      <c r="C26" s="1440">
        <v>72.599999999999739</v>
      </c>
      <c r="D26" s="1441">
        <v>80.999999999998636</v>
      </c>
      <c r="E26" s="1440">
        <v>106.80000000000098</v>
      </c>
      <c r="F26" s="1441">
        <v>50.400000000001</v>
      </c>
      <c r="G26" s="1440">
        <v>32.676882000000205</v>
      </c>
      <c r="H26" s="1441">
        <v>42.130000000000337</v>
      </c>
      <c r="I26" s="1440">
        <v>72.150000000000091</v>
      </c>
      <c r="J26" s="1441">
        <v>58.37477299999955</v>
      </c>
      <c r="K26" s="1440">
        <v>57.557770380000875</v>
      </c>
      <c r="L26" s="1441">
        <v>-94.35827220000283</v>
      </c>
      <c r="M26" s="1440">
        <v>59.529167040640459</v>
      </c>
      <c r="N26" s="1441">
        <v>55.906676890004746</v>
      </c>
      <c r="O26" s="1442"/>
      <c r="P26" s="1443">
        <v>-6.0852357436189997E-2</v>
      </c>
      <c r="Q26" s="1444">
        <v>-6.9394049712477535E-2</v>
      </c>
      <c r="R26" s="1445"/>
      <c r="S26" s="1446">
        <v>63.05</v>
      </c>
    </row>
    <row r="27" spans="1:19" ht="13.5" customHeight="1" thickBot="1">
      <c r="A27" s="1420"/>
      <c r="B27" s="1439" t="s">
        <v>289</v>
      </c>
      <c r="C27" s="1440">
        <v>1460.8</v>
      </c>
      <c r="D27" s="1441">
        <v>1518</v>
      </c>
      <c r="E27" s="1440">
        <v>1595.6</v>
      </c>
      <c r="F27" s="1441">
        <v>1582.1</v>
      </c>
      <c r="G27" s="1440">
        <v>1600</v>
      </c>
      <c r="H27" s="1441">
        <v>1628.2</v>
      </c>
      <c r="I27" s="1440">
        <v>1616.1</v>
      </c>
      <c r="J27" s="1441">
        <v>1673.1039999999998</v>
      </c>
      <c r="K27" s="1440">
        <v>1731.0519999999999</v>
      </c>
      <c r="L27" s="1441">
        <v>1731.91264505</v>
      </c>
      <c r="M27" s="1440">
        <v>1838.6594218900002</v>
      </c>
      <c r="N27" s="1441">
        <v>1879.9850445800002</v>
      </c>
      <c r="O27" s="1442"/>
      <c r="P27" s="1443">
        <v>2.2475952967690116E-2</v>
      </c>
      <c r="Q27" s="1444">
        <v>1.839084195481111E-2</v>
      </c>
      <c r="R27" s="1445"/>
      <c r="S27" s="1446">
        <v>1977.1243738101948</v>
      </c>
    </row>
    <row r="28" spans="1:19" ht="13.5" customHeight="1" thickBot="1">
      <c r="A28" s="1420"/>
      <c r="B28" s="1438"/>
      <c r="C28" s="1464"/>
      <c r="D28" s="1465"/>
      <c r="E28" s="1464"/>
      <c r="F28" s="1465"/>
      <c r="G28" s="1464"/>
      <c r="H28" s="1465"/>
      <c r="I28" s="1464"/>
      <c r="J28" s="1465"/>
      <c r="K28" s="1464"/>
      <c r="L28" s="1465"/>
      <c r="M28" s="1464"/>
      <c r="N28" s="1465"/>
      <c r="O28" s="1466"/>
      <c r="P28" s="1467"/>
      <c r="Q28" s="1468"/>
      <c r="R28" s="1469"/>
      <c r="S28" s="1464"/>
    </row>
    <row r="29" spans="1:19" ht="16.5" customHeight="1" thickBot="1">
      <c r="A29" s="1430" t="s">
        <v>304</v>
      </c>
      <c r="B29" s="1420"/>
      <c r="C29" s="1431">
        <v>9085.3793747272994</v>
      </c>
      <c r="D29" s="1432">
        <v>9560.2825838810586</v>
      </c>
      <c r="E29" s="1431">
        <v>9926.5847325363065</v>
      </c>
      <c r="F29" s="1432">
        <v>10325.572601594233</v>
      </c>
      <c r="G29" s="1431">
        <v>10591.609459022906</v>
      </c>
      <c r="H29" s="1432">
        <v>10893.15847164562</v>
      </c>
      <c r="I29" s="1431">
        <v>11201.456825335847</v>
      </c>
      <c r="J29" s="1432">
        <v>11644.809909615662</v>
      </c>
      <c r="K29" s="1431">
        <v>11858.615486006824</v>
      </c>
      <c r="L29" s="1432">
        <v>11246.614142254475</v>
      </c>
      <c r="M29" s="1431">
        <v>11465.835693471246</v>
      </c>
      <c r="N29" s="1432">
        <v>12017.753140617706</v>
      </c>
      <c r="O29" s="1474"/>
      <c r="P29" s="1434">
        <v>4.8135823842367254E-2</v>
      </c>
      <c r="Q29" s="1435">
        <v>2.1468139095274452E-2</v>
      </c>
      <c r="R29" s="1475"/>
      <c r="S29" s="1437">
        <v>12770.075459307543</v>
      </c>
    </row>
    <row r="30" spans="1:19" ht="12.75" customHeight="1" thickBot="1">
      <c r="A30" s="1420"/>
      <c r="B30" s="1420"/>
      <c r="C30" s="1422"/>
      <c r="D30" s="1423"/>
      <c r="E30" s="1422"/>
      <c r="F30" s="1423"/>
      <c r="G30" s="1422"/>
      <c r="H30" s="1423"/>
      <c r="I30" s="1422"/>
      <c r="J30" s="1423"/>
      <c r="K30" s="1422"/>
      <c r="L30" s="1423"/>
      <c r="M30" s="1422"/>
      <c r="N30" s="1423"/>
      <c r="O30" s="1424"/>
      <c r="P30" s="1425"/>
      <c r="Q30" s="1426"/>
      <c r="R30" s="1427"/>
      <c r="S30" s="1422"/>
    </row>
    <row r="31" spans="1:19" ht="16.5" customHeight="1" thickBot="1">
      <c r="A31" s="1430" t="s">
        <v>305</v>
      </c>
      <c r="B31" s="1420"/>
      <c r="C31" s="1431">
        <v>360.34572496402706</v>
      </c>
      <c r="D31" s="1432">
        <v>367.4485025408178</v>
      </c>
      <c r="E31" s="1431">
        <v>375.28251008174271</v>
      </c>
      <c r="F31" s="1432">
        <v>388.70889016736163</v>
      </c>
      <c r="G31" s="1431">
        <v>420.16510495683008</v>
      </c>
      <c r="H31" s="1432">
        <v>442.73533222173643</v>
      </c>
      <c r="I31" s="1431">
        <v>456.31192849787288</v>
      </c>
      <c r="J31" s="1432">
        <v>462.16066224325613</v>
      </c>
      <c r="K31" s="1431">
        <v>460.54510480676197</v>
      </c>
      <c r="L31" s="1432">
        <v>480.96670935903251</v>
      </c>
      <c r="M31" s="1431">
        <v>500.28122327763629</v>
      </c>
      <c r="N31" s="1432">
        <v>535.48298288401816</v>
      </c>
      <c r="O31" s="1433"/>
      <c r="P31" s="1434">
        <v>7.0363943255264516E-2</v>
      </c>
      <c r="Q31" s="1435">
        <v>4.0289344028310081E-2</v>
      </c>
      <c r="R31" s="1436"/>
      <c r="S31" s="1437">
        <v>568.20000000000005</v>
      </c>
    </row>
    <row r="32" spans="1:19" ht="12.75" customHeight="1" thickBot="1">
      <c r="A32" s="1430"/>
      <c r="B32" s="1438"/>
      <c r="C32" s="1476"/>
      <c r="D32" s="1477"/>
      <c r="E32" s="1422"/>
      <c r="F32" s="1423"/>
      <c r="G32" s="1422"/>
      <c r="H32" s="1423"/>
      <c r="I32" s="1422"/>
      <c r="J32" s="1423"/>
      <c r="K32" s="1422"/>
      <c r="L32" s="1423"/>
      <c r="M32" s="1422"/>
      <c r="N32" s="1423"/>
      <c r="O32" s="1424"/>
      <c r="P32" s="1425"/>
      <c r="Q32" s="1426"/>
      <c r="R32" s="1427"/>
      <c r="S32" s="1478"/>
    </row>
    <row r="33" spans="1:30" ht="17.25" customHeight="1" thickBot="1">
      <c r="A33" s="1479" t="s">
        <v>306</v>
      </c>
      <c r="B33" s="1480"/>
      <c r="C33" s="1481">
        <v>37468.621584899993</v>
      </c>
      <c r="D33" s="1482">
        <v>38209.908416353559</v>
      </c>
      <c r="E33" s="1481">
        <v>39815.013078757198</v>
      </c>
      <c r="F33" s="1482">
        <v>41104.451764019817</v>
      </c>
      <c r="G33" s="1481">
        <v>42842.933951834144</v>
      </c>
      <c r="H33" s="1482">
        <v>45572.841048926202</v>
      </c>
      <c r="I33" s="1481">
        <v>47388.633486638137</v>
      </c>
      <c r="J33" s="1482">
        <v>49265.161352870738</v>
      </c>
      <c r="K33" s="1481">
        <v>51007.71667083916</v>
      </c>
      <c r="L33" s="1482">
        <v>52043.04088068397</v>
      </c>
      <c r="M33" s="1481">
        <v>52773.346851683025</v>
      </c>
      <c r="N33" s="1482">
        <v>55214.945110235072</v>
      </c>
      <c r="O33" s="1483"/>
      <c r="P33" s="1484">
        <v>4.6265745953426807E-2</v>
      </c>
      <c r="Q33" s="1485">
        <v>3.7000258554652721E-2</v>
      </c>
      <c r="R33" s="1486"/>
      <c r="S33" s="1487">
        <v>58130.7</v>
      </c>
    </row>
    <row r="34" spans="1:30" ht="14.25" customHeight="1">
      <c r="A34" s="1488" t="s">
        <v>778</v>
      </c>
      <c r="B34" s="1488"/>
      <c r="C34" s="1489"/>
      <c r="D34" s="1489"/>
      <c r="E34" s="1489"/>
      <c r="F34" s="1489"/>
      <c r="G34" s="1489"/>
      <c r="H34" s="1489"/>
      <c r="I34" s="1489"/>
      <c r="J34" s="1489"/>
      <c r="K34" s="1489"/>
      <c r="L34" s="1371"/>
      <c r="M34" s="1489"/>
      <c r="N34" s="1371"/>
      <c r="O34" s="1371"/>
      <c r="P34" s="1371"/>
      <c r="Q34" s="1489"/>
      <c r="R34" s="1489"/>
    </row>
    <row r="35" spans="1:30">
      <c r="A35" s="1490"/>
      <c r="B35" s="1488"/>
      <c r="C35" s="1371"/>
      <c r="D35" s="1489"/>
      <c r="E35" s="1371"/>
      <c r="F35" s="1371"/>
      <c r="G35" s="1371"/>
      <c r="H35" s="1371"/>
      <c r="I35" s="1371"/>
      <c r="J35" s="1371"/>
      <c r="K35" s="1371"/>
      <c r="L35" s="1371"/>
      <c r="M35" s="1371"/>
      <c r="N35" s="1371"/>
      <c r="O35" s="1371"/>
      <c r="P35" s="1371"/>
      <c r="Q35" s="1489"/>
      <c r="R35" s="1371"/>
      <c r="S35" s="1392"/>
      <c r="T35" s="1392"/>
      <c r="U35" s="1392"/>
      <c r="V35" s="1392"/>
      <c r="Y35" s="1392"/>
      <c r="Z35" s="1392"/>
      <c r="AA35" s="1392"/>
      <c r="AB35" s="1392"/>
      <c r="AC35" s="1382"/>
      <c r="AD35" s="1491"/>
    </row>
    <row r="36" spans="1:30">
      <c r="A36" s="1488" t="s">
        <v>290</v>
      </c>
      <c r="B36" s="1488"/>
      <c r="S36" s="1392"/>
      <c r="T36" s="1392"/>
      <c r="U36" s="1392"/>
      <c r="V36" s="1392"/>
    </row>
    <row r="37" spans="1:30">
      <c r="A37" s="1488"/>
      <c r="B37" s="1488"/>
    </row>
    <row r="38" spans="1:30">
      <c r="A38" s="1488"/>
      <c r="B38" s="1488"/>
      <c r="E38" s="1392"/>
      <c r="R38" s="1392"/>
    </row>
    <row r="39" spans="1:30">
      <c r="A39" s="1488" t="s">
        <v>711</v>
      </c>
      <c r="B39" s="1488"/>
    </row>
    <row r="40" spans="1:30">
      <c r="A40" s="1492"/>
      <c r="B40" s="1492"/>
    </row>
    <row r="41" spans="1:30">
      <c r="A41" s="1492"/>
      <c r="B41" s="1492"/>
    </row>
    <row r="42" spans="1:30">
      <c r="A42" s="1492"/>
      <c r="B42" s="1492"/>
    </row>
    <row r="43" spans="1:30">
      <c r="A43" s="1492"/>
      <c r="B43" s="1492"/>
    </row>
    <row r="44" spans="1:30">
      <c r="A44" s="1492"/>
    </row>
    <row r="45" spans="1:30">
      <c r="A45" s="1492"/>
    </row>
    <row r="48" spans="1:30">
      <c r="B48" s="1492"/>
    </row>
    <row r="49" spans="1:2">
      <c r="B49" s="1492"/>
    </row>
    <row r="50" spans="1:2" ht="16">
      <c r="A50" s="1493"/>
      <c r="B50" s="1492"/>
    </row>
    <row r="51" spans="1:2">
      <c r="A51" s="1492"/>
      <c r="B51" s="1492"/>
    </row>
    <row r="52" spans="1:2">
      <c r="A52" s="1492"/>
      <c r="B52" s="1492"/>
    </row>
    <row r="53" spans="1:2">
      <c r="A53" s="1492"/>
      <c r="B53" s="1492"/>
    </row>
    <row r="54" spans="1:2">
      <c r="A54" s="1492"/>
      <c r="B54" s="1492"/>
    </row>
    <row r="55" spans="1:2">
      <c r="A55" s="1492"/>
      <c r="B55" s="1492"/>
    </row>
    <row r="56" spans="1:2">
      <c r="A56" s="1492"/>
      <c r="B56" s="1492"/>
    </row>
    <row r="57" spans="1:2">
      <c r="A57" s="1492"/>
      <c r="B57" s="1492"/>
    </row>
    <row r="58" spans="1:2">
      <c r="A58" s="1492"/>
      <c r="B58" s="1492"/>
    </row>
    <row r="59" spans="1:2">
      <c r="A59" s="1492"/>
      <c r="B59" s="1492"/>
    </row>
    <row r="60" spans="1:2">
      <c r="B60" s="1492"/>
    </row>
    <row r="61" spans="1:2">
      <c r="A61" s="1492"/>
      <c r="B61" s="1492"/>
    </row>
    <row r="62" spans="1:2">
      <c r="A62" s="1492"/>
      <c r="B62" s="1492"/>
    </row>
    <row r="63" spans="1:2">
      <c r="A63" s="1492"/>
      <c r="B63" s="1492"/>
    </row>
    <row r="64" spans="1:2">
      <c r="A64" s="1492"/>
      <c r="B64" s="1492"/>
    </row>
    <row r="65" spans="1:2">
      <c r="A65" s="1492"/>
      <c r="B65" s="1492"/>
    </row>
    <row r="66" spans="1:2">
      <c r="A66" s="1492"/>
      <c r="B66" s="1492"/>
    </row>
    <row r="67" spans="1:2">
      <c r="A67" s="1492"/>
    </row>
    <row r="71" spans="1:2">
      <c r="B71" s="1492"/>
    </row>
    <row r="72" spans="1:2">
      <c r="B72" s="1492"/>
    </row>
    <row r="73" spans="1:2">
      <c r="B73" s="1492"/>
    </row>
    <row r="74" spans="1:2">
      <c r="A74" s="1492"/>
      <c r="B74" s="1492"/>
    </row>
    <row r="75" spans="1:2">
      <c r="A75" s="1492"/>
      <c r="B75" s="1492"/>
    </row>
    <row r="76" spans="1:2">
      <c r="A76" s="1492"/>
      <c r="B76" s="1492"/>
    </row>
    <row r="77" spans="1:2">
      <c r="A77" s="1492"/>
      <c r="B77" s="1492"/>
    </row>
    <row r="78" spans="1:2">
      <c r="A78" s="1492"/>
      <c r="B78" s="1492"/>
    </row>
    <row r="79" spans="1:2">
      <c r="A79" s="1492"/>
      <c r="B79" s="1492"/>
    </row>
    <row r="80" spans="1:2" ht="16">
      <c r="A80" s="1493"/>
      <c r="B80" s="1492"/>
    </row>
    <row r="81" spans="1:2">
      <c r="A81" s="1492"/>
      <c r="B81" s="1492"/>
    </row>
    <row r="82" spans="1:2">
      <c r="B82" s="1492"/>
    </row>
    <row r="83" spans="1:2">
      <c r="A83" s="1492"/>
      <c r="B83" s="1492"/>
    </row>
    <row r="84" spans="1:2">
      <c r="A84" s="1492"/>
      <c r="B84" s="1492"/>
    </row>
    <row r="85" spans="1:2">
      <c r="A85" s="1492"/>
      <c r="B85" s="1492"/>
    </row>
    <row r="86" spans="1:2">
      <c r="A86" s="1492"/>
      <c r="B86" s="1492"/>
    </row>
  </sheetData>
  <phoneticPr fontId="90" type="noConversion"/>
  <pageMargins left="0.28000000000000003" right="0.35433070866141736" top="0.59055118110236227" bottom="0.35433070866141736" header="0.23622047244094491" footer="0.19685039370078741"/>
  <pageSetup paperSize="9" scale="76" orientation="landscape" cellComments="asDisplayed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F936-C0C7-5747-8271-60D8801F6C72}">
  <dimension ref="A1:U110"/>
  <sheetViews>
    <sheetView topLeftCell="G36" zoomScale="75" workbookViewId="0">
      <selection activeCell="L59" sqref="L59"/>
    </sheetView>
  </sheetViews>
  <sheetFormatPr baseColWidth="10" defaultColWidth="10.19921875" defaultRowHeight="13"/>
  <cols>
    <col min="1" max="1" width="3.796875" style="1617" customWidth="1"/>
    <col min="2" max="2" width="3" style="1617" customWidth="1"/>
    <col min="3" max="3" width="49.3984375" style="1617" customWidth="1"/>
    <col min="4" max="4" width="0.3984375" style="1617" customWidth="1"/>
    <col min="5" max="5" width="10.19921875" style="1617" hidden="1" customWidth="1"/>
    <col min="6" max="12" width="10.19921875" style="1617" customWidth="1"/>
    <col min="13" max="13" width="9.19921875" style="1617" customWidth="1"/>
    <col min="14" max="14" width="10.19921875" style="1617" customWidth="1"/>
    <col min="15" max="15" width="9.19921875" style="1617" customWidth="1"/>
    <col min="16" max="16" width="2.796875" style="1617" customWidth="1"/>
    <col min="17" max="17" width="10.796875" style="1617" customWidth="1"/>
    <col min="18" max="18" width="10.59765625" style="1617" customWidth="1"/>
    <col min="19" max="19" width="2.796875" style="1617" customWidth="1"/>
    <col min="20" max="20" width="11.19921875" style="1617" customWidth="1"/>
    <col min="21" max="16384" width="10.19921875" style="1617"/>
  </cols>
  <sheetData>
    <row r="1" spans="1:21" ht="16">
      <c r="A1" s="1615"/>
      <c r="B1" s="1616" t="s">
        <v>1566</v>
      </c>
      <c r="C1" s="1615"/>
      <c r="D1" s="1615"/>
      <c r="E1" s="1615"/>
      <c r="F1" s="1615"/>
      <c r="G1" s="1615"/>
      <c r="H1" s="1615"/>
      <c r="I1" s="1615"/>
      <c r="J1" s="1615"/>
      <c r="K1" s="1615"/>
      <c r="L1" s="1615"/>
      <c r="M1" s="1615"/>
      <c r="N1" s="1615"/>
      <c r="O1" s="1615"/>
      <c r="P1" s="1615"/>
      <c r="Q1" s="1615"/>
      <c r="R1" s="1615"/>
      <c r="S1" s="1615"/>
    </row>
    <row r="2" spans="1:21" ht="14.25" customHeight="1" thickBot="1">
      <c r="A2" s="1615"/>
      <c r="B2" s="1618"/>
      <c r="C2" s="1618"/>
      <c r="D2" s="1618"/>
      <c r="E2" s="1618"/>
      <c r="F2" s="1618"/>
      <c r="G2" s="1618"/>
      <c r="H2" s="1618"/>
      <c r="I2" s="1618"/>
      <c r="J2" s="1618"/>
      <c r="K2" s="1618"/>
      <c r="L2" s="1618"/>
      <c r="M2" s="1618"/>
      <c r="N2" s="1618"/>
      <c r="O2" s="1618"/>
      <c r="P2" s="1618"/>
      <c r="Q2" s="1618"/>
      <c r="R2" s="1618"/>
      <c r="S2" s="1618"/>
    </row>
    <row r="3" spans="1:21" ht="13.5" customHeight="1">
      <c r="A3" s="1615"/>
      <c r="B3" s="1619"/>
      <c r="C3" s="1619"/>
      <c r="D3" s="1620"/>
      <c r="E3" s="1619"/>
      <c r="F3" s="1620"/>
      <c r="G3" s="1619"/>
      <c r="H3" s="1620"/>
      <c r="I3" s="1621"/>
      <c r="J3" s="1622"/>
      <c r="K3" s="1621"/>
      <c r="L3" s="1622"/>
      <c r="M3" s="1621"/>
      <c r="N3" s="1622"/>
      <c r="O3" s="1621"/>
      <c r="P3" s="1623"/>
      <c r="Q3" s="1622" t="s">
        <v>2372</v>
      </c>
      <c r="R3" s="1624" t="s">
        <v>1567</v>
      </c>
      <c r="S3" s="1625"/>
      <c r="T3" s="1626" t="s">
        <v>283</v>
      </c>
    </row>
    <row r="4" spans="1:21" ht="15.75" customHeight="1">
      <c r="A4" s="1615"/>
      <c r="B4" s="1627" t="s">
        <v>1609</v>
      </c>
      <c r="C4" s="1628"/>
      <c r="D4" s="1629">
        <v>1996</v>
      </c>
      <c r="E4" s="1630">
        <v>1997</v>
      </c>
      <c r="F4" s="1629">
        <v>1998</v>
      </c>
      <c r="G4" s="1630">
        <v>1999</v>
      </c>
      <c r="H4" s="1629">
        <v>2000</v>
      </c>
      <c r="I4" s="1630">
        <v>2001</v>
      </c>
      <c r="J4" s="1629">
        <v>2002</v>
      </c>
      <c r="K4" s="1630">
        <v>2003</v>
      </c>
      <c r="L4" s="1629">
        <v>2004</v>
      </c>
      <c r="M4" s="1630">
        <v>2005</v>
      </c>
      <c r="N4" s="1629">
        <v>2006</v>
      </c>
      <c r="O4" s="1630">
        <v>2007</v>
      </c>
      <c r="P4" s="1631"/>
      <c r="Q4" s="1622" t="s">
        <v>1641</v>
      </c>
      <c r="R4" s="1632" t="s">
        <v>285</v>
      </c>
      <c r="S4" s="1633"/>
      <c r="T4" s="1634" t="s">
        <v>1610</v>
      </c>
    </row>
    <row r="5" spans="1:21" ht="9.75" customHeight="1">
      <c r="A5" s="1615"/>
      <c r="B5" s="1627"/>
      <c r="C5" s="1628"/>
      <c r="D5" s="1635"/>
      <c r="E5" s="1636"/>
      <c r="F5" s="1635"/>
      <c r="G5" s="1636"/>
      <c r="H5" s="1635"/>
      <c r="I5" s="1637"/>
      <c r="J5" s="1638"/>
      <c r="K5" s="1637"/>
      <c r="L5" s="1638"/>
      <c r="M5" s="1637"/>
      <c r="N5" s="1638"/>
      <c r="O5" s="1637"/>
      <c r="P5" s="1639"/>
      <c r="Q5" s="1638"/>
      <c r="R5" s="1632" t="s">
        <v>1820</v>
      </c>
      <c r="S5" s="1633"/>
      <c r="T5" s="1635"/>
    </row>
    <row r="6" spans="1:21" ht="9.75" customHeight="1">
      <c r="A6" s="1615"/>
      <c r="B6" s="1640"/>
      <c r="C6" s="1641"/>
      <c r="D6" s="1642"/>
      <c r="E6" s="1643"/>
      <c r="F6" s="1642"/>
      <c r="G6" s="1643"/>
      <c r="H6" s="1642"/>
      <c r="I6" s="1644"/>
      <c r="J6" s="1645"/>
      <c r="K6" s="1644"/>
      <c r="L6" s="1645"/>
      <c r="M6" s="1644"/>
      <c r="N6" s="1645"/>
      <c r="O6" s="1644"/>
      <c r="P6" s="1646"/>
      <c r="Q6" s="1645"/>
      <c r="R6" s="1647" t="s">
        <v>1642</v>
      </c>
      <c r="S6" s="1648"/>
      <c r="T6" s="1642"/>
    </row>
    <row r="7" spans="1:21" ht="17.25" customHeight="1" thickBot="1">
      <c r="A7" s="2036" t="s">
        <v>1568</v>
      </c>
      <c r="B7" s="1649" t="s">
        <v>1611</v>
      </c>
      <c r="C7" s="1650"/>
      <c r="D7" s="1651">
        <v>15102.8</v>
      </c>
      <c r="E7" s="1652">
        <v>15124.7</v>
      </c>
      <c r="F7" s="1651">
        <v>15686.5</v>
      </c>
      <c r="G7" s="1652">
        <v>15981.6</v>
      </c>
      <c r="H7" s="1651">
        <v>16973.123118</v>
      </c>
      <c r="I7" s="1652">
        <v>17916.27</v>
      </c>
      <c r="J7" s="1651">
        <v>18410.55</v>
      </c>
      <c r="K7" s="1652">
        <v>19050.633227000002</v>
      </c>
      <c r="L7" s="1651">
        <v>20102.942229619999</v>
      </c>
      <c r="M7" s="1652">
        <v>21309.873442980002</v>
      </c>
      <c r="N7" s="1651">
        <v>21538.251839210003</v>
      </c>
      <c r="O7" s="1652">
        <v>22631.527031209996</v>
      </c>
      <c r="P7" s="1653"/>
      <c r="Q7" s="1654">
        <v>5.0759699541153447E-2</v>
      </c>
      <c r="R7" s="1655">
        <v>4.1567772637554512E-2</v>
      </c>
      <c r="S7" s="1656"/>
      <c r="T7" s="1651">
        <v>23800.904075779996</v>
      </c>
    </row>
    <row r="8" spans="1:21" ht="14" thickBot="1">
      <c r="A8" s="2037"/>
      <c r="B8" s="1657"/>
      <c r="C8" s="1658" t="s">
        <v>287</v>
      </c>
      <c r="D8" s="1659">
        <v>10780.5</v>
      </c>
      <c r="E8" s="1660">
        <v>11360.5</v>
      </c>
      <c r="F8" s="1659">
        <v>11926.9</v>
      </c>
      <c r="G8" s="1660">
        <v>12430.6</v>
      </c>
      <c r="H8" s="1659">
        <v>13190.308999999999</v>
      </c>
      <c r="I8" s="1660">
        <v>13986.27</v>
      </c>
      <c r="J8" s="1659">
        <v>14592.75</v>
      </c>
      <c r="K8" s="1660">
        <v>15335.619704000001</v>
      </c>
      <c r="L8" s="1659">
        <v>16307.508545999999</v>
      </c>
      <c r="M8" s="1660">
        <v>17352.720037080002</v>
      </c>
      <c r="N8" s="1659">
        <v>17563.915602790003</v>
      </c>
      <c r="O8" s="1660">
        <v>18423.621994609999</v>
      </c>
      <c r="P8" s="1661"/>
      <c r="Q8" s="1662">
        <v>4.8947308291747538E-2</v>
      </c>
      <c r="R8" s="1663">
        <v>4.9501463420059233E-2</v>
      </c>
      <c r="S8" s="1664"/>
      <c r="T8" s="1659">
        <v>19431.457254779998</v>
      </c>
    </row>
    <row r="9" spans="1:21" ht="14" thickBot="1">
      <c r="A9" s="2037"/>
      <c r="B9" s="1657"/>
      <c r="C9" s="1658" t="s">
        <v>313</v>
      </c>
      <c r="D9" s="1659">
        <v>3809.6</v>
      </c>
      <c r="E9" s="1660">
        <v>3288.3</v>
      </c>
      <c r="F9" s="1659">
        <v>3299.5</v>
      </c>
      <c r="G9" s="1660">
        <v>2787.1</v>
      </c>
      <c r="H9" s="1659">
        <v>2199.056302</v>
      </c>
      <c r="I9" s="1660">
        <v>1576.7</v>
      </c>
      <c r="J9" s="1659">
        <v>1422.3</v>
      </c>
      <c r="K9" s="1660">
        <v>1354.5729260000001</v>
      </c>
      <c r="L9" s="1659">
        <v>1040.45917962</v>
      </c>
      <c r="M9" s="1660">
        <v>1144.4166189</v>
      </c>
      <c r="N9" s="1659">
        <v>1083.2765844199998</v>
      </c>
      <c r="O9" s="1660">
        <v>1170.1273056000002</v>
      </c>
      <c r="P9" s="1661"/>
      <c r="Q9" s="1662">
        <v>8.0174096282623397E-2</v>
      </c>
      <c r="R9" s="1663">
        <v>-0.1087980891130208</v>
      </c>
      <c r="S9" s="1664"/>
      <c r="T9" s="1659">
        <v>1241.37670198</v>
      </c>
    </row>
    <row r="10" spans="1:21" ht="14" thickBot="1">
      <c r="A10" s="2037"/>
      <c r="B10" s="1657"/>
      <c r="C10" s="1658" t="s">
        <v>1569</v>
      </c>
      <c r="D10" s="1659">
        <v>512.70000000000005</v>
      </c>
      <c r="E10" s="1660">
        <v>475.9</v>
      </c>
      <c r="F10" s="1659">
        <v>460.1</v>
      </c>
      <c r="G10" s="1660">
        <v>763.9</v>
      </c>
      <c r="H10" s="1659">
        <v>1583.757816</v>
      </c>
      <c r="I10" s="1660">
        <v>2353.3000000000002</v>
      </c>
      <c r="J10" s="1659">
        <v>2395.5</v>
      </c>
      <c r="K10" s="1660">
        <v>2360.4405969999998</v>
      </c>
      <c r="L10" s="1659">
        <v>2754.9745040000003</v>
      </c>
      <c r="M10" s="1660">
        <v>2812.7367870000003</v>
      </c>
      <c r="N10" s="1659">
        <v>2891.0596519999999</v>
      </c>
      <c r="O10" s="1660">
        <v>3037.7777310000001</v>
      </c>
      <c r="P10" s="1661"/>
      <c r="Q10" s="1662">
        <v>5.0748893713937093E-2</v>
      </c>
      <c r="R10" s="1663">
        <v>0.23332687637649774</v>
      </c>
      <c r="S10" s="1664"/>
      <c r="T10" s="1659">
        <v>3128.0701190199998</v>
      </c>
    </row>
    <row r="11" spans="1:21" ht="7.5" customHeight="1" thickBot="1">
      <c r="A11" s="2037"/>
      <c r="B11" s="1657"/>
      <c r="C11" s="1657"/>
      <c r="D11" s="1665"/>
      <c r="E11" s="1666"/>
      <c r="F11" s="1665"/>
      <c r="G11" s="1666"/>
      <c r="H11" s="1665"/>
      <c r="I11" s="1666"/>
      <c r="J11" s="1665"/>
      <c r="K11" s="1666"/>
      <c r="L11" s="1665"/>
      <c r="M11" s="1666"/>
      <c r="N11" s="1665"/>
      <c r="O11" s="1666"/>
      <c r="P11" s="1667"/>
      <c r="Q11" s="1668"/>
      <c r="R11" s="1669"/>
      <c r="S11" s="1670"/>
      <c r="T11" s="1671"/>
    </row>
    <row r="12" spans="1:21" ht="16.5" customHeight="1" thickBot="1">
      <c r="A12" s="2037"/>
      <c r="B12" s="1672" t="s">
        <v>1612</v>
      </c>
      <c r="C12" s="1657"/>
      <c r="D12" s="1673">
        <v>72.599999999999739</v>
      </c>
      <c r="E12" s="1674">
        <v>80.999999999998636</v>
      </c>
      <c r="F12" s="1673">
        <v>106.80000000000098</v>
      </c>
      <c r="G12" s="1674">
        <v>50.400000000001</v>
      </c>
      <c r="H12" s="1673">
        <v>32.676882000000205</v>
      </c>
      <c r="I12" s="1674">
        <v>42.130000000000337</v>
      </c>
      <c r="J12" s="1673">
        <v>72.150000000000091</v>
      </c>
      <c r="K12" s="1674">
        <v>58.37477299999955</v>
      </c>
      <c r="L12" s="1673">
        <v>57.557770380000875</v>
      </c>
      <c r="M12" s="1674">
        <v>-94.35827220000283</v>
      </c>
      <c r="N12" s="1673">
        <v>59.529167040640459</v>
      </c>
      <c r="O12" s="1674">
        <v>55.906676890004746</v>
      </c>
      <c r="P12" s="1675"/>
      <c r="Q12" s="1676">
        <v>6.0852357436189997E-2</v>
      </c>
      <c r="R12" s="1677">
        <v>-6.9394049712477535E-2</v>
      </c>
      <c r="S12" s="1678"/>
      <c r="T12" s="1679">
        <v>63.05</v>
      </c>
      <c r="U12" s="1678"/>
    </row>
    <row r="13" spans="1:21" ht="9" customHeight="1" thickBot="1">
      <c r="A13" s="2037"/>
      <c r="B13" s="1657"/>
      <c r="C13" s="1657"/>
      <c r="D13" s="1665"/>
      <c r="E13" s="1666"/>
      <c r="F13" s="1665"/>
      <c r="G13" s="1666"/>
      <c r="H13" s="1665"/>
      <c r="I13" s="1666"/>
      <c r="J13" s="1665"/>
      <c r="K13" s="1666"/>
      <c r="L13" s="1665"/>
      <c r="M13" s="1666"/>
      <c r="N13" s="1665"/>
      <c r="O13" s="1666"/>
      <c r="P13" s="1667"/>
      <c r="Q13" s="1668"/>
      <c r="R13" s="1669"/>
      <c r="S13" s="1670"/>
      <c r="T13" s="1671"/>
      <c r="U13" s="1680"/>
    </row>
    <row r="14" spans="1:21" ht="16.5" customHeight="1" thickBot="1">
      <c r="A14" s="2037"/>
      <c r="B14" s="1672" t="s">
        <v>1613</v>
      </c>
      <c r="C14" s="1657"/>
      <c r="D14" s="1673">
        <v>15175.4</v>
      </c>
      <c r="E14" s="1674">
        <v>15205.7</v>
      </c>
      <c r="F14" s="1673">
        <v>15793.3</v>
      </c>
      <c r="G14" s="1674">
        <v>16032</v>
      </c>
      <c r="H14" s="1673">
        <v>17005.8</v>
      </c>
      <c r="I14" s="1674">
        <v>17958.400000000001</v>
      </c>
      <c r="J14" s="1673">
        <v>18482.7</v>
      </c>
      <c r="K14" s="1674">
        <v>19109.008000000002</v>
      </c>
      <c r="L14" s="1673">
        <v>20160.5</v>
      </c>
      <c r="M14" s="1674">
        <v>21215.51517078</v>
      </c>
      <c r="N14" s="1673">
        <v>21597.781006250643</v>
      </c>
      <c r="O14" s="1674">
        <v>22687.433708100001</v>
      </c>
      <c r="P14" s="1675"/>
      <c r="Q14" s="1676">
        <v>5.0452067345900131E-2</v>
      </c>
      <c r="R14" s="1677">
        <v>4.1068162736287439E-2</v>
      </c>
      <c r="S14" s="1678"/>
      <c r="T14" s="1679">
        <v>23863.954075779999</v>
      </c>
      <c r="U14" s="1678"/>
    </row>
    <row r="15" spans="1:21" ht="8.25" customHeight="1" thickBot="1">
      <c r="A15" s="2037"/>
      <c r="B15" s="1657"/>
      <c r="C15" s="1657"/>
      <c r="D15" s="1665"/>
      <c r="E15" s="1666"/>
      <c r="F15" s="1665"/>
      <c r="G15" s="1666"/>
      <c r="H15" s="1665"/>
      <c r="I15" s="1666"/>
      <c r="J15" s="1665"/>
      <c r="K15" s="1666"/>
      <c r="L15" s="1665"/>
      <c r="M15" s="1666"/>
      <c r="N15" s="1665"/>
      <c r="O15" s="1666"/>
      <c r="P15" s="1667"/>
      <c r="Q15" s="1668"/>
      <c r="R15" s="1669"/>
      <c r="S15" s="1670"/>
      <c r="T15" s="1671"/>
      <c r="U15" s="1680"/>
    </row>
    <row r="16" spans="1:21" ht="16.5" customHeight="1" thickBot="1">
      <c r="A16" s="2037"/>
      <c r="B16" s="1672" t="s">
        <v>1614</v>
      </c>
      <c r="C16" s="1657"/>
      <c r="D16" s="1673">
        <v>1460.8</v>
      </c>
      <c r="E16" s="1674">
        <v>1518</v>
      </c>
      <c r="F16" s="1673">
        <v>1595.6</v>
      </c>
      <c r="G16" s="1674">
        <v>1582.1</v>
      </c>
      <c r="H16" s="1673">
        <v>1600</v>
      </c>
      <c r="I16" s="1674">
        <v>1628.2</v>
      </c>
      <c r="J16" s="1673">
        <v>1616.1</v>
      </c>
      <c r="K16" s="1674">
        <v>1673.1039999999998</v>
      </c>
      <c r="L16" s="1673">
        <v>1731.0519999999999</v>
      </c>
      <c r="M16" s="1674">
        <v>1731.91264505</v>
      </c>
      <c r="N16" s="1673">
        <v>1838.6594218900002</v>
      </c>
      <c r="O16" s="1674">
        <v>1879.9850445800002</v>
      </c>
      <c r="P16" s="1675"/>
      <c r="Q16" s="1676">
        <v>2.2475952967690116E-2</v>
      </c>
      <c r="R16" s="1677">
        <v>1.839084195481111E-2</v>
      </c>
      <c r="S16" s="1678"/>
      <c r="T16" s="1679">
        <v>1977.1243738101948</v>
      </c>
      <c r="U16" s="1678"/>
    </row>
    <row r="17" spans="1:20" ht="8.25" customHeight="1" thickBot="1">
      <c r="A17" s="2037"/>
      <c r="B17" s="1657"/>
      <c r="C17" s="1657"/>
      <c r="D17" s="1681"/>
      <c r="E17" s="1657"/>
      <c r="F17" s="1681"/>
      <c r="G17" s="1657"/>
      <c r="H17" s="1681"/>
      <c r="I17" s="1657"/>
      <c r="J17" s="1681"/>
      <c r="K17" s="1657"/>
      <c r="L17" s="1681"/>
      <c r="M17" s="1657"/>
      <c r="N17" s="1681"/>
      <c r="O17" s="1657"/>
      <c r="P17" s="1682"/>
      <c r="Q17" s="1668"/>
      <c r="R17" s="1669"/>
      <c r="S17" s="1670"/>
      <c r="T17" s="1671"/>
    </row>
    <row r="18" spans="1:20" ht="16.5" customHeight="1" thickBot="1">
      <c r="A18" s="2037"/>
      <c r="B18" s="1672" t="s">
        <v>1615</v>
      </c>
      <c r="C18" s="1657"/>
      <c r="D18" s="1673">
        <v>16636.2</v>
      </c>
      <c r="E18" s="1674">
        <v>16723.7</v>
      </c>
      <c r="F18" s="1673">
        <v>17388.900000000001</v>
      </c>
      <c r="G18" s="1674">
        <v>17614.099999999999</v>
      </c>
      <c r="H18" s="1673">
        <v>18605.8</v>
      </c>
      <c r="I18" s="1674">
        <v>19586.599999999999</v>
      </c>
      <c r="J18" s="1673">
        <v>20098.8</v>
      </c>
      <c r="K18" s="1674">
        <v>20782.112000000001</v>
      </c>
      <c r="L18" s="1673">
        <v>21891.552</v>
      </c>
      <c r="M18" s="1674">
        <v>22947.42781583</v>
      </c>
      <c r="N18" s="1673">
        <v>23436.440428140642</v>
      </c>
      <c r="O18" s="1674">
        <v>24567.418752680001</v>
      </c>
      <c r="P18" s="1683"/>
      <c r="Q18" s="1676">
        <v>4.8257256813682758E-2</v>
      </c>
      <c r="R18" s="1677">
        <v>3.9145544477885874E-2</v>
      </c>
      <c r="S18" s="1675"/>
      <c r="T18" s="1679">
        <v>25841.078449590193</v>
      </c>
    </row>
    <row r="19" spans="1:20" ht="14" thickBot="1">
      <c r="A19" s="2037"/>
      <c r="B19" s="1657"/>
      <c r="C19" s="1658" t="s">
        <v>287</v>
      </c>
      <c r="D19" s="1659">
        <v>11739.7</v>
      </c>
      <c r="E19" s="1660">
        <v>12260.3</v>
      </c>
      <c r="F19" s="1659">
        <v>12798.7</v>
      </c>
      <c r="G19" s="1660">
        <v>13282.2</v>
      </c>
      <c r="H19" s="1659">
        <v>14059.1</v>
      </c>
      <c r="I19" s="1660">
        <v>14886.7</v>
      </c>
      <c r="J19" s="1659">
        <v>15483.3</v>
      </c>
      <c r="K19" s="1660">
        <v>16304.208000000002</v>
      </c>
      <c r="L19" s="1659">
        <v>17379.804</v>
      </c>
      <c r="M19" s="1660">
        <v>18272.676915579999</v>
      </c>
      <c r="N19" s="1659">
        <v>18616.168259350641</v>
      </c>
      <c r="O19" s="1660">
        <v>19476.572300669999</v>
      </c>
      <c r="P19" s="1661"/>
      <c r="Q19" s="1662">
        <v>4.6218106182360552E-2</v>
      </c>
      <c r="R19" s="1663">
        <v>4.7757409845978538E-2</v>
      </c>
      <c r="S19" s="1664"/>
      <c r="T19" s="1684">
        <v>20539.332863065087</v>
      </c>
    </row>
    <row r="20" spans="1:20" ht="14" thickBot="1">
      <c r="A20" s="2037"/>
      <c r="B20" s="1657"/>
      <c r="C20" s="1658" t="s">
        <v>313</v>
      </c>
      <c r="D20" s="1659">
        <v>4375.2</v>
      </c>
      <c r="E20" s="1660">
        <v>3892.3</v>
      </c>
      <c r="F20" s="1659">
        <v>4038.2</v>
      </c>
      <c r="G20" s="1660">
        <v>3415.2</v>
      </c>
      <c r="H20" s="1659">
        <v>2646.1</v>
      </c>
      <c r="I20" s="1660">
        <v>1875.9</v>
      </c>
      <c r="J20" s="1659">
        <v>1740.9</v>
      </c>
      <c r="K20" s="1660">
        <v>1645.404</v>
      </c>
      <c r="L20" s="1659">
        <v>1205.748</v>
      </c>
      <c r="M20" s="1660">
        <v>1392.2470854699995</v>
      </c>
      <c r="N20" s="1659">
        <v>1351.0005863899996</v>
      </c>
      <c r="O20" s="1660">
        <v>1445.5131748099991</v>
      </c>
      <c r="P20" s="1661"/>
      <c r="Q20" s="1662">
        <v>6.9957474017495525E-2</v>
      </c>
      <c r="R20" s="1663">
        <v>-0.10787435133780254</v>
      </c>
      <c r="S20" s="1664"/>
      <c r="T20" s="1684">
        <v>1534.7273640089197</v>
      </c>
    </row>
    <row r="21" spans="1:20" ht="14" thickBot="1">
      <c r="A21" s="2037"/>
      <c r="B21" s="1657"/>
      <c r="C21" s="1658" t="s">
        <v>1569</v>
      </c>
      <c r="D21" s="1659">
        <v>521.29999999999995</v>
      </c>
      <c r="E21" s="1660">
        <v>571.1</v>
      </c>
      <c r="F21" s="1659">
        <v>552</v>
      </c>
      <c r="G21" s="1660">
        <v>916.7</v>
      </c>
      <c r="H21" s="1659">
        <v>1900.6</v>
      </c>
      <c r="I21" s="1660">
        <v>2824</v>
      </c>
      <c r="J21" s="1659">
        <v>2874.6</v>
      </c>
      <c r="K21" s="1660">
        <v>2832.5</v>
      </c>
      <c r="L21" s="1659">
        <v>3306</v>
      </c>
      <c r="M21" s="1660">
        <v>3282.5038147800005</v>
      </c>
      <c r="N21" s="1659">
        <v>3469.2715824000006</v>
      </c>
      <c r="O21" s="1660">
        <v>3645.3332772000026</v>
      </c>
      <c r="P21" s="1661"/>
      <c r="Q21" s="1662">
        <v>5.0748893713937759E-2</v>
      </c>
      <c r="R21" s="1663">
        <v>0.23335666400284238</v>
      </c>
      <c r="S21" s="1664"/>
      <c r="T21" s="1684">
        <v>3767.0182225161871</v>
      </c>
    </row>
    <row r="22" spans="1:20" ht="14" thickBot="1">
      <c r="A22" s="2037"/>
      <c r="B22" s="1657"/>
      <c r="C22" s="1658"/>
      <c r="D22" s="1685"/>
      <c r="E22" s="1686"/>
      <c r="F22" s="1685"/>
      <c r="G22" s="1686"/>
      <c r="H22" s="1685"/>
      <c r="I22" s="1686"/>
      <c r="J22" s="1685"/>
      <c r="K22" s="1686"/>
      <c r="L22" s="1685"/>
      <c r="M22" s="1686"/>
      <c r="N22" s="1685"/>
      <c r="O22" s="1686"/>
      <c r="P22" s="1687"/>
      <c r="Q22" s="1688"/>
      <c r="R22" s="1689"/>
      <c r="S22" s="1690"/>
      <c r="T22" s="1691"/>
    </row>
    <row r="23" spans="1:20" ht="17.25" customHeight="1" thickBot="1">
      <c r="A23" s="2037"/>
      <c r="B23" s="1672" t="s">
        <v>1616</v>
      </c>
      <c r="C23" s="1657"/>
      <c r="D23" s="1673">
        <v>1770.8</v>
      </c>
      <c r="E23" s="1674">
        <v>1884.4</v>
      </c>
      <c r="F23" s="1673">
        <v>2155</v>
      </c>
      <c r="G23" s="1674">
        <v>2249.6</v>
      </c>
      <c r="H23" s="1673">
        <v>2343.1</v>
      </c>
      <c r="I23" s="1674">
        <v>2428.2489999999998</v>
      </c>
      <c r="J23" s="1673">
        <v>2541</v>
      </c>
      <c r="K23" s="1674">
        <v>2627.5</v>
      </c>
      <c r="L23" s="1673">
        <v>2868.2</v>
      </c>
      <c r="M23" s="1674">
        <v>3031.6779155400004</v>
      </c>
      <c r="N23" s="1673">
        <v>3081.5039062299998</v>
      </c>
      <c r="O23" s="1674">
        <v>3200.9812532199999</v>
      </c>
      <c r="P23" s="1683"/>
      <c r="Q23" s="1676">
        <v>3.8772414582518566E-2</v>
      </c>
      <c r="R23" s="1677">
        <v>4.4943654204782524E-2</v>
      </c>
      <c r="S23" s="1675"/>
      <c r="T23" s="1673">
        <v>3337.6332843099999</v>
      </c>
    </row>
    <row r="24" spans="1:20" ht="14" thickBot="1">
      <c r="A24" s="2037"/>
      <c r="B24" s="1657"/>
      <c r="C24" s="1658" t="s">
        <v>287</v>
      </c>
      <c r="D24" s="1659">
        <v>1678.5</v>
      </c>
      <c r="E24" s="1660">
        <v>1778</v>
      </c>
      <c r="F24" s="1659">
        <v>2097.1999999999998</v>
      </c>
      <c r="G24" s="1660">
        <v>2189.9</v>
      </c>
      <c r="H24" s="1659">
        <v>2288</v>
      </c>
      <c r="I24" s="1660">
        <v>2400.1889999999999</v>
      </c>
      <c r="J24" s="1659">
        <v>2502.83</v>
      </c>
      <c r="K24" s="1660">
        <v>2588.5</v>
      </c>
      <c r="L24" s="1659">
        <v>2832.3</v>
      </c>
      <c r="M24" s="1660">
        <v>2994.9866096700002</v>
      </c>
      <c r="N24" s="1659">
        <v>3038.7113187199998</v>
      </c>
      <c r="O24" s="1660">
        <v>3155.0668707</v>
      </c>
      <c r="P24" s="1661"/>
      <c r="Q24" s="1662">
        <v>3.829108453415464E-2</v>
      </c>
      <c r="R24" s="1663">
        <v>4.6423864437470375E-2</v>
      </c>
      <c r="S24" s="1664"/>
      <c r="T24" s="1659">
        <v>3290.4542289599999</v>
      </c>
    </row>
    <row r="25" spans="1:20" ht="14" thickBot="1">
      <c r="A25" s="2037"/>
      <c r="B25" s="1657"/>
      <c r="C25" s="1658" t="s">
        <v>313</v>
      </c>
      <c r="D25" s="1659">
        <v>92.3</v>
      </c>
      <c r="E25" s="1660">
        <v>106.4</v>
      </c>
      <c r="F25" s="1659">
        <v>57.8</v>
      </c>
      <c r="G25" s="1660">
        <v>59.7</v>
      </c>
      <c r="H25" s="1659">
        <v>55.1</v>
      </c>
      <c r="I25" s="1660">
        <v>28.06</v>
      </c>
      <c r="J25" s="1659">
        <v>38.17</v>
      </c>
      <c r="K25" s="1660">
        <v>39</v>
      </c>
      <c r="L25" s="1659">
        <v>35.9</v>
      </c>
      <c r="M25" s="1660">
        <v>36.691305870000001</v>
      </c>
      <c r="N25" s="1659">
        <v>42.792587509999997</v>
      </c>
      <c r="O25" s="1660">
        <v>45.914382520000004</v>
      </c>
      <c r="P25" s="1661"/>
      <c r="Q25" s="1662">
        <v>7.2951770193155241E-2</v>
      </c>
      <c r="R25" s="1663">
        <v>-2.5254559973464596E-2</v>
      </c>
      <c r="S25" s="1664"/>
      <c r="T25" s="1659">
        <v>47.179055349999999</v>
      </c>
    </row>
    <row r="26" spans="1:20" ht="14" thickBot="1">
      <c r="A26" s="2037"/>
      <c r="B26" s="1657"/>
      <c r="C26" s="1658" t="s">
        <v>1569</v>
      </c>
      <c r="D26" s="1659">
        <v>0</v>
      </c>
      <c r="E26" s="1660">
        <v>0</v>
      </c>
      <c r="F26" s="1659">
        <v>0</v>
      </c>
      <c r="G26" s="1660">
        <v>0</v>
      </c>
      <c r="H26" s="1659">
        <v>0</v>
      </c>
      <c r="I26" s="1660">
        <v>0</v>
      </c>
      <c r="J26" s="1659">
        <v>0</v>
      </c>
      <c r="K26" s="1660">
        <v>0</v>
      </c>
      <c r="L26" s="1659">
        <v>0</v>
      </c>
      <c r="M26" s="1660">
        <v>0</v>
      </c>
      <c r="N26" s="1659">
        <v>0</v>
      </c>
      <c r="O26" s="1660">
        <v>0</v>
      </c>
      <c r="P26" s="1661"/>
      <c r="Q26" s="1662" t="s">
        <v>1060</v>
      </c>
      <c r="R26" s="1663" t="s">
        <v>1060</v>
      </c>
      <c r="S26" s="1664"/>
      <c r="T26" s="1659">
        <v>0</v>
      </c>
    </row>
    <row r="27" spans="1:20" ht="14" thickBot="1">
      <c r="A27" s="2037"/>
      <c r="B27" s="1657"/>
      <c r="C27" s="1658"/>
      <c r="D27" s="1685"/>
      <c r="E27" s="1686"/>
      <c r="F27" s="1685"/>
      <c r="G27" s="1686"/>
      <c r="H27" s="1685"/>
      <c r="I27" s="1686"/>
      <c r="J27" s="1685"/>
      <c r="K27" s="1686"/>
      <c r="L27" s="1685"/>
      <c r="M27" s="1686"/>
      <c r="N27" s="1685"/>
      <c r="O27" s="1686"/>
      <c r="P27" s="1687"/>
      <c r="Q27" s="1688"/>
      <c r="R27" s="1689"/>
      <c r="S27" s="1690"/>
      <c r="T27" s="1691"/>
    </row>
    <row r="28" spans="1:20" ht="17.25" customHeight="1" thickBot="1">
      <c r="A28" s="2037"/>
      <c r="B28" s="1672" t="s">
        <v>377</v>
      </c>
      <c r="C28" s="1657"/>
      <c r="D28" s="1692">
        <v>18407</v>
      </c>
      <c r="E28" s="1693">
        <v>18608.099999999999</v>
      </c>
      <c r="F28" s="1692">
        <v>19543.900000000001</v>
      </c>
      <c r="G28" s="1693">
        <v>19863.7</v>
      </c>
      <c r="H28" s="1692">
        <v>20948.900000000001</v>
      </c>
      <c r="I28" s="1693">
        <v>22014.849000000002</v>
      </c>
      <c r="J28" s="1692">
        <v>22639.8</v>
      </c>
      <c r="K28" s="1693">
        <v>23409.612000000001</v>
      </c>
      <c r="L28" s="1692">
        <v>24759.752</v>
      </c>
      <c r="M28" s="1693">
        <v>25979.10573137</v>
      </c>
      <c r="N28" s="1692">
        <v>26517.944334370641</v>
      </c>
      <c r="O28" s="1693">
        <v>27768.400005900003</v>
      </c>
      <c r="P28" s="1694"/>
      <c r="Q28" s="1695">
        <v>4.7155075663561696E-2</v>
      </c>
      <c r="R28" s="1696">
        <v>3.9797687458370312E-2</v>
      </c>
      <c r="S28" s="1697"/>
      <c r="T28" s="1698">
        <v>29178.711733900192</v>
      </c>
    </row>
    <row r="29" spans="1:20" ht="14" thickBot="1">
      <c r="A29" s="2037"/>
      <c r="B29" s="1657"/>
      <c r="C29" s="1658" t="s">
        <v>287</v>
      </c>
      <c r="D29" s="1699">
        <v>13418.2</v>
      </c>
      <c r="E29" s="1700">
        <v>14038.3</v>
      </c>
      <c r="F29" s="1699">
        <v>14895.9</v>
      </c>
      <c r="G29" s="1700">
        <v>15472.1</v>
      </c>
      <c r="H29" s="1699">
        <v>16347.1</v>
      </c>
      <c r="I29" s="1700">
        <v>17286.888999999999</v>
      </c>
      <c r="J29" s="1699">
        <v>17986.13</v>
      </c>
      <c r="K29" s="1700">
        <v>18892.708000000002</v>
      </c>
      <c r="L29" s="1699">
        <v>20212.103999999999</v>
      </c>
      <c r="M29" s="1700">
        <v>21267.663525249998</v>
      </c>
      <c r="N29" s="1699">
        <v>21654.879578070642</v>
      </c>
      <c r="O29" s="1700">
        <v>22631.63917137</v>
      </c>
      <c r="P29" s="1701"/>
      <c r="Q29" s="1702">
        <v>4.510575040502629E-2</v>
      </c>
      <c r="R29" s="1703">
        <v>4.7570479096234353E-2</v>
      </c>
      <c r="S29" s="1704"/>
      <c r="T29" s="1705">
        <v>23829.787092025086</v>
      </c>
    </row>
    <row r="30" spans="1:20" ht="14" thickBot="1">
      <c r="A30" s="2037"/>
      <c r="B30" s="1657"/>
      <c r="C30" s="1658" t="s">
        <v>313</v>
      </c>
      <c r="D30" s="1699">
        <v>4467.5</v>
      </c>
      <c r="E30" s="1700">
        <v>3998.7</v>
      </c>
      <c r="F30" s="1699">
        <v>4096</v>
      </c>
      <c r="G30" s="1700">
        <v>3474.9</v>
      </c>
      <c r="H30" s="1699">
        <v>2701.2</v>
      </c>
      <c r="I30" s="1700">
        <v>1903.96</v>
      </c>
      <c r="J30" s="1699">
        <v>1779.07</v>
      </c>
      <c r="K30" s="1700">
        <v>1684.404</v>
      </c>
      <c r="L30" s="1699">
        <v>1241.6480000000001</v>
      </c>
      <c r="M30" s="1700">
        <v>1428.9383913399995</v>
      </c>
      <c r="N30" s="1699">
        <v>1393.7931738999996</v>
      </c>
      <c r="O30" s="1700">
        <v>1491.4275573299992</v>
      </c>
      <c r="P30" s="1701"/>
      <c r="Q30" s="1702">
        <v>7.0049405649481589E-2</v>
      </c>
      <c r="R30" s="1703">
        <v>-0.10618192042246399</v>
      </c>
      <c r="S30" s="1704"/>
      <c r="T30" s="1705">
        <v>1581.9064193589197</v>
      </c>
    </row>
    <row r="31" spans="1:20">
      <c r="A31" s="2037"/>
      <c r="B31" s="1706"/>
      <c r="C31" s="1707" t="s">
        <v>1569</v>
      </c>
      <c r="D31" s="1708">
        <v>521.29999999999995</v>
      </c>
      <c r="E31" s="1709">
        <v>571.1</v>
      </c>
      <c r="F31" s="1708">
        <v>552</v>
      </c>
      <c r="G31" s="1709">
        <v>916.7</v>
      </c>
      <c r="H31" s="1708">
        <v>1900.6</v>
      </c>
      <c r="I31" s="1709">
        <v>2824</v>
      </c>
      <c r="J31" s="1708">
        <v>2874.6</v>
      </c>
      <c r="K31" s="1709">
        <v>2832.5</v>
      </c>
      <c r="L31" s="1708">
        <v>3306</v>
      </c>
      <c r="M31" s="1709">
        <v>3282.5038147800005</v>
      </c>
      <c r="N31" s="1708">
        <v>3469.2715824000006</v>
      </c>
      <c r="O31" s="1709">
        <v>3645.3332772000026</v>
      </c>
      <c r="P31" s="1710"/>
      <c r="Q31" s="1711">
        <v>5.0748893713937759E-2</v>
      </c>
      <c r="R31" s="1712">
        <v>0.23335666400284238</v>
      </c>
      <c r="S31" s="1713"/>
      <c r="T31" s="1714">
        <v>3767.0182225161871</v>
      </c>
    </row>
    <row r="32" spans="1:20" ht="8.25" customHeight="1">
      <c r="A32" s="1615"/>
      <c r="B32" s="1715"/>
      <c r="C32" s="1716"/>
      <c r="D32" s="1717"/>
      <c r="E32" s="1717"/>
      <c r="F32" s="1717"/>
      <c r="G32" s="1717"/>
      <c r="H32" s="1717"/>
      <c r="I32" s="1718"/>
      <c r="J32" s="1718"/>
      <c r="K32" s="1718"/>
      <c r="L32" s="1718"/>
      <c r="M32" s="1718"/>
      <c r="N32" s="1718"/>
      <c r="O32" s="1718"/>
      <c r="P32" s="1718"/>
      <c r="Q32" s="1719"/>
      <c r="R32" s="1720"/>
      <c r="S32" s="1719"/>
      <c r="T32" s="1721"/>
    </row>
    <row r="33" spans="1:20" ht="8.25" customHeight="1">
      <c r="A33" s="1615"/>
      <c r="B33" s="1722"/>
      <c r="C33" s="1723"/>
      <c r="D33" s="1724"/>
      <c r="E33" s="1724"/>
      <c r="F33" s="1724"/>
      <c r="G33" s="1724"/>
      <c r="H33" s="1724"/>
      <c r="I33" s="1725"/>
      <c r="J33" s="1725"/>
      <c r="K33" s="1725"/>
      <c r="L33" s="1725"/>
      <c r="M33" s="1725"/>
      <c r="N33" s="1725"/>
      <c r="O33" s="1725"/>
      <c r="P33" s="1725"/>
      <c r="Q33" s="1726"/>
      <c r="R33" s="1727"/>
      <c r="S33" s="1726"/>
      <c r="T33" s="1728"/>
    </row>
    <row r="34" spans="1:20" ht="15.75" customHeight="1" thickBot="1">
      <c r="A34" s="2034" t="s">
        <v>1893</v>
      </c>
      <c r="B34" s="1649" t="s">
        <v>1617</v>
      </c>
      <c r="C34" s="1650"/>
      <c r="D34" s="1651">
        <v>16013.1</v>
      </c>
      <c r="E34" s="1652">
        <v>16937.3</v>
      </c>
      <c r="F34" s="1651">
        <v>17695.3</v>
      </c>
      <c r="G34" s="1652">
        <v>17814.400000000001</v>
      </c>
      <c r="H34" s="1651">
        <v>18506.971013000002</v>
      </c>
      <c r="I34" s="1652">
        <v>19132.22</v>
      </c>
      <c r="J34" s="1651">
        <v>20686.96</v>
      </c>
      <c r="K34" s="1652">
        <v>22048.513701</v>
      </c>
      <c r="L34" s="1651">
        <v>23360.39678399</v>
      </c>
      <c r="M34" s="1652">
        <v>23865.649597220003</v>
      </c>
      <c r="N34" s="1651">
        <v>24817.983544449999</v>
      </c>
      <c r="O34" s="1652">
        <v>25247.301839669999</v>
      </c>
      <c r="P34" s="1653"/>
      <c r="Q34" s="1654">
        <v>1.7298677567864296E-2</v>
      </c>
      <c r="R34" s="1655">
        <v>4.0281277858035702E-2</v>
      </c>
      <c r="S34" s="1656"/>
      <c r="T34" s="1651">
        <v>25543.38584368</v>
      </c>
    </row>
    <row r="35" spans="1:20" ht="15.75" customHeight="1" thickBot="1">
      <c r="A35" s="2035"/>
      <c r="B35" s="1657"/>
      <c r="C35" s="1658" t="s">
        <v>1618</v>
      </c>
      <c r="D35" s="1659">
        <v>11035.2</v>
      </c>
      <c r="E35" s="1660">
        <v>11924.8</v>
      </c>
      <c r="F35" s="1659">
        <v>12604.2</v>
      </c>
      <c r="G35" s="1660">
        <v>12949.5</v>
      </c>
      <c r="H35" s="1659">
        <v>13346.689</v>
      </c>
      <c r="I35" s="1660">
        <v>13954.72</v>
      </c>
      <c r="J35" s="1659">
        <v>15296.16</v>
      </c>
      <c r="K35" s="1660">
        <v>16759.707467</v>
      </c>
      <c r="L35" s="1659">
        <v>17979.586842000001</v>
      </c>
      <c r="M35" s="1660">
        <v>18442.676721830001</v>
      </c>
      <c r="N35" s="1659">
        <v>19234.85838514</v>
      </c>
      <c r="O35" s="1660">
        <v>19629.610287169999</v>
      </c>
      <c r="P35" s="1661"/>
      <c r="Q35" s="1662">
        <v>2.0522735032713735E-2</v>
      </c>
      <c r="R35" s="1663">
        <v>5.0454816830344695E-2</v>
      </c>
      <c r="S35" s="1664"/>
      <c r="T35" s="1659">
        <v>19621.43996068</v>
      </c>
    </row>
    <row r="36" spans="1:20" ht="14" thickBot="1">
      <c r="A36" s="2035"/>
      <c r="B36" s="1657"/>
      <c r="C36" s="1658" t="s">
        <v>313</v>
      </c>
      <c r="D36" s="1659">
        <v>4337.5</v>
      </c>
      <c r="E36" s="1660">
        <v>4410.6000000000004</v>
      </c>
      <c r="F36" s="1659">
        <v>4453.3</v>
      </c>
      <c r="G36" s="1660">
        <v>3766.7</v>
      </c>
      <c r="H36" s="1659">
        <v>2917.3519609999998</v>
      </c>
      <c r="I36" s="1660">
        <v>1987</v>
      </c>
      <c r="J36" s="1659">
        <v>1958.4</v>
      </c>
      <c r="K36" s="1660">
        <v>1882.6076640000001</v>
      </c>
      <c r="L36" s="1659">
        <v>1358.7895999899999</v>
      </c>
      <c r="M36" s="1660">
        <v>1397.6693543900001</v>
      </c>
      <c r="N36" s="1659">
        <v>1384.0624223099999</v>
      </c>
      <c r="O36" s="1660">
        <v>1410.6232075</v>
      </c>
      <c r="P36" s="1661"/>
      <c r="Q36" s="1662">
        <v>1.9190453235245153E-2</v>
      </c>
      <c r="R36" s="1663">
        <v>-0.11991331112683845</v>
      </c>
      <c r="S36" s="1664"/>
      <c r="T36" s="1659">
        <v>1412.4505677400002</v>
      </c>
    </row>
    <row r="37" spans="1:20" ht="14" thickBot="1">
      <c r="A37" s="2035"/>
      <c r="B37" s="1657"/>
      <c r="C37" s="1658" t="s">
        <v>1569</v>
      </c>
      <c r="D37" s="1659">
        <v>640.4</v>
      </c>
      <c r="E37" s="1660">
        <v>601.9</v>
      </c>
      <c r="F37" s="1659">
        <v>637.79999999999995</v>
      </c>
      <c r="G37" s="1660">
        <v>1098.2</v>
      </c>
      <c r="H37" s="1659">
        <v>2242.9300519999997</v>
      </c>
      <c r="I37" s="1660">
        <v>3190.5</v>
      </c>
      <c r="J37" s="1659">
        <v>3432.4</v>
      </c>
      <c r="K37" s="1660">
        <v>3406.1985699999996</v>
      </c>
      <c r="L37" s="1659">
        <v>4022.0203419999989</v>
      </c>
      <c r="M37" s="1660">
        <v>4025.3035210000007</v>
      </c>
      <c r="N37" s="1659">
        <v>4199.0627370000002</v>
      </c>
      <c r="O37" s="1660">
        <v>4207.0683449999997</v>
      </c>
      <c r="P37" s="1661"/>
      <c r="Q37" s="1662">
        <v>1.9065225983545542E-3</v>
      </c>
      <c r="R37" s="1663">
        <v>0.23319792016295859</v>
      </c>
      <c r="S37" s="1664"/>
      <c r="T37" s="1659">
        <v>4509.4953152600001</v>
      </c>
    </row>
    <row r="38" spans="1:20" ht="9.75" customHeight="1" thickBot="1">
      <c r="A38" s="2035"/>
      <c r="B38" s="1657"/>
      <c r="C38" s="1658"/>
      <c r="D38" s="1659"/>
      <c r="E38" s="1660"/>
      <c r="F38" s="1659"/>
      <c r="G38" s="1660"/>
      <c r="H38" s="1659"/>
      <c r="I38" s="1660"/>
      <c r="J38" s="1659"/>
      <c r="K38" s="1660"/>
      <c r="L38" s="1659"/>
      <c r="M38" s="1660"/>
      <c r="N38" s="1659"/>
      <c r="O38" s="1660"/>
      <c r="P38" s="1661"/>
      <c r="Q38" s="1662"/>
      <c r="R38" s="1663"/>
      <c r="S38" s="1664"/>
      <c r="T38" s="1729"/>
    </row>
    <row r="39" spans="1:20" ht="17.25" customHeight="1" thickBot="1">
      <c r="A39" s="2035"/>
      <c r="B39" s="1672" t="s">
        <v>1616</v>
      </c>
      <c r="C39" s="1657"/>
      <c r="D39" s="1673">
        <v>1770.8</v>
      </c>
      <c r="E39" s="1674">
        <v>1884.4</v>
      </c>
      <c r="F39" s="1673">
        <v>2155</v>
      </c>
      <c r="G39" s="1674">
        <v>2249.6</v>
      </c>
      <c r="H39" s="1673">
        <v>2343.1</v>
      </c>
      <c r="I39" s="1674">
        <v>2428.2489999999998</v>
      </c>
      <c r="J39" s="1673">
        <v>2541</v>
      </c>
      <c r="K39" s="1674">
        <v>2627.5</v>
      </c>
      <c r="L39" s="1673">
        <v>2868.2</v>
      </c>
      <c r="M39" s="1674">
        <v>3031.6779155400004</v>
      </c>
      <c r="N39" s="1673">
        <v>3081.5039062299998</v>
      </c>
      <c r="O39" s="1674">
        <v>3200.9812532199999</v>
      </c>
      <c r="P39" s="1683"/>
      <c r="Q39" s="1676">
        <v>3.8772414582518566E-2</v>
      </c>
      <c r="R39" s="1677">
        <v>4.4943654204782524E-2</v>
      </c>
      <c r="S39" s="1675"/>
      <c r="T39" s="1673">
        <v>3337.6332843099999</v>
      </c>
    </row>
    <row r="40" spans="1:20" ht="14" thickBot="1">
      <c r="A40" s="2035"/>
      <c r="B40" s="1657"/>
      <c r="C40" s="1658" t="s">
        <v>287</v>
      </c>
      <c r="D40" s="1659">
        <v>1678.5</v>
      </c>
      <c r="E40" s="1660">
        <v>1778</v>
      </c>
      <c r="F40" s="1659">
        <v>2097.1999999999998</v>
      </c>
      <c r="G40" s="1660">
        <v>2189.9</v>
      </c>
      <c r="H40" s="1659">
        <v>2288</v>
      </c>
      <c r="I40" s="1660">
        <v>2400.1889999999999</v>
      </c>
      <c r="J40" s="1659">
        <v>2502.83</v>
      </c>
      <c r="K40" s="1660">
        <v>2588.5</v>
      </c>
      <c r="L40" s="1659">
        <v>2832.3</v>
      </c>
      <c r="M40" s="1660">
        <v>2994.9866096700002</v>
      </c>
      <c r="N40" s="1659">
        <v>3038.7113187199998</v>
      </c>
      <c r="O40" s="1660">
        <v>3155.0668707</v>
      </c>
      <c r="P40" s="1661"/>
      <c r="Q40" s="1662">
        <v>3.829108453415464E-2</v>
      </c>
      <c r="R40" s="1663">
        <v>4.6423864437470375E-2</v>
      </c>
      <c r="S40" s="1664"/>
      <c r="T40" s="1659">
        <v>3290.4542289599999</v>
      </c>
    </row>
    <row r="41" spans="1:20" ht="14" thickBot="1">
      <c r="A41" s="2035"/>
      <c r="B41" s="1657"/>
      <c r="C41" s="1658" t="s">
        <v>313</v>
      </c>
      <c r="D41" s="1659">
        <v>92.3</v>
      </c>
      <c r="E41" s="1660">
        <v>106.4</v>
      </c>
      <c r="F41" s="1659">
        <v>57.8</v>
      </c>
      <c r="G41" s="1660">
        <v>59.7</v>
      </c>
      <c r="H41" s="1659">
        <v>55.1</v>
      </c>
      <c r="I41" s="1660">
        <v>28.06</v>
      </c>
      <c r="J41" s="1659">
        <v>38.17</v>
      </c>
      <c r="K41" s="1660">
        <v>39</v>
      </c>
      <c r="L41" s="1659">
        <v>35.9</v>
      </c>
      <c r="M41" s="1660">
        <v>36.691305870000001</v>
      </c>
      <c r="N41" s="1659">
        <v>42.792587509999997</v>
      </c>
      <c r="O41" s="1660">
        <v>45.914382520000004</v>
      </c>
      <c r="P41" s="1661"/>
      <c r="Q41" s="1662">
        <v>7.2951770193155241E-2</v>
      </c>
      <c r="R41" s="1663">
        <v>-2.5254559973464596E-2</v>
      </c>
      <c r="S41" s="1664"/>
      <c r="T41" s="1659">
        <v>47.179055349999999</v>
      </c>
    </row>
    <row r="42" spans="1:20" ht="14" thickBot="1">
      <c r="A42" s="2035"/>
      <c r="B42" s="1657"/>
      <c r="C42" s="1658" t="s">
        <v>1569</v>
      </c>
      <c r="D42" s="1659">
        <v>0</v>
      </c>
      <c r="E42" s="1660">
        <v>0</v>
      </c>
      <c r="F42" s="1659">
        <v>0</v>
      </c>
      <c r="G42" s="1660">
        <v>0</v>
      </c>
      <c r="H42" s="1659">
        <v>0</v>
      </c>
      <c r="I42" s="1660">
        <v>0</v>
      </c>
      <c r="J42" s="1659">
        <v>0</v>
      </c>
      <c r="K42" s="1660">
        <v>0</v>
      </c>
      <c r="L42" s="1659">
        <v>0</v>
      </c>
      <c r="M42" s="1660">
        <v>0</v>
      </c>
      <c r="N42" s="1659">
        <v>0</v>
      </c>
      <c r="O42" s="1660">
        <v>0</v>
      </c>
      <c r="P42" s="1661"/>
      <c r="Q42" s="1662" t="s">
        <v>1060</v>
      </c>
      <c r="R42" s="1663" t="s">
        <v>1060</v>
      </c>
      <c r="S42" s="1664"/>
      <c r="T42" s="1659">
        <v>0</v>
      </c>
    </row>
    <row r="43" spans="1:20" ht="14" thickBot="1">
      <c r="A43" s="1730"/>
      <c r="B43" s="1657"/>
      <c r="C43" s="1657"/>
      <c r="D43" s="1665"/>
      <c r="E43" s="1666"/>
      <c r="F43" s="1665"/>
      <c r="G43" s="1666"/>
      <c r="H43" s="1665"/>
      <c r="I43" s="1666"/>
      <c r="J43" s="1665"/>
      <c r="K43" s="1666"/>
      <c r="L43" s="1665"/>
      <c r="M43" s="1666"/>
      <c r="N43" s="1665"/>
      <c r="O43" s="1666"/>
      <c r="P43" s="1667"/>
      <c r="Q43" s="1668"/>
      <c r="R43" s="1669"/>
      <c r="S43" s="1670"/>
      <c r="T43" s="1731"/>
    </row>
    <row r="44" spans="1:20" ht="17.25" customHeight="1" thickBot="1">
      <c r="A44" s="1730"/>
      <c r="B44" s="1672" t="s">
        <v>1619</v>
      </c>
      <c r="C44" s="1657"/>
      <c r="D44" s="1692">
        <v>17783.900000000001</v>
      </c>
      <c r="E44" s="1693">
        <v>18821.7</v>
      </c>
      <c r="F44" s="1692">
        <v>19850.3</v>
      </c>
      <c r="G44" s="1693">
        <v>20064</v>
      </c>
      <c r="H44" s="1692">
        <v>20850.071013000001</v>
      </c>
      <c r="I44" s="1693">
        <v>21560.469000000001</v>
      </c>
      <c r="J44" s="1692">
        <v>23227.96</v>
      </c>
      <c r="K44" s="1693">
        <v>24676.013701</v>
      </c>
      <c r="L44" s="1692">
        <v>26228.59678399</v>
      </c>
      <c r="M44" s="1693">
        <v>26897.327512760003</v>
      </c>
      <c r="N44" s="1692">
        <v>27899.487450679997</v>
      </c>
      <c r="O44" s="1693">
        <v>28448.28309289</v>
      </c>
      <c r="P44" s="1694"/>
      <c r="Q44" s="1695">
        <v>1.9670456067701902E-2</v>
      </c>
      <c r="R44" s="1696">
        <v>4.0795588891706203E-2</v>
      </c>
      <c r="S44" s="1697"/>
      <c r="T44" s="1732">
        <v>28881.019127989999</v>
      </c>
    </row>
    <row r="45" spans="1:20" ht="14" thickBot="1">
      <c r="A45" s="1730"/>
      <c r="B45" s="1657"/>
      <c r="C45" s="1658" t="s">
        <v>287</v>
      </c>
      <c r="D45" s="1699">
        <v>12713.7</v>
      </c>
      <c r="E45" s="1700">
        <v>13702.8</v>
      </c>
      <c r="F45" s="1699">
        <v>14701.4</v>
      </c>
      <c r="G45" s="1700">
        <v>15139.4</v>
      </c>
      <c r="H45" s="1699">
        <v>15634.689</v>
      </c>
      <c r="I45" s="1700">
        <v>16354.909</v>
      </c>
      <c r="J45" s="1699">
        <v>17798.990000000002</v>
      </c>
      <c r="K45" s="1700">
        <v>19348.207467</v>
      </c>
      <c r="L45" s="1699">
        <v>20811.886842</v>
      </c>
      <c r="M45" s="1700">
        <v>21437.6633315</v>
      </c>
      <c r="N45" s="1699">
        <v>22273.569703860001</v>
      </c>
      <c r="O45" s="1700">
        <v>22784.677157869999</v>
      </c>
      <c r="P45" s="1701"/>
      <c r="Q45" s="1702">
        <v>2.2946813681213429E-2</v>
      </c>
      <c r="R45" s="1703">
        <v>4.9887311960190139E-2</v>
      </c>
      <c r="S45" s="1704"/>
      <c r="T45" s="1733">
        <v>22911.894189639999</v>
      </c>
    </row>
    <row r="46" spans="1:20" ht="14" thickBot="1">
      <c r="A46" s="1730"/>
      <c r="B46" s="1657"/>
      <c r="C46" s="1658" t="s">
        <v>313</v>
      </c>
      <c r="D46" s="1699">
        <v>4429.8</v>
      </c>
      <c r="E46" s="1700">
        <v>4517</v>
      </c>
      <c r="F46" s="1699">
        <v>4511.1000000000004</v>
      </c>
      <c r="G46" s="1700">
        <v>3826.4</v>
      </c>
      <c r="H46" s="1699">
        <v>2972.4519609999998</v>
      </c>
      <c r="I46" s="1700">
        <v>2015.06</v>
      </c>
      <c r="J46" s="1699">
        <v>1996.57</v>
      </c>
      <c r="K46" s="1700">
        <v>1921.6076640000001</v>
      </c>
      <c r="L46" s="1699">
        <v>1394.68959999</v>
      </c>
      <c r="M46" s="1700">
        <v>1434.36066026</v>
      </c>
      <c r="N46" s="1699">
        <v>1426.8550098199999</v>
      </c>
      <c r="O46" s="1700">
        <v>1456.5375900200002</v>
      </c>
      <c r="P46" s="1701"/>
      <c r="Q46" s="1702">
        <v>2.0802800561876778E-2</v>
      </c>
      <c r="R46" s="1703">
        <v>-0.11804017064671901</v>
      </c>
      <c r="S46" s="1704"/>
      <c r="T46" s="1733">
        <v>1459.6296230900002</v>
      </c>
    </row>
    <row r="47" spans="1:20">
      <c r="A47" s="1730"/>
      <c r="B47" s="1706"/>
      <c r="C47" s="1707" t="s">
        <v>1569</v>
      </c>
      <c r="D47" s="1708">
        <v>640.4</v>
      </c>
      <c r="E47" s="1709">
        <v>601.9</v>
      </c>
      <c r="F47" s="1708">
        <v>637.79999999999995</v>
      </c>
      <c r="G47" s="1709">
        <v>1098.2</v>
      </c>
      <c r="H47" s="1708">
        <v>2242.9300519999997</v>
      </c>
      <c r="I47" s="1709">
        <v>3190.5</v>
      </c>
      <c r="J47" s="1708">
        <v>3432.4</v>
      </c>
      <c r="K47" s="1709">
        <v>3406.1985699999996</v>
      </c>
      <c r="L47" s="1708">
        <v>4022.0203419999989</v>
      </c>
      <c r="M47" s="1709">
        <v>4025.3035210000007</v>
      </c>
      <c r="N47" s="1708">
        <v>4199.0627370000002</v>
      </c>
      <c r="O47" s="1709">
        <v>4207.0683449999997</v>
      </c>
      <c r="P47" s="1710"/>
      <c r="Q47" s="1711">
        <v>1.9065225983545542E-3</v>
      </c>
      <c r="R47" s="1712">
        <v>0.23319792016295859</v>
      </c>
      <c r="S47" s="1713"/>
      <c r="T47" s="1734">
        <v>4509.4953152600001</v>
      </c>
    </row>
    <row r="48" spans="1:20" ht="8.25" customHeight="1">
      <c r="A48" s="1735"/>
      <c r="B48" s="1715"/>
      <c r="C48" s="1716"/>
      <c r="D48" s="1718"/>
      <c r="E48" s="1718"/>
      <c r="F48" s="1718"/>
      <c r="G48" s="1718"/>
      <c r="H48" s="1718"/>
      <c r="I48" s="1718"/>
      <c r="J48" s="1718"/>
      <c r="K48" s="1718"/>
      <c r="L48" s="1718"/>
      <c r="M48" s="1718"/>
      <c r="N48" s="1718"/>
      <c r="O48" s="1718"/>
      <c r="P48" s="1718"/>
      <c r="Q48" s="1719"/>
      <c r="R48" s="1719"/>
      <c r="S48" s="1719"/>
      <c r="T48" s="1736"/>
    </row>
    <row r="49" spans="1:20" ht="8.25" customHeight="1">
      <c r="A49" s="1615"/>
      <c r="B49" s="1722"/>
      <c r="C49" s="1722"/>
      <c r="D49" s="1737"/>
      <c r="E49" s="1737"/>
      <c r="F49" s="1737"/>
      <c r="G49" s="1737"/>
      <c r="H49" s="1737"/>
      <c r="I49" s="1738"/>
      <c r="J49" s="1738"/>
      <c r="K49" s="1738"/>
      <c r="L49" s="1738"/>
      <c r="M49" s="1738"/>
      <c r="N49" s="1738"/>
      <c r="O49" s="1738"/>
      <c r="P49" s="1738"/>
      <c r="Q49" s="1739"/>
      <c r="R49" s="1740"/>
      <c r="S49" s="1739"/>
      <c r="T49" s="1741"/>
    </row>
    <row r="50" spans="1:20" ht="17.25" customHeight="1" thickBot="1">
      <c r="A50" s="1615"/>
      <c r="B50" s="1649" t="s">
        <v>1620</v>
      </c>
      <c r="C50" s="1650"/>
      <c r="D50" s="1742">
        <v>623.1</v>
      </c>
      <c r="E50" s="1743">
        <v>-213.60000000000218</v>
      </c>
      <c r="F50" s="1742">
        <v>-306.39999999999782</v>
      </c>
      <c r="G50" s="1743">
        <v>-200.29999999999927</v>
      </c>
      <c r="H50" s="1742">
        <v>98.828986999997142</v>
      </c>
      <c r="I50" s="1743">
        <v>454.38000000000102</v>
      </c>
      <c r="J50" s="1742">
        <v>-588.16000000000349</v>
      </c>
      <c r="K50" s="1743">
        <v>-1266.4017009999989</v>
      </c>
      <c r="L50" s="1742">
        <v>-1468.84478399</v>
      </c>
      <c r="M50" s="1743">
        <v>-918.22178139000243</v>
      </c>
      <c r="N50" s="1742">
        <v>-1381.5431163093563</v>
      </c>
      <c r="O50" s="1743">
        <v>-679.88308698999754</v>
      </c>
      <c r="P50" s="1744"/>
      <c r="Q50" s="1745" t="s">
        <v>1060</v>
      </c>
      <c r="R50" s="1746" t="s">
        <v>1060</v>
      </c>
      <c r="S50" s="1747"/>
      <c r="T50" s="1748">
        <v>297.69260591019338</v>
      </c>
    </row>
    <row r="51" spans="1:20" ht="14" thickBot="1">
      <c r="A51" s="1615"/>
      <c r="B51" s="1657"/>
      <c r="C51" s="1658" t="s">
        <v>287</v>
      </c>
      <c r="D51" s="1673">
        <v>704.5</v>
      </c>
      <c r="E51" s="1674">
        <v>335.5</v>
      </c>
      <c r="F51" s="1673">
        <v>194.5</v>
      </c>
      <c r="G51" s="1674">
        <v>332.70000000000073</v>
      </c>
      <c r="H51" s="1673">
        <v>712.41100000000006</v>
      </c>
      <c r="I51" s="1674">
        <v>931.98000000000138</v>
      </c>
      <c r="J51" s="1673">
        <v>187.13999999999942</v>
      </c>
      <c r="K51" s="1674">
        <v>-455.49946699999782</v>
      </c>
      <c r="L51" s="1673">
        <v>-599.78284200000053</v>
      </c>
      <c r="M51" s="1674">
        <v>-169.99980625000171</v>
      </c>
      <c r="N51" s="1673">
        <v>-618.69012578935872</v>
      </c>
      <c r="O51" s="1674">
        <v>-153.03798649999953</v>
      </c>
      <c r="P51" s="1683"/>
      <c r="Q51" s="1676" t="s">
        <v>1060</v>
      </c>
      <c r="R51" s="1677" t="s">
        <v>1060</v>
      </c>
      <c r="S51" s="1675"/>
      <c r="T51" s="1679">
        <v>917.89290238508693</v>
      </c>
    </row>
    <row r="52" spans="1:20" ht="14" thickBot="1">
      <c r="A52" s="1615"/>
      <c r="B52" s="1657"/>
      <c r="C52" s="1658" t="s">
        <v>313</v>
      </c>
      <c r="D52" s="1673">
        <v>37.699999999999818</v>
      </c>
      <c r="E52" s="1674">
        <v>-518.29999999999995</v>
      </c>
      <c r="F52" s="1673">
        <v>-415.1</v>
      </c>
      <c r="G52" s="1674">
        <v>-351.5</v>
      </c>
      <c r="H52" s="1673">
        <v>-271.25196099999994</v>
      </c>
      <c r="I52" s="1674">
        <v>-111.1</v>
      </c>
      <c r="J52" s="1673">
        <v>-217.5</v>
      </c>
      <c r="K52" s="1674">
        <v>-237.20366400000012</v>
      </c>
      <c r="L52" s="1673">
        <v>-153.0415999899999</v>
      </c>
      <c r="M52" s="1674">
        <v>-5.4222689200005334</v>
      </c>
      <c r="N52" s="1673">
        <v>-33.061835920000249</v>
      </c>
      <c r="O52" s="1674">
        <v>34.889967309999065</v>
      </c>
      <c r="P52" s="1683"/>
      <c r="Q52" s="1676" t="s">
        <v>1060</v>
      </c>
      <c r="R52" s="1677" t="s">
        <v>1060</v>
      </c>
      <c r="S52" s="1675"/>
      <c r="T52" s="1679">
        <v>122.2767962689195</v>
      </c>
    </row>
    <row r="53" spans="1:20">
      <c r="A53" s="1615"/>
      <c r="B53" s="1706"/>
      <c r="C53" s="1707" t="s">
        <v>1569</v>
      </c>
      <c r="D53" s="1749">
        <v>-119.1</v>
      </c>
      <c r="E53" s="1750">
        <v>-30.8</v>
      </c>
      <c r="F53" s="1749">
        <v>-85.8</v>
      </c>
      <c r="G53" s="1750">
        <v>-181.5</v>
      </c>
      <c r="H53" s="1749">
        <v>-342.3300519999998</v>
      </c>
      <c r="I53" s="1750">
        <v>-366.5</v>
      </c>
      <c r="J53" s="1749">
        <v>-557.79999999999995</v>
      </c>
      <c r="K53" s="1750">
        <v>-573.69856999999956</v>
      </c>
      <c r="L53" s="1749">
        <v>-716.02034199999889</v>
      </c>
      <c r="M53" s="1750">
        <v>-742.79970622000019</v>
      </c>
      <c r="N53" s="1749">
        <v>-729.79115459999957</v>
      </c>
      <c r="O53" s="1750">
        <v>-561.73506779999707</v>
      </c>
      <c r="P53" s="1751"/>
      <c r="Q53" s="1752" t="s">
        <v>1060</v>
      </c>
      <c r="R53" s="1753" t="s">
        <v>1060</v>
      </c>
      <c r="S53" s="1754"/>
      <c r="T53" s="1755">
        <v>-742.47709274381305</v>
      </c>
    </row>
    <row r="54" spans="1:20" ht="11.25" customHeight="1" thickBot="1">
      <c r="A54" s="1615"/>
      <c r="B54" s="1618"/>
      <c r="C54" s="1618"/>
      <c r="D54" s="1756"/>
      <c r="E54" s="1756"/>
      <c r="F54" s="1756"/>
      <c r="G54" s="1756"/>
      <c r="H54" s="1756"/>
      <c r="I54" s="1757"/>
      <c r="J54" s="1757"/>
      <c r="K54" s="1757"/>
      <c r="L54" s="1757"/>
      <c r="M54" s="1757"/>
      <c r="N54" s="1757"/>
      <c r="O54" s="1757"/>
      <c r="P54" s="1757"/>
      <c r="Q54" s="1618"/>
      <c r="R54" s="1756"/>
      <c r="S54" s="1756"/>
      <c r="T54" s="1756"/>
    </row>
    <row r="55" spans="1:20" ht="13.5" customHeight="1">
      <c r="A55" s="1615"/>
      <c r="B55" s="1758" t="s">
        <v>778</v>
      </c>
      <c r="C55" s="1615"/>
      <c r="D55" s="1615"/>
      <c r="E55" s="1615"/>
      <c r="F55" s="1615"/>
      <c r="G55" s="1615"/>
      <c r="H55" s="1615"/>
      <c r="I55" s="1615"/>
      <c r="J55" s="1615"/>
      <c r="K55" s="1615"/>
      <c r="L55" s="1615"/>
      <c r="M55" s="1615"/>
      <c r="N55" s="1615"/>
      <c r="O55" s="1615"/>
      <c r="P55" s="1615"/>
      <c r="Q55" s="1615"/>
      <c r="R55" s="1615"/>
      <c r="S55" s="1615"/>
      <c r="T55" s="1615"/>
    </row>
    <row r="56" spans="1:20" ht="14.25" customHeight="1">
      <c r="A56" s="1615"/>
      <c r="B56" s="1615"/>
      <c r="C56" s="1615"/>
      <c r="D56" s="1615"/>
      <c r="E56" s="1615"/>
      <c r="F56" s="1615"/>
      <c r="G56" s="1615"/>
      <c r="H56" s="1615"/>
      <c r="I56" s="1615"/>
      <c r="J56" s="1615"/>
      <c r="K56" s="1615"/>
      <c r="L56" s="1615"/>
      <c r="M56" s="1615"/>
      <c r="N56" s="1615"/>
      <c r="O56" s="1615"/>
      <c r="P56" s="1615"/>
      <c r="Q56" s="1615"/>
      <c r="R56" s="1615"/>
      <c r="S56" s="1615"/>
    </row>
    <row r="57" spans="1:20" ht="12.75" customHeight="1">
      <c r="A57" s="1615"/>
      <c r="B57" s="1615"/>
      <c r="C57" s="1615"/>
      <c r="D57" s="1615"/>
      <c r="E57" s="1615"/>
      <c r="F57" s="1615"/>
      <c r="G57" s="1615"/>
      <c r="H57" s="1615"/>
      <c r="I57" s="1615"/>
      <c r="J57" s="1615"/>
      <c r="K57" s="1615"/>
      <c r="L57" s="1615"/>
      <c r="M57" s="1615"/>
      <c r="N57" s="1615"/>
      <c r="O57" s="1615"/>
      <c r="P57" s="1615"/>
      <c r="Q57" s="1615"/>
      <c r="R57" s="1615"/>
      <c r="S57" s="1615"/>
    </row>
    <row r="58" spans="1:20">
      <c r="A58" s="1615"/>
      <c r="B58" s="1615"/>
      <c r="C58" s="1615"/>
      <c r="D58" s="1615"/>
      <c r="E58" s="1615"/>
      <c r="F58" s="1615"/>
      <c r="G58" s="1615"/>
      <c r="H58" s="1615"/>
      <c r="I58" s="1615"/>
      <c r="J58" s="1615"/>
      <c r="K58" s="1615"/>
      <c r="L58" s="1615"/>
      <c r="M58" s="1615"/>
      <c r="N58" s="1615"/>
      <c r="O58" s="1615"/>
      <c r="P58" s="1615"/>
      <c r="Q58" s="1615"/>
      <c r="R58" s="1615"/>
      <c r="S58" s="1615"/>
    </row>
    <row r="59" spans="1:20">
      <c r="A59" s="1615"/>
      <c r="B59" s="1759" t="s">
        <v>1570</v>
      </c>
      <c r="C59" s="1760"/>
      <c r="D59" s="1615"/>
      <c r="E59" s="1615"/>
      <c r="F59" s="1615"/>
      <c r="G59" s="1615"/>
      <c r="H59" s="1615"/>
      <c r="I59" s="1615"/>
      <c r="J59" s="1615"/>
      <c r="K59" s="1615"/>
      <c r="L59" s="1615"/>
      <c r="M59" s="1615"/>
      <c r="N59" s="1615"/>
      <c r="O59" s="1615"/>
      <c r="P59" s="1615"/>
      <c r="Q59" s="1615"/>
      <c r="R59" s="1615"/>
      <c r="S59" s="1615"/>
    </row>
    <row r="60" spans="1:20">
      <c r="A60" s="1615"/>
      <c r="B60" s="1722" t="s">
        <v>1571</v>
      </c>
      <c r="C60" s="1722"/>
      <c r="D60" s="1615"/>
      <c r="E60" s="1615"/>
      <c r="F60" s="1615"/>
      <c r="G60" s="1615"/>
      <c r="H60" s="1615"/>
      <c r="I60" s="1615"/>
      <c r="J60" s="1615"/>
      <c r="K60" s="1615"/>
      <c r="L60" s="1615"/>
      <c r="M60" s="1615"/>
      <c r="N60" s="1615"/>
      <c r="O60" s="1615"/>
      <c r="P60" s="1615"/>
      <c r="Q60" s="1615"/>
      <c r="R60" s="1615"/>
      <c r="S60" s="1615"/>
    </row>
    <row r="61" spans="1:20">
      <c r="A61" s="1615"/>
      <c r="B61" s="1722" t="s">
        <v>1572</v>
      </c>
      <c r="C61" s="1722"/>
      <c r="D61" s="1615"/>
      <c r="E61" s="1615"/>
      <c r="F61" s="1615"/>
      <c r="G61" s="1615"/>
      <c r="H61" s="1615"/>
      <c r="I61" s="1615"/>
      <c r="J61" s="1615"/>
      <c r="K61" s="1615"/>
      <c r="L61" s="1615"/>
      <c r="M61" s="1615"/>
      <c r="N61" s="1615"/>
      <c r="O61" s="1615"/>
      <c r="P61" s="1615"/>
      <c r="Q61" s="1615"/>
      <c r="R61" s="1615"/>
      <c r="S61" s="1615"/>
    </row>
    <row r="62" spans="1:20">
      <c r="A62" s="1615"/>
      <c r="B62" s="1722" t="s">
        <v>1573</v>
      </c>
      <c r="C62" s="1722"/>
      <c r="D62" s="1615"/>
      <c r="E62" s="1615"/>
      <c r="F62" s="1615"/>
      <c r="G62" s="1615"/>
      <c r="H62" s="1615"/>
      <c r="I62" s="1615"/>
      <c r="J62" s="1615"/>
      <c r="K62" s="1615"/>
      <c r="L62" s="1615"/>
      <c r="M62" s="1615"/>
      <c r="N62" s="1615"/>
      <c r="O62" s="1615"/>
      <c r="P62" s="1615"/>
      <c r="Q62" s="1615"/>
      <c r="R62" s="1615"/>
      <c r="S62" s="1615"/>
    </row>
    <row r="63" spans="1:20">
      <c r="A63" s="1615"/>
      <c r="B63" s="1722" t="s">
        <v>1574</v>
      </c>
      <c r="C63" s="1615"/>
      <c r="D63" s="1615"/>
      <c r="E63" s="1615"/>
      <c r="F63" s="1615"/>
      <c r="G63" s="1615"/>
      <c r="H63" s="1615"/>
      <c r="I63" s="1615"/>
      <c r="J63" s="1615"/>
      <c r="K63" s="1615"/>
      <c r="L63" s="1615"/>
      <c r="M63" s="1615"/>
      <c r="N63" s="1615"/>
      <c r="O63" s="1615"/>
      <c r="P63" s="1615"/>
      <c r="Q63" s="1615"/>
      <c r="R63" s="1615"/>
      <c r="S63" s="1615"/>
    </row>
    <row r="64" spans="1:20">
      <c r="A64" s="1615"/>
      <c r="B64" s="1722" t="s">
        <v>1575</v>
      </c>
      <c r="C64" s="1615"/>
      <c r="D64" s="1615"/>
      <c r="E64" s="1615"/>
      <c r="F64" s="1615"/>
      <c r="G64" s="1615"/>
      <c r="H64" s="1615"/>
      <c r="I64" s="1615"/>
      <c r="J64" s="1615"/>
      <c r="K64" s="1615"/>
      <c r="L64" s="1615"/>
      <c r="M64" s="1615"/>
      <c r="N64" s="1615"/>
      <c r="O64" s="1615"/>
      <c r="P64" s="1615"/>
      <c r="Q64" s="1615"/>
      <c r="R64" s="1615"/>
      <c r="S64" s="1615"/>
    </row>
    <row r="65" spans="1:19">
      <c r="A65" s="1615"/>
      <c r="B65" s="1722" t="s">
        <v>1576</v>
      </c>
      <c r="C65" s="1722"/>
      <c r="D65" s="1615"/>
      <c r="E65" s="1615"/>
      <c r="F65" s="1615"/>
      <c r="G65" s="1615"/>
      <c r="H65" s="1615"/>
      <c r="I65" s="1615"/>
      <c r="J65" s="1615"/>
      <c r="K65" s="1615"/>
      <c r="L65" s="1615"/>
      <c r="M65" s="1615"/>
      <c r="N65" s="1615"/>
      <c r="O65" s="1615"/>
      <c r="P65" s="1615"/>
      <c r="Q65" s="1615"/>
      <c r="R65" s="1615"/>
      <c r="S65" s="1615"/>
    </row>
    <row r="66" spans="1:19">
      <c r="A66" s="1615"/>
      <c r="B66" s="1761" t="s">
        <v>1577</v>
      </c>
      <c r="C66" s="1722"/>
      <c r="D66" s="1615"/>
      <c r="E66" s="1615"/>
      <c r="F66" s="1615"/>
      <c r="G66" s="1615"/>
      <c r="H66" s="1615"/>
      <c r="I66" s="1615"/>
      <c r="J66" s="1615"/>
      <c r="K66" s="1615"/>
      <c r="L66" s="1615"/>
      <c r="M66" s="1615"/>
      <c r="N66" s="1615"/>
      <c r="O66" s="1615"/>
      <c r="P66" s="1615"/>
      <c r="Q66" s="1615"/>
      <c r="R66" s="1615"/>
      <c r="S66" s="1615"/>
    </row>
    <row r="67" spans="1:19">
      <c r="A67" s="1615"/>
      <c r="B67" s="1761" t="s">
        <v>1578</v>
      </c>
      <c r="C67" s="1722"/>
      <c r="D67" s="1615"/>
      <c r="E67" s="1615"/>
      <c r="F67" s="1615"/>
      <c r="G67" s="1615"/>
      <c r="H67" s="1615"/>
      <c r="I67" s="1615"/>
      <c r="J67" s="1615"/>
      <c r="K67" s="1615"/>
      <c r="L67" s="1615"/>
      <c r="M67" s="1615"/>
      <c r="N67" s="1615"/>
      <c r="O67" s="1615"/>
      <c r="P67" s="1615"/>
      <c r="Q67" s="1615"/>
      <c r="R67" s="1615"/>
      <c r="S67" s="1615"/>
    </row>
    <row r="68" spans="1:19">
      <c r="A68" s="1615"/>
      <c r="B68" s="1761" t="s">
        <v>1579</v>
      </c>
      <c r="C68" s="1762"/>
      <c r="D68" s="1615"/>
      <c r="E68" s="1615"/>
      <c r="F68" s="1615"/>
      <c r="G68" s="1615"/>
      <c r="H68" s="1615"/>
      <c r="I68" s="1615"/>
      <c r="J68" s="1615"/>
      <c r="K68" s="1615"/>
      <c r="L68" s="1615"/>
      <c r="M68" s="1615"/>
      <c r="N68" s="1615"/>
      <c r="O68" s="1615"/>
      <c r="P68" s="1615"/>
      <c r="Q68" s="1615"/>
      <c r="R68" s="1615"/>
      <c r="S68" s="1615"/>
    </row>
    <row r="69" spans="1:19">
      <c r="A69" s="1615"/>
      <c r="B69" s="1722" t="s">
        <v>1580</v>
      </c>
      <c r="C69" s="1722"/>
      <c r="D69" s="1615"/>
      <c r="E69" s="1615"/>
      <c r="F69" s="1615"/>
      <c r="G69" s="1615"/>
      <c r="H69" s="1615"/>
      <c r="I69" s="1615"/>
      <c r="J69" s="1615"/>
      <c r="K69" s="1615"/>
      <c r="L69" s="1615"/>
      <c r="M69" s="1615"/>
      <c r="N69" s="1615"/>
      <c r="O69" s="1615"/>
      <c r="P69" s="1615"/>
      <c r="Q69" s="1615"/>
      <c r="R69" s="1615"/>
      <c r="S69" s="1615"/>
    </row>
    <row r="70" spans="1:19">
      <c r="A70" s="1615"/>
      <c r="B70" s="1722" t="s">
        <v>1581</v>
      </c>
      <c r="C70" s="1722"/>
      <c r="D70" s="1615"/>
      <c r="E70" s="1615"/>
      <c r="F70" s="1615"/>
      <c r="G70" s="1615"/>
      <c r="H70" s="1615"/>
      <c r="I70" s="1615"/>
      <c r="J70" s="1615"/>
      <c r="K70" s="1615"/>
      <c r="L70" s="1615"/>
      <c r="M70" s="1615"/>
      <c r="N70" s="1615"/>
      <c r="O70" s="1615"/>
      <c r="P70" s="1615"/>
      <c r="Q70" s="1615"/>
      <c r="R70" s="1615"/>
      <c r="S70" s="1615"/>
    </row>
    <row r="71" spans="1:19">
      <c r="A71" s="1615"/>
      <c r="B71" s="1722" t="s">
        <v>1582</v>
      </c>
      <c r="C71" s="1762"/>
      <c r="D71" s="1615"/>
      <c r="E71" s="1615"/>
      <c r="F71" s="1615"/>
      <c r="G71" s="1615"/>
      <c r="H71" s="1615"/>
      <c r="I71" s="1615"/>
      <c r="J71" s="1615"/>
      <c r="K71" s="1615"/>
      <c r="L71" s="1615"/>
      <c r="M71" s="1615"/>
      <c r="N71" s="1615"/>
      <c r="O71" s="1615"/>
      <c r="P71" s="1615"/>
      <c r="Q71" s="1615"/>
      <c r="R71" s="1615"/>
      <c r="S71" s="1615"/>
    </row>
    <row r="72" spans="1:19">
      <c r="A72" s="1615"/>
      <c r="B72" s="1615" t="s">
        <v>1583</v>
      </c>
      <c r="C72" s="1763"/>
      <c r="D72" s="1615"/>
      <c r="E72" s="1615"/>
      <c r="F72" s="1615"/>
      <c r="G72" s="1615"/>
      <c r="H72" s="1615"/>
      <c r="I72" s="1615"/>
      <c r="J72" s="1615"/>
      <c r="K72" s="1615"/>
      <c r="L72" s="1615"/>
      <c r="M72" s="1615"/>
      <c r="N72" s="1615"/>
      <c r="O72" s="1615"/>
      <c r="P72" s="1615"/>
      <c r="Q72" s="1615"/>
      <c r="R72" s="1615"/>
      <c r="S72" s="1615"/>
    </row>
    <row r="73" spans="1:19">
      <c r="A73" s="1615"/>
      <c r="B73" s="1615" t="s">
        <v>1584</v>
      </c>
      <c r="C73" s="1763"/>
      <c r="D73" s="1615"/>
      <c r="E73" s="1615"/>
      <c r="F73" s="1615"/>
      <c r="G73" s="1615"/>
      <c r="H73" s="1615"/>
      <c r="I73" s="1615"/>
      <c r="J73" s="1615"/>
      <c r="K73" s="1615"/>
      <c r="L73" s="1615"/>
      <c r="M73" s="1615"/>
      <c r="N73" s="1615"/>
      <c r="O73" s="1615"/>
      <c r="P73" s="1615"/>
      <c r="Q73" s="1615"/>
      <c r="R73" s="1615"/>
      <c r="S73" s="1615"/>
    </row>
    <row r="74" spans="1:19">
      <c r="A74" s="1615"/>
      <c r="B74" s="1615" t="s">
        <v>1585</v>
      </c>
      <c r="C74" s="1722"/>
      <c r="D74" s="1615"/>
      <c r="E74" s="1615"/>
      <c r="F74" s="1615"/>
      <c r="G74" s="1615"/>
      <c r="H74" s="1615"/>
      <c r="I74" s="1615"/>
      <c r="J74" s="1615"/>
      <c r="K74" s="1615"/>
      <c r="L74" s="1615"/>
      <c r="M74" s="1615"/>
      <c r="N74" s="1615"/>
      <c r="O74" s="1615"/>
      <c r="P74" s="1615"/>
      <c r="Q74" s="1615"/>
      <c r="R74" s="1615"/>
      <c r="S74" s="1615"/>
    </row>
    <row r="75" spans="1:19">
      <c r="A75" s="1615"/>
      <c r="B75" s="1615" t="s">
        <v>1586</v>
      </c>
      <c r="C75" s="1722"/>
      <c r="D75" s="1615"/>
      <c r="E75" s="1615"/>
      <c r="F75" s="1615"/>
      <c r="G75" s="1615"/>
      <c r="H75" s="1615"/>
      <c r="I75" s="1615"/>
      <c r="J75" s="1615"/>
      <c r="K75" s="1615"/>
      <c r="L75" s="1615"/>
      <c r="M75" s="1615"/>
      <c r="N75" s="1615"/>
      <c r="O75" s="1615"/>
      <c r="P75" s="1615"/>
      <c r="Q75" s="1615"/>
      <c r="R75" s="1615"/>
      <c r="S75" s="1615"/>
    </row>
    <row r="76" spans="1:19" ht="15">
      <c r="A76" s="1615"/>
      <c r="B76" s="1761" t="s">
        <v>1621</v>
      </c>
      <c r="C76" s="1615"/>
      <c r="D76" s="1615"/>
      <c r="E76" s="1615"/>
      <c r="F76" s="1615"/>
      <c r="G76" s="1615"/>
      <c r="H76" s="1615"/>
      <c r="I76" s="1615"/>
      <c r="J76" s="1615"/>
      <c r="K76" s="1615"/>
      <c r="L76" s="1615"/>
      <c r="M76" s="1615"/>
      <c r="N76" s="1615"/>
      <c r="O76" s="1615"/>
      <c r="P76" s="1615"/>
      <c r="Q76" s="1615"/>
      <c r="R76" s="1615"/>
      <c r="S76" s="1615"/>
    </row>
    <row r="77" spans="1:19">
      <c r="A77" s="1615"/>
      <c r="B77" s="1761" t="s">
        <v>1587</v>
      </c>
      <c r="C77" s="1722"/>
      <c r="D77" s="1615"/>
      <c r="E77" s="1615"/>
      <c r="F77" s="1615"/>
      <c r="G77" s="1615"/>
      <c r="H77" s="1615"/>
      <c r="I77" s="1615"/>
      <c r="J77" s="1615"/>
      <c r="K77" s="1615"/>
      <c r="L77" s="1615"/>
      <c r="M77" s="1615"/>
      <c r="N77" s="1615"/>
      <c r="O77" s="1615"/>
      <c r="P77" s="1615"/>
      <c r="Q77" s="1615"/>
      <c r="R77" s="1615"/>
      <c r="S77" s="1615"/>
    </row>
    <row r="78" spans="1:19">
      <c r="A78" s="1615"/>
      <c r="B78" s="1722" t="s">
        <v>1588</v>
      </c>
      <c r="C78" s="1722"/>
      <c r="D78" s="1615"/>
      <c r="E78" s="1615"/>
      <c r="F78" s="1615"/>
      <c r="G78" s="1615"/>
      <c r="H78" s="1615"/>
      <c r="I78" s="1615"/>
      <c r="J78" s="1615"/>
      <c r="K78" s="1615"/>
      <c r="L78" s="1615"/>
      <c r="M78" s="1615"/>
      <c r="N78" s="1615"/>
      <c r="O78" s="1615"/>
      <c r="P78" s="1615"/>
      <c r="Q78" s="1615"/>
      <c r="R78" s="1615"/>
      <c r="S78" s="1615"/>
    </row>
    <row r="79" spans="1:19">
      <c r="A79" s="1615"/>
      <c r="B79" s="1761" t="s">
        <v>1589</v>
      </c>
      <c r="C79" s="1722"/>
      <c r="D79" s="1615"/>
      <c r="E79" s="1615"/>
      <c r="F79" s="1615"/>
      <c r="G79" s="1615"/>
      <c r="H79" s="1615"/>
      <c r="I79" s="1615"/>
      <c r="J79" s="1615"/>
      <c r="K79" s="1615"/>
      <c r="L79" s="1615"/>
      <c r="M79" s="1615"/>
      <c r="N79" s="1615"/>
      <c r="O79" s="1615"/>
      <c r="P79" s="1615"/>
      <c r="Q79" s="1615"/>
      <c r="R79" s="1615"/>
      <c r="S79" s="1615"/>
    </row>
    <row r="80" spans="1:19">
      <c r="A80" s="1615"/>
      <c r="B80" s="1761" t="s">
        <v>1622</v>
      </c>
      <c r="C80" s="1722"/>
      <c r="D80" s="1615"/>
      <c r="E80" s="1615"/>
      <c r="F80" s="1615"/>
      <c r="G80" s="1615"/>
      <c r="H80" s="1615"/>
      <c r="I80" s="1615"/>
      <c r="J80" s="1615"/>
      <c r="K80" s="1615"/>
      <c r="L80" s="1615"/>
      <c r="M80" s="1615"/>
      <c r="N80" s="1615"/>
      <c r="O80" s="1615"/>
      <c r="P80" s="1615"/>
      <c r="Q80" s="1615"/>
      <c r="R80" s="1615"/>
      <c r="S80" s="1615"/>
    </row>
    <row r="81" spans="1:19" ht="15">
      <c r="A81" s="1615"/>
      <c r="B81" s="1764" t="s">
        <v>1623</v>
      </c>
      <c r="C81" s="1722"/>
      <c r="D81" s="1615"/>
      <c r="E81" s="1615"/>
      <c r="F81" s="1615"/>
      <c r="G81" s="1615"/>
      <c r="H81" s="1615"/>
      <c r="I81" s="1615"/>
      <c r="J81" s="1615"/>
      <c r="K81" s="1615"/>
      <c r="L81" s="1615"/>
      <c r="M81" s="1615"/>
      <c r="N81" s="1615"/>
      <c r="O81" s="1615"/>
      <c r="P81" s="1615"/>
      <c r="Q81" s="1615"/>
      <c r="R81" s="1615"/>
      <c r="S81" s="1615"/>
    </row>
    <row r="82" spans="1:19">
      <c r="A82" s="1615"/>
      <c r="B82" s="1615"/>
      <c r="C82" s="1615"/>
      <c r="D82" s="1615"/>
      <c r="E82" s="1615"/>
      <c r="F82" s="1615"/>
      <c r="G82" s="1615"/>
      <c r="H82" s="1615"/>
      <c r="I82" s="1615"/>
      <c r="J82" s="1615"/>
      <c r="K82" s="1615"/>
      <c r="L82" s="1615"/>
      <c r="M82" s="1615"/>
      <c r="N82" s="1615"/>
      <c r="O82" s="1615"/>
      <c r="P82" s="1615"/>
      <c r="Q82" s="1615"/>
      <c r="R82" s="1615"/>
      <c r="S82" s="1615"/>
    </row>
    <row r="83" spans="1:19">
      <c r="A83" s="1615"/>
      <c r="B83" s="1615"/>
      <c r="C83" s="1615"/>
      <c r="D83" s="1615"/>
      <c r="E83" s="1615"/>
      <c r="F83" s="1615"/>
      <c r="G83" s="1615"/>
      <c r="H83" s="1615"/>
      <c r="I83" s="1615"/>
      <c r="J83" s="1615"/>
      <c r="K83" s="1615"/>
      <c r="L83" s="1615"/>
      <c r="M83" s="1615"/>
      <c r="N83" s="1615"/>
      <c r="O83" s="1615"/>
      <c r="P83" s="1615"/>
      <c r="Q83" s="1615"/>
      <c r="R83" s="1615"/>
      <c r="S83" s="1615"/>
    </row>
    <row r="84" spans="1:19">
      <c r="A84" s="1615"/>
      <c r="B84" s="1759" t="s">
        <v>1590</v>
      </c>
      <c r="C84" s="1615"/>
      <c r="D84" s="1615"/>
      <c r="E84" s="1615"/>
      <c r="F84" s="1615"/>
      <c r="G84" s="1615"/>
      <c r="H84" s="1615"/>
      <c r="I84" s="1615"/>
      <c r="J84" s="1615"/>
      <c r="K84" s="1615"/>
      <c r="L84" s="1615"/>
      <c r="M84" s="1615"/>
      <c r="N84" s="1615"/>
      <c r="O84" s="1615"/>
      <c r="P84" s="1615"/>
      <c r="Q84" s="1615"/>
      <c r="R84" s="1615"/>
      <c r="S84" s="1615"/>
    </row>
    <row r="85" spans="1:19">
      <c r="A85" s="1615"/>
      <c r="B85" s="1615" t="s">
        <v>1591</v>
      </c>
      <c r="C85" s="1615"/>
      <c r="D85" s="1615"/>
      <c r="E85" s="1615"/>
      <c r="F85" s="1615"/>
      <c r="G85" s="1615"/>
      <c r="H85" s="1615"/>
      <c r="I85" s="1615"/>
      <c r="J85" s="1615"/>
      <c r="K85" s="1615"/>
      <c r="L85" s="1615"/>
      <c r="M85" s="1615"/>
      <c r="N85" s="1615"/>
      <c r="O85" s="1615"/>
      <c r="P85" s="1615"/>
      <c r="Q85" s="1615"/>
      <c r="R85" s="1615"/>
      <c r="S85" s="1615"/>
    </row>
    <row r="86" spans="1:19">
      <c r="A86" s="1615"/>
      <c r="B86" s="1615" t="s">
        <v>1592</v>
      </c>
      <c r="C86" s="1615"/>
      <c r="D86" s="1615"/>
      <c r="E86" s="1615"/>
      <c r="F86" s="1615"/>
      <c r="G86" s="1615"/>
      <c r="H86" s="1615"/>
      <c r="I86" s="1615"/>
      <c r="J86" s="1615"/>
      <c r="K86" s="1615"/>
      <c r="L86" s="1615"/>
      <c r="M86" s="1615"/>
      <c r="N86" s="1615"/>
      <c r="O86" s="1615"/>
      <c r="P86" s="1615"/>
      <c r="Q86" s="1615"/>
      <c r="R86" s="1615"/>
      <c r="S86" s="1615"/>
    </row>
    <row r="87" spans="1:19">
      <c r="A87" s="1615"/>
      <c r="B87" s="1722" t="s">
        <v>1593</v>
      </c>
      <c r="C87" s="1615"/>
      <c r="D87" s="1615"/>
      <c r="E87" s="1615"/>
      <c r="F87" s="1615"/>
      <c r="G87" s="1615"/>
      <c r="H87" s="1615"/>
      <c r="I87" s="1615"/>
      <c r="J87" s="1615"/>
      <c r="K87" s="1615"/>
      <c r="L87" s="1615"/>
      <c r="M87" s="1615"/>
      <c r="N87" s="1615"/>
      <c r="O87" s="1615"/>
      <c r="P87" s="1615"/>
      <c r="Q87" s="1615"/>
      <c r="R87" s="1615"/>
      <c r="S87" s="1615"/>
    </row>
    <row r="88" spans="1:19">
      <c r="B88" s="1722" t="s">
        <v>1594</v>
      </c>
    </row>
    <row r="89" spans="1:19">
      <c r="B89" s="1761" t="s">
        <v>1624</v>
      </c>
    </row>
    <row r="90" spans="1:19" ht="15">
      <c r="B90" s="1764" t="s">
        <v>1625</v>
      </c>
    </row>
    <row r="93" spans="1:19" ht="16.5" customHeight="1">
      <c r="A93" s="1615"/>
      <c r="B93" s="1765" t="s">
        <v>1595</v>
      </c>
      <c r="C93" s="1735"/>
      <c r="D93" s="1615"/>
      <c r="E93" s="1615"/>
      <c r="F93" s="1615"/>
      <c r="G93" s="1615"/>
      <c r="H93" s="1615"/>
      <c r="I93" s="1615"/>
      <c r="J93" s="1615"/>
      <c r="K93" s="1615"/>
      <c r="L93" s="1615"/>
      <c r="M93" s="1615"/>
      <c r="N93" s="1615"/>
      <c r="O93" s="1615"/>
      <c r="P93" s="1615"/>
      <c r="Q93" s="1615"/>
      <c r="R93" s="1615"/>
      <c r="S93" s="1615"/>
    </row>
    <row r="94" spans="1:19">
      <c r="A94" s="1615"/>
      <c r="B94" s="1761" t="s">
        <v>1596</v>
      </c>
      <c r="C94" s="1615"/>
      <c r="D94" s="1615"/>
      <c r="E94" s="1615"/>
      <c r="F94" s="1615"/>
      <c r="G94" s="1615"/>
      <c r="H94" s="1615"/>
      <c r="I94" s="1615"/>
      <c r="J94" s="1615"/>
      <c r="K94" s="1615"/>
      <c r="L94" s="1615"/>
      <c r="M94" s="1615"/>
      <c r="N94" s="1615"/>
      <c r="O94" s="1615"/>
      <c r="P94" s="1615"/>
      <c r="Q94" s="1615"/>
      <c r="R94" s="1615"/>
      <c r="S94" s="1615"/>
    </row>
    <row r="95" spans="1:19">
      <c r="A95" s="1615"/>
      <c r="B95" s="1615" t="s">
        <v>1597</v>
      </c>
      <c r="C95" s="1615"/>
      <c r="D95" s="1615"/>
      <c r="E95" s="1615"/>
      <c r="F95" s="1615"/>
      <c r="G95" s="1615"/>
      <c r="H95" s="1615"/>
      <c r="I95" s="1615"/>
      <c r="J95" s="1615"/>
      <c r="K95" s="1615"/>
      <c r="L95" s="1615"/>
      <c r="M95" s="1615"/>
      <c r="N95" s="1615"/>
      <c r="O95" s="1615"/>
      <c r="P95" s="1615"/>
      <c r="Q95" s="1615"/>
      <c r="R95" s="1615"/>
      <c r="S95" s="1615"/>
    </row>
    <row r="96" spans="1:19">
      <c r="A96" s="1615"/>
      <c r="B96" s="1615" t="s">
        <v>1598</v>
      </c>
      <c r="C96" s="1615"/>
      <c r="D96" s="1615"/>
      <c r="E96" s="1615"/>
      <c r="F96" s="1615"/>
      <c r="G96" s="1615"/>
      <c r="H96" s="1615"/>
      <c r="I96" s="1615"/>
      <c r="J96" s="1615"/>
      <c r="K96" s="1615"/>
      <c r="L96" s="1615"/>
      <c r="M96" s="1615"/>
      <c r="N96" s="1615"/>
      <c r="O96" s="1615"/>
      <c r="P96" s="1615"/>
      <c r="Q96" s="1615"/>
      <c r="R96" s="1615"/>
      <c r="S96" s="1615"/>
    </row>
    <row r="97" spans="1:19">
      <c r="A97" s="1615"/>
      <c r="B97" s="1615" t="s">
        <v>1599</v>
      </c>
      <c r="C97" s="1615"/>
      <c r="D97" s="1615"/>
      <c r="E97" s="1615"/>
      <c r="F97" s="1615"/>
      <c r="G97" s="1615"/>
      <c r="H97" s="1615"/>
      <c r="I97" s="1615"/>
      <c r="J97" s="1615"/>
      <c r="K97" s="1615"/>
      <c r="L97" s="1615"/>
      <c r="M97" s="1615"/>
      <c r="N97" s="1615"/>
      <c r="O97" s="1615"/>
      <c r="P97" s="1615"/>
      <c r="Q97" s="1615"/>
      <c r="R97" s="1615"/>
      <c r="S97" s="1615"/>
    </row>
    <row r="98" spans="1:19">
      <c r="A98" s="1615"/>
      <c r="B98" s="1615" t="s">
        <v>1600</v>
      </c>
      <c r="C98" s="1615"/>
      <c r="D98" s="1615"/>
      <c r="E98" s="1615"/>
      <c r="F98" s="1615"/>
      <c r="G98" s="1615"/>
      <c r="H98" s="1615"/>
      <c r="I98" s="1615"/>
      <c r="J98" s="1615"/>
      <c r="K98" s="1615"/>
      <c r="L98" s="1615"/>
      <c r="M98" s="1615"/>
      <c r="N98" s="1615"/>
      <c r="O98" s="1615"/>
      <c r="P98" s="1615"/>
      <c r="Q98" s="1615"/>
      <c r="R98" s="1615"/>
      <c r="S98" s="1615"/>
    </row>
    <row r="99" spans="1:19">
      <c r="A99" s="1615"/>
      <c r="B99" s="1615" t="s">
        <v>1601</v>
      </c>
      <c r="C99" s="1615"/>
      <c r="D99" s="1615"/>
      <c r="E99" s="1615"/>
      <c r="F99" s="1615"/>
      <c r="G99" s="1615"/>
      <c r="H99" s="1615"/>
      <c r="I99" s="1615"/>
      <c r="J99" s="1615"/>
      <c r="K99" s="1615"/>
      <c r="L99" s="1615"/>
      <c r="M99" s="1615"/>
      <c r="N99" s="1615"/>
      <c r="O99" s="1615"/>
      <c r="P99" s="1615"/>
      <c r="Q99" s="1615"/>
      <c r="R99" s="1615"/>
      <c r="S99" s="1615"/>
    </row>
    <row r="100" spans="1:19">
      <c r="A100" s="1615"/>
      <c r="B100" s="1615" t="s">
        <v>1602</v>
      </c>
      <c r="C100" s="1615"/>
      <c r="D100" s="1615"/>
      <c r="E100" s="1615"/>
      <c r="F100" s="1615"/>
      <c r="G100" s="1615"/>
      <c r="H100" s="1615"/>
      <c r="I100" s="1615"/>
      <c r="J100" s="1615"/>
      <c r="K100" s="1615"/>
      <c r="L100" s="1615"/>
      <c r="M100" s="1615"/>
      <c r="N100" s="1615"/>
      <c r="O100" s="1615"/>
      <c r="P100" s="1615"/>
      <c r="Q100" s="1615"/>
      <c r="R100" s="1615"/>
      <c r="S100" s="1615"/>
    </row>
    <row r="101" spans="1:19">
      <c r="A101" s="1615"/>
      <c r="B101" s="1615" t="s">
        <v>1603</v>
      </c>
      <c r="C101" s="1615"/>
      <c r="D101" s="1615"/>
      <c r="E101" s="1615"/>
      <c r="F101" s="1615"/>
      <c r="G101" s="1615"/>
      <c r="H101" s="1615"/>
      <c r="I101" s="1615"/>
      <c r="J101" s="1615"/>
      <c r="K101" s="1615"/>
      <c r="L101" s="1615"/>
      <c r="M101" s="1615"/>
      <c r="N101" s="1615"/>
      <c r="O101" s="1615"/>
      <c r="P101" s="1615"/>
      <c r="Q101" s="1615"/>
      <c r="R101" s="1615"/>
      <c r="S101" s="1615"/>
    </row>
    <row r="102" spans="1:19">
      <c r="A102" s="1615"/>
      <c r="B102" s="1615" t="s">
        <v>1604</v>
      </c>
      <c r="C102" s="1615"/>
      <c r="D102" s="1615"/>
      <c r="E102" s="1615"/>
      <c r="F102" s="1615"/>
      <c r="G102" s="1615"/>
      <c r="H102" s="1615"/>
      <c r="I102" s="1615"/>
      <c r="J102" s="1615"/>
      <c r="K102" s="1615"/>
      <c r="L102" s="1615"/>
      <c r="M102" s="1615"/>
      <c r="N102" s="1615"/>
      <c r="O102" s="1615"/>
      <c r="P102" s="1615"/>
      <c r="Q102" s="1615"/>
      <c r="R102" s="1615"/>
      <c r="S102" s="1615"/>
    </row>
    <row r="103" spans="1:19">
      <c r="A103" s="1615"/>
      <c r="B103" s="1615" t="s">
        <v>1605</v>
      </c>
      <c r="C103" s="1615"/>
      <c r="D103" s="1615"/>
      <c r="E103" s="1615"/>
      <c r="F103" s="1615"/>
      <c r="G103" s="1615"/>
      <c r="H103" s="1615"/>
      <c r="I103" s="1615"/>
      <c r="J103" s="1615"/>
      <c r="K103" s="1615"/>
      <c r="L103" s="1615"/>
      <c r="M103" s="1615"/>
      <c r="N103" s="1615"/>
      <c r="O103" s="1615"/>
      <c r="P103" s="1615"/>
      <c r="Q103" s="1615"/>
      <c r="R103" s="1615"/>
      <c r="S103" s="1615"/>
    </row>
    <row r="104" spans="1:19">
      <c r="A104" s="1615"/>
      <c r="B104" s="1761" t="s">
        <v>1606</v>
      </c>
      <c r="C104" s="1615"/>
      <c r="D104" s="1615"/>
      <c r="E104" s="1615"/>
      <c r="F104" s="1615"/>
      <c r="G104" s="1615"/>
      <c r="H104" s="1615"/>
      <c r="I104" s="1615"/>
      <c r="J104" s="1615"/>
      <c r="K104" s="1615"/>
      <c r="L104" s="1615"/>
      <c r="M104" s="1615"/>
      <c r="N104" s="1615"/>
      <c r="O104" s="1615"/>
      <c r="P104" s="1615"/>
      <c r="Q104" s="1615"/>
      <c r="R104" s="1615"/>
      <c r="S104" s="1615"/>
    </row>
    <row r="105" spans="1:19">
      <c r="A105" s="1615"/>
      <c r="B105" s="1761" t="s">
        <v>1607</v>
      </c>
      <c r="C105" s="1615"/>
      <c r="D105" s="1615"/>
      <c r="E105" s="1615"/>
      <c r="F105" s="1615"/>
      <c r="G105" s="1615"/>
      <c r="H105" s="1615"/>
      <c r="I105" s="1615"/>
      <c r="J105" s="1615"/>
      <c r="K105" s="1615"/>
      <c r="L105" s="1615"/>
      <c r="M105" s="1615"/>
      <c r="N105" s="1615"/>
      <c r="O105" s="1615"/>
      <c r="P105" s="1615"/>
      <c r="Q105" s="1615"/>
      <c r="R105" s="1615"/>
      <c r="S105" s="1615"/>
    </row>
    <row r="106" spans="1:19" ht="13.5" customHeight="1">
      <c r="A106" s="1615"/>
      <c r="B106" s="1615" t="s">
        <v>1608</v>
      </c>
      <c r="C106" s="1615"/>
      <c r="D106" s="1615"/>
      <c r="E106" s="1615"/>
      <c r="F106" s="1615"/>
      <c r="G106" s="1615"/>
      <c r="H106" s="1615"/>
      <c r="I106" s="1615"/>
      <c r="J106" s="1615"/>
      <c r="K106" s="1615"/>
      <c r="L106" s="1615"/>
      <c r="M106" s="1615"/>
      <c r="N106" s="1615"/>
      <c r="O106" s="1615"/>
      <c r="P106" s="1615"/>
      <c r="Q106" s="1615"/>
      <c r="R106" s="1615"/>
      <c r="S106" s="1615"/>
    </row>
    <row r="107" spans="1:19" ht="12.75" customHeight="1">
      <c r="A107" s="1615"/>
      <c r="B107" s="1761" t="s">
        <v>1626</v>
      </c>
      <c r="C107" s="1615"/>
      <c r="D107" s="1615"/>
      <c r="E107" s="1615"/>
      <c r="F107" s="1615"/>
      <c r="G107" s="1615"/>
      <c r="H107" s="1615"/>
      <c r="I107" s="1615"/>
      <c r="J107" s="1615"/>
      <c r="K107" s="1615"/>
      <c r="L107" s="1615"/>
      <c r="M107" s="1615"/>
      <c r="N107" s="1615"/>
      <c r="O107" s="1615"/>
      <c r="P107" s="1615"/>
      <c r="Q107" s="1615"/>
      <c r="R107" s="1615"/>
      <c r="S107" s="1615"/>
    </row>
    <row r="110" spans="1:19">
      <c r="A110" s="1615"/>
      <c r="B110" s="1615" t="s">
        <v>711</v>
      </c>
      <c r="C110" s="1766"/>
      <c r="D110" s="1615"/>
      <c r="E110" s="1615"/>
      <c r="F110" s="1615"/>
      <c r="G110" s="1615"/>
      <c r="H110" s="1615"/>
      <c r="I110" s="1615"/>
      <c r="J110" s="1615"/>
      <c r="K110" s="1615"/>
      <c r="L110" s="1615"/>
      <c r="M110" s="1615"/>
      <c r="N110" s="1615"/>
      <c r="O110" s="1615"/>
      <c r="P110" s="1615"/>
      <c r="Q110" s="1615"/>
      <c r="R110" s="1615"/>
      <c r="S110" s="1615"/>
    </row>
  </sheetData>
  <mergeCells count="2">
    <mergeCell ref="A34:A42"/>
    <mergeCell ref="A7:A31"/>
  </mergeCells>
  <phoneticPr fontId="90" type="noConversion"/>
  <pageMargins left="0.4" right="0.46" top="0.47" bottom="0.33" header="0.25" footer="0.14000000000000001"/>
  <pageSetup paperSize="9" scale="67" orientation="landscape"/>
  <headerFooter alignWithMargins="0">
    <oddFooter>&amp;R&amp;8&amp;P/&amp;N</oddFooter>
  </headerFooter>
  <rowBreaks count="1" manualBreakCount="1">
    <brk id="58" max="16383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506A-6557-6844-AD2C-68B522B735CD}">
  <sheetPr>
    <pageSetUpPr fitToPage="1"/>
  </sheetPr>
  <dimension ref="A1:V55"/>
  <sheetViews>
    <sheetView zoomScale="75" workbookViewId="0"/>
  </sheetViews>
  <sheetFormatPr baseColWidth="10" defaultColWidth="11.3984375" defaultRowHeight="13"/>
  <cols>
    <col min="1" max="1" width="8.19921875" style="2" customWidth="1"/>
    <col min="2" max="3" width="11" style="225" customWidth="1"/>
    <col min="4" max="4" width="10.59765625" style="225" customWidth="1"/>
    <col min="5" max="8" width="11" style="225" customWidth="1"/>
    <col min="9" max="9" width="10.19921875" style="92" customWidth="1"/>
    <col min="10" max="10" width="9.796875" style="225" customWidth="1"/>
    <col min="11" max="11" width="11" style="225" customWidth="1"/>
    <col min="12" max="12" width="11.3984375" style="2"/>
    <col min="13" max="13" width="8.796875" style="2" hidden="1" customWidth="1"/>
    <col min="14" max="22" width="9.796875" style="225" hidden="1" customWidth="1"/>
    <col min="23" max="16384" width="11.3984375" style="2"/>
  </cols>
  <sheetData>
    <row r="1" spans="1:22" s="1" customFormat="1" ht="14" customHeight="1">
      <c r="A1" s="360"/>
      <c r="B1" s="1193"/>
      <c r="C1" s="1193"/>
      <c r="D1" s="1193"/>
      <c r="E1" s="1193"/>
      <c r="F1" s="1193"/>
      <c r="G1" s="1193"/>
      <c r="H1" s="1193"/>
      <c r="I1" s="1236"/>
      <c r="J1" s="1193"/>
      <c r="K1" s="1193"/>
      <c r="N1" s="205"/>
      <c r="O1" s="205"/>
      <c r="P1" s="205"/>
      <c r="Q1" s="205"/>
      <c r="R1" s="205"/>
      <c r="S1" s="205"/>
      <c r="T1" s="205"/>
      <c r="U1" s="205"/>
      <c r="V1" s="205"/>
    </row>
    <row r="2" spans="1:22" s="1" customFormat="1" ht="27" customHeight="1">
      <c r="A2" s="596" t="s">
        <v>2277</v>
      </c>
      <c r="B2" s="1193"/>
      <c r="C2" s="1193"/>
      <c r="D2" s="1193"/>
      <c r="E2" s="1193"/>
      <c r="F2" s="1193"/>
      <c r="G2" s="1193"/>
      <c r="H2" s="1193"/>
      <c r="I2" s="1236"/>
      <c r="J2" s="1193"/>
      <c r="K2" s="428">
        <v>2008</v>
      </c>
      <c r="M2" s="177" t="s">
        <v>1153</v>
      </c>
      <c r="N2" s="205"/>
      <c r="O2" s="205"/>
      <c r="P2" s="205"/>
      <c r="Q2" s="205"/>
      <c r="R2" s="205"/>
      <c r="S2" s="205"/>
      <c r="T2" s="205"/>
      <c r="U2" s="205"/>
      <c r="V2" s="205"/>
    </row>
    <row r="3" spans="1:22" ht="27" customHeight="1">
      <c r="A3" s="178" t="s">
        <v>2368</v>
      </c>
      <c r="B3" s="179" t="s">
        <v>2196</v>
      </c>
      <c r="C3" s="180" t="s">
        <v>1154</v>
      </c>
      <c r="D3" s="179" t="s">
        <v>1154</v>
      </c>
      <c r="E3" s="180" t="s">
        <v>164</v>
      </c>
      <c r="F3" s="179" t="s">
        <v>1155</v>
      </c>
      <c r="G3" s="180" t="s">
        <v>2278</v>
      </c>
      <c r="H3" s="179" t="s">
        <v>879</v>
      </c>
      <c r="I3" s="228" t="s">
        <v>1156</v>
      </c>
      <c r="J3" s="179" t="s">
        <v>1157</v>
      </c>
      <c r="K3" s="180" t="s">
        <v>2278</v>
      </c>
      <c r="M3" s="178" t="s">
        <v>2368</v>
      </c>
      <c r="N3" s="179" t="s">
        <v>2196</v>
      </c>
      <c r="O3" s="180" t="s">
        <v>1154</v>
      </c>
      <c r="P3" s="179" t="s">
        <v>1154</v>
      </c>
      <c r="Q3" s="180" t="s">
        <v>164</v>
      </c>
      <c r="R3" s="179" t="s">
        <v>2372</v>
      </c>
      <c r="S3" s="180" t="s">
        <v>1158</v>
      </c>
      <c r="T3" s="179" t="s">
        <v>879</v>
      </c>
      <c r="U3" s="180" t="s">
        <v>2372</v>
      </c>
      <c r="V3" s="179" t="s">
        <v>1157</v>
      </c>
    </row>
    <row r="4" spans="1:22" ht="15" customHeight="1">
      <c r="A4" s="274"/>
      <c r="B4" s="436" t="s">
        <v>1159</v>
      </c>
      <c r="C4" s="183" t="s">
        <v>1160</v>
      </c>
      <c r="D4" s="182" t="s">
        <v>1161</v>
      </c>
      <c r="E4" s="920" t="s">
        <v>1162</v>
      </c>
      <c r="F4" s="182" t="s">
        <v>2279</v>
      </c>
      <c r="G4" s="183" t="s">
        <v>2373</v>
      </c>
      <c r="H4" s="182" t="s">
        <v>1163</v>
      </c>
      <c r="I4" s="181" t="s">
        <v>1164</v>
      </c>
      <c r="J4" s="182" t="s">
        <v>1165</v>
      </c>
      <c r="K4" s="183" t="s">
        <v>2373</v>
      </c>
      <c r="M4" s="274"/>
      <c r="N4" s="436" t="s">
        <v>1159</v>
      </c>
      <c r="O4" s="183" t="s">
        <v>1160</v>
      </c>
      <c r="P4" s="182" t="s">
        <v>1161</v>
      </c>
      <c r="Q4" s="920" t="s">
        <v>1162</v>
      </c>
      <c r="R4" s="182" t="s">
        <v>2373</v>
      </c>
      <c r="S4" s="183" t="s">
        <v>2280</v>
      </c>
      <c r="T4" s="182" t="s">
        <v>1163</v>
      </c>
      <c r="U4" s="183" t="s">
        <v>2373</v>
      </c>
      <c r="V4" s="182" t="s">
        <v>1165</v>
      </c>
    </row>
    <row r="5" spans="1:22" ht="15" hidden="1" customHeight="1">
      <c r="A5" s="274"/>
      <c r="B5" s="436"/>
      <c r="C5" s="920" t="s">
        <v>1166</v>
      </c>
      <c r="D5" s="436"/>
      <c r="E5" s="920"/>
      <c r="F5" s="182"/>
      <c r="G5" s="920"/>
      <c r="H5" s="182" t="s">
        <v>1167</v>
      </c>
      <c r="I5" s="1237"/>
      <c r="J5" s="436"/>
      <c r="K5" s="183"/>
      <c r="M5" s="274"/>
      <c r="N5" s="436"/>
      <c r="O5" s="183" t="s">
        <v>1166</v>
      </c>
      <c r="P5" s="182"/>
      <c r="Q5" s="920"/>
      <c r="R5" s="182"/>
      <c r="S5" s="183"/>
      <c r="T5" s="182" t="s">
        <v>1167</v>
      </c>
      <c r="U5" s="183"/>
      <c r="V5" s="182"/>
    </row>
    <row r="6" spans="1:22" ht="15" customHeight="1">
      <c r="A6" s="274"/>
      <c r="B6" s="436" t="s">
        <v>1168</v>
      </c>
      <c r="C6" s="920" t="s">
        <v>1169</v>
      </c>
      <c r="D6" s="436" t="s">
        <v>1170</v>
      </c>
      <c r="E6" s="920" t="s">
        <v>1171</v>
      </c>
      <c r="F6" s="436"/>
      <c r="G6" s="920" t="s">
        <v>2377</v>
      </c>
      <c r="H6" s="436" t="s">
        <v>2281</v>
      </c>
      <c r="I6" s="1237" t="s">
        <v>2282</v>
      </c>
      <c r="J6" s="436" t="s">
        <v>2283</v>
      </c>
      <c r="K6" s="920" t="s">
        <v>2377</v>
      </c>
      <c r="M6" s="274"/>
      <c r="N6" s="436" t="s">
        <v>1168</v>
      </c>
      <c r="O6" s="920" t="s">
        <v>1169</v>
      </c>
      <c r="P6" s="436" t="s">
        <v>1172</v>
      </c>
      <c r="Q6" s="920" t="s">
        <v>1171</v>
      </c>
      <c r="R6" s="436" t="s">
        <v>2377</v>
      </c>
      <c r="S6" s="920"/>
      <c r="T6" s="182" t="s">
        <v>1173</v>
      </c>
      <c r="U6" s="920" t="s">
        <v>2377</v>
      </c>
      <c r="V6" s="182" t="s">
        <v>2280</v>
      </c>
    </row>
    <row r="7" spans="1:22" ht="27" customHeight="1">
      <c r="A7" s="274"/>
      <c r="B7" s="436" t="s">
        <v>2284</v>
      </c>
      <c r="C7" s="920" t="s">
        <v>2285</v>
      </c>
      <c r="D7" s="436" t="s">
        <v>2286</v>
      </c>
      <c r="E7" s="920" t="s">
        <v>2287</v>
      </c>
      <c r="F7" s="436"/>
      <c r="G7" s="920"/>
      <c r="H7" s="436"/>
      <c r="I7" s="1237"/>
      <c r="J7" s="436"/>
      <c r="K7" s="920"/>
      <c r="M7" s="378"/>
      <c r="N7" s="188" t="s">
        <v>824</v>
      </c>
      <c r="O7" s="187" t="s">
        <v>1174</v>
      </c>
      <c r="P7" s="188" t="s">
        <v>1175</v>
      </c>
      <c r="Q7" s="187" t="s">
        <v>1176</v>
      </c>
      <c r="R7" s="188" t="s">
        <v>1845</v>
      </c>
      <c r="S7" s="187"/>
      <c r="T7" s="188"/>
      <c r="U7" s="187" t="s">
        <v>1845</v>
      </c>
      <c r="V7" s="188"/>
    </row>
    <row r="8" spans="1:22" ht="30" customHeight="1" thickBot="1">
      <c r="A8" s="1220" t="s">
        <v>2378</v>
      </c>
      <c r="B8" s="381">
        <v>1347351</v>
      </c>
      <c r="C8" s="382">
        <v>1169</v>
      </c>
      <c r="D8" s="381">
        <v>1870</v>
      </c>
      <c r="E8" s="382">
        <v>3039</v>
      </c>
      <c r="F8" s="1238">
        <v>2.2555369758882429</v>
      </c>
      <c r="G8" s="439">
        <v>-6.4205646826657192E-3</v>
      </c>
      <c r="H8" s="381">
        <v>224</v>
      </c>
      <c r="I8" s="1239">
        <v>2</v>
      </c>
      <c r="J8" s="1238">
        <v>1.662521495883404</v>
      </c>
      <c r="K8" s="439">
        <v>-2.687908820469298E-2</v>
      </c>
      <c r="M8" s="1220" t="s">
        <v>2378</v>
      </c>
      <c r="N8" s="381">
        <v>1209530</v>
      </c>
      <c r="O8" s="382">
        <v>875</v>
      </c>
      <c r="P8" s="381">
        <v>1726</v>
      </c>
      <c r="Q8" s="382">
        <v>2601</v>
      </c>
      <c r="R8" s="1240"/>
      <c r="S8" s="382">
        <f t="shared" ref="S8:S34" si="0">N8/Q8</f>
        <v>465.02499038831218</v>
      </c>
      <c r="T8" s="381">
        <v>223</v>
      </c>
      <c r="U8" s="1164"/>
      <c r="V8" s="381">
        <f t="shared" ref="V8:V34" si="1">N8/T8</f>
        <v>5423.9013452914796</v>
      </c>
    </row>
    <row r="9" spans="1:22" ht="18" customHeight="1" thickBot="1">
      <c r="A9" s="438" t="s">
        <v>2379</v>
      </c>
      <c r="B9" s="213">
        <v>974591</v>
      </c>
      <c r="C9" s="263">
        <v>866</v>
      </c>
      <c r="D9" s="213">
        <v>1044</v>
      </c>
      <c r="E9" s="263">
        <v>1910</v>
      </c>
      <c r="F9" s="1238">
        <v>1.9597964684672851</v>
      </c>
      <c r="G9" s="439">
        <v>-7.2318051077745693E-2</v>
      </c>
      <c r="H9" s="213">
        <v>179</v>
      </c>
      <c r="I9" s="1239">
        <v>2</v>
      </c>
      <c r="J9" s="1238">
        <v>1.8366678945321677</v>
      </c>
      <c r="K9" s="439">
        <v>7.848581921410247E-4</v>
      </c>
      <c r="M9" s="438" t="s">
        <v>2379</v>
      </c>
      <c r="N9" s="213">
        <v>949795</v>
      </c>
      <c r="O9" s="263">
        <v>581</v>
      </c>
      <c r="P9" s="213">
        <v>1249</v>
      </c>
      <c r="Q9" s="263">
        <v>1830</v>
      </c>
      <c r="R9" s="499"/>
      <c r="S9" s="263">
        <f t="shared" si="0"/>
        <v>519.01366120218574</v>
      </c>
      <c r="T9" s="213">
        <v>172</v>
      </c>
      <c r="U9" s="501"/>
      <c r="V9" s="213">
        <f t="shared" si="1"/>
        <v>5522.0639534883721</v>
      </c>
    </row>
    <row r="10" spans="1:22" ht="18" customHeight="1" thickBot="1">
      <c r="A10" s="438" t="s">
        <v>2380</v>
      </c>
      <c r="B10" s="213">
        <v>366425</v>
      </c>
      <c r="C10" s="263">
        <v>255</v>
      </c>
      <c r="D10" s="213">
        <v>265</v>
      </c>
      <c r="E10" s="263">
        <v>520</v>
      </c>
      <c r="F10" s="1238">
        <v>1.4191171453912805</v>
      </c>
      <c r="G10" s="439">
        <v>-5.7591644534690234E-2</v>
      </c>
      <c r="H10" s="213">
        <v>33</v>
      </c>
      <c r="I10" s="1239">
        <v>1</v>
      </c>
      <c r="J10" s="1238">
        <v>0.90059357303677423</v>
      </c>
      <c r="K10" s="439">
        <v>-1.2283550521934861E-2</v>
      </c>
      <c r="M10" s="438" t="s">
        <v>2380</v>
      </c>
      <c r="N10" s="213">
        <v>343180</v>
      </c>
      <c r="O10" s="263">
        <v>203</v>
      </c>
      <c r="P10" s="213">
        <v>282</v>
      </c>
      <c r="Q10" s="263">
        <v>485</v>
      </c>
      <c r="R10" s="499"/>
      <c r="S10" s="263">
        <f t="shared" si="0"/>
        <v>707.58762886597935</v>
      </c>
      <c r="T10" s="213">
        <v>34</v>
      </c>
      <c r="U10" s="501"/>
      <c r="V10" s="213">
        <f t="shared" si="1"/>
        <v>10093.529411764706</v>
      </c>
    </row>
    <row r="11" spans="1:22" ht="18" customHeight="1" thickBot="1">
      <c r="A11" s="438" t="s">
        <v>2381</v>
      </c>
      <c r="B11" s="213">
        <v>34648</v>
      </c>
      <c r="C11" s="263">
        <v>24</v>
      </c>
      <c r="D11" s="213">
        <v>13</v>
      </c>
      <c r="E11" s="263">
        <v>37</v>
      </c>
      <c r="F11" s="1238">
        <v>1.0678827060725007</v>
      </c>
      <c r="G11" s="439">
        <v>-0.14452661450978066</v>
      </c>
      <c r="H11" s="213">
        <v>4</v>
      </c>
      <c r="I11" s="1239">
        <v>1</v>
      </c>
      <c r="J11" s="1238">
        <v>1.1544677903486493</v>
      </c>
      <c r="K11" s="439">
        <v>0.98839759870699617</v>
      </c>
      <c r="M11" s="438" t="s">
        <v>2381</v>
      </c>
      <c r="N11" s="213">
        <v>34560</v>
      </c>
      <c r="O11" s="263">
        <v>21</v>
      </c>
      <c r="P11" s="213">
        <v>22</v>
      </c>
      <c r="Q11" s="263">
        <v>43</v>
      </c>
      <c r="R11" s="499"/>
      <c r="S11" s="263">
        <f t="shared" si="0"/>
        <v>803.72093023255809</v>
      </c>
      <c r="T11" s="213">
        <v>2</v>
      </c>
      <c r="U11" s="501"/>
      <c r="V11" s="213">
        <f t="shared" si="1"/>
        <v>17280</v>
      </c>
    </row>
    <row r="12" spans="1:22" ht="18" customHeight="1" thickBot="1">
      <c r="A12" s="438" t="s">
        <v>2382</v>
      </c>
      <c r="B12" s="213">
        <v>142033</v>
      </c>
      <c r="C12" s="263">
        <v>97</v>
      </c>
      <c r="D12" s="213">
        <v>82</v>
      </c>
      <c r="E12" s="263">
        <v>179</v>
      </c>
      <c r="F12" s="1238">
        <v>1.2602705005174852</v>
      </c>
      <c r="G12" s="439">
        <v>-6.2345340482006684E-2</v>
      </c>
      <c r="H12" s="213">
        <v>12</v>
      </c>
      <c r="I12" s="1239">
        <v>1</v>
      </c>
      <c r="J12" s="1238">
        <v>0.84487407855920804</v>
      </c>
      <c r="K12" s="439">
        <v>-1.5200692796744519E-2</v>
      </c>
      <c r="M12" s="438" t="s">
        <v>2382</v>
      </c>
      <c r="N12" s="213">
        <v>126680</v>
      </c>
      <c r="O12" s="263">
        <v>65</v>
      </c>
      <c r="P12" s="213">
        <v>66</v>
      </c>
      <c r="Q12" s="263">
        <v>131</v>
      </c>
      <c r="R12" s="499"/>
      <c r="S12" s="263">
        <f t="shared" si="0"/>
        <v>967.02290076335873</v>
      </c>
      <c r="T12" s="213">
        <v>11</v>
      </c>
      <c r="U12" s="501"/>
      <c r="V12" s="213">
        <f t="shared" si="1"/>
        <v>11516.363636363636</v>
      </c>
    </row>
    <row r="13" spans="1:22" ht="18" customHeight="1" thickBot="1">
      <c r="A13" s="438" t="s">
        <v>2383</v>
      </c>
      <c r="B13" s="213">
        <v>34137</v>
      </c>
      <c r="C13" s="263">
        <v>25</v>
      </c>
      <c r="D13" s="213">
        <v>14</v>
      </c>
      <c r="E13" s="263">
        <v>39</v>
      </c>
      <c r="F13" s="1238">
        <v>1.1424554002987959</v>
      </c>
      <c r="G13" s="439">
        <v>1.5733044713021505E-2</v>
      </c>
      <c r="H13" s="213">
        <v>3</v>
      </c>
      <c r="I13" s="1239">
        <v>1</v>
      </c>
      <c r="J13" s="1238">
        <v>0.87881184638368914</v>
      </c>
      <c r="K13" s="439">
        <v>-0.25773354424817652</v>
      </c>
      <c r="M13" s="438" t="s">
        <v>2383</v>
      </c>
      <c r="N13" s="213">
        <v>31952</v>
      </c>
      <c r="O13" s="263">
        <v>19</v>
      </c>
      <c r="P13" s="213">
        <v>13</v>
      </c>
      <c r="Q13" s="263">
        <v>32</v>
      </c>
      <c r="R13" s="499"/>
      <c r="S13" s="263">
        <f t="shared" si="0"/>
        <v>998.5</v>
      </c>
      <c r="T13" s="213">
        <v>2</v>
      </c>
      <c r="U13" s="501"/>
      <c r="V13" s="213">
        <f t="shared" si="1"/>
        <v>15976</v>
      </c>
    </row>
    <row r="14" spans="1:22" ht="18" customHeight="1" thickBot="1">
      <c r="A14" s="438" t="s">
        <v>2384</v>
      </c>
      <c r="B14" s="213">
        <v>39913</v>
      </c>
      <c r="C14" s="263">
        <v>26</v>
      </c>
      <c r="D14" s="213">
        <v>21</v>
      </c>
      <c r="E14" s="263">
        <v>47</v>
      </c>
      <c r="F14" s="1238">
        <v>1.177561195600431</v>
      </c>
      <c r="G14" s="439">
        <v>-2.9346119476527988E-2</v>
      </c>
      <c r="H14" s="213">
        <v>2</v>
      </c>
      <c r="I14" s="1239">
        <v>1</v>
      </c>
      <c r="J14" s="1238">
        <v>0.50108987046826847</v>
      </c>
      <c r="K14" s="439">
        <v>-8.6939092526245876E-3</v>
      </c>
      <c r="M14" s="438" t="s">
        <v>2384</v>
      </c>
      <c r="N14" s="213">
        <v>36549</v>
      </c>
      <c r="O14" s="263">
        <v>16</v>
      </c>
      <c r="P14" s="213">
        <v>20</v>
      </c>
      <c r="Q14" s="263">
        <v>36</v>
      </c>
      <c r="R14" s="499"/>
      <c r="S14" s="263">
        <f t="shared" si="0"/>
        <v>1015.25</v>
      </c>
      <c r="T14" s="213">
        <v>2</v>
      </c>
      <c r="U14" s="501"/>
      <c r="V14" s="213">
        <f t="shared" si="1"/>
        <v>18274.5</v>
      </c>
    </row>
    <row r="15" spans="1:22" ht="18" customHeight="1" thickBot="1">
      <c r="A15" s="438" t="s">
        <v>2385</v>
      </c>
      <c r="B15" s="213">
        <v>38165</v>
      </c>
      <c r="C15" s="263">
        <v>32</v>
      </c>
      <c r="D15" s="213">
        <v>21</v>
      </c>
      <c r="E15" s="263">
        <v>53</v>
      </c>
      <c r="F15" s="1238">
        <v>1.3887069304336432</v>
      </c>
      <c r="G15" s="439">
        <v>-7.3367028208540574E-2</v>
      </c>
      <c r="H15" s="213">
        <v>2</v>
      </c>
      <c r="I15" s="1239">
        <v>1</v>
      </c>
      <c r="J15" s="1238">
        <v>0.52404035110703528</v>
      </c>
      <c r="K15" s="439">
        <v>-3.4324642997509702E-3</v>
      </c>
      <c r="M15" s="438" t="s">
        <v>2385</v>
      </c>
      <c r="N15" s="213">
        <v>38305</v>
      </c>
      <c r="O15" s="263">
        <v>25</v>
      </c>
      <c r="P15" s="213">
        <v>22</v>
      </c>
      <c r="Q15" s="263">
        <v>47</v>
      </c>
      <c r="R15" s="499"/>
      <c r="S15" s="263">
        <f t="shared" si="0"/>
        <v>815</v>
      </c>
      <c r="T15" s="213">
        <v>3</v>
      </c>
      <c r="U15" s="501"/>
      <c r="V15" s="213">
        <f t="shared" si="1"/>
        <v>12768.333333333334</v>
      </c>
    </row>
    <row r="16" spans="1:22" ht="18" customHeight="1" thickBot="1">
      <c r="A16" s="438" t="s">
        <v>2386</v>
      </c>
      <c r="B16" s="213">
        <v>110390</v>
      </c>
      <c r="C16" s="263">
        <v>82</v>
      </c>
      <c r="D16" s="213">
        <v>125</v>
      </c>
      <c r="E16" s="263">
        <v>207</v>
      </c>
      <c r="F16" s="1238">
        <v>1.8751698523416975</v>
      </c>
      <c r="G16" s="439">
        <v>1.5259872392724194E-2</v>
      </c>
      <c r="H16" s="213">
        <v>14</v>
      </c>
      <c r="I16" s="1239">
        <v>1</v>
      </c>
      <c r="J16" s="1238">
        <v>1.2682308180088777</v>
      </c>
      <c r="K16" s="439">
        <v>6.166528462026255E-2</v>
      </c>
      <c r="M16" s="438" t="s">
        <v>2386</v>
      </c>
      <c r="N16" s="213">
        <v>97049</v>
      </c>
      <c r="O16" s="263">
        <v>53</v>
      </c>
      <c r="P16" s="213">
        <v>102</v>
      </c>
      <c r="Q16" s="263">
        <v>155</v>
      </c>
      <c r="R16" s="499"/>
      <c r="S16" s="263">
        <f t="shared" si="0"/>
        <v>626.12258064516129</v>
      </c>
      <c r="T16" s="213">
        <v>14</v>
      </c>
      <c r="U16" s="501"/>
      <c r="V16" s="213">
        <f t="shared" si="1"/>
        <v>6932.0714285714284</v>
      </c>
    </row>
    <row r="17" spans="1:22" ht="18" customHeight="1" thickBot="1">
      <c r="A17" s="438" t="s">
        <v>2387</v>
      </c>
      <c r="B17" s="213">
        <v>268830</v>
      </c>
      <c r="C17" s="263">
        <v>166</v>
      </c>
      <c r="D17" s="213">
        <v>214</v>
      </c>
      <c r="E17" s="263">
        <v>380</v>
      </c>
      <c r="F17" s="1238">
        <v>1.413532715842726</v>
      </c>
      <c r="G17" s="439">
        <v>-8.0329851175931166E-2</v>
      </c>
      <c r="H17" s="213">
        <v>70</v>
      </c>
      <c r="I17" s="1239">
        <v>2</v>
      </c>
      <c r="J17" s="1238">
        <v>2.6038760554997582</v>
      </c>
      <c r="K17" s="439">
        <v>-3.1645450198308778E-3</v>
      </c>
      <c r="M17" s="438" t="s">
        <v>2387</v>
      </c>
      <c r="N17" s="213">
        <v>235151</v>
      </c>
      <c r="O17" s="263">
        <v>112</v>
      </c>
      <c r="P17" s="213">
        <v>225</v>
      </c>
      <c r="Q17" s="263">
        <v>337</v>
      </c>
      <c r="R17" s="499"/>
      <c r="S17" s="263">
        <f t="shared" si="0"/>
        <v>697.77744807121667</v>
      </c>
      <c r="T17" s="213">
        <v>71</v>
      </c>
      <c r="U17" s="501"/>
      <c r="V17" s="213">
        <f t="shared" si="1"/>
        <v>3311.9859154929577</v>
      </c>
    </row>
    <row r="18" spans="1:22" ht="18" customHeight="1" thickBot="1">
      <c r="A18" s="438" t="s">
        <v>2388</v>
      </c>
      <c r="B18" s="213">
        <v>250590</v>
      </c>
      <c r="C18" s="263">
        <v>220</v>
      </c>
      <c r="D18" s="213">
        <v>178</v>
      </c>
      <c r="E18" s="263">
        <v>398</v>
      </c>
      <c r="F18" s="1238">
        <v>1.5882517259268127</v>
      </c>
      <c r="G18" s="439">
        <v>-2.349970119899758E-2</v>
      </c>
      <c r="H18" s="213">
        <v>26</v>
      </c>
      <c r="I18" s="1239">
        <v>1</v>
      </c>
      <c r="J18" s="1238">
        <v>1.0375513787461592</v>
      </c>
      <c r="K18" s="439">
        <v>-6.3250728281255553E-3</v>
      </c>
      <c r="M18" s="438" t="s">
        <v>2388</v>
      </c>
      <c r="N18" s="213">
        <v>241747</v>
      </c>
      <c r="O18" s="263">
        <v>158</v>
      </c>
      <c r="P18" s="213">
        <v>210</v>
      </c>
      <c r="Q18" s="263">
        <v>368</v>
      </c>
      <c r="R18" s="499"/>
      <c r="S18" s="263">
        <f t="shared" si="0"/>
        <v>656.92119565217388</v>
      </c>
      <c r="T18" s="213">
        <v>28</v>
      </c>
      <c r="U18" s="501"/>
      <c r="V18" s="213">
        <f t="shared" si="1"/>
        <v>8633.8214285714294</v>
      </c>
    </row>
    <row r="19" spans="1:22" ht="18" customHeight="1" thickBot="1">
      <c r="A19" s="438" t="s">
        <v>2389</v>
      </c>
      <c r="B19" s="213">
        <v>190531</v>
      </c>
      <c r="C19" s="263">
        <v>217</v>
      </c>
      <c r="D19" s="213">
        <v>467</v>
      </c>
      <c r="E19" s="263">
        <v>684</v>
      </c>
      <c r="F19" s="1238">
        <v>3.589966986999491</v>
      </c>
      <c r="G19" s="439">
        <v>-7.3070523956731415E-2</v>
      </c>
      <c r="H19" s="213">
        <v>70</v>
      </c>
      <c r="I19" s="1239">
        <v>3</v>
      </c>
      <c r="J19" s="1238">
        <v>3.6739428229526951</v>
      </c>
      <c r="K19" s="439">
        <v>1.0478039292019847E-2</v>
      </c>
      <c r="M19" s="438" t="s">
        <v>2389</v>
      </c>
      <c r="N19" s="213">
        <v>192347</v>
      </c>
      <c r="O19" s="263">
        <v>118</v>
      </c>
      <c r="P19" s="213">
        <v>556</v>
      </c>
      <c r="Q19" s="263">
        <v>674</v>
      </c>
      <c r="R19" s="499"/>
      <c r="S19" s="263">
        <f t="shared" si="0"/>
        <v>285.38130563798222</v>
      </c>
      <c r="T19" s="213">
        <v>70</v>
      </c>
      <c r="U19" s="501"/>
      <c r="V19" s="213">
        <f t="shared" si="1"/>
        <v>2747.8142857142857</v>
      </c>
    </row>
    <row r="20" spans="1:22" ht="18" customHeight="1" thickBot="1">
      <c r="A20" s="438" t="s">
        <v>2390</v>
      </c>
      <c r="B20" s="213">
        <v>269249</v>
      </c>
      <c r="C20" s="263">
        <v>232</v>
      </c>
      <c r="D20" s="213">
        <v>317</v>
      </c>
      <c r="E20" s="263">
        <v>549</v>
      </c>
      <c r="F20" s="1238">
        <v>2.0390047873901112</v>
      </c>
      <c r="G20" s="439">
        <v>2.0445528868249019E-2</v>
      </c>
      <c r="H20" s="213">
        <v>42</v>
      </c>
      <c r="I20" s="1239">
        <v>1</v>
      </c>
      <c r="J20" s="1238">
        <v>1.5598943728667518</v>
      </c>
      <c r="K20" s="439">
        <v>1.6773393818343418E-2</v>
      </c>
      <c r="M20" s="438" t="s">
        <v>2390</v>
      </c>
      <c r="N20" s="213">
        <v>255485</v>
      </c>
      <c r="O20" s="263">
        <v>164</v>
      </c>
      <c r="P20" s="213">
        <v>306</v>
      </c>
      <c r="Q20" s="263">
        <v>470</v>
      </c>
      <c r="R20" s="499"/>
      <c r="S20" s="263">
        <f t="shared" si="0"/>
        <v>543.58510638297878</v>
      </c>
      <c r="T20" s="213">
        <v>36</v>
      </c>
      <c r="U20" s="501"/>
      <c r="V20" s="213">
        <f t="shared" si="1"/>
        <v>7096.8055555555557</v>
      </c>
    </row>
    <row r="21" spans="1:22" ht="18" customHeight="1" thickBot="1">
      <c r="A21" s="438" t="s">
        <v>2391</v>
      </c>
      <c r="B21" s="213">
        <v>75045</v>
      </c>
      <c r="C21" s="263">
        <v>74</v>
      </c>
      <c r="D21" s="213">
        <v>68</v>
      </c>
      <c r="E21" s="263">
        <v>142</v>
      </c>
      <c r="F21" s="1238">
        <v>1.8921980145246187</v>
      </c>
      <c r="G21" s="439">
        <v>-4.6255489949273643E-2</v>
      </c>
      <c r="H21" s="213">
        <v>13</v>
      </c>
      <c r="I21" s="1239">
        <v>2</v>
      </c>
      <c r="J21" s="1238">
        <v>1.732293956959158</v>
      </c>
      <c r="K21" s="439">
        <v>-5.9564261443133537E-3</v>
      </c>
      <c r="M21" s="438" t="s">
        <v>2391</v>
      </c>
      <c r="N21" s="213">
        <v>73115</v>
      </c>
      <c r="O21" s="263">
        <v>55</v>
      </c>
      <c r="P21" s="213">
        <v>81</v>
      </c>
      <c r="Q21" s="263">
        <v>136</v>
      </c>
      <c r="R21" s="499"/>
      <c r="S21" s="263">
        <f t="shared" si="0"/>
        <v>537.61029411764707</v>
      </c>
      <c r="T21" s="213">
        <v>14</v>
      </c>
      <c r="U21" s="501"/>
      <c r="V21" s="213">
        <f t="shared" si="1"/>
        <v>5222.5</v>
      </c>
    </row>
    <row r="22" spans="1:22" ht="18" customHeight="1" thickBot="1">
      <c r="A22" s="438" t="s">
        <v>2392</v>
      </c>
      <c r="B22" s="213">
        <v>52517</v>
      </c>
      <c r="C22" s="263">
        <v>45</v>
      </c>
      <c r="D22" s="213">
        <v>34</v>
      </c>
      <c r="E22" s="263">
        <v>79</v>
      </c>
      <c r="F22" s="1238">
        <v>1.5042748062532132</v>
      </c>
      <c r="G22" s="439">
        <v>-0.17977849236120369</v>
      </c>
      <c r="H22" s="213">
        <v>6</v>
      </c>
      <c r="I22" s="1239">
        <v>1</v>
      </c>
      <c r="J22" s="1238">
        <v>1.1424871946226935</v>
      </c>
      <c r="K22" s="439">
        <v>-3.2751299579184545E-3</v>
      </c>
      <c r="M22" s="438" t="s">
        <v>2392</v>
      </c>
      <c r="N22" s="213">
        <v>53390</v>
      </c>
      <c r="O22" s="263">
        <v>44</v>
      </c>
      <c r="P22" s="213">
        <v>36</v>
      </c>
      <c r="Q22" s="263">
        <v>80</v>
      </c>
      <c r="R22" s="499"/>
      <c r="S22" s="263">
        <f t="shared" si="0"/>
        <v>667.375</v>
      </c>
      <c r="T22" s="213">
        <v>4</v>
      </c>
      <c r="U22" s="501"/>
      <c r="V22" s="213">
        <f t="shared" si="1"/>
        <v>13347.5</v>
      </c>
    </row>
    <row r="23" spans="1:22" ht="18" customHeight="1" thickBot="1">
      <c r="A23" s="438" t="s">
        <v>2393</v>
      </c>
      <c r="B23" s="213">
        <v>15147</v>
      </c>
      <c r="C23" s="263">
        <v>12</v>
      </c>
      <c r="D23" s="213">
        <v>4</v>
      </c>
      <c r="E23" s="263">
        <v>16</v>
      </c>
      <c r="F23" s="1238">
        <v>1.0563147818049778</v>
      </c>
      <c r="G23" s="439">
        <v>-6.6217732884399805E-2</v>
      </c>
      <c r="H23" s="213">
        <v>1</v>
      </c>
      <c r="I23" s="1239">
        <v>1</v>
      </c>
      <c r="J23" s="1238">
        <v>0.66019673862811112</v>
      </c>
      <c r="K23" s="439">
        <v>-7.8563411896745983E-3</v>
      </c>
      <c r="M23" s="438" t="s">
        <v>2393</v>
      </c>
      <c r="N23" s="213">
        <v>14520</v>
      </c>
      <c r="O23" s="263">
        <v>8</v>
      </c>
      <c r="P23" s="213">
        <v>7</v>
      </c>
      <c r="Q23" s="263">
        <v>15</v>
      </c>
      <c r="R23" s="499"/>
      <c r="S23" s="263">
        <f t="shared" si="0"/>
        <v>968</v>
      </c>
      <c r="T23" s="213">
        <v>1</v>
      </c>
      <c r="U23" s="501"/>
      <c r="V23" s="213">
        <f t="shared" si="1"/>
        <v>14520</v>
      </c>
    </row>
    <row r="24" spans="1:22" ht="18" customHeight="1" thickBot="1">
      <c r="A24" s="438" t="s">
        <v>2394</v>
      </c>
      <c r="B24" s="213">
        <v>470268</v>
      </c>
      <c r="C24" s="263">
        <v>350</v>
      </c>
      <c r="D24" s="213">
        <v>392</v>
      </c>
      <c r="E24" s="263">
        <v>742</v>
      </c>
      <c r="F24" s="1238">
        <v>1.5778237090339977</v>
      </c>
      <c r="G24" s="439">
        <v>-4.4171221715336939E-2</v>
      </c>
      <c r="H24" s="213">
        <v>51</v>
      </c>
      <c r="I24" s="1239">
        <v>1</v>
      </c>
      <c r="J24" s="1238">
        <v>1.0844879940799714</v>
      </c>
      <c r="K24" s="439">
        <v>3.104265513906701E-2</v>
      </c>
      <c r="M24" s="438" t="s">
        <v>2394</v>
      </c>
      <c r="N24" s="213">
        <v>445797</v>
      </c>
      <c r="O24" s="263">
        <v>300</v>
      </c>
      <c r="P24" s="213">
        <v>370</v>
      </c>
      <c r="Q24" s="263">
        <v>670</v>
      </c>
      <c r="R24" s="499"/>
      <c r="S24" s="263">
        <f t="shared" si="0"/>
        <v>665.36865671641795</v>
      </c>
      <c r="T24" s="213">
        <v>49</v>
      </c>
      <c r="U24" s="501"/>
      <c r="V24" s="213">
        <f t="shared" si="1"/>
        <v>9097.8979591836742</v>
      </c>
    </row>
    <row r="25" spans="1:22" ht="18" customHeight="1" thickBot="1">
      <c r="A25" s="438" t="s">
        <v>2395</v>
      </c>
      <c r="B25" s="213">
        <v>193035</v>
      </c>
      <c r="C25" s="263">
        <v>178</v>
      </c>
      <c r="D25" s="213">
        <v>130</v>
      </c>
      <c r="E25" s="263">
        <v>308</v>
      </c>
      <c r="F25" s="1238">
        <v>1.5955655710104386</v>
      </c>
      <c r="G25" s="439">
        <v>-7.7849606523069381E-2</v>
      </c>
      <c r="H25" s="213">
        <v>41</v>
      </c>
      <c r="I25" s="1239">
        <v>2</v>
      </c>
      <c r="J25" s="1238">
        <v>2.1239671562151941</v>
      </c>
      <c r="K25" s="439">
        <v>1.8856425000647548E-2</v>
      </c>
      <c r="M25" s="438" t="s">
        <v>2395</v>
      </c>
      <c r="N25" s="213">
        <v>187572</v>
      </c>
      <c r="O25" s="263">
        <v>146</v>
      </c>
      <c r="P25" s="213">
        <v>178</v>
      </c>
      <c r="Q25" s="263">
        <v>324</v>
      </c>
      <c r="R25" s="499"/>
      <c r="S25" s="263">
        <f t="shared" si="0"/>
        <v>578.92592592592598</v>
      </c>
      <c r="T25" s="213">
        <v>36</v>
      </c>
      <c r="U25" s="501"/>
      <c r="V25" s="213">
        <f t="shared" si="1"/>
        <v>5210.333333333333</v>
      </c>
    </row>
    <row r="26" spans="1:22" ht="18" customHeight="1" thickBot="1">
      <c r="A26" s="438" t="s">
        <v>2396</v>
      </c>
      <c r="B26" s="213">
        <v>587471</v>
      </c>
      <c r="C26" s="263">
        <v>368</v>
      </c>
      <c r="D26" s="213">
        <v>509</v>
      </c>
      <c r="E26" s="263">
        <v>877</v>
      </c>
      <c r="F26" s="1238">
        <v>1.492839646552766</v>
      </c>
      <c r="G26" s="439">
        <v>-2.3682871154491081E-2</v>
      </c>
      <c r="H26" s="213">
        <v>113</v>
      </c>
      <c r="I26" s="1239">
        <v>2</v>
      </c>
      <c r="J26" s="1238">
        <v>1.923499202513826</v>
      </c>
      <c r="K26" s="439">
        <v>2.9748679486281127E-3</v>
      </c>
      <c r="M26" s="438" t="s">
        <v>2396</v>
      </c>
      <c r="N26" s="213">
        <v>536746</v>
      </c>
      <c r="O26" s="263">
        <v>281</v>
      </c>
      <c r="P26" s="213">
        <v>454</v>
      </c>
      <c r="Q26" s="263">
        <v>735</v>
      </c>
      <c r="R26" s="499"/>
      <c r="S26" s="263">
        <f t="shared" si="0"/>
        <v>730.26666666666665</v>
      </c>
      <c r="T26" s="213">
        <v>108</v>
      </c>
      <c r="U26" s="501"/>
      <c r="V26" s="213">
        <f t="shared" si="1"/>
        <v>4969.8703703703704</v>
      </c>
    </row>
    <row r="27" spans="1:22" ht="18" customHeight="1" thickBot="1">
      <c r="A27" s="438" t="s">
        <v>2397</v>
      </c>
      <c r="B27" s="213">
        <v>240656</v>
      </c>
      <c r="C27" s="263">
        <v>176</v>
      </c>
      <c r="D27" s="213">
        <v>139</v>
      </c>
      <c r="E27" s="263">
        <v>315</v>
      </c>
      <c r="F27" s="1238">
        <v>1.3089222791037829</v>
      </c>
      <c r="G27" s="439">
        <v>-4.0898275482910806E-2</v>
      </c>
      <c r="H27" s="213">
        <v>26</v>
      </c>
      <c r="I27" s="1239">
        <v>1</v>
      </c>
      <c r="J27" s="1238">
        <v>1.0803802938634399</v>
      </c>
      <c r="K27" s="439">
        <v>0.11862105896058028</v>
      </c>
      <c r="M27" s="438" t="s">
        <v>2397</v>
      </c>
      <c r="N27" s="213">
        <v>226619</v>
      </c>
      <c r="O27" s="263">
        <v>144</v>
      </c>
      <c r="P27" s="213">
        <v>138</v>
      </c>
      <c r="Q27" s="263">
        <v>282</v>
      </c>
      <c r="R27" s="499"/>
      <c r="S27" s="263">
        <f t="shared" si="0"/>
        <v>803.61347517730496</v>
      </c>
      <c r="T27" s="213">
        <v>23</v>
      </c>
      <c r="U27" s="501"/>
      <c r="V27" s="213">
        <f t="shared" si="1"/>
        <v>9853</v>
      </c>
    </row>
    <row r="28" spans="1:22" ht="18" customHeight="1" thickBot="1">
      <c r="A28" s="438" t="s">
        <v>2398</v>
      </c>
      <c r="B28" s="213">
        <v>331600</v>
      </c>
      <c r="C28" s="263">
        <v>281</v>
      </c>
      <c r="D28" s="213">
        <v>361</v>
      </c>
      <c r="E28" s="263">
        <v>642</v>
      </c>
      <c r="F28" s="1238">
        <v>1.9360675512665864</v>
      </c>
      <c r="G28" s="439">
        <v>-5.1842026970740918E-2</v>
      </c>
      <c r="H28" s="213">
        <v>185</v>
      </c>
      <c r="I28" s="1239">
        <v>3</v>
      </c>
      <c r="J28" s="1238">
        <v>5.579010856453559</v>
      </c>
      <c r="K28" s="439">
        <v>4.3200466602155707E-3</v>
      </c>
      <c r="M28" s="438" t="s">
        <v>2398</v>
      </c>
      <c r="N28" s="213">
        <v>303836</v>
      </c>
      <c r="O28" s="263">
        <v>193</v>
      </c>
      <c r="P28" s="213">
        <v>384</v>
      </c>
      <c r="Q28" s="263">
        <v>577</v>
      </c>
      <c r="R28" s="499"/>
      <c r="S28" s="263">
        <f t="shared" si="0"/>
        <v>526.57885615251303</v>
      </c>
      <c r="T28" s="213">
        <v>171</v>
      </c>
      <c r="U28" s="501"/>
      <c r="V28" s="213">
        <f t="shared" si="1"/>
        <v>1776.8187134502923</v>
      </c>
    </row>
    <row r="29" spans="1:22" ht="18" customHeight="1" thickBot="1">
      <c r="A29" s="438" t="s">
        <v>2399</v>
      </c>
      <c r="B29" s="213">
        <v>690870</v>
      </c>
      <c r="C29" s="263">
        <v>583</v>
      </c>
      <c r="D29" s="213">
        <v>986</v>
      </c>
      <c r="E29" s="263">
        <v>1569</v>
      </c>
      <c r="F29" s="1238">
        <v>2.2710495462243259</v>
      </c>
      <c r="G29" s="439">
        <v>-7.5017205750628868E-2</v>
      </c>
      <c r="H29" s="213">
        <v>244</v>
      </c>
      <c r="I29" s="1239">
        <v>3</v>
      </c>
      <c r="J29" s="1238">
        <v>3.5317787716936615</v>
      </c>
      <c r="K29" s="439">
        <v>-1.0309482821216909E-2</v>
      </c>
      <c r="M29" s="438" t="s">
        <v>2399</v>
      </c>
      <c r="N29" s="213">
        <v>623912</v>
      </c>
      <c r="O29" s="263">
        <v>474</v>
      </c>
      <c r="P29" s="213">
        <v>999</v>
      </c>
      <c r="Q29" s="263">
        <v>1473</v>
      </c>
      <c r="R29" s="499"/>
      <c r="S29" s="263">
        <f t="shared" si="0"/>
        <v>423.56551255940258</v>
      </c>
      <c r="T29" s="213">
        <v>234</v>
      </c>
      <c r="U29" s="501"/>
      <c r="V29" s="213">
        <f t="shared" si="1"/>
        <v>2666.2905982905982</v>
      </c>
    </row>
    <row r="30" spans="1:22" ht="18" customHeight="1" thickBot="1">
      <c r="A30" s="438" t="s">
        <v>2400</v>
      </c>
      <c r="B30" s="213">
        <v>301045</v>
      </c>
      <c r="C30" s="263">
        <v>220</v>
      </c>
      <c r="D30" s="213">
        <v>242</v>
      </c>
      <c r="E30" s="263">
        <v>462</v>
      </c>
      <c r="F30" s="1238">
        <v>1.534654287564982</v>
      </c>
      <c r="G30" s="439">
        <v>-9.5884613042346856E-2</v>
      </c>
      <c r="H30" s="213">
        <v>110</v>
      </c>
      <c r="I30" s="1239">
        <v>2</v>
      </c>
      <c r="J30" s="1238">
        <v>3.6539387799166239</v>
      </c>
      <c r="K30" s="439">
        <v>-1.369230513710562E-2</v>
      </c>
      <c r="M30" s="438" t="s">
        <v>2400</v>
      </c>
      <c r="N30" s="213">
        <v>271444</v>
      </c>
      <c r="O30" s="263">
        <v>172</v>
      </c>
      <c r="P30" s="213">
        <v>274</v>
      </c>
      <c r="Q30" s="263">
        <v>446</v>
      </c>
      <c r="R30" s="499"/>
      <c r="S30" s="263">
        <f t="shared" si="0"/>
        <v>608.61883408071753</v>
      </c>
      <c r="T30" s="213">
        <v>105</v>
      </c>
      <c r="U30" s="501"/>
      <c r="V30" s="213">
        <f t="shared" si="1"/>
        <v>2585.1809523809525</v>
      </c>
    </row>
    <row r="31" spans="1:22" ht="18" customHeight="1" thickBot="1">
      <c r="A31" s="438" t="s">
        <v>2401</v>
      </c>
      <c r="B31" s="213">
        <v>171095</v>
      </c>
      <c r="C31" s="263">
        <v>147</v>
      </c>
      <c r="D31" s="213">
        <v>174</v>
      </c>
      <c r="E31" s="263">
        <v>321</v>
      </c>
      <c r="F31" s="1238">
        <v>1.8761506765247378</v>
      </c>
      <c r="G31" s="439">
        <v>-0.10964072852466389</v>
      </c>
      <c r="H31" s="213">
        <v>57</v>
      </c>
      <c r="I31" s="1239">
        <v>3</v>
      </c>
      <c r="J31" s="1238">
        <v>3.3314825097168241</v>
      </c>
      <c r="K31" s="439">
        <v>-7.013647388877553E-3</v>
      </c>
      <c r="M31" s="438" t="s">
        <v>2401</v>
      </c>
      <c r="N31" s="213">
        <v>166096</v>
      </c>
      <c r="O31" s="263">
        <v>119</v>
      </c>
      <c r="P31" s="213">
        <v>198</v>
      </c>
      <c r="Q31" s="263">
        <v>317</v>
      </c>
      <c r="R31" s="499"/>
      <c r="S31" s="263">
        <f t="shared" si="0"/>
        <v>523.96214511041012</v>
      </c>
      <c r="T31" s="213">
        <v>54</v>
      </c>
      <c r="U31" s="501"/>
      <c r="V31" s="213">
        <f t="shared" si="1"/>
        <v>3075.8518518518517</v>
      </c>
    </row>
    <row r="32" spans="1:22" ht="18" customHeight="1" thickBot="1">
      <c r="A32" s="438" t="s">
        <v>2402</v>
      </c>
      <c r="B32" s="213">
        <v>446957</v>
      </c>
      <c r="C32" s="263">
        <v>457</v>
      </c>
      <c r="D32" s="213">
        <v>1015</v>
      </c>
      <c r="E32" s="263">
        <v>1472</v>
      </c>
      <c r="F32" s="1238">
        <v>3.2933816899612269</v>
      </c>
      <c r="G32" s="439">
        <v>-7.7532841311001022E-4</v>
      </c>
      <c r="H32" s="213">
        <v>173</v>
      </c>
      <c r="I32" s="1239">
        <v>3</v>
      </c>
      <c r="J32" s="1238">
        <v>3.870618426381061</v>
      </c>
      <c r="K32" s="439">
        <v>5.8052432731716674E-3</v>
      </c>
      <c r="M32" s="438" t="s">
        <v>2402</v>
      </c>
      <c r="N32" s="213">
        <v>404080</v>
      </c>
      <c r="O32" s="263">
        <v>235</v>
      </c>
      <c r="P32" s="213">
        <v>1022</v>
      </c>
      <c r="Q32" s="263">
        <v>1257</v>
      </c>
      <c r="R32" s="499"/>
      <c r="S32" s="263">
        <f t="shared" si="0"/>
        <v>321.46380270485281</v>
      </c>
      <c r="T32" s="213">
        <v>170</v>
      </c>
      <c r="U32" s="501"/>
      <c r="V32" s="213">
        <f t="shared" si="1"/>
        <v>2376.9411764705883</v>
      </c>
    </row>
    <row r="33" spans="1:22" ht="18" customHeight="1" thickBot="1">
      <c r="A33" s="438" t="s">
        <v>2403</v>
      </c>
      <c r="B33" s="213">
        <v>68497</v>
      </c>
      <c r="C33" s="263">
        <v>51</v>
      </c>
      <c r="D33" s="213">
        <v>52</v>
      </c>
      <c r="E33" s="263">
        <v>103</v>
      </c>
      <c r="F33" s="1238">
        <v>1.5037154911893953</v>
      </c>
      <c r="G33" s="439">
        <v>-8.3901615086374948E-2</v>
      </c>
      <c r="H33" s="213">
        <v>20</v>
      </c>
      <c r="I33" s="1239">
        <v>2</v>
      </c>
      <c r="J33" s="1238">
        <v>2.9198359052221265</v>
      </c>
      <c r="K33" s="439">
        <v>4.8574543794849268E-2</v>
      </c>
      <c r="M33" s="438" t="s">
        <v>2403</v>
      </c>
      <c r="N33" s="213">
        <v>67281</v>
      </c>
      <c r="O33" s="263">
        <v>41</v>
      </c>
      <c r="P33" s="213">
        <v>60</v>
      </c>
      <c r="Q33" s="263">
        <v>101</v>
      </c>
      <c r="R33" s="499"/>
      <c r="S33" s="263">
        <f t="shared" si="0"/>
        <v>666.14851485148517</v>
      </c>
      <c r="T33" s="213">
        <v>17</v>
      </c>
      <c r="U33" s="501"/>
      <c r="V33" s="213">
        <f t="shared" si="1"/>
        <v>3957.705882352941</v>
      </c>
    </row>
    <row r="34" spans="1:22" ht="30" customHeight="1" thickBot="1">
      <c r="A34" s="440" t="s">
        <v>2404</v>
      </c>
      <c r="B34" s="430">
        <v>7711056</v>
      </c>
      <c r="C34" s="431">
        <v>6353</v>
      </c>
      <c r="D34" s="430">
        <v>8737</v>
      </c>
      <c r="E34" s="431">
        <v>15090</v>
      </c>
      <c r="F34" s="1241">
        <v>1.9569304126438714</v>
      </c>
      <c r="G34" s="441">
        <v>-4.3554780290083084E-2</v>
      </c>
      <c r="H34" s="430">
        <v>1721</v>
      </c>
      <c r="I34" s="1242" t="s">
        <v>1060</v>
      </c>
      <c r="J34" s="1241">
        <v>2.2318603314513603</v>
      </c>
      <c r="K34" s="441">
        <v>2.1464054911768393E-4</v>
      </c>
      <c r="M34" s="1243" t="s">
        <v>164</v>
      </c>
      <c r="N34" s="641">
        <f>SUM(N8:N33)</f>
        <v>7166738</v>
      </c>
      <c r="O34" s="1244">
        <f>SUM(O8:O33)</f>
        <v>4622</v>
      </c>
      <c r="P34" s="641">
        <f>SUM(P8:P33)</f>
        <v>9000</v>
      </c>
      <c r="Q34" s="1244">
        <f>SUM(Q8:Q33)</f>
        <v>13622</v>
      </c>
      <c r="R34" s="854"/>
      <c r="S34" s="1244">
        <f t="shared" si="0"/>
        <v>526.11496109235065</v>
      </c>
      <c r="T34" s="641">
        <f>SUM(T8:T33)</f>
        <v>1654</v>
      </c>
      <c r="U34" s="855"/>
      <c r="V34" s="641">
        <f t="shared" si="1"/>
        <v>4332.9733978234581</v>
      </c>
    </row>
    <row r="35" spans="1:22" ht="20" customHeight="1">
      <c r="A35" s="1197" t="s">
        <v>1177</v>
      </c>
      <c r="B35" s="1198"/>
      <c r="C35" s="1198"/>
      <c r="D35" s="1198"/>
      <c r="E35" s="1198"/>
      <c r="F35" s="1198"/>
      <c r="G35" s="1198"/>
      <c r="H35" s="1198"/>
      <c r="I35" s="1245"/>
      <c r="J35" s="1198"/>
      <c r="K35" s="1198"/>
      <c r="M35" s="1246" t="s">
        <v>1178</v>
      </c>
      <c r="N35" s="1247"/>
      <c r="O35" s="1247"/>
      <c r="P35" s="1247"/>
      <c r="Q35" s="1247"/>
      <c r="R35" s="1247"/>
      <c r="S35" s="1247"/>
      <c r="T35" s="1247"/>
      <c r="U35" s="1247"/>
      <c r="V35" s="1247"/>
    </row>
    <row r="36" spans="1:22" ht="10.5" customHeight="1">
      <c r="A36" s="1209"/>
      <c r="B36" s="1210"/>
      <c r="C36" s="1210"/>
      <c r="D36" s="1210"/>
      <c r="E36" s="1210"/>
      <c r="F36" s="1210"/>
      <c r="G36" s="1210"/>
      <c r="H36" s="1210"/>
      <c r="I36" s="1248"/>
      <c r="J36" s="1210"/>
      <c r="K36" s="1210"/>
      <c r="M36" s="746"/>
      <c r="N36" s="1249"/>
      <c r="O36" s="1249"/>
      <c r="P36" s="1249"/>
      <c r="Q36" s="1249"/>
      <c r="R36" s="1249"/>
      <c r="S36" s="1249"/>
      <c r="T36" s="1249"/>
      <c r="U36" s="1249"/>
      <c r="V36" s="1249"/>
    </row>
    <row r="37" spans="1:22" ht="12" customHeight="1">
      <c r="A37" s="202" t="s">
        <v>1179</v>
      </c>
      <c r="B37" s="1210"/>
      <c r="C37" s="1210"/>
      <c r="D37" s="1210"/>
      <c r="E37" s="1210"/>
      <c r="F37" s="1210"/>
      <c r="G37" s="1210"/>
      <c r="H37" s="1210"/>
      <c r="I37" s="1248"/>
      <c r="J37" s="1210"/>
      <c r="K37" s="1210"/>
      <c r="M37" s="2" t="s">
        <v>1180</v>
      </c>
      <c r="N37" s="1249"/>
      <c r="O37" s="1249"/>
      <c r="P37" s="1249"/>
      <c r="Q37" s="1249"/>
      <c r="R37" s="1249"/>
      <c r="S37" s="1249"/>
      <c r="T37" s="1249"/>
      <c r="U37" s="1249"/>
      <c r="V37" s="1249"/>
    </row>
    <row r="38" spans="1:22" ht="12" customHeight="1">
      <c r="A38" s="202" t="s">
        <v>1181</v>
      </c>
      <c r="B38" s="1210"/>
      <c r="C38" s="1210"/>
      <c r="D38" s="1210"/>
      <c r="E38" s="1210"/>
      <c r="F38" s="1210"/>
      <c r="G38" s="1210"/>
      <c r="H38" s="1210"/>
      <c r="I38" s="1248"/>
      <c r="J38" s="1210"/>
      <c r="K38" s="1210"/>
      <c r="N38" s="1249"/>
      <c r="O38" s="1249"/>
      <c r="P38" s="1249"/>
      <c r="Q38" s="1249"/>
      <c r="R38" s="1249"/>
      <c r="S38" s="1249"/>
      <c r="T38" s="1249"/>
      <c r="U38" s="1249"/>
      <c r="V38" s="1249"/>
    </row>
    <row r="39" spans="1:22" ht="12" customHeight="1">
      <c r="A39" s="1209" t="s">
        <v>1182</v>
      </c>
      <c r="B39" s="1210"/>
      <c r="C39" s="1210"/>
      <c r="D39" s="1210"/>
      <c r="E39" s="1210"/>
      <c r="F39" s="1210"/>
      <c r="G39" s="1210"/>
      <c r="H39" s="1210"/>
      <c r="I39" s="1248"/>
      <c r="J39" s="1210"/>
      <c r="K39" s="1210"/>
      <c r="N39" s="1249"/>
      <c r="O39" s="1249"/>
      <c r="P39" s="1249"/>
      <c r="Q39" s="1249"/>
      <c r="R39" s="1249"/>
      <c r="S39" s="1249"/>
      <c r="T39" s="1249"/>
      <c r="U39" s="1249"/>
      <c r="V39" s="1249"/>
    </row>
    <row r="40" spans="1:22" ht="12" customHeight="1">
      <c r="A40" s="1209" t="s">
        <v>1003</v>
      </c>
      <c r="B40" s="1210"/>
      <c r="C40" s="1210"/>
      <c r="D40" s="1210"/>
      <c r="E40" s="1210"/>
      <c r="F40" s="1210"/>
      <c r="G40" s="1210"/>
      <c r="H40" s="1210"/>
      <c r="I40" s="1248"/>
      <c r="J40" s="1210"/>
      <c r="K40" s="1210"/>
      <c r="N40" s="1249"/>
      <c r="O40" s="1249"/>
      <c r="P40" s="1249"/>
      <c r="Q40" s="1249"/>
      <c r="R40" s="1249"/>
      <c r="S40" s="1249"/>
      <c r="T40" s="1249"/>
      <c r="U40" s="1249"/>
      <c r="V40" s="1249"/>
    </row>
    <row r="41" spans="1:22" ht="12" customHeight="1">
      <c r="A41" s="1209" t="s">
        <v>1004</v>
      </c>
      <c r="B41" s="1210"/>
      <c r="C41" s="1210"/>
      <c r="D41" s="1210"/>
      <c r="E41" s="1210"/>
      <c r="F41" s="1210"/>
      <c r="G41" s="1210"/>
      <c r="H41" s="1210"/>
      <c r="I41" s="1248"/>
      <c r="J41" s="1210"/>
      <c r="K41" s="1210"/>
      <c r="N41" s="1249"/>
      <c r="O41" s="1249"/>
      <c r="P41" s="1249"/>
      <c r="Q41" s="1249"/>
      <c r="R41" s="1249"/>
      <c r="S41" s="1249"/>
      <c r="T41" s="1249"/>
      <c r="U41" s="1249"/>
      <c r="V41" s="1249"/>
    </row>
    <row r="42" spans="1:22" ht="12" customHeight="1">
      <c r="A42" s="1209" t="s">
        <v>1019</v>
      </c>
      <c r="B42" s="1210"/>
      <c r="C42" s="1210"/>
      <c r="D42" s="1210"/>
      <c r="E42" s="1210"/>
      <c r="F42" s="1210"/>
      <c r="G42" s="1210"/>
      <c r="H42" s="1210"/>
      <c r="I42" s="1248"/>
      <c r="J42" s="1210"/>
      <c r="K42" s="1210"/>
      <c r="M42" s="2" t="s">
        <v>1180</v>
      </c>
      <c r="N42" s="1249"/>
      <c r="O42" s="1249"/>
      <c r="P42" s="1249"/>
      <c r="Q42" s="1249"/>
      <c r="R42" s="1249"/>
      <c r="S42" s="1249"/>
      <c r="T42" s="1249"/>
      <c r="U42" s="1249"/>
      <c r="V42" s="1249"/>
    </row>
    <row r="43" spans="1:22" ht="12" customHeight="1">
      <c r="A43" s="1988" t="s">
        <v>1018</v>
      </c>
      <c r="B43" s="1210"/>
      <c r="C43" s="1210"/>
      <c r="D43" s="1210"/>
      <c r="E43" s="1210"/>
      <c r="F43" s="1210"/>
      <c r="G43" s="1210"/>
      <c r="H43" s="1210"/>
      <c r="I43" s="1248"/>
      <c r="J43" s="1210"/>
      <c r="K43" s="1210"/>
      <c r="N43" s="1249"/>
      <c r="O43" s="1249"/>
      <c r="P43" s="1249"/>
      <c r="Q43" s="1249"/>
      <c r="R43" s="1249"/>
      <c r="S43" s="1249"/>
      <c r="T43" s="1249"/>
      <c r="U43" s="1249"/>
      <c r="V43" s="1249"/>
    </row>
    <row r="44" spans="1:22" ht="12" customHeight="1">
      <c r="A44" s="1209" t="s">
        <v>1183</v>
      </c>
      <c r="B44" s="1210"/>
      <c r="C44" s="1210"/>
      <c r="D44" s="1210"/>
      <c r="E44" s="1210"/>
      <c r="F44" s="1210"/>
      <c r="G44" s="1210"/>
      <c r="H44" s="1210"/>
      <c r="I44" s="1248"/>
      <c r="J44" s="1210"/>
      <c r="K44" s="1210"/>
      <c r="N44" s="1249"/>
      <c r="O44" s="1249"/>
      <c r="P44" s="1249"/>
      <c r="Q44" s="1249"/>
      <c r="R44" s="1249"/>
      <c r="S44" s="1249"/>
      <c r="T44" s="1249"/>
      <c r="U44" s="1249"/>
      <c r="V44" s="1249"/>
    </row>
    <row r="45" spans="1:22" ht="12" customHeight="1">
      <c r="A45" s="1209" t="s">
        <v>1184</v>
      </c>
      <c r="B45" s="1210"/>
      <c r="C45" s="1210"/>
      <c r="D45" s="1210"/>
      <c r="E45" s="1210"/>
      <c r="F45" s="1210"/>
      <c r="G45" s="1210"/>
      <c r="H45" s="1210"/>
      <c r="I45" s="1248"/>
      <c r="J45" s="1210"/>
      <c r="K45" s="1210"/>
      <c r="N45" s="1249"/>
      <c r="O45" s="1249"/>
      <c r="P45" s="1249"/>
      <c r="Q45" s="1249"/>
      <c r="R45" s="1249"/>
      <c r="S45" s="1249"/>
      <c r="T45" s="1249"/>
      <c r="U45" s="1249"/>
      <c r="V45" s="1249"/>
    </row>
    <row r="46" spans="1:22" ht="12" customHeight="1">
      <c r="A46" s="1209" t="s">
        <v>1185</v>
      </c>
      <c r="B46" s="1210"/>
      <c r="C46" s="1210"/>
      <c r="D46" s="1210"/>
      <c r="E46" s="1210"/>
      <c r="F46" s="1210"/>
      <c r="G46" s="1210"/>
      <c r="H46" s="1210"/>
      <c r="I46" s="1248"/>
      <c r="J46" s="1210"/>
      <c r="K46" s="1210"/>
      <c r="N46" s="1249"/>
      <c r="O46" s="1249"/>
      <c r="P46" s="1249"/>
      <c r="Q46" s="1249"/>
      <c r="R46" s="1249"/>
      <c r="S46" s="1249"/>
      <c r="T46" s="1249"/>
      <c r="U46" s="1249"/>
      <c r="V46" s="1249"/>
    </row>
    <row r="47" spans="1:22" ht="12" customHeight="1">
      <c r="A47" s="1209" t="s">
        <v>1186</v>
      </c>
      <c r="B47" s="1210"/>
      <c r="C47" s="1210"/>
      <c r="D47" s="1210"/>
      <c r="E47" s="1210"/>
      <c r="F47" s="1210"/>
      <c r="G47" s="1210"/>
      <c r="H47" s="1210"/>
      <c r="I47" s="1248"/>
      <c r="J47" s="1210"/>
      <c r="K47" s="1210"/>
      <c r="N47" s="1249"/>
      <c r="O47" s="1249"/>
      <c r="P47" s="1249"/>
      <c r="Q47" s="1249"/>
      <c r="R47" s="1249"/>
      <c r="S47" s="1249"/>
      <c r="T47" s="1249"/>
      <c r="U47" s="1249"/>
      <c r="V47" s="1249"/>
    </row>
    <row r="48" spans="1:22" ht="12" customHeight="1">
      <c r="A48" s="1209" t="s">
        <v>2275</v>
      </c>
      <c r="B48" s="1210"/>
      <c r="C48" s="1210"/>
      <c r="D48" s="1210"/>
      <c r="E48" s="1210"/>
      <c r="F48" s="1210"/>
      <c r="G48" s="1210"/>
      <c r="H48" s="1210"/>
      <c r="I48" s="1248"/>
      <c r="J48" s="1210"/>
      <c r="K48" s="1210"/>
      <c r="N48" s="1249"/>
      <c r="O48" s="1249"/>
      <c r="P48" s="1249"/>
      <c r="Q48" s="1249"/>
      <c r="R48" s="1249"/>
      <c r="S48" s="1249"/>
      <c r="T48" s="1249"/>
      <c r="U48" s="1249"/>
      <c r="V48" s="1249"/>
    </row>
    <row r="49" spans="1:22" ht="12" customHeight="1">
      <c r="A49" s="1199" t="s">
        <v>2276</v>
      </c>
      <c r="B49" s="1210"/>
      <c r="C49" s="1210"/>
      <c r="D49" s="1210"/>
      <c r="E49" s="1210"/>
      <c r="F49" s="1210"/>
      <c r="G49" s="1210"/>
      <c r="H49" s="1210"/>
      <c r="I49" s="1248"/>
      <c r="J49" s="1210"/>
      <c r="K49" s="1210"/>
      <c r="N49" s="1249"/>
      <c r="O49" s="1249"/>
      <c r="P49" s="1249"/>
      <c r="Q49" s="1249"/>
      <c r="R49" s="1249"/>
      <c r="S49" s="1249"/>
      <c r="T49" s="1249"/>
      <c r="U49" s="1249"/>
      <c r="V49" s="1249"/>
    </row>
    <row r="50" spans="1:22" ht="12" customHeight="1">
      <c r="A50" s="1209"/>
      <c r="B50" s="1210"/>
      <c r="C50" s="1210"/>
      <c r="D50" s="1210"/>
      <c r="E50" s="1210"/>
      <c r="F50" s="1210"/>
      <c r="G50" s="1210"/>
      <c r="H50" s="1210"/>
      <c r="I50" s="1248"/>
      <c r="J50" s="1210"/>
      <c r="K50" s="1210"/>
      <c r="N50" s="1249"/>
      <c r="O50" s="1249"/>
      <c r="P50" s="1249"/>
      <c r="Q50" s="1249"/>
      <c r="R50" s="1249"/>
      <c r="S50" s="1249"/>
      <c r="T50" s="1249"/>
      <c r="U50" s="1249"/>
      <c r="V50" s="1249"/>
    </row>
    <row r="51" spans="1:22" ht="12" customHeight="1">
      <c r="A51" s="1209"/>
      <c r="B51" s="1210"/>
      <c r="C51" s="1210"/>
      <c r="D51" s="1210"/>
      <c r="E51" s="1210"/>
      <c r="F51" s="1210"/>
      <c r="G51" s="1210"/>
      <c r="H51" s="1210"/>
      <c r="I51" s="1248"/>
      <c r="J51" s="1210"/>
      <c r="K51" s="1210"/>
      <c r="N51" s="1249"/>
      <c r="O51" s="1249"/>
      <c r="P51" s="1249"/>
      <c r="Q51" s="1249"/>
      <c r="R51" s="1249"/>
      <c r="S51" s="1249"/>
      <c r="T51" s="1249"/>
      <c r="U51" s="1249"/>
      <c r="V51" s="1249"/>
    </row>
    <row r="52" spans="1:22" ht="12" customHeight="1">
      <c r="A52" s="1209" t="s">
        <v>711</v>
      </c>
      <c r="B52" s="1210"/>
      <c r="C52" s="1210"/>
      <c r="D52" s="1210"/>
      <c r="E52" s="1210"/>
      <c r="F52" s="1210"/>
      <c r="G52" s="1210"/>
      <c r="H52" s="1210"/>
      <c r="I52" s="1248"/>
      <c r="J52" s="1210"/>
      <c r="K52" s="1210"/>
      <c r="N52" s="1249"/>
      <c r="O52" s="1249"/>
      <c r="P52" s="1249"/>
      <c r="Q52" s="1249"/>
      <c r="R52" s="1249"/>
      <c r="S52" s="1249"/>
      <c r="T52" s="1249"/>
      <c r="U52" s="1249"/>
      <c r="V52" s="1249"/>
    </row>
    <row r="53" spans="1:22" ht="12" customHeight="1">
      <c r="A53" s="1209"/>
      <c r="B53" s="1210"/>
      <c r="C53" s="1210"/>
      <c r="D53" s="1210"/>
      <c r="E53" s="1210"/>
      <c r="F53" s="1210"/>
      <c r="G53" s="1210"/>
      <c r="H53" s="1210"/>
      <c r="I53" s="1248"/>
      <c r="J53" s="1210"/>
      <c r="K53" s="1210"/>
      <c r="N53" s="1249"/>
      <c r="O53" s="1249"/>
      <c r="P53" s="1249"/>
      <c r="Q53" s="1249"/>
      <c r="R53" s="1249"/>
      <c r="S53" s="1249"/>
      <c r="T53" s="1249"/>
      <c r="U53" s="1249"/>
      <c r="V53" s="1249"/>
    </row>
    <row r="54" spans="1:22" ht="12" customHeight="1">
      <c r="A54" s="1199"/>
      <c r="B54" s="1200"/>
      <c r="C54" s="1200"/>
      <c r="D54" s="1200"/>
      <c r="E54" s="1200"/>
      <c r="F54" s="1200"/>
      <c r="G54" s="1200"/>
      <c r="H54" s="1200"/>
      <c r="I54" s="1250"/>
      <c r="J54" s="1200"/>
      <c r="K54" s="1200"/>
      <c r="N54" s="1249"/>
      <c r="O54" s="1249"/>
      <c r="P54" s="1249"/>
      <c r="Q54" s="1249"/>
      <c r="R54" s="1249"/>
      <c r="S54" s="1249"/>
      <c r="T54" s="1249"/>
      <c r="U54" s="1249"/>
      <c r="V54" s="1249"/>
    </row>
    <row r="55" spans="1:22">
      <c r="A55" s="266"/>
      <c r="B55" s="1251"/>
      <c r="C55" s="1251"/>
      <c r="D55" s="1251"/>
      <c r="E55" s="1251"/>
      <c r="F55" s="1251"/>
      <c r="G55" s="1251"/>
      <c r="H55" s="1251"/>
      <c r="I55" s="771"/>
      <c r="J55" s="1251"/>
      <c r="K55" s="1251"/>
    </row>
  </sheetData>
  <phoneticPr fontId="0" type="noConversion"/>
  <pageMargins left="0.48" right="0.47" top="1" bottom="0.49" header="0.48" footer="0.4921259845"/>
  <pageSetup paperSize="9" scale="81" orientation="portrait" horizontalDpi="1200" verticalDpi="1200"/>
  <headerFooter alignWithMargins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A757-D182-6B41-9A1C-E40FA4EC468F}">
  <sheetPr>
    <pageSetUpPr fitToPage="1"/>
  </sheetPr>
  <dimension ref="A1:N40"/>
  <sheetViews>
    <sheetView zoomScale="75" workbookViewId="0"/>
  </sheetViews>
  <sheetFormatPr baseColWidth="10" defaultColWidth="11.3984375" defaultRowHeight="13"/>
  <cols>
    <col min="1" max="1" width="11.796875" style="2" customWidth="1"/>
    <col min="2" max="8" width="11.796875" style="225" customWidth="1"/>
    <col min="9" max="9" width="12.19921875" style="225" customWidth="1"/>
    <col min="10" max="10" width="7.19921875" style="2" customWidth="1"/>
    <col min="11" max="16384" width="11.3984375" style="2"/>
  </cols>
  <sheetData>
    <row r="1" spans="1:9" s="1" customFormat="1" ht="14" customHeight="1">
      <c r="A1" s="360"/>
      <c r="B1" s="1193"/>
      <c r="C1" s="1193"/>
      <c r="D1" s="1193"/>
      <c r="E1" s="1193"/>
      <c r="F1" s="1193"/>
      <c r="G1" s="1193"/>
      <c r="H1" s="1193"/>
      <c r="I1" s="1193"/>
    </row>
    <row r="2" spans="1:9" s="1" customFormat="1" ht="42.75" customHeight="1">
      <c r="A2" s="2023" t="s">
        <v>2288</v>
      </c>
      <c r="B2" s="2021"/>
      <c r="C2" s="2021"/>
      <c r="D2" s="2021"/>
      <c r="E2" s="2021"/>
      <c r="F2" s="2021"/>
      <c r="G2" s="2021"/>
      <c r="H2" s="2021"/>
      <c r="I2" s="2021"/>
    </row>
    <row r="3" spans="1:9" ht="27" customHeight="1">
      <c r="A3" s="178" t="s">
        <v>821</v>
      </c>
      <c r="B3" s="179" t="s">
        <v>2196</v>
      </c>
      <c r="C3" s="180" t="s">
        <v>2372</v>
      </c>
      <c r="D3" s="179" t="s">
        <v>879</v>
      </c>
      <c r="E3" s="180" t="s">
        <v>1155</v>
      </c>
      <c r="F3" s="179" t="s">
        <v>2293</v>
      </c>
      <c r="G3" s="180" t="s">
        <v>879</v>
      </c>
      <c r="H3" s="179" t="s">
        <v>1157</v>
      </c>
      <c r="I3" s="180" t="s">
        <v>2293</v>
      </c>
    </row>
    <row r="4" spans="1:9" ht="17.25" customHeight="1">
      <c r="A4" s="274"/>
      <c r="B4" s="436" t="s">
        <v>1159</v>
      </c>
      <c r="C4" s="920" t="s">
        <v>1848</v>
      </c>
      <c r="D4" s="182" t="s">
        <v>2294</v>
      </c>
      <c r="E4" s="183" t="s">
        <v>2295</v>
      </c>
      <c r="F4" s="182" t="s">
        <v>1848</v>
      </c>
      <c r="G4" s="183" t="s">
        <v>1163</v>
      </c>
      <c r="H4" s="182" t="s">
        <v>1165</v>
      </c>
      <c r="I4" s="183" t="s">
        <v>1848</v>
      </c>
    </row>
    <row r="5" spans="1:9" ht="18.75" customHeight="1">
      <c r="A5" s="274"/>
      <c r="B5" s="436" t="s">
        <v>1168</v>
      </c>
      <c r="C5" s="920" t="s">
        <v>2377</v>
      </c>
      <c r="D5" s="436"/>
      <c r="E5" s="920"/>
      <c r="F5" s="436" t="s">
        <v>2377</v>
      </c>
      <c r="G5" s="183" t="s">
        <v>2296</v>
      </c>
      <c r="H5" s="436" t="s">
        <v>2297</v>
      </c>
      <c r="I5" s="183" t="s">
        <v>2377</v>
      </c>
    </row>
    <row r="6" spans="1:9" ht="21" customHeight="1">
      <c r="A6" s="378"/>
      <c r="B6" s="188" t="s">
        <v>2284</v>
      </c>
      <c r="C6" s="187"/>
      <c r="D6" s="188"/>
      <c r="E6" s="187"/>
      <c r="F6" s="188"/>
      <c r="G6" s="187"/>
      <c r="H6" s="188"/>
      <c r="I6" s="187"/>
    </row>
    <row r="7" spans="1:9" ht="1.5" customHeight="1" thickBot="1">
      <c r="A7" s="437">
        <v>1996</v>
      </c>
      <c r="B7" s="211">
        <v>7105446</v>
      </c>
      <c r="C7" s="212">
        <v>3.459706242723432E-3</v>
      </c>
      <c r="D7" s="211">
        <v>12711</v>
      </c>
      <c r="E7" s="1252">
        <v>1.7889095209505499</v>
      </c>
      <c r="F7" s="554">
        <v>2.7595951533686547E-2</v>
      </c>
      <c r="G7" s="257">
        <v>1649</v>
      </c>
      <c r="H7" s="1253">
        <v>2.3207550940503947</v>
      </c>
      <c r="I7" s="212">
        <v>1.4104900491136441E-3</v>
      </c>
    </row>
    <row r="8" spans="1:9" ht="0.75" customHeight="1" thickBot="1">
      <c r="A8" s="438">
        <v>1997</v>
      </c>
      <c r="B8" s="213">
        <v>7113565</v>
      </c>
      <c r="C8" s="214">
        <v>1.142644670017899E-3</v>
      </c>
      <c r="D8" s="213">
        <v>13038</v>
      </c>
      <c r="E8" s="1254">
        <v>1.8328362782936545</v>
      </c>
      <c r="F8" s="556">
        <v>2.4555046987375651E-2</v>
      </c>
      <c r="G8" s="263">
        <v>1651</v>
      </c>
      <c r="H8" s="1238">
        <v>2.3209178520193463</v>
      </c>
      <c r="I8" s="214">
        <v>7.0131471161527514E-5</v>
      </c>
    </row>
    <row r="9" spans="1:9" ht="18" customHeight="1" thickBot="1">
      <c r="A9" s="438">
        <v>1998</v>
      </c>
      <c r="B9" s="213">
        <v>7131888</v>
      </c>
      <c r="C9" s="214">
        <v>2.5757830286220764E-3</v>
      </c>
      <c r="D9" s="213">
        <v>13357</v>
      </c>
      <c r="E9" s="1254">
        <v>1.8728561076674226</v>
      </c>
      <c r="F9" s="556">
        <v>2.1834917743458249E-2</v>
      </c>
      <c r="G9" s="263">
        <v>1653</v>
      </c>
      <c r="H9" s="1238">
        <v>2.3177593366581193</v>
      </c>
      <c r="I9" s="214">
        <v>-1.3608906314710456E-3</v>
      </c>
    </row>
    <row r="10" spans="1:9" ht="18" customHeight="1" thickBot="1">
      <c r="A10" s="438">
        <v>1999</v>
      </c>
      <c r="B10" s="213">
        <v>7166738</v>
      </c>
      <c r="C10" s="214">
        <v>4.8865041066264644E-3</v>
      </c>
      <c r="D10" s="213">
        <v>13622</v>
      </c>
      <c r="E10" s="1254">
        <v>1.9007252671996662</v>
      </c>
      <c r="F10" s="556">
        <v>1.4880566327625466E-2</v>
      </c>
      <c r="G10" s="263">
        <v>1654</v>
      </c>
      <c r="H10" s="1238">
        <v>2.3078840052475758</v>
      </c>
      <c r="I10" s="214">
        <v>-4.260723386743992E-3</v>
      </c>
    </row>
    <row r="11" spans="1:9" ht="18" customHeight="1" thickBot="1">
      <c r="A11" s="438">
        <v>2000</v>
      </c>
      <c r="B11" s="213">
        <v>7209042</v>
      </c>
      <c r="C11" s="214">
        <v>5.9028249672305588E-3</v>
      </c>
      <c r="D11" s="213">
        <v>13935</v>
      </c>
      <c r="E11" s="1254">
        <v>1.9329891544535323</v>
      </c>
      <c r="F11" s="556">
        <v>1.6974513787255674E-2</v>
      </c>
      <c r="G11" s="263">
        <v>1664</v>
      </c>
      <c r="H11" s="1238">
        <v>2.3082123810625603</v>
      </c>
      <c r="I11" s="214">
        <v>1.4228436708174641E-4</v>
      </c>
    </row>
    <row r="12" spans="1:9" ht="18" customHeight="1" thickBot="1">
      <c r="A12" s="438">
        <v>2001</v>
      </c>
      <c r="B12" s="213">
        <v>7260339</v>
      </c>
      <c r="C12" s="214">
        <v>7.1156472663080617E-3</v>
      </c>
      <c r="D12" s="213">
        <v>14178</v>
      </c>
      <c r="E12" s="1254">
        <v>1.952801377456342</v>
      </c>
      <c r="F12" s="556">
        <v>1.0249526210306614E-2</v>
      </c>
      <c r="G12" s="263">
        <v>1653</v>
      </c>
      <c r="H12" s="1238">
        <v>2.2767531929294211</v>
      </c>
      <c r="I12" s="214">
        <v>-1.362924330154458E-2</v>
      </c>
    </row>
    <row r="13" spans="1:9" ht="18" customHeight="1" thickBot="1">
      <c r="A13" s="438">
        <v>2002</v>
      </c>
      <c r="B13" s="213">
        <v>7347770</v>
      </c>
      <c r="C13" s="214">
        <v>1.2042275160980775E-2</v>
      </c>
      <c r="D13" s="213">
        <v>14408</v>
      </c>
      <c r="E13" s="1254">
        <v>1.9608670385708864</v>
      </c>
      <c r="F13" s="556">
        <v>4.1303028601149538E-3</v>
      </c>
      <c r="G13" s="263">
        <v>1648</v>
      </c>
      <c r="H13" s="1238">
        <v>2.2428573567218355</v>
      </c>
      <c r="I13" s="214">
        <v>-1.4887795617395394E-2</v>
      </c>
    </row>
    <row r="14" spans="1:9" ht="18" customHeight="1" thickBot="1">
      <c r="A14" s="438">
        <v>2003</v>
      </c>
      <c r="B14" s="213">
        <v>7405051</v>
      </c>
      <c r="C14" s="214">
        <v>7.7956985588824908E-3</v>
      </c>
      <c r="D14" s="213">
        <v>14879</v>
      </c>
      <c r="E14" s="1254">
        <v>2.0093041898023394</v>
      </c>
      <c r="F14" s="556">
        <v>2.4701904962793897E-2</v>
      </c>
      <c r="G14" s="263">
        <v>1653</v>
      </c>
      <c r="H14" s="1238">
        <v>2.2322601154266191</v>
      </c>
      <c r="I14" s="214">
        <v>-4.7248842033830174E-3</v>
      </c>
    </row>
    <row r="15" spans="1:9" ht="18" customHeight="1" thickBot="1">
      <c r="A15" s="438">
        <v>2004</v>
      </c>
      <c r="B15" s="213">
        <v>7454112</v>
      </c>
      <c r="C15" s="214">
        <v>6.6253426208678374E-3</v>
      </c>
      <c r="D15" s="213">
        <v>15199</v>
      </c>
      <c r="E15" s="1254">
        <v>2.03900880480465</v>
      </c>
      <c r="F15" s="556">
        <v>1.4783533102189272E-2</v>
      </c>
      <c r="G15" s="263">
        <v>1656</v>
      </c>
      <c r="H15" s="1238">
        <v>2.2215925921155999</v>
      </c>
      <c r="I15" s="214">
        <v>-4.7787994048267279E-3</v>
      </c>
    </row>
    <row r="16" spans="1:9" ht="18" customHeight="1" thickBot="1">
      <c r="A16" s="438">
        <v>2005</v>
      </c>
      <c r="B16" s="213">
        <v>7501255</v>
      </c>
      <c r="C16" s="214">
        <v>6.3244287180015402E-3</v>
      </c>
      <c r="D16" s="213">
        <v>15313</v>
      </c>
      <c r="E16" s="1254">
        <v>2.0413917404487649</v>
      </c>
      <c r="F16" s="556">
        <v>1.1686735429978778E-3</v>
      </c>
      <c r="G16" s="263">
        <v>1672</v>
      </c>
      <c r="H16" s="1238">
        <v>2.2289603539674361</v>
      </c>
      <c r="I16" s="214">
        <v>3.3164324899102038E-3</v>
      </c>
    </row>
    <row r="17" spans="1:14" ht="18" customHeight="1" thickBot="1">
      <c r="A17" s="438">
        <v>2006</v>
      </c>
      <c r="B17" s="213">
        <v>7557609</v>
      </c>
      <c r="C17" s="214">
        <v>7.5126095566675488E-3</v>
      </c>
      <c r="D17" s="213">
        <v>15532</v>
      </c>
      <c r="E17" s="1254">
        <v>2.0551473356189769</v>
      </c>
      <c r="F17" s="556">
        <v>6.7383417389490496E-3</v>
      </c>
      <c r="G17" s="263">
        <v>1692</v>
      </c>
      <c r="H17" s="1238">
        <v>2.2388033040608479</v>
      </c>
      <c r="I17" s="214">
        <v>4.415937715487761E-3</v>
      </c>
    </row>
    <row r="18" spans="1:14" ht="18" customHeight="1" thickBot="1">
      <c r="A18" s="438">
        <v>2007</v>
      </c>
      <c r="B18" s="213">
        <v>7618599</v>
      </c>
      <c r="C18" s="214">
        <v>8.0700126190704768E-3</v>
      </c>
      <c r="D18" s="213">
        <v>15588</v>
      </c>
      <c r="E18" s="1254">
        <v>2.0460454737150493</v>
      </c>
      <c r="F18" s="556">
        <v>-4.4288123513958055E-3</v>
      </c>
      <c r="G18" s="263">
        <v>1700</v>
      </c>
      <c r="H18" s="1238">
        <v>2.2313813865252654</v>
      </c>
      <c r="I18" s="214">
        <v>-3.3151271137219496E-3</v>
      </c>
    </row>
    <row r="19" spans="1:14" ht="30" customHeight="1" thickBot="1">
      <c r="A19" s="440">
        <v>2008</v>
      </c>
      <c r="B19" s="430">
        <v>7711056</v>
      </c>
      <c r="C19" s="764">
        <v>1.2135695814939229E-2</v>
      </c>
      <c r="D19" s="430">
        <v>15090</v>
      </c>
      <c r="E19" s="1255">
        <v>1.9569304126438714</v>
      </c>
      <c r="F19" s="557">
        <v>-4.3554780290083084E-2</v>
      </c>
      <c r="G19" s="431">
        <v>1721</v>
      </c>
      <c r="H19" s="1256">
        <v>2.2318603314513603</v>
      </c>
      <c r="I19" s="764">
        <v>2.1464054911768393E-4</v>
      </c>
    </row>
    <row r="20" spans="1:14" ht="20" customHeight="1">
      <c r="A20" s="1197" t="s">
        <v>1177</v>
      </c>
      <c r="B20" s="1198"/>
      <c r="C20" s="1198"/>
      <c r="D20" s="1198"/>
      <c r="E20" s="1198"/>
      <c r="F20" s="1198"/>
      <c r="G20" s="1198"/>
      <c r="H20" s="1198"/>
      <c r="I20" s="1198"/>
    </row>
    <row r="21" spans="1:14" ht="17.25" customHeight="1">
      <c r="A21" s="1209"/>
      <c r="B21" s="1210"/>
      <c r="C21" s="1210"/>
      <c r="D21" s="1210"/>
      <c r="E21" s="1210"/>
      <c r="F21" s="1210"/>
      <c r="G21" s="1210"/>
      <c r="H21" s="1210"/>
      <c r="I21" s="1210"/>
    </row>
    <row r="22" spans="1:14" ht="12" customHeight="1">
      <c r="A22" s="1209" t="s">
        <v>2289</v>
      </c>
      <c r="B22" s="1210"/>
      <c r="C22" s="1210"/>
      <c r="D22" s="1210"/>
      <c r="E22" s="1210"/>
      <c r="F22" s="1210"/>
      <c r="G22" s="1210"/>
      <c r="H22" s="1210"/>
      <c r="I22" s="1210"/>
    </row>
    <row r="23" spans="1:14" ht="12" customHeight="1">
      <c r="A23" s="1988" t="s">
        <v>1018</v>
      </c>
      <c r="B23" s="1210"/>
      <c r="C23" s="1210"/>
      <c r="D23" s="1210"/>
      <c r="E23" s="1210"/>
      <c r="F23" s="1210"/>
      <c r="G23" s="1210"/>
      <c r="H23" s="1210"/>
      <c r="I23" s="1210"/>
    </row>
    <row r="24" spans="1:14" ht="12" customHeight="1">
      <c r="A24" s="290" t="s">
        <v>2290</v>
      </c>
      <c r="B24" s="1210"/>
      <c r="C24" s="1210"/>
      <c r="D24" s="1210"/>
      <c r="E24" s="1210"/>
      <c r="F24" s="1210"/>
      <c r="G24" s="1210"/>
      <c r="H24" s="1210"/>
      <c r="I24" s="1210"/>
    </row>
    <row r="25" spans="1:14" ht="12" customHeight="1">
      <c r="A25" s="290" t="s">
        <v>2291</v>
      </c>
      <c r="B25" s="1210"/>
      <c r="C25" s="1210"/>
      <c r="D25" s="1210"/>
      <c r="E25" s="1210"/>
      <c r="F25" s="1210"/>
      <c r="G25" s="1210"/>
      <c r="H25" s="1210"/>
      <c r="I25" s="1210"/>
    </row>
    <row r="26" spans="1:14" ht="12" customHeight="1">
      <c r="A26" s="290" t="s">
        <v>2292</v>
      </c>
      <c r="B26" s="1210"/>
      <c r="C26" s="1210"/>
      <c r="D26" s="1210"/>
      <c r="E26" s="1210"/>
      <c r="F26" s="1210"/>
      <c r="G26" s="1210"/>
      <c r="H26" s="1210"/>
      <c r="I26" s="1210"/>
    </row>
    <row r="27" spans="1:14" ht="15" customHeight="1">
      <c r="A27" s="226"/>
      <c r="B27" s="1203"/>
      <c r="C27" s="1203"/>
      <c r="D27" s="1203"/>
      <c r="E27" s="1203"/>
      <c r="F27" s="1203"/>
      <c r="G27" s="1203"/>
      <c r="H27" s="1203"/>
      <c r="I27" s="1203"/>
    </row>
    <row r="28" spans="1:14" ht="15" customHeight="1">
      <c r="A28" s="3"/>
      <c r="B28" s="1201"/>
      <c r="C28" s="1201"/>
      <c r="D28" s="1201"/>
      <c r="E28" s="1201"/>
      <c r="F28" s="1201"/>
      <c r="G28" s="1201"/>
      <c r="H28" s="1201"/>
      <c r="I28" s="1201"/>
      <c r="J28" s="3"/>
      <c r="K28" s="3"/>
      <c r="L28" s="3"/>
      <c r="M28" s="3"/>
      <c r="N28" s="3"/>
    </row>
    <row r="29" spans="1:14" ht="15" customHeight="1">
      <c r="A29" s="3" t="s">
        <v>711</v>
      </c>
      <c r="B29" s="1201"/>
      <c r="C29" s="1201"/>
      <c r="D29" s="1201"/>
      <c r="E29" s="1201"/>
      <c r="F29" s="1201"/>
      <c r="G29" s="1201"/>
      <c r="H29" s="1201"/>
      <c r="I29" s="1201"/>
      <c r="J29" s="3"/>
      <c r="K29" s="3"/>
      <c r="L29" s="1202"/>
      <c r="M29" s="3"/>
      <c r="N29" s="3"/>
    </row>
    <row r="30" spans="1:14" ht="31" customHeight="1">
      <c r="A30" s="3"/>
      <c r="B30" s="1201"/>
      <c r="C30" s="1201"/>
      <c r="D30" s="1201"/>
      <c r="E30" s="1201"/>
      <c r="F30" s="1201"/>
      <c r="G30" s="1201"/>
      <c r="H30" s="1201"/>
      <c r="I30" s="1201"/>
      <c r="J30" s="3"/>
      <c r="K30" s="3"/>
      <c r="L30" s="3"/>
      <c r="M30" s="3"/>
      <c r="N30" s="3"/>
    </row>
    <row r="31" spans="1:14" ht="31" customHeight="1">
      <c r="A31" s="3"/>
      <c r="B31" s="1201"/>
      <c r="C31" s="1201"/>
      <c r="D31" s="1201"/>
      <c r="E31" s="1201"/>
      <c r="F31" s="1201"/>
      <c r="G31" s="1201"/>
      <c r="H31" s="1201"/>
      <c r="I31" s="1201"/>
      <c r="J31" s="3"/>
      <c r="K31" s="3"/>
      <c r="L31" s="3"/>
      <c r="M31" s="3"/>
      <c r="N31" s="3"/>
    </row>
    <row r="32" spans="1:14" ht="31" customHeight="1">
      <c r="A32" s="3"/>
      <c r="B32" s="1201"/>
      <c r="C32" s="1201"/>
      <c r="D32" s="1201"/>
      <c r="E32" s="1201"/>
      <c r="F32" s="1201"/>
      <c r="G32" s="1201"/>
      <c r="H32" s="1201"/>
      <c r="I32" s="1201"/>
      <c r="J32" s="3"/>
      <c r="K32" s="3"/>
      <c r="L32" s="3"/>
      <c r="M32" s="3"/>
      <c r="N32" s="3"/>
    </row>
    <row r="33" spans="1:14" ht="31" customHeight="1">
      <c r="A33" s="3"/>
      <c r="B33" s="1201"/>
      <c r="C33" s="1201"/>
      <c r="D33" s="1201"/>
      <c r="E33" s="1201"/>
      <c r="F33" s="1201"/>
      <c r="G33" s="1201"/>
      <c r="H33" s="1201"/>
      <c r="I33" s="1201"/>
      <c r="J33" s="3"/>
      <c r="K33" s="3"/>
      <c r="L33" s="3"/>
      <c r="M33" s="3"/>
      <c r="N33" s="3"/>
    </row>
    <row r="34" spans="1:14" ht="31" customHeight="1">
      <c r="A34" s="3"/>
      <c r="B34" s="1201"/>
      <c r="C34" s="1201"/>
      <c r="D34" s="1201"/>
      <c r="E34" s="1201"/>
      <c r="F34" s="1201"/>
      <c r="G34" s="1201"/>
      <c r="H34" s="1201"/>
      <c r="I34" s="1201"/>
      <c r="J34" s="3"/>
      <c r="K34" s="3"/>
      <c r="L34" s="3"/>
      <c r="M34" s="3"/>
      <c r="N34" s="3"/>
    </row>
    <row r="35" spans="1:14" ht="18" customHeight="1">
      <c r="A35" s="3"/>
      <c r="B35" s="1201"/>
      <c r="C35" s="1201"/>
      <c r="D35" s="1201"/>
      <c r="E35" s="1201"/>
      <c r="F35" s="1201"/>
      <c r="G35" s="1201"/>
      <c r="H35" s="1201"/>
      <c r="I35" s="1201"/>
      <c r="J35" s="3"/>
      <c r="K35" s="3"/>
      <c r="L35" s="3"/>
      <c r="M35" s="3"/>
      <c r="N35" s="3"/>
    </row>
    <row r="36" spans="1:14">
      <c r="A36" s="3"/>
      <c r="B36" s="1201"/>
      <c r="C36" s="1201"/>
      <c r="D36" s="1201"/>
      <c r="E36" s="1201"/>
      <c r="F36" s="1201"/>
      <c r="G36" s="1201"/>
      <c r="H36" s="1201"/>
      <c r="I36" s="1201"/>
      <c r="J36" s="3"/>
      <c r="K36" s="3"/>
      <c r="L36" s="3"/>
      <c r="M36" s="3"/>
      <c r="N36" s="3"/>
    </row>
    <row r="37" spans="1:14">
      <c r="A37" s="3"/>
      <c r="B37" s="1201"/>
      <c r="C37" s="1201"/>
      <c r="D37" s="1201"/>
      <c r="E37" s="1201"/>
      <c r="F37" s="1201"/>
      <c r="G37" s="1201"/>
      <c r="H37" s="1201"/>
      <c r="I37" s="1201"/>
      <c r="J37" s="3"/>
      <c r="K37" s="3"/>
      <c r="L37" s="3"/>
      <c r="M37" s="3"/>
      <c r="N37" s="3"/>
    </row>
    <row r="38" spans="1:14">
      <c r="A38" s="3"/>
      <c r="B38" s="1201"/>
      <c r="C38" s="1201"/>
      <c r="D38" s="1201"/>
      <c r="E38" s="1201"/>
      <c r="F38" s="1201"/>
      <c r="G38" s="1201"/>
      <c r="H38" s="1201"/>
      <c r="I38" s="1201"/>
      <c r="J38" s="3"/>
      <c r="K38" s="3"/>
      <c r="L38" s="3"/>
      <c r="M38" s="3"/>
      <c r="N38" s="3"/>
    </row>
    <row r="39" spans="1:14">
      <c r="A39" s="3"/>
      <c r="B39" s="1201"/>
      <c r="C39" s="1201"/>
      <c r="D39" s="1201"/>
      <c r="E39" s="1201"/>
      <c r="F39" s="1201"/>
      <c r="G39" s="1201"/>
      <c r="H39" s="1201"/>
      <c r="I39" s="1201"/>
      <c r="J39" s="3"/>
      <c r="K39" s="3"/>
      <c r="L39" s="3"/>
      <c r="M39" s="3"/>
      <c r="N39" s="3"/>
    </row>
    <row r="40" spans="1:14">
      <c r="A40" s="3"/>
      <c r="B40" s="1201"/>
      <c r="C40" s="1201"/>
      <c r="D40" s="1201"/>
      <c r="E40" s="1201"/>
      <c r="F40" s="1201"/>
      <c r="G40" s="1201"/>
      <c r="H40" s="1201"/>
      <c r="I40" s="1201"/>
      <c r="J40" s="3"/>
      <c r="K40" s="3"/>
      <c r="L40" s="3"/>
      <c r="M40" s="3"/>
      <c r="N40" s="3"/>
    </row>
  </sheetData>
  <mergeCells count="1">
    <mergeCell ref="A2:I2"/>
  </mergeCells>
  <phoneticPr fontId="0" type="noConversion"/>
  <pageMargins left="0.55000000000000004" right="0.61" top="0.94" bottom="0.49" header="0.56999999999999995" footer="0.4921259845"/>
  <pageSetup paperSize="9" scale="85" orientation="portrait" horizontalDpi="4294967292" verticalDpi="4294967292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50EF-AF5D-4845-85F5-8B70AADD86E1}">
  <sheetPr>
    <pageSetUpPr fitToPage="1"/>
  </sheetPr>
  <dimension ref="A1:N44"/>
  <sheetViews>
    <sheetView zoomScale="75" workbookViewId="0">
      <selection activeCell="I41" sqref="I41"/>
    </sheetView>
  </sheetViews>
  <sheetFormatPr baseColWidth="10" defaultColWidth="11.3984375" defaultRowHeight="13"/>
  <cols>
    <col min="1" max="1" width="13.59765625" style="2" customWidth="1"/>
    <col min="2" max="2" width="13.19921875" style="225" customWidth="1"/>
    <col min="3" max="6" width="11.3984375" style="225"/>
    <col min="7" max="7" width="11.19921875" style="225" customWidth="1"/>
    <col min="8" max="9" width="11.19921875" style="2" customWidth="1"/>
    <col min="10" max="10" width="11.19921875" customWidth="1"/>
    <col min="11" max="12" width="11.796875" style="2" customWidth="1"/>
    <col min="13" max="13" width="18.19921875" style="2" customWidth="1"/>
    <col min="14" max="14" width="5" style="2" customWidth="1"/>
    <col min="15" max="16" width="11.3984375" style="2"/>
    <col min="17" max="17" width="8.19921875" style="2" customWidth="1"/>
    <col min="18" max="16384" width="11.3984375" style="2"/>
  </cols>
  <sheetData>
    <row r="1" spans="1:14" s="1" customFormat="1" ht="15.75" customHeight="1">
      <c r="A1" s="360"/>
      <c r="B1" s="1193"/>
      <c r="C1" s="1193"/>
      <c r="D1" s="1193"/>
      <c r="E1" s="1193"/>
      <c r="F1" s="1193"/>
      <c r="G1" s="1193"/>
      <c r="H1" s="360"/>
      <c r="J1"/>
      <c r="K1"/>
    </row>
    <row r="2" spans="1:14" s="1" customFormat="1" ht="29.25" customHeight="1">
      <c r="A2" s="2038" t="s">
        <v>791</v>
      </c>
      <c r="B2" s="2039"/>
      <c r="C2" s="2039"/>
      <c r="D2" s="2039"/>
      <c r="E2" s="2039"/>
      <c r="F2" s="2039"/>
      <c r="G2" s="2039"/>
      <c r="H2" s="2039"/>
      <c r="I2" s="2039"/>
      <c r="J2" s="2039"/>
      <c r="K2" s="2039"/>
      <c r="L2" s="792"/>
      <c r="M2" s="433"/>
    </row>
    <row r="3" spans="1:14" ht="21.75" customHeight="1">
      <c r="A3" s="178" t="s">
        <v>821</v>
      </c>
      <c r="B3" s="755" t="s">
        <v>1525</v>
      </c>
      <c r="C3" s="1343"/>
      <c r="D3" s="1316" t="s">
        <v>276</v>
      </c>
      <c r="E3" s="183"/>
      <c r="F3" s="182"/>
      <c r="G3" s="1343"/>
      <c r="H3" s="1316" t="s">
        <v>277</v>
      </c>
      <c r="I3" s="183"/>
      <c r="J3" s="182"/>
      <c r="K3" s="1317" t="s">
        <v>278</v>
      </c>
      <c r="L3" s="1316"/>
      <c r="M3" s="1317" t="s">
        <v>792</v>
      </c>
      <c r="N3"/>
    </row>
    <row r="4" spans="1:14" ht="20.25" customHeight="1">
      <c r="A4" s="274"/>
      <c r="B4" s="757" t="s">
        <v>1536</v>
      </c>
      <c r="C4" s="1344" t="s">
        <v>257</v>
      </c>
      <c r="D4" s="1345"/>
      <c r="E4" s="1346"/>
      <c r="F4" s="1346"/>
      <c r="G4" s="1344" t="s">
        <v>258</v>
      </c>
      <c r="H4" s="1345"/>
      <c r="I4" s="1346"/>
      <c r="J4" s="1346"/>
      <c r="K4" s="1347"/>
      <c r="L4" s="1348"/>
      <c r="M4" s="1347" t="s">
        <v>279</v>
      </c>
      <c r="N4"/>
    </row>
    <row r="5" spans="1:14" s="354" customFormat="1" ht="15" customHeight="1">
      <c r="A5" s="481"/>
      <c r="B5" s="757" t="s">
        <v>2496</v>
      </c>
      <c r="C5" s="1349" t="s">
        <v>556</v>
      </c>
      <c r="D5" s="182" t="s">
        <v>556</v>
      </c>
      <c r="E5" s="183" t="s">
        <v>556</v>
      </c>
      <c r="F5" s="757" t="s">
        <v>259</v>
      </c>
      <c r="G5" s="1349" t="s">
        <v>556</v>
      </c>
      <c r="H5" s="182" t="s">
        <v>556</v>
      </c>
      <c r="I5" s="183" t="s">
        <v>556</v>
      </c>
      <c r="J5" s="757" t="s">
        <v>259</v>
      </c>
      <c r="K5" s="1349" t="s">
        <v>556</v>
      </c>
      <c r="L5" s="757" t="s">
        <v>556</v>
      </c>
      <c r="M5" s="1349" t="s">
        <v>260</v>
      </c>
      <c r="N5" s="1350"/>
    </row>
    <row r="6" spans="1:14" s="354" customFormat="1" ht="18" customHeight="1">
      <c r="A6" s="481"/>
      <c r="B6" s="757" t="s">
        <v>261</v>
      </c>
      <c r="C6" s="1349" t="s">
        <v>2437</v>
      </c>
      <c r="D6" s="436" t="s">
        <v>2438</v>
      </c>
      <c r="E6" s="183" t="s">
        <v>2439</v>
      </c>
      <c r="F6" s="757" t="s">
        <v>280</v>
      </c>
      <c r="G6" s="1349" t="s">
        <v>2437</v>
      </c>
      <c r="H6" s="436" t="s">
        <v>2438</v>
      </c>
      <c r="I6" s="183" t="s">
        <v>2439</v>
      </c>
      <c r="J6" s="757" t="s">
        <v>280</v>
      </c>
      <c r="K6" s="1349" t="s">
        <v>2438</v>
      </c>
      <c r="L6" s="757" t="s">
        <v>2439</v>
      </c>
      <c r="M6" s="1349" t="s">
        <v>262</v>
      </c>
      <c r="N6" s="1350"/>
    </row>
    <row r="7" spans="1:14" s="354" customFormat="1" ht="18" customHeight="1">
      <c r="A7" s="481"/>
      <c r="B7" s="1351"/>
      <c r="C7" s="1349" t="s">
        <v>263</v>
      </c>
      <c r="D7" s="1352"/>
      <c r="E7" s="1353"/>
      <c r="F7" s="757"/>
      <c r="G7" s="1349" t="s">
        <v>263</v>
      </c>
      <c r="H7" s="1352"/>
      <c r="I7" s="1353"/>
      <c r="J7" s="1354"/>
      <c r="K7" s="1355"/>
      <c r="L7" s="1352"/>
      <c r="M7" s="1349" t="s">
        <v>264</v>
      </c>
      <c r="N7" s="1350"/>
    </row>
    <row r="8" spans="1:14" s="354" customFormat="1" ht="23.25" customHeight="1">
      <c r="A8" s="481"/>
      <c r="B8" s="757"/>
      <c r="C8" s="1356"/>
      <c r="D8" s="757"/>
      <c r="E8" s="758"/>
      <c r="F8" s="757"/>
      <c r="G8" s="1349"/>
      <c r="H8" s="757"/>
      <c r="I8" s="758"/>
      <c r="J8" s="757"/>
      <c r="K8" s="1349"/>
      <c r="L8" s="757"/>
      <c r="M8" s="1349"/>
      <c r="N8" s="1350"/>
    </row>
    <row r="9" spans="1:14" ht="1.5" customHeight="1" thickBot="1">
      <c r="A9" s="1357">
        <v>1996</v>
      </c>
      <c r="B9" s="1358">
        <v>7194754</v>
      </c>
      <c r="C9" s="1359" t="s">
        <v>1060</v>
      </c>
      <c r="D9" s="1360">
        <v>0.18782351696805755</v>
      </c>
      <c r="E9" s="1361">
        <v>0.10061414191506757</v>
      </c>
      <c r="F9" s="1360" t="s">
        <v>1060</v>
      </c>
      <c r="G9" s="1359" t="s">
        <v>1060</v>
      </c>
      <c r="H9" s="1360" t="s">
        <v>1060</v>
      </c>
      <c r="I9" s="1361" t="s">
        <v>1060</v>
      </c>
      <c r="J9" s="1360" t="s">
        <v>1060</v>
      </c>
      <c r="K9" s="1359" t="s">
        <v>1060</v>
      </c>
      <c r="L9" s="1360" t="s">
        <v>1060</v>
      </c>
      <c r="M9" s="1359" t="s">
        <v>1060</v>
      </c>
      <c r="N9"/>
    </row>
    <row r="10" spans="1:14" ht="22.5" hidden="1" customHeight="1" thickBot="1">
      <c r="A10" s="1357">
        <v>1997</v>
      </c>
      <c r="B10" s="1358">
        <v>7214805</v>
      </c>
      <c r="C10" s="1359" t="s">
        <v>1060</v>
      </c>
      <c r="D10" s="1360">
        <v>0.17122098241047401</v>
      </c>
      <c r="E10" s="1361">
        <v>8.6709897218289339E-2</v>
      </c>
      <c r="F10" s="1360" t="s">
        <v>1060</v>
      </c>
      <c r="G10" s="1359" t="s">
        <v>1060</v>
      </c>
      <c r="H10" s="1360" t="s">
        <v>1060</v>
      </c>
      <c r="I10" s="1361" t="s">
        <v>1060</v>
      </c>
      <c r="J10" s="1360" t="s">
        <v>1060</v>
      </c>
      <c r="K10" s="1359">
        <v>2.1729346808402997E-2</v>
      </c>
      <c r="L10" s="1362">
        <v>6.734901359080391E-3</v>
      </c>
      <c r="M10" s="1359" t="s">
        <v>1060</v>
      </c>
      <c r="N10"/>
    </row>
    <row r="11" spans="1:14" ht="22.5" customHeight="1" thickBot="1">
      <c r="A11" s="1357">
        <v>1998</v>
      </c>
      <c r="B11" s="1358">
        <v>7248603</v>
      </c>
      <c r="C11" s="1359" t="s">
        <v>1060</v>
      </c>
      <c r="D11" s="1360">
        <v>0.16889778623549945</v>
      </c>
      <c r="E11" s="1361">
        <v>8.0429428953413512E-2</v>
      </c>
      <c r="F11" s="1360" t="s">
        <v>1060</v>
      </c>
      <c r="G11" s="1359" t="s">
        <v>1060</v>
      </c>
      <c r="H11" s="1360" t="s">
        <v>1060</v>
      </c>
      <c r="I11" s="1361" t="s">
        <v>1060</v>
      </c>
      <c r="J11" s="1360" t="s">
        <v>1060</v>
      </c>
      <c r="K11" s="1359">
        <v>2.1183943995829266E-2</v>
      </c>
      <c r="L11" s="1363">
        <v>6.9956928252243918E-3</v>
      </c>
      <c r="M11" s="1359" t="s">
        <v>1060</v>
      </c>
      <c r="N11"/>
    </row>
    <row r="12" spans="1:14" ht="22.5" customHeight="1" thickBot="1">
      <c r="A12" s="438">
        <v>1999</v>
      </c>
      <c r="B12" s="1358">
        <v>7266534</v>
      </c>
      <c r="C12" s="1359" t="s">
        <v>1060</v>
      </c>
      <c r="D12" s="1360">
        <v>0.15472314586293823</v>
      </c>
      <c r="E12" s="1361">
        <v>7.4331173569132131E-2</v>
      </c>
      <c r="F12" s="1360" t="s">
        <v>1060</v>
      </c>
      <c r="G12" s="1359" t="s">
        <v>1060</v>
      </c>
      <c r="H12" s="1360" t="s">
        <v>1060</v>
      </c>
      <c r="I12" s="1361" t="s">
        <v>1060</v>
      </c>
      <c r="J12" s="1360" t="s">
        <v>1060</v>
      </c>
      <c r="K12" s="1359">
        <v>3.5360462085500463E-2</v>
      </c>
      <c r="L12" s="1363">
        <v>5.9961186447348904E-3</v>
      </c>
      <c r="M12" s="1359" t="s">
        <v>1060</v>
      </c>
      <c r="N12"/>
    </row>
    <row r="13" spans="1:14" ht="22.5" customHeight="1" thickBot="1">
      <c r="A13" s="438">
        <v>2000</v>
      </c>
      <c r="B13" s="1358">
        <v>7268111</v>
      </c>
      <c r="C13" s="1359" t="s">
        <v>1060</v>
      </c>
      <c r="D13" s="1360">
        <v>0.12321647261578696</v>
      </c>
      <c r="E13" s="1361">
        <v>6.2163057223534421E-2</v>
      </c>
      <c r="F13" s="1360" t="s">
        <v>1060</v>
      </c>
      <c r="G13" s="1359" t="s">
        <v>1060</v>
      </c>
      <c r="H13" s="1360" t="s">
        <v>1060</v>
      </c>
      <c r="I13" s="1361" t="s">
        <v>1060</v>
      </c>
      <c r="J13" s="1360" t="s">
        <v>1060</v>
      </c>
      <c r="K13" s="1359">
        <v>6.6940089384985996E-2</v>
      </c>
      <c r="L13" s="1363">
        <v>2.2992631785618025E-2</v>
      </c>
      <c r="M13" s="1359" t="s">
        <v>1060</v>
      </c>
      <c r="N13"/>
    </row>
    <row r="14" spans="1:14" ht="22.5" customHeight="1" thickBot="1">
      <c r="A14" s="438">
        <v>2001</v>
      </c>
      <c r="B14" s="1358">
        <v>7321287</v>
      </c>
      <c r="C14" s="1359" t="s">
        <v>1060</v>
      </c>
      <c r="D14" s="1360">
        <v>0.11914653803354519</v>
      </c>
      <c r="E14" s="1361">
        <v>6.1670168100226096E-2</v>
      </c>
      <c r="F14" s="1360" t="s">
        <v>1060</v>
      </c>
      <c r="G14" s="1359" t="s">
        <v>1060</v>
      </c>
      <c r="H14" s="1360" t="s">
        <v>1060</v>
      </c>
      <c r="I14" s="1361" t="s">
        <v>1060</v>
      </c>
      <c r="J14" s="1360" t="s">
        <v>1060</v>
      </c>
      <c r="K14" s="1359">
        <v>9.1391855011284218E-2</v>
      </c>
      <c r="L14" s="1363">
        <v>3.6045984811140443E-2</v>
      </c>
      <c r="M14" s="1359" t="s">
        <v>1060</v>
      </c>
      <c r="N14"/>
    </row>
    <row r="15" spans="1:14" ht="22.5" customHeight="1" thickBot="1">
      <c r="A15" s="438">
        <v>2002</v>
      </c>
      <c r="B15" s="1358">
        <v>7359365</v>
      </c>
      <c r="C15" s="1359">
        <v>0.41612068432534599</v>
      </c>
      <c r="D15" s="1360">
        <v>0.10741619691372829</v>
      </c>
      <c r="E15" s="1361">
        <v>5.1274804279988831E-2</v>
      </c>
      <c r="F15" s="1360" t="s">
        <v>1060</v>
      </c>
      <c r="G15" s="1359" t="s">
        <v>1060</v>
      </c>
      <c r="H15" s="1360" t="s">
        <v>1060</v>
      </c>
      <c r="I15" s="1361" t="s">
        <v>1060</v>
      </c>
      <c r="J15" s="1360" t="s">
        <v>1060</v>
      </c>
      <c r="K15" s="1359">
        <v>9.5236341722417628E-2</v>
      </c>
      <c r="L15" s="1363">
        <v>4.2874215370483727E-2</v>
      </c>
      <c r="M15" s="1359" t="s">
        <v>1060</v>
      </c>
      <c r="N15"/>
    </row>
    <row r="16" spans="1:14" ht="22.5" customHeight="1" thickBot="1">
      <c r="A16" s="438">
        <v>2003</v>
      </c>
      <c r="B16" s="1358">
        <v>7393188</v>
      </c>
      <c r="C16" s="1359">
        <v>0.40096288637594502</v>
      </c>
      <c r="D16" s="1360">
        <v>0.10284683684494429</v>
      </c>
      <c r="E16" s="1361">
        <v>4.5843416940026416E-2</v>
      </c>
      <c r="F16" s="1360" t="s">
        <v>1060</v>
      </c>
      <c r="G16" s="1359" t="s">
        <v>1060</v>
      </c>
      <c r="H16" s="1360" t="s">
        <v>1060</v>
      </c>
      <c r="I16" s="1361" t="s">
        <v>1060</v>
      </c>
      <c r="J16" s="1360" t="s">
        <v>1060</v>
      </c>
      <c r="K16" s="1359">
        <v>9.3782276333294917E-2</v>
      </c>
      <c r="L16" s="1363">
        <v>4.102993187783132E-2</v>
      </c>
      <c r="M16" s="1359">
        <v>0.23588525004368888</v>
      </c>
      <c r="N16"/>
    </row>
    <row r="17" spans="1:14" ht="22.5" customHeight="1" thickBot="1">
      <c r="A17" s="438">
        <v>2004</v>
      </c>
      <c r="B17" s="1358">
        <v>7419974</v>
      </c>
      <c r="C17" s="1359">
        <v>0.41515172425132485</v>
      </c>
      <c r="D17" s="1360">
        <v>8.8858128074303225E-2</v>
      </c>
      <c r="E17" s="1361">
        <v>3.8901214478649117E-2</v>
      </c>
      <c r="F17" s="1360" t="s">
        <v>1060</v>
      </c>
      <c r="G17" s="1359" t="s">
        <v>1060</v>
      </c>
      <c r="H17" s="1360" t="s">
        <v>1060</v>
      </c>
      <c r="I17" s="1361" t="s">
        <v>1060</v>
      </c>
      <c r="J17" s="1360" t="s">
        <v>1060</v>
      </c>
      <c r="K17" s="1359">
        <v>0.1022666656244348</v>
      </c>
      <c r="L17" s="1363">
        <v>4.6828870289841985E-2</v>
      </c>
      <c r="M17" s="1359">
        <v>0.22847465503248393</v>
      </c>
      <c r="N17"/>
    </row>
    <row r="18" spans="1:14" ht="22.5" customHeight="1" thickBot="1">
      <c r="A18" s="438">
        <v>2005</v>
      </c>
      <c r="B18" s="1358">
        <v>7458475</v>
      </c>
      <c r="C18" s="1359">
        <v>0.40559658643355379</v>
      </c>
      <c r="D18" s="1360">
        <v>8.7504349079402965E-2</v>
      </c>
      <c r="E18" s="1361">
        <v>3.6415889307130481E-2</v>
      </c>
      <c r="F18" s="1360" t="s">
        <v>1060</v>
      </c>
      <c r="G18" s="1359" t="s">
        <v>1060</v>
      </c>
      <c r="H18" s="1360" t="s">
        <v>1060</v>
      </c>
      <c r="I18" s="1361" t="s">
        <v>1060</v>
      </c>
      <c r="J18" s="1360" t="s">
        <v>1060</v>
      </c>
      <c r="K18" s="1359">
        <v>9.9828450185862394E-2</v>
      </c>
      <c r="L18" s="1363">
        <v>4.6900204130200879E-2</v>
      </c>
      <c r="M18" s="1359">
        <v>0.22295429025370467</v>
      </c>
      <c r="N18"/>
    </row>
    <row r="19" spans="1:14" ht="22.5" customHeight="1" thickBot="1">
      <c r="A19" s="438">
        <v>2006</v>
      </c>
      <c r="B19" s="1358">
        <v>7507545</v>
      </c>
      <c r="C19" s="1359">
        <v>0.35229745542650759</v>
      </c>
      <c r="D19" s="1360">
        <v>8.0637811694768399E-2</v>
      </c>
      <c r="E19" s="1361">
        <v>3.4424568883702995E-2</v>
      </c>
      <c r="F19" s="1360">
        <v>1.1072461104129246E-2</v>
      </c>
      <c r="G19" s="1359">
        <v>2.8267829230460822E-2</v>
      </c>
      <c r="H19" s="1360">
        <v>7.3543348724516471E-3</v>
      </c>
      <c r="I19" s="1361">
        <v>3.3165302372479954E-3</v>
      </c>
      <c r="J19" s="1360">
        <v>8.6433048353356525E-4</v>
      </c>
      <c r="K19" s="1359">
        <v>0.10136709137274569</v>
      </c>
      <c r="L19" s="1363">
        <v>4.8815425015767473E-2</v>
      </c>
      <c r="M19" s="1359">
        <v>0.21886368979473317</v>
      </c>
      <c r="N19"/>
    </row>
    <row r="20" spans="1:14" ht="22.5" customHeight="1" thickBot="1">
      <c r="A20" s="438">
        <v>2007</v>
      </c>
      <c r="B20" s="1358">
        <v>7577132</v>
      </c>
      <c r="C20" s="1359">
        <v>0.34950084015957489</v>
      </c>
      <c r="D20" s="1360">
        <v>7.9577602713005402E-2</v>
      </c>
      <c r="E20" s="1361">
        <v>3.4038868532315393E-2</v>
      </c>
      <c r="F20" s="1360">
        <v>2.0345824779085281E-2</v>
      </c>
      <c r="G20" s="1359">
        <v>3.0507453215807775E-2</v>
      </c>
      <c r="H20" s="1360">
        <v>7.6386421669834975E-3</v>
      </c>
      <c r="I20" s="1361">
        <v>4.5006474745325807E-3</v>
      </c>
      <c r="J20" s="1360">
        <v>4.7718582703851539E-3</v>
      </c>
      <c r="K20" s="1359">
        <v>9.8380231464886711E-2</v>
      </c>
      <c r="L20" s="1363">
        <v>4.8201615070187505E-2</v>
      </c>
      <c r="M20" s="1359">
        <v>0.21754194067095572</v>
      </c>
      <c r="N20"/>
    </row>
    <row r="21" spans="1:14" s="251" customFormat="1" ht="29.25" customHeight="1" thickBot="1">
      <c r="A21" s="440">
        <v>2008</v>
      </c>
      <c r="B21" s="442">
        <v>7669611</v>
      </c>
      <c r="C21" s="1364">
        <v>0.32124333294087537</v>
      </c>
      <c r="D21" s="1365">
        <v>7.2603422781155391E-2</v>
      </c>
      <c r="E21" s="1366">
        <v>3.1619807054099613E-2</v>
      </c>
      <c r="F21" s="1365">
        <v>1.5602015538988875E-2</v>
      </c>
      <c r="G21" s="1364">
        <v>3.4330945858922962E-2</v>
      </c>
      <c r="H21" s="1365">
        <v>7.8339044835520344E-3</v>
      </c>
      <c r="I21" s="868">
        <v>4.7705157406288268E-3</v>
      </c>
      <c r="J21" s="1367">
        <v>5.1662333330856026E-3</v>
      </c>
      <c r="K21" s="1368" t="s">
        <v>1060</v>
      </c>
      <c r="L21" s="753" t="s">
        <v>1060</v>
      </c>
      <c r="M21" s="1368" t="s">
        <v>1060</v>
      </c>
      <c r="N21" s="1341"/>
    </row>
    <row r="22" spans="1:14" ht="20" customHeight="1">
      <c r="A22" s="1197" t="s">
        <v>778</v>
      </c>
      <c r="B22" s="1198"/>
      <c r="C22" s="1198"/>
      <c r="D22" s="1198"/>
      <c r="E22" s="1198"/>
      <c r="F22" s="1198"/>
      <c r="G22" s="1198"/>
      <c r="H22" s="1198"/>
      <c r="J22" s="443"/>
    </row>
    <row r="23" spans="1:14" ht="13.5" customHeight="1">
      <c r="A23" s="1199"/>
      <c r="B23" s="1200"/>
      <c r="C23" s="1200"/>
      <c r="D23" s="1200"/>
      <c r="E23" s="1200"/>
      <c r="F23" s="1200"/>
      <c r="G23" s="1200"/>
      <c r="H23" s="1200"/>
    </row>
    <row r="24" spans="1:14" ht="12.75" customHeight="1">
      <c r="A24" s="1199" t="s">
        <v>265</v>
      </c>
      <c r="B24" s="1200"/>
      <c r="C24" s="1200"/>
      <c r="D24" s="1200"/>
      <c r="E24" s="1200"/>
      <c r="F24" s="1200"/>
      <c r="G24" s="1200"/>
      <c r="H24" s="1200"/>
    </row>
    <row r="25" spans="1:14" ht="12.75" customHeight="1">
      <c r="A25" s="1199" t="s">
        <v>266</v>
      </c>
      <c r="B25" s="1200"/>
      <c r="C25" s="1200"/>
      <c r="D25" s="1200"/>
      <c r="E25" s="1200"/>
      <c r="F25" s="1200"/>
      <c r="G25" s="1200"/>
      <c r="H25" s="1200"/>
    </row>
    <row r="26" spans="1:14" ht="12.75" customHeight="1">
      <c r="A26" s="2" t="s">
        <v>932</v>
      </c>
      <c r="B26" s="1200"/>
      <c r="C26" s="1200"/>
      <c r="D26" s="1200"/>
      <c r="E26" s="1200"/>
      <c r="F26" s="1200"/>
      <c r="G26" s="1200"/>
      <c r="H26" s="1200"/>
    </row>
    <row r="27" spans="1:14" ht="13.5" customHeight="1">
      <c r="A27" s="1209" t="s">
        <v>267</v>
      </c>
      <c r="B27" s="1200"/>
      <c r="C27" s="1200"/>
      <c r="D27" s="1200"/>
      <c r="E27" s="1200"/>
      <c r="F27" s="1200"/>
      <c r="G27" s="1200"/>
      <c r="H27" s="1200"/>
    </row>
    <row r="28" spans="1:14" ht="13.5" customHeight="1">
      <c r="A28" s="2" t="s">
        <v>268</v>
      </c>
      <c r="B28" s="1200"/>
      <c r="C28" s="1200"/>
      <c r="D28" s="1200"/>
      <c r="E28" s="1200"/>
      <c r="F28" s="1200"/>
      <c r="G28" s="1200"/>
      <c r="H28" s="1200"/>
    </row>
    <row r="29" spans="1:14" ht="13.5" customHeight="1">
      <c r="A29" s="1199" t="s">
        <v>269</v>
      </c>
      <c r="B29" s="1200"/>
      <c r="C29" s="1200"/>
      <c r="D29" s="1200"/>
      <c r="E29" s="1200"/>
      <c r="F29" s="1200"/>
      <c r="G29" s="1200"/>
      <c r="H29" s="1200"/>
    </row>
    <row r="30" spans="1:14" ht="13.5" customHeight="1">
      <c r="A30" s="1209" t="s">
        <v>270</v>
      </c>
      <c r="B30" s="1200"/>
      <c r="C30" s="1200"/>
      <c r="D30" s="1200"/>
      <c r="E30" s="1200"/>
      <c r="F30" s="1200"/>
      <c r="G30" s="1200"/>
      <c r="H30" s="1200"/>
    </row>
    <row r="31" spans="1:14" ht="13.5" customHeight="1">
      <c r="A31" s="3" t="s">
        <v>271</v>
      </c>
      <c r="B31" s="1200"/>
      <c r="C31" s="1200"/>
      <c r="D31" s="1200"/>
      <c r="E31" s="1200"/>
      <c r="F31" s="1200"/>
      <c r="G31" s="1200"/>
      <c r="H31" s="1200"/>
    </row>
    <row r="32" spans="1:14" ht="13.5" customHeight="1">
      <c r="A32" s="3" t="s">
        <v>272</v>
      </c>
      <c r="B32" s="1200"/>
      <c r="C32" s="1200"/>
      <c r="D32" s="1200"/>
      <c r="E32" s="1200"/>
      <c r="F32" s="1200"/>
      <c r="G32" s="1200"/>
      <c r="H32" s="1200"/>
    </row>
    <row r="33" spans="1:8" ht="13.5" customHeight="1">
      <c r="A33" s="1369" t="s">
        <v>2493</v>
      </c>
      <c r="B33" s="1200"/>
      <c r="C33" s="1200"/>
      <c r="D33" s="1200"/>
      <c r="E33" s="1200"/>
      <c r="F33" s="1200"/>
      <c r="G33" s="1200"/>
      <c r="H33" s="1200"/>
    </row>
    <row r="34" spans="1:8" ht="13.5" customHeight="1">
      <c r="A34" s="736" t="s">
        <v>2494</v>
      </c>
      <c r="B34" s="1200"/>
      <c r="C34" s="1200"/>
      <c r="D34" s="1200"/>
      <c r="E34" s="1200"/>
      <c r="F34" s="1200"/>
      <c r="G34" s="1200"/>
      <c r="H34" s="1200"/>
    </row>
    <row r="35" spans="1:8" ht="13.5" customHeight="1">
      <c r="A35" s="1369" t="s">
        <v>273</v>
      </c>
      <c r="B35" s="1200"/>
      <c r="C35" s="1200"/>
      <c r="D35" s="1200"/>
      <c r="E35" s="1200"/>
      <c r="F35" s="1200"/>
      <c r="G35" s="1200"/>
      <c r="H35" s="1200"/>
    </row>
    <row r="36" spans="1:8" ht="13.5" customHeight="1">
      <c r="A36" s="1369" t="s">
        <v>2495</v>
      </c>
      <c r="B36" s="1200"/>
      <c r="C36" s="1200"/>
      <c r="D36" s="1200"/>
      <c r="E36" s="1200"/>
      <c r="F36" s="1200"/>
      <c r="G36" s="1200"/>
      <c r="H36" s="1200"/>
    </row>
    <row r="37" spans="1:8" ht="13.5" customHeight="1">
      <c r="A37" s="1369" t="s">
        <v>274</v>
      </c>
      <c r="B37" s="1200"/>
      <c r="C37" s="1200"/>
      <c r="D37" s="1200"/>
      <c r="E37" s="1200"/>
      <c r="F37" s="1200"/>
      <c r="G37" s="1200"/>
      <c r="H37" s="1200"/>
    </row>
    <row r="38" spans="1:8" ht="13.5" customHeight="1">
      <c r="A38" s="2" t="s">
        <v>275</v>
      </c>
      <c r="B38" s="1200"/>
      <c r="C38" s="1200"/>
      <c r="D38" s="1200"/>
      <c r="E38" s="1200"/>
      <c r="F38" s="1200"/>
      <c r="G38" s="1200"/>
      <c r="H38" s="1200"/>
    </row>
    <row r="39" spans="1:8" ht="12.75" customHeight="1">
      <c r="A39" s="2" t="s">
        <v>932</v>
      </c>
      <c r="B39" s="1200"/>
      <c r="C39" s="1200"/>
      <c r="D39" s="1200"/>
      <c r="E39" s="1200"/>
      <c r="F39" s="1200"/>
      <c r="G39" s="1200"/>
      <c r="H39" s="3"/>
    </row>
    <row r="40" spans="1:8" ht="12.75" customHeight="1">
      <c r="B40" s="1200"/>
      <c r="C40" s="1200"/>
      <c r="D40" s="1200"/>
      <c r="E40" s="1200"/>
      <c r="F40" s="1200"/>
      <c r="G40" s="1200"/>
      <c r="H40" s="3"/>
    </row>
    <row r="41" spans="1:8" ht="15" customHeight="1">
      <c r="A41" s="49"/>
      <c r="B41" s="1201"/>
      <c r="C41" s="1201"/>
      <c r="D41" s="1201"/>
      <c r="E41" s="1201"/>
      <c r="F41" s="1201"/>
      <c r="G41" s="1201"/>
      <c r="H41" s="3"/>
    </row>
    <row r="42" spans="1:8" ht="15" customHeight="1">
      <c r="A42" s="606" t="s">
        <v>711</v>
      </c>
      <c r="B42" s="1201"/>
      <c r="C42" s="1201"/>
      <c r="D42" s="1201"/>
      <c r="E42" s="1201"/>
      <c r="F42" s="1201"/>
      <c r="G42" s="1201"/>
      <c r="H42" s="3"/>
    </row>
    <row r="43" spans="1:8" ht="15" customHeight="1">
      <c r="A43" s="606"/>
      <c r="B43" s="1201"/>
      <c r="C43" s="1201"/>
      <c r="D43" s="1201"/>
      <c r="E43" s="1201"/>
      <c r="F43" s="1201"/>
      <c r="G43" s="1201"/>
      <c r="H43" s="3"/>
    </row>
    <row r="44" spans="1:8" ht="15" customHeight="1">
      <c r="A44" s="606"/>
      <c r="B44" s="1201"/>
      <c r="C44" s="1201"/>
      <c r="D44" s="1201"/>
      <c r="E44" s="1201"/>
      <c r="F44" s="1201"/>
      <c r="G44" s="1201"/>
      <c r="H44" s="3"/>
    </row>
  </sheetData>
  <mergeCells count="1">
    <mergeCell ref="A2:K2"/>
  </mergeCells>
  <phoneticPr fontId="0" type="noConversion"/>
  <pageMargins left="0.38" right="0.28999999999999998" top="0.71" bottom="0.49" header="0.52" footer="0.4921259845"/>
  <pageSetup paperSize="9" scale="73" orientation="landscape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0FA7-BEC9-7D4E-9539-AB300EF2496B}">
  <sheetPr>
    <pageSetUpPr fitToPage="1"/>
  </sheetPr>
  <dimension ref="A1:K54"/>
  <sheetViews>
    <sheetView topLeftCell="A14" zoomScale="75" workbookViewId="0">
      <selection activeCell="I20" sqref="I20"/>
    </sheetView>
  </sheetViews>
  <sheetFormatPr baseColWidth="10" defaultColWidth="11.3984375" defaultRowHeight="13"/>
  <cols>
    <col min="1" max="1" width="12.19921875" style="2" customWidth="1"/>
    <col min="2" max="2" width="13.19921875" style="225" customWidth="1"/>
    <col min="3" max="3" width="12.796875" style="225" customWidth="1"/>
    <col min="4" max="4" width="14" style="225" customWidth="1"/>
    <col min="5" max="5" width="13.3984375" style="225" customWidth="1"/>
    <col min="6" max="6" width="13.59765625" style="225" customWidth="1"/>
    <col min="7" max="7" width="13.19921875" style="225" customWidth="1"/>
    <col min="8" max="8" width="13.3984375" style="225" customWidth="1"/>
    <col min="9" max="9" width="12.796875" style="225" customWidth="1"/>
    <col min="10" max="16384" width="11.3984375" style="2"/>
  </cols>
  <sheetData>
    <row r="1" spans="1:9" s="1" customFormat="1" ht="14" customHeight="1">
      <c r="A1" s="360"/>
      <c r="B1" s="1193"/>
      <c r="C1" s="1193"/>
      <c r="D1" s="1193"/>
      <c r="E1" s="1193"/>
      <c r="F1" s="1193"/>
      <c r="G1" s="1193"/>
      <c r="H1" s="1193"/>
      <c r="I1" s="1193"/>
    </row>
    <row r="2" spans="1:9" s="1" customFormat="1" ht="27" customHeight="1">
      <c r="A2" s="1216" t="s">
        <v>173</v>
      </c>
      <c r="B2" s="1304"/>
      <c r="C2" s="1304"/>
      <c r="D2" s="1304"/>
      <c r="E2" s="1304"/>
      <c r="F2" s="1304"/>
      <c r="G2" s="1304"/>
      <c r="H2" s="1304"/>
      <c r="I2" s="433"/>
    </row>
    <row r="3" spans="1:9" s="1308" customFormat="1" ht="74.25" customHeight="1">
      <c r="A3" s="1305" t="s">
        <v>821</v>
      </c>
      <c r="B3" s="1306" t="s">
        <v>557</v>
      </c>
      <c r="C3" s="1307" t="s">
        <v>1716</v>
      </c>
      <c r="D3" s="1306" t="s">
        <v>1717</v>
      </c>
      <c r="E3" s="1307" t="s">
        <v>1718</v>
      </c>
      <c r="F3" s="1306" t="s">
        <v>1719</v>
      </c>
      <c r="G3" s="1307" t="s">
        <v>1720</v>
      </c>
      <c r="H3" s="1306" t="s">
        <v>1721</v>
      </c>
      <c r="I3" s="1989" t="s">
        <v>2163</v>
      </c>
    </row>
    <row r="4" spans="1:9" ht="10.5" customHeight="1">
      <c r="A4" s="275"/>
      <c r="B4" s="188"/>
      <c r="C4" s="187"/>
      <c r="D4" s="188"/>
      <c r="E4" s="187" t="s">
        <v>2467</v>
      </c>
      <c r="F4" s="188"/>
      <c r="G4" s="187"/>
      <c r="H4" s="188"/>
      <c r="I4" s="187"/>
    </row>
    <row r="5" spans="1:9" ht="3" customHeight="1" thickBot="1">
      <c r="A5" s="437">
        <v>1996</v>
      </c>
      <c r="B5" s="497">
        <v>100</v>
      </c>
      <c r="C5" s="277">
        <v>100</v>
      </c>
      <c r="D5" s="497">
        <v>100</v>
      </c>
      <c r="E5" s="277">
        <v>100</v>
      </c>
      <c r="F5" s="497">
        <v>100</v>
      </c>
      <c r="G5" s="277">
        <v>100</v>
      </c>
      <c r="H5" s="497">
        <v>100</v>
      </c>
      <c r="I5" s="277">
        <v>100</v>
      </c>
    </row>
    <row r="6" spans="1:9" ht="18" hidden="1" customHeight="1" thickBot="1">
      <c r="A6" s="438">
        <v>1997</v>
      </c>
      <c r="B6" s="499">
        <v>99.603751768772071</v>
      </c>
      <c r="C6" s="501">
        <v>100.38008221695314</v>
      </c>
      <c r="D6" s="499">
        <v>100.54808570359472</v>
      </c>
      <c r="E6" s="501">
        <v>101.42789940293106</v>
      </c>
      <c r="F6" s="499">
        <v>99.259050938587137</v>
      </c>
      <c r="G6" s="501">
        <v>99.621819781936267</v>
      </c>
      <c r="H6" s="499">
        <v>100.76095634245317</v>
      </c>
      <c r="I6" s="501">
        <v>100.52020451848172</v>
      </c>
    </row>
    <row r="7" spans="1:9" ht="18.75" customHeight="1" thickBot="1">
      <c r="A7" s="438">
        <v>1998</v>
      </c>
      <c r="B7" s="499">
        <v>96.927242504783251</v>
      </c>
      <c r="C7" s="501">
        <v>100.33490779124649</v>
      </c>
      <c r="D7" s="499">
        <v>101.27038445552139</v>
      </c>
      <c r="E7" s="501">
        <v>102.99618303138374</v>
      </c>
      <c r="F7" s="499">
        <v>98.452579284674385</v>
      </c>
      <c r="G7" s="501">
        <v>100.44765774993816</v>
      </c>
      <c r="H7" s="499">
        <v>101.24816209588769</v>
      </c>
      <c r="I7" s="501">
        <v>100.538234878222</v>
      </c>
    </row>
    <row r="8" spans="1:9" ht="18.75" customHeight="1" thickBot="1">
      <c r="A8" s="438">
        <v>1999</v>
      </c>
      <c r="B8" s="499">
        <v>95.844672232466905</v>
      </c>
      <c r="C8" s="501">
        <v>100.33187275209576</v>
      </c>
      <c r="D8" s="499">
        <v>101.87444222283719</v>
      </c>
      <c r="E8" s="501">
        <v>104.14320934906627</v>
      </c>
      <c r="F8" s="499">
        <v>98.676778256833302</v>
      </c>
      <c r="G8" s="501">
        <v>98.097369567529682</v>
      </c>
      <c r="H8" s="499">
        <v>101.67388949401801</v>
      </c>
      <c r="I8" s="501">
        <v>101.34904536554785</v>
      </c>
    </row>
    <row r="9" spans="1:9" ht="18.75" customHeight="1" thickBot="1">
      <c r="A9" s="438">
        <v>2000</v>
      </c>
      <c r="B9" s="499">
        <v>96.254772438034038</v>
      </c>
      <c r="C9" s="501">
        <v>100.33187275209576</v>
      </c>
      <c r="D9" s="499">
        <v>103.57018844964638</v>
      </c>
      <c r="E9" s="501">
        <v>104.72011004030597</v>
      </c>
      <c r="F9" s="499">
        <v>98.363608314160032</v>
      </c>
      <c r="G9" s="501">
        <v>97.073589844089597</v>
      </c>
      <c r="H9" s="499">
        <v>102.16099312393871</v>
      </c>
      <c r="I9" s="501">
        <v>102.92856130382158</v>
      </c>
    </row>
    <row r="10" spans="1:9" ht="18.75" customHeight="1" thickBot="1">
      <c r="A10" s="438">
        <v>2001</v>
      </c>
      <c r="B10" s="499">
        <v>95.617677812696272</v>
      </c>
      <c r="C10" s="501">
        <v>100.39157021638326</v>
      </c>
      <c r="D10" s="499">
        <v>105.66882988327751</v>
      </c>
      <c r="E10" s="501">
        <v>105.48310266577438</v>
      </c>
      <c r="F10" s="499">
        <v>99.731930662678707</v>
      </c>
      <c r="G10" s="501">
        <v>97.957928816735219</v>
      </c>
      <c r="H10" s="499">
        <v>102.72634889630439</v>
      </c>
      <c r="I10" s="501">
        <v>103.94658841484843</v>
      </c>
    </row>
    <row r="11" spans="1:9" ht="18.75" customHeight="1" thickBot="1">
      <c r="A11" s="438">
        <v>2002</v>
      </c>
      <c r="B11" s="499">
        <v>92.551966547481953</v>
      </c>
      <c r="C11" s="501">
        <v>100.41926181326284</v>
      </c>
      <c r="D11" s="499">
        <v>106.79946557044345</v>
      </c>
      <c r="E11" s="501">
        <v>107.26502318301614</v>
      </c>
      <c r="F11" s="499">
        <v>100.07068960129637</v>
      </c>
      <c r="G11" s="501">
        <v>98.584756517798724</v>
      </c>
      <c r="H11" s="499">
        <v>103.14270646204406</v>
      </c>
      <c r="I11" s="501">
        <v>104.61466069154169</v>
      </c>
    </row>
    <row r="12" spans="1:9" ht="18.75" customHeight="1" thickBot="1">
      <c r="A12" s="438">
        <v>2003</v>
      </c>
      <c r="B12" s="499">
        <v>91.45775676895002</v>
      </c>
      <c r="C12" s="501">
        <v>100.41926181326284</v>
      </c>
      <c r="D12" s="499">
        <v>107.42707824790855</v>
      </c>
      <c r="E12" s="501">
        <v>109.53160933947478</v>
      </c>
      <c r="F12" s="499">
        <v>99.942646202359242</v>
      </c>
      <c r="G12" s="501">
        <v>101.42505436052258</v>
      </c>
      <c r="H12" s="499">
        <v>104.03822755450696</v>
      </c>
      <c r="I12" s="501">
        <v>105.28242519538023</v>
      </c>
    </row>
    <row r="13" spans="1:9" ht="18.75" customHeight="1" thickBot="1">
      <c r="A13" s="438">
        <v>2004</v>
      </c>
      <c r="B13" s="499">
        <v>91.277873491072683</v>
      </c>
      <c r="C13" s="501">
        <v>100.41926181326284</v>
      </c>
      <c r="D13" s="499">
        <v>108.0206930792616</v>
      </c>
      <c r="E13" s="501">
        <v>111.84653649880872</v>
      </c>
      <c r="F13" s="499">
        <v>99.616681761713792</v>
      </c>
      <c r="G13" s="501">
        <v>102.9912008077947</v>
      </c>
      <c r="H13" s="499">
        <v>105.00309051283621</v>
      </c>
      <c r="I13" s="501">
        <v>106.12777463640488</v>
      </c>
    </row>
    <row r="14" spans="1:9" ht="18.75" customHeight="1" thickBot="1">
      <c r="A14" s="438">
        <v>2005</v>
      </c>
      <c r="B14" s="499">
        <v>90.545065570821578</v>
      </c>
      <c r="C14" s="501">
        <v>100.41926181326284</v>
      </c>
      <c r="D14" s="499">
        <v>108.68924828481903</v>
      </c>
      <c r="E14" s="501">
        <v>113.62688750297009</v>
      </c>
      <c r="F14" s="499">
        <v>99.312074290760378</v>
      </c>
      <c r="G14" s="501">
        <v>104.286528158435</v>
      </c>
      <c r="H14" s="499">
        <v>105.64575378514422</v>
      </c>
      <c r="I14" s="501">
        <v>107.37148474241722</v>
      </c>
    </row>
    <row r="15" spans="1:9" ht="18.75" customHeight="1" thickBot="1">
      <c r="A15" s="438">
        <v>2006</v>
      </c>
      <c r="B15" s="499">
        <v>86.696332978376475</v>
      </c>
      <c r="C15" s="501">
        <v>100.71403685540849</v>
      </c>
      <c r="D15" s="499">
        <v>109.14873746718119</v>
      </c>
      <c r="E15" s="501">
        <v>115.28983892872013</v>
      </c>
      <c r="F15" s="499">
        <v>98.680124510149113</v>
      </c>
      <c r="G15" s="501">
        <v>106.00372327689165</v>
      </c>
      <c r="H15" s="499">
        <v>105.66566787033413</v>
      </c>
      <c r="I15" s="501">
        <v>108.50911580449518</v>
      </c>
    </row>
    <row r="16" spans="1:9" ht="18.75" customHeight="1" thickBot="1">
      <c r="A16" s="438">
        <v>2007</v>
      </c>
      <c r="B16" s="499">
        <v>83.233835471503482</v>
      </c>
      <c r="C16" s="501">
        <v>100.42267684759494</v>
      </c>
      <c r="D16" s="499">
        <v>110.00800794644306</v>
      </c>
      <c r="E16" s="501">
        <v>116.63437045741058</v>
      </c>
      <c r="F16" s="499">
        <v>99.187764413075584</v>
      </c>
      <c r="G16" s="501">
        <v>105.50553429064226</v>
      </c>
      <c r="H16" s="499">
        <v>105.43881893306715</v>
      </c>
      <c r="I16" s="501">
        <v>109.30370285388793</v>
      </c>
    </row>
    <row r="17" spans="1:9" s="217" customFormat="1" ht="24" customHeight="1" thickBot="1">
      <c r="A17" s="440">
        <v>2008</v>
      </c>
      <c r="B17" s="559">
        <v>80.876503293860637</v>
      </c>
      <c r="C17" s="560">
        <v>100.27174673364941</v>
      </c>
      <c r="D17" s="559">
        <v>110.60728313222906</v>
      </c>
      <c r="E17" s="560">
        <v>117.20461917762597</v>
      </c>
      <c r="F17" s="559">
        <v>100.09938833310221</v>
      </c>
      <c r="G17" s="560">
        <v>106.37901466085199</v>
      </c>
      <c r="H17" s="559">
        <v>105.25410470313801</v>
      </c>
      <c r="I17" s="560">
        <v>111.95546669777498</v>
      </c>
    </row>
    <row r="18" spans="1:9" ht="20" customHeight="1">
      <c r="A18" s="1197"/>
      <c r="B18" s="1198"/>
      <c r="C18" s="1198"/>
      <c r="D18" s="1198"/>
      <c r="E18" s="1198"/>
      <c r="F18" s="1198"/>
      <c r="G18" s="1198"/>
      <c r="H18" s="1198"/>
      <c r="I18" s="1198"/>
    </row>
    <row r="19" spans="1:9" ht="28.5" customHeight="1">
      <c r="A19" s="1309" t="s">
        <v>1722</v>
      </c>
      <c r="B19" s="1210"/>
      <c r="C19" s="1210"/>
      <c r="D19" s="1210"/>
      <c r="E19" s="1210"/>
      <c r="F19" s="1210"/>
      <c r="G19" s="1210"/>
      <c r="H19" s="1210"/>
      <c r="I19" s="1210"/>
    </row>
    <row r="20" spans="1:9" ht="78.75" customHeight="1">
      <c r="A20" s="1310" t="s">
        <v>821</v>
      </c>
      <c r="B20" s="1311" t="s">
        <v>557</v>
      </c>
      <c r="C20" s="1312" t="s">
        <v>1716</v>
      </c>
      <c r="D20" s="1311" t="s">
        <v>1717</v>
      </c>
      <c r="E20" s="1312" t="s">
        <v>1718</v>
      </c>
      <c r="F20" s="1311" t="s">
        <v>1719</v>
      </c>
      <c r="G20" s="1312" t="s">
        <v>1720</v>
      </c>
      <c r="H20" s="1311" t="s">
        <v>1721</v>
      </c>
      <c r="I20" s="1990" t="s">
        <v>2163</v>
      </c>
    </row>
    <row r="21" spans="1:9" ht="8.25" customHeight="1">
      <c r="A21" s="275"/>
      <c r="B21" s="188"/>
      <c r="C21" s="187"/>
      <c r="D21" s="188"/>
      <c r="E21" s="187"/>
      <c r="F21" s="188"/>
      <c r="G21" s="187"/>
      <c r="H21" s="188"/>
      <c r="I21" s="187"/>
    </row>
    <row r="22" spans="1:9" ht="1.5" customHeight="1" thickBot="1">
      <c r="A22" s="437">
        <v>1997</v>
      </c>
      <c r="B22" s="554">
        <v>-3.9624823122792474E-3</v>
      </c>
      <c r="C22" s="212">
        <v>3.8008221695313704E-3</v>
      </c>
      <c r="D22" s="554">
        <v>5.4808570359472508E-3</v>
      </c>
      <c r="E22" s="212">
        <v>1.4278994029310654E-2</v>
      </c>
      <c r="F22" s="554">
        <v>-7.4094906141286554E-3</v>
      </c>
      <c r="G22" s="212">
        <v>-3.7818021806372837E-3</v>
      </c>
      <c r="H22" s="554">
        <v>7.6095634245316734E-3</v>
      </c>
      <c r="I22" s="212">
        <v>5.2020451848171501E-3</v>
      </c>
    </row>
    <row r="23" spans="1:9" ht="20.25" customHeight="1" thickBot="1">
      <c r="A23" s="438">
        <v>1998</v>
      </c>
      <c r="B23" s="556">
        <v>-2.6871570763742691E-2</v>
      </c>
      <c r="C23" s="214">
        <v>-4.5003375877905594E-4</v>
      </c>
      <c r="D23" s="556">
        <v>7.1836151516193603E-3</v>
      </c>
      <c r="E23" s="214">
        <v>1.5462053711893686E-2</v>
      </c>
      <c r="F23" s="556">
        <v>-8.1249180431084422E-3</v>
      </c>
      <c r="G23" s="214">
        <v>8.2897297982467144E-3</v>
      </c>
      <c r="H23" s="556">
        <v>4.8352632916530691E-3</v>
      </c>
      <c r="I23" s="214">
        <v>1.7937050393657117E-4</v>
      </c>
    </row>
    <row r="24" spans="1:9" ht="20.25" customHeight="1" thickBot="1">
      <c r="A24" s="438">
        <v>1999</v>
      </c>
      <c r="B24" s="556">
        <v>-1.1168895806180856E-2</v>
      </c>
      <c r="C24" s="214">
        <v>-3.0249084964961703E-5</v>
      </c>
      <c r="D24" s="556">
        <v>5.9648017588114222E-3</v>
      </c>
      <c r="E24" s="214">
        <v>1.1136590540768099E-2</v>
      </c>
      <c r="F24" s="556">
        <v>2.2772280197012051E-3</v>
      </c>
      <c r="G24" s="214">
        <v>-2.3398138244890232E-2</v>
      </c>
      <c r="H24" s="556">
        <v>4.2047913692213612E-3</v>
      </c>
      <c r="I24" s="214">
        <v>8.0646978565712679E-3</v>
      </c>
    </row>
    <row r="25" spans="1:9" ht="20.25" customHeight="1" thickBot="1">
      <c r="A25" s="438">
        <v>2000</v>
      </c>
      <c r="B25" s="556">
        <v>4.2788002297347028E-3</v>
      </c>
      <c r="C25" s="214">
        <v>0</v>
      </c>
      <c r="D25" s="556">
        <v>1.6645452871290045E-2</v>
      </c>
      <c r="E25" s="214">
        <v>5.5394940759512235E-3</v>
      </c>
      <c r="F25" s="556">
        <v>-3.1736944416462798E-3</v>
      </c>
      <c r="G25" s="214">
        <v>-1.0436362646149444E-2</v>
      </c>
      <c r="H25" s="556">
        <v>4.7908428835050643E-3</v>
      </c>
      <c r="I25" s="214">
        <v>1.5584911851677541E-2</v>
      </c>
    </row>
    <row r="26" spans="1:9" ht="20.25" customHeight="1" thickBot="1">
      <c r="A26" s="438">
        <v>2001</v>
      </c>
      <c r="B26" s="556">
        <v>-6.618836751683288E-3</v>
      </c>
      <c r="C26" s="214">
        <v>5.9499999999990116E-4</v>
      </c>
      <c r="D26" s="556">
        <v>2.0262987497135176E-2</v>
      </c>
      <c r="E26" s="214">
        <v>7.2860181790750378E-3</v>
      </c>
      <c r="F26" s="556">
        <v>1.3910859635694051E-2</v>
      </c>
      <c r="G26" s="214">
        <v>9.1099852603160336E-3</v>
      </c>
      <c r="H26" s="556">
        <v>5.5339690333648939E-3</v>
      </c>
      <c r="I26" s="214">
        <v>9.8906182903097939E-3</v>
      </c>
    </row>
    <row r="27" spans="1:9" ht="20.25" customHeight="1" thickBot="1">
      <c r="A27" s="438">
        <v>2002</v>
      </c>
      <c r="B27" s="556">
        <v>-3.206218071118272E-2</v>
      </c>
      <c r="C27" s="214">
        <v>2.7583587765289685E-4</v>
      </c>
      <c r="D27" s="556">
        <v>1.0699803228774618E-2</v>
      </c>
      <c r="E27" s="214">
        <v>1.6892947516796264E-2</v>
      </c>
      <c r="F27" s="556">
        <v>3.3966948836419153E-3</v>
      </c>
      <c r="G27" s="214">
        <v>6.3989480855215497E-3</v>
      </c>
      <c r="H27" s="556">
        <v>4.0530747000455669E-3</v>
      </c>
      <c r="I27" s="214">
        <v>6.4270726618462781E-3</v>
      </c>
    </row>
    <row r="28" spans="1:9" ht="20.25" customHeight="1" thickBot="1">
      <c r="A28" s="438">
        <v>2003</v>
      </c>
      <c r="B28" s="556">
        <v>-1.1822652930562727E-2</v>
      </c>
      <c r="C28" s="214">
        <v>0</v>
      </c>
      <c r="D28" s="556">
        <v>5.8765526036377302E-3</v>
      </c>
      <c r="E28" s="214">
        <v>2.1130710544772668E-2</v>
      </c>
      <c r="F28" s="556">
        <v>-1.2795294950727065E-3</v>
      </c>
      <c r="G28" s="214">
        <v>2.8810720268006795E-2</v>
      </c>
      <c r="H28" s="556">
        <v>8.6823501455475238E-3</v>
      </c>
      <c r="I28" s="214">
        <v>6.3830872214694079E-3</v>
      </c>
    </row>
    <row r="29" spans="1:9" ht="20.25" customHeight="1" thickBot="1">
      <c r="A29" s="438">
        <v>2004</v>
      </c>
      <c r="B29" s="556">
        <v>-1.966845505863235E-3</v>
      </c>
      <c r="C29" s="214">
        <v>0</v>
      </c>
      <c r="D29" s="556">
        <v>5.5257467766476331E-3</v>
      </c>
      <c r="E29" s="214">
        <v>2.1134786326011179E-2</v>
      </c>
      <c r="F29" s="556">
        <v>-3.2615150091729328E-3</v>
      </c>
      <c r="G29" s="214">
        <v>1.5441415902082145E-2</v>
      </c>
      <c r="H29" s="556">
        <v>9.2741195328778225E-3</v>
      </c>
      <c r="I29" s="214">
        <v>8.0293500026797915E-3</v>
      </c>
    </row>
    <row r="30" spans="1:9" ht="20.25" customHeight="1" thickBot="1">
      <c r="A30" s="438">
        <v>2005</v>
      </c>
      <c r="B30" s="556">
        <v>-8.0283193749334236E-3</v>
      </c>
      <c r="C30" s="214">
        <v>0</v>
      </c>
      <c r="D30" s="556">
        <v>6.1891401221325637E-3</v>
      </c>
      <c r="E30" s="214">
        <v>1.5917801837165957E-2</v>
      </c>
      <c r="F30" s="556">
        <v>-3.0577957985193915E-3</v>
      </c>
      <c r="G30" s="214">
        <v>1.2577068142527015E-2</v>
      </c>
      <c r="H30" s="556">
        <v>6.1204224482274139E-3</v>
      </c>
      <c r="I30" s="214">
        <v>1.1718987892409105E-2</v>
      </c>
    </row>
    <row r="31" spans="1:9" ht="20.25" customHeight="1" thickBot="1">
      <c r="A31" s="438">
        <v>2006</v>
      </c>
      <c r="B31" s="556">
        <v>-4.2506265451149772E-2</v>
      </c>
      <c r="C31" s="214">
        <v>2.9354432289476762E-3</v>
      </c>
      <c r="D31" s="556">
        <v>4.227549547109577E-3</v>
      </c>
      <c r="E31" s="214">
        <v>1.4635192974959965E-2</v>
      </c>
      <c r="F31" s="556">
        <v>-6.3632723928520596E-3</v>
      </c>
      <c r="G31" s="214">
        <v>1.6466126054631269E-2</v>
      </c>
      <c r="H31" s="556">
        <v>1.8849868050940799E-4</v>
      </c>
      <c r="I31" s="214">
        <v>1.059528109168939E-2</v>
      </c>
    </row>
    <row r="32" spans="1:9" ht="20.25" customHeight="1" thickBot="1">
      <c r="A32" s="438">
        <v>2007</v>
      </c>
      <c r="B32" s="556">
        <v>-3.9938223312589227E-2</v>
      </c>
      <c r="C32" s="214">
        <v>-2.8929433960813711E-3</v>
      </c>
      <c r="D32" s="556">
        <v>7.8724729135801752E-3</v>
      </c>
      <c r="E32" s="214">
        <v>1.1662185854225404E-2</v>
      </c>
      <c r="F32" s="556">
        <v>5.1442973491004906E-3</v>
      </c>
      <c r="G32" s="214">
        <v>-4.6997310174480278E-3</v>
      </c>
      <c r="H32" s="556">
        <v>-2.1468556612480594E-3</v>
      </c>
      <c r="I32" s="214">
        <v>7.3227677094371835E-3</v>
      </c>
    </row>
    <row r="33" spans="1:9" ht="22.5" customHeight="1" thickBot="1">
      <c r="A33" s="1221">
        <v>2008</v>
      </c>
      <c r="B33" s="753">
        <v>-2.8321801636185806E-2</v>
      </c>
      <c r="C33" s="868">
        <v>-1.5029485240131146E-3</v>
      </c>
      <c r="D33" s="753">
        <v>5.4475596547276517E-3</v>
      </c>
      <c r="E33" s="868">
        <v>4.8891996242532709E-3</v>
      </c>
      <c r="F33" s="753">
        <v>9.1908908868043593E-3</v>
      </c>
      <c r="G33" s="868">
        <v>8.279000491135502E-3</v>
      </c>
      <c r="H33" s="753">
        <v>-3.8949563797879838E-3</v>
      </c>
      <c r="I33" s="868">
        <v>2.4260512449718163E-2</v>
      </c>
    </row>
    <row r="34" spans="1:9" ht="20" customHeight="1">
      <c r="A34" s="1197" t="s">
        <v>2434</v>
      </c>
      <c r="B34" s="1210"/>
      <c r="C34" s="1210"/>
      <c r="D34" s="1210"/>
      <c r="E34" s="1210"/>
      <c r="F34" s="1210"/>
      <c r="G34" s="1210"/>
      <c r="H34" s="1210"/>
      <c r="I34" s="1210"/>
    </row>
    <row r="35" spans="1:9" ht="11.25" customHeight="1">
      <c r="A35" s="1209"/>
      <c r="B35" s="1210"/>
      <c r="C35" s="1210"/>
      <c r="D35" s="1210"/>
      <c r="E35" s="1210"/>
      <c r="F35" s="1210"/>
      <c r="G35" s="1210"/>
      <c r="H35" s="1210"/>
      <c r="I35" s="1210"/>
    </row>
    <row r="36" spans="1:9" ht="13.5" customHeight="1">
      <c r="A36" s="1209" t="s">
        <v>1723</v>
      </c>
      <c r="B36" s="1210"/>
      <c r="C36" s="1210"/>
      <c r="D36" s="1210"/>
      <c r="E36" s="1210"/>
      <c r="F36" s="1210"/>
      <c r="G36" s="1210"/>
      <c r="H36" s="1210"/>
      <c r="I36" s="1210"/>
    </row>
    <row r="37" spans="1:9" ht="12.75" customHeight="1">
      <c r="A37" s="1209"/>
      <c r="B37" s="1210"/>
      <c r="C37" s="1210"/>
      <c r="D37" s="1210"/>
      <c r="E37" s="1210"/>
      <c r="F37" s="1210"/>
      <c r="G37" s="1210"/>
      <c r="H37" s="1210"/>
      <c r="I37" s="1210"/>
    </row>
    <row r="38" spans="1:9" ht="13.5" customHeight="1">
      <c r="A38" s="159" t="s">
        <v>1724</v>
      </c>
      <c r="B38" s="1203"/>
      <c r="C38" s="1203"/>
      <c r="D38" s="1203"/>
      <c r="E38" s="1203"/>
      <c r="F38" s="1203"/>
      <c r="G38" s="1203"/>
      <c r="H38" s="1203"/>
      <c r="I38" s="1203"/>
    </row>
    <row r="39" spans="1:9" ht="13.5" customHeight="1">
      <c r="A39" s="1313" t="s">
        <v>1725</v>
      </c>
      <c r="B39" s="1203"/>
      <c r="C39" s="1203"/>
      <c r="D39" s="1203"/>
      <c r="E39" s="1203"/>
      <c r="F39" s="1203"/>
      <c r="G39" s="1203"/>
      <c r="H39" s="1203"/>
      <c r="I39" s="1203"/>
    </row>
    <row r="40" spans="1:9" ht="13.5" customHeight="1">
      <c r="A40" s="1313" t="s">
        <v>1726</v>
      </c>
      <c r="B40" s="1203"/>
      <c r="C40" s="1203"/>
      <c r="D40" s="1203"/>
      <c r="E40" s="1203"/>
      <c r="F40" s="1203"/>
      <c r="G40" s="1203"/>
      <c r="H40" s="1203"/>
      <c r="I40" s="1203"/>
    </row>
    <row r="41" spans="1:9" ht="13.5" customHeight="1">
      <c r="A41" s="2" t="s">
        <v>1727</v>
      </c>
      <c r="B41" s="1203"/>
      <c r="C41" s="1203"/>
      <c r="D41" s="1203"/>
      <c r="E41" s="1203"/>
      <c r="F41" s="1203"/>
      <c r="G41" s="1203"/>
      <c r="H41" s="1203"/>
      <c r="I41" s="1203"/>
    </row>
    <row r="42" spans="1:9" ht="13.5" customHeight="1">
      <c r="A42" s="2" t="s">
        <v>1728</v>
      </c>
      <c r="B42" s="1203"/>
      <c r="C42" s="1203"/>
      <c r="D42" s="1203"/>
      <c r="E42" s="1203"/>
      <c r="F42" s="1203"/>
      <c r="G42" s="1203"/>
      <c r="H42" s="1203"/>
      <c r="I42" s="1203"/>
    </row>
    <row r="43" spans="1:9" ht="13.5" customHeight="1">
      <c r="A43" s="1313" t="s">
        <v>1729</v>
      </c>
      <c r="B43" s="1203"/>
      <c r="C43" s="1203"/>
      <c r="D43" s="1203"/>
      <c r="E43" s="1203"/>
      <c r="F43" s="1203"/>
      <c r="G43" s="1203"/>
      <c r="H43" s="1203"/>
      <c r="I43" s="1203"/>
    </row>
    <row r="44" spans="1:9" ht="13.5" customHeight="1">
      <c r="A44" s="1313" t="s">
        <v>1730</v>
      </c>
      <c r="B44" s="1203"/>
      <c r="C44" s="1203"/>
      <c r="D44" s="1203"/>
      <c r="E44" s="1203"/>
      <c r="F44" s="1203"/>
      <c r="G44" s="1203"/>
      <c r="H44" s="1203"/>
      <c r="I44" s="1203"/>
    </row>
    <row r="45" spans="1:9" ht="13.5" customHeight="1">
      <c r="A45" s="1313" t="s">
        <v>1731</v>
      </c>
      <c r="B45" s="1203"/>
      <c r="C45" s="1203"/>
      <c r="D45" s="1203"/>
      <c r="E45" s="1203"/>
      <c r="F45" s="1203"/>
      <c r="G45" s="1203"/>
      <c r="H45" s="1203"/>
      <c r="I45" s="1203"/>
    </row>
    <row r="46" spans="1:9" ht="13.5" customHeight="1">
      <c r="A46" s="1313" t="s">
        <v>1732</v>
      </c>
      <c r="B46" s="1203"/>
      <c r="C46" s="1203"/>
      <c r="D46" s="1203"/>
      <c r="E46" s="1203"/>
      <c r="F46" s="1203"/>
      <c r="G46" s="1203"/>
      <c r="H46" s="1203"/>
      <c r="I46" s="1203"/>
    </row>
    <row r="47" spans="1:9" ht="13.5" customHeight="1">
      <c r="A47" s="2" t="s">
        <v>1733</v>
      </c>
      <c r="B47" s="1203"/>
      <c r="C47" s="1203"/>
      <c r="D47" s="1203"/>
      <c r="E47" s="1203"/>
      <c r="F47" s="1203"/>
      <c r="G47" s="1203"/>
      <c r="H47" s="1203"/>
      <c r="I47" s="1203"/>
    </row>
    <row r="48" spans="1:9" ht="13.5" customHeight="1">
      <c r="A48" s="2" t="s">
        <v>1734</v>
      </c>
      <c r="B48" s="1203"/>
      <c r="C48" s="1203"/>
      <c r="D48" s="1203"/>
      <c r="E48" s="1203"/>
      <c r="F48" s="1203"/>
      <c r="G48" s="1203"/>
      <c r="H48" s="1203"/>
      <c r="I48" s="1203"/>
    </row>
    <row r="49" spans="1:11" ht="13.5" customHeight="1">
      <c r="A49" s="1313" t="s">
        <v>1735</v>
      </c>
      <c r="B49" s="1203"/>
      <c r="C49" s="1203"/>
      <c r="D49" s="1203"/>
      <c r="E49" s="1203"/>
      <c r="F49" s="1203"/>
      <c r="G49" s="1203"/>
      <c r="H49" s="1203"/>
      <c r="I49" s="1203"/>
    </row>
    <row r="51" spans="1:11">
      <c r="A51" s="1209" t="s">
        <v>172</v>
      </c>
    </row>
    <row r="54" spans="1:11" ht="16">
      <c r="A54" s="266" t="s">
        <v>711</v>
      </c>
      <c r="K54" s="226"/>
    </row>
  </sheetData>
  <phoneticPr fontId="0" type="noConversion"/>
  <pageMargins left="0.5" right="0.44" top="0.76" bottom="0.49" header="0.38" footer="0.4921259845"/>
  <pageSetup paperSize="9" scale="78" orientation="portrait"/>
  <headerFooter alignWithMargins="0"/>
  <rowBreaks count="1" manualBreakCount="1">
    <brk id="51" max="16383" man="1"/>
  </row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4B3F-497E-5745-9773-D952CB4C2E98}">
  <sheetPr>
    <pageSetUpPr fitToPage="1"/>
  </sheetPr>
  <dimension ref="A1:K67"/>
  <sheetViews>
    <sheetView topLeftCell="A35" zoomScale="75" workbookViewId="0">
      <selection activeCell="G52" sqref="G52"/>
    </sheetView>
  </sheetViews>
  <sheetFormatPr baseColWidth="10" defaultColWidth="11.3984375" defaultRowHeight="13"/>
  <cols>
    <col min="1" max="1" width="11.3984375" style="2"/>
    <col min="2" max="7" width="13.59765625" style="225" customWidth="1"/>
    <col min="8" max="9" width="13.59765625" style="2" customWidth="1"/>
    <col min="10" max="10" width="2.796875" style="2" customWidth="1"/>
    <col min="11" max="11" width="12.796875" style="2" customWidth="1"/>
    <col min="12" max="16384" width="11.3984375" style="2"/>
  </cols>
  <sheetData>
    <row r="1" spans="1:11" s="1" customFormat="1" ht="14" customHeight="1">
      <c r="A1" s="360"/>
      <c r="B1" s="1193"/>
      <c r="C1" s="1193"/>
      <c r="D1" s="1193"/>
      <c r="E1" s="1193"/>
      <c r="F1" s="1193"/>
      <c r="G1" s="1193"/>
    </row>
    <row r="2" spans="1:11" s="1" customFormat="1" ht="41.25" customHeight="1">
      <c r="A2" s="2038" t="s">
        <v>2435</v>
      </c>
      <c r="B2" s="2021"/>
      <c r="C2" s="2021"/>
      <c r="D2" s="2021"/>
      <c r="E2" s="2021"/>
      <c r="F2" s="2021"/>
      <c r="G2" s="2021"/>
      <c r="H2" s="2021"/>
      <c r="I2" s="589"/>
      <c r="J2" s="1257"/>
      <c r="K2" s="53"/>
    </row>
    <row r="3" spans="1:11" ht="27" customHeight="1">
      <c r="A3" s="178" t="s">
        <v>821</v>
      </c>
      <c r="B3" s="1211" t="s">
        <v>2448</v>
      </c>
      <c r="C3" s="180"/>
      <c r="D3" s="179"/>
      <c r="E3" s="1112"/>
      <c r="F3" s="1258" t="s">
        <v>2449</v>
      </c>
      <c r="G3" s="180"/>
      <c r="H3" s="872"/>
      <c r="I3" s="15"/>
      <c r="J3" s="266"/>
    </row>
    <row r="4" spans="1:11" ht="20.25" customHeight="1">
      <c r="A4" s="274"/>
      <c r="B4" s="436" t="s">
        <v>979</v>
      </c>
      <c r="C4" s="183" t="s">
        <v>2371</v>
      </c>
      <c r="D4" s="182" t="s">
        <v>2370</v>
      </c>
      <c r="E4" s="183" t="s">
        <v>2436</v>
      </c>
      <c r="F4" s="1259" t="s">
        <v>164</v>
      </c>
      <c r="G4" s="758" t="s">
        <v>556</v>
      </c>
      <c r="H4" s="757" t="s">
        <v>556</v>
      </c>
      <c r="I4" s="758" t="s">
        <v>556</v>
      </c>
      <c r="J4" s="1260"/>
    </row>
    <row r="5" spans="1:11" ht="15" customHeight="1">
      <c r="A5" s="274"/>
      <c r="B5" s="436"/>
      <c r="C5" s="183"/>
      <c r="D5" s="182" t="s">
        <v>870</v>
      </c>
      <c r="E5" s="183"/>
      <c r="F5" s="1261"/>
      <c r="G5" s="758" t="s">
        <v>2437</v>
      </c>
      <c r="H5" s="757" t="s">
        <v>2438</v>
      </c>
      <c r="I5" s="758" t="s">
        <v>2439</v>
      </c>
      <c r="J5" s="1260"/>
    </row>
    <row r="6" spans="1:11" s="432" customFormat="1" ht="26.25" customHeight="1">
      <c r="A6" s="599"/>
      <c r="B6" s="436"/>
      <c r="C6" s="920"/>
      <c r="D6" s="436" t="s">
        <v>2375</v>
      </c>
      <c r="E6" s="920"/>
      <c r="F6" s="1262"/>
      <c r="G6" s="920" t="s">
        <v>2440</v>
      </c>
      <c r="H6" s="188"/>
      <c r="I6" s="187"/>
      <c r="J6" s="553"/>
    </row>
    <row r="7" spans="1:11" ht="3" customHeight="1" thickBot="1">
      <c r="A7" s="1220">
        <v>1996</v>
      </c>
      <c r="B7" s="1240">
        <v>85.845027995215389</v>
      </c>
      <c r="C7" s="1164" t="s">
        <v>1060</v>
      </c>
      <c r="D7" s="1240" t="s">
        <v>1060</v>
      </c>
      <c r="E7" s="1164" t="s">
        <v>1060</v>
      </c>
      <c r="F7" s="1263" t="s">
        <v>1060</v>
      </c>
      <c r="G7" s="1164" t="s">
        <v>1060</v>
      </c>
      <c r="H7" s="497" t="s">
        <v>1060</v>
      </c>
      <c r="I7" s="277" t="s">
        <v>1060</v>
      </c>
      <c r="J7" s="1200"/>
    </row>
    <row r="8" spans="1:11" ht="0.75" customHeight="1" thickBot="1">
      <c r="A8" s="438">
        <v>1997</v>
      </c>
      <c r="B8" s="1240">
        <v>92.815135115864891</v>
      </c>
      <c r="C8" s="501">
        <v>92.444560110674317</v>
      </c>
      <c r="D8" s="499">
        <v>92.272278855639584</v>
      </c>
      <c r="E8" s="501">
        <v>94.708135081815001</v>
      </c>
      <c r="F8" s="1263" t="s">
        <v>1060</v>
      </c>
      <c r="G8" s="1164" t="s">
        <v>1060</v>
      </c>
      <c r="H8" s="497" t="s">
        <v>1060</v>
      </c>
      <c r="I8" s="277" t="s">
        <v>1060</v>
      </c>
      <c r="J8" s="1200"/>
    </row>
    <row r="9" spans="1:11" ht="18" customHeight="1" thickBot="1">
      <c r="A9" s="1264">
        <v>1998</v>
      </c>
      <c r="B9" s="1240">
        <v>97.82364594098182</v>
      </c>
      <c r="C9" s="1265">
        <v>97.816191141488716</v>
      </c>
      <c r="D9" s="1266">
        <v>98.901550603293458</v>
      </c>
      <c r="E9" s="1265">
        <v>97.609376813276072</v>
      </c>
      <c r="F9" s="1263" t="s">
        <v>1060</v>
      </c>
      <c r="G9" s="1164" t="s">
        <v>1060</v>
      </c>
      <c r="H9" s="497" t="s">
        <v>1060</v>
      </c>
      <c r="I9" s="277" t="s">
        <v>1060</v>
      </c>
      <c r="J9" s="1200"/>
    </row>
    <row r="10" spans="1:11" ht="18" customHeight="1" thickBot="1">
      <c r="A10" s="438">
        <v>1999</v>
      </c>
      <c r="B10" s="1240">
        <v>100</v>
      </c>
      <c r="C10" s="501">
        <v>100</v>
      </c>
      <c r="D10" s="499">
        <v>100</v>
      </c>
      <c r="E10" s="501">
        <v>100</v>
      </c>
      <c r="F10" s="1267">
        <v>100</v>
      </c>
      <c r="G10" s="501">
        <v>100</v>
      </c>
      <c r="H10" s="499">
        <v>100</v>
      </c>
      <c r="I10" s="501">
        <v>100</v>
      </c>
      <c r="J10" s="1200"/>
    </row>
    <row r="11" spans="1:11" ht="18" customHeight="1" thickBot="1">
      <c r="A11" s="437">
        <v>2000</v>
      </c>
      <c r="B11" s="497">
        <v>103.20562026598945</v>
      </c>
      <c r="C11" s="277">
        <v>103.03441222531174</v>
      </c>
      <c r="D11" s="497">
        <v>99.091265525004431</v>
      </c>
      <c r="E11" s="277">
        <v>103.07365838293074</v>
      </c>
      <c r="F11" s="1268">
        <v>106.4</v>
      </c>
      <c r="G11" s="277">
        <v>104.3</v>
      </c>
      <c r="H11" s="497">
        <v>107.5</v>
      </c>
      <c r="I11" s="277">
        <v>106.7</v>
      </c>
      <c r="J11" s="1200"/>
    </row>
    <row r="12" spans="1:11" ht="18" customHeight="1" thickBot="1">
      <c r="A12" s="438">
        <v>2001</v>
      </c>
      <c r="B12" s="499">
        <v>106.94335020000455</v>
      </c>
      <c r="C12" s="501">
        <v>107.41253121846763</v>
      </c>
      <c r="D12" s="499">
        <v>99.966483697164392</v>
      </c>
      <c r="E12" s="501">
        <v>108.20305376415389</v>
      </c>
      <c r="F12" s="1267">
        <v>111.1</v>
      </c>
      <c r="G12" s="501">
        <v>107.5</v>
      </c>
      <c r="H12" s="499">
        <v>112.5</v>
      </c>
      <c r="I12" s="501">
        <v>112.5</v>
      </c>
      <c r="J12" s="1200"/>
    </row>
    <row r="13" spans="1:11" ht="18" customHeight="1" thickBot="1">
      <c r="A13" s="1264">
        <v>2002</v>
      </c>
      <c r="B13" s="1266">
        <v>116.62017344016445</v>
      </c>
      <c r="C13" s="1265">
        <v>116.60890964793332</v>
      </c>
      <c r="D13" s="1266">
        <v>112.72607694837224</v>
      </c>
      <c r="E13" s="1265">
        <v>118.09048558497321</v>
      </c>
      <c r="F13" s="1269">
        <v>115.4</v>
      </c>
      <c r="G13" s="1265">
        <v>107.9</v>
      </c>
      <c r="H13" s="1266">
        <v>117.5</v>
      </c>
      <c r="I13" s="1265">
        <v>119.3</v>
      </c>
      <c r="J13" s="1200"/>
    </row>
    <row r="14" spans="1:11" ht="18" customHeight="1" thickBot="1">
      <c r="A14" s="1264">
        <v>2003</v>
      </c>
      <c r="B14" s="1266">
        <v>127.26432081149086</v>
      </c>
      <c r="C14" s="1265">
        <v>126.36094255801954</v>
      </c>
      <c r="D14" s="1266">
        <v>128.18468115245491</v>
      </c>
      <c r="E14" s="1265">
        <v>128.50511447470944</v>
      </c>
      <c r="F14" s="1269">
        <v>116.38</v>
      </c>
      <c r="G14" s="1265">
        <v>110</v>
      </c>
      <c r="H14" s="1266">
        <v>117.9</v>
      </c>
      <c r="I14" s="1265">
        <v>120.1</v>
      </c>
      <c r="J14" s="1200"/>
    </row>
    <row r="15" spans="1:11" ht="15.75" customHeight="1" thickBot="1">
      <c r="A15" s="1264">
        <v>2004</v>
      </c>
      <c r="B15" s="1266">
        <v>136.21209815526825</v>
      </c>
      <c r="C15" s="1265">
        <v>134.46062249738608</v>
      </c>
      <c r="D15" s="1266">
        <v>140.98790883565627</v>
      </c>
      <c r="E15" s="1265">
        <v>134.59274855352376</v>
      </c>
      <c r="F15" s="1269">
        <v>117.9</v>
      </c>
      <c r="G15" s="1265">
        <v>113.3</v>
      </c>
      <c r="H15" s="1266">
        <v>118.6</v>
      </c>
      <c r="I15" s="1265">
        <v>121.2</v>
      </c>
      <c r="J15" s="1200"/>
    </row>
    <row r="16" spans="1:11" s="217" customFormat="1" ht="19.5" customHeight="1" thickBot="1">
      <c r="A16" s="1264">
        <v>2005</v>
      </c>
      <c r="B16" s="1266">
        <v>138.755283887497</v>
      </c>
      <c r="C16" s="1265">
        <v>137.01928125613529</v>
      </c>
      <c r="D16" s="1266">
        <v>145.19388864998862</v>
      </c>
      <c r="E16" s="1265">
        <v>134.35401780533496</v>
      </c>
      <c r="F16" s="1269">
        <v>118.91</v>
      </c>
      <c r="G16" s="1265">
        <v>114.2</v>
      </c>
      <c r="H16" s="1266">
        <v>119.4</v>
      </c>
      <c r="I16" s="1265">
        <v>122.7</v>
      </c>
      <c r="J16" s="1200"/>
    </row>
    <row r="17" spans="1:11" ht="19.5" customHeight="1" thickBot="1">
      <c r="A17" s="1264">
        <v>2006</v>
      </c>
      <c r="B17" s="1266">
        <v>144.06903358290245</v>
      </c>
      <c r="C17" s="1265">
        <v>142.457115984312</v>
      </c>
      <c r="D17" s="1266">
        <v>151.60878253610909</v>
      </c>
      <c r="E17" s="1265">
        <v>137.84213929276015</v>
      </c>
      <c r="F17" s="1269">
        <v>122.4</v>
      </c>
      <c r="G17" s="1265">
        <v>113.4</v>
      </c>
      <c r="H17" s="1266">
        <v>123.8</v>
      </c>
      <c r="I17" s="1265">
        <v>128.5</v>
      </c>
      <c r="J17" s="1200"/>
    </row>
    <row r="18" spans="1:11" ht="19.5" customHeight="1" thickBot="1">
      <c r="A18" s="1264">
        <v>2007</v>
      </c>
      <c r="B18" s="1266">
        <v>145.70957931673081</v>
      </c>
      <c r="C18" s="1265">
        <v>143.74603348537357</v>
      </c>
      <c r="D18" s="1266">
        <v>152.46313206688083</v>
      </c>
      <c r="E18" s="1265">
        <v>137.76256237669722</v>
      </c>
      <c r="F18" s="1269">
        <v>123</v>
      </c>
      <c r="G18" s="1265">
        <v>113.3</v>
      </c>
      <c r="H18" s="1266">
        <v>124.8</v>
      </c>
      <c r="I18" s="1265">
        <v>128.80000000000001</v>
      </c>
      <c r="J18" s="1200"/>
    </row>
    <row r="19" spans="1:11" s="217" customFormat="1" ht="19.5" customHeight="1" thickBot="1">
      <c r="A19" s="1270">
        <v>2008</v>
      </c>
      <c r="B19" s="1271">
        <v>144.2402840216258</v>
      </c>
      <c r="C19" s="1272">
        <v>142.13751192807996</v>
      </c>
      <c r="D19" s="1271">
        <v>151.18824779298308</v>
      </c>
      <c r="E19" s="1272">
        <v>133.56819575921349</v>
      </c>
      <c r="F19" s="1273">
        <v>124.4</v>
      </c>
      <c r="G19" s="1272">
        <v>114.4</v>
      </c>
      <c r="H19" s="1271">
        <v>125.1</v>
      </c>
      <c r="I19" s="1272">
        <v>132</v>
      </c>
      <c r="J19" s="1274"/>
    </row>
    <row r="20" spans="1:11" s="354" customFormat="1" ht="21.75" customHeight="1" thickBot="1">
      <c r="A20" s="1275">
        <v>2009</v>
      </c>
      <c r="B20" s="1276" t="s">
        <v>1060</v>
      </c>
      <c r="C20" s="1277" t="s">
        <v>1060</v>
      </c>
      <c r="D20" s="1278" t="s">
        <v>1060</v>
      </c>
      <c r="E20" s="1277" t="s">
        <v>1060</v>
      </c>
      <c r="F20" s="1279">
        <v>126.6</v>
      </c>
      <c r="G20" s="1277">
        <v>114.3</v>
      </c>
      <c r="H20" s="1278">
        <v>127.8</v>
      </c>
      <c r="I20" s="1277">
        <v>135.6</v>
      </c>
      <c r="J20" s="1280"/>
    </row>
    <row r="21" spans="1:11" ht="18" customHeight="1">
      <c r="A21" s="1222"/>
      <c r="B21" s="1200"/>
      <c r="C21" s="555"/>
      <c r="D21" s="1200"/>
      <c r="E21" s="555"/>
      <c r="F21" s="1200"/>
      <c r="G21" s="555"/>
      <c r="H21" s="1200"/>
      <c r="I21" s="555"/>
      <c r="J21" s="265"/>
    </row>
    <row r="22" spans="1:11" ht="18" customHeight="1">
      <c r="A22" s="1222"/>
      <c r="B22" s="1200"/>
      <c r="C22" s="555"/>
      <c r="D22" s="1200"/>
      <c r="E22" s="555"/>
      <c r="F22" s="1200"/>
      <c r="G22" s="555"/>
      <c r="H22" s="1200"/>
      <c r="I22" s="555"/>
      <c r="J22" s="265"/>
    </row>
    <row r="23" spans="1:11" ht="18" customHeight="1">
      <c r="A23" s="1281" t="s">
        <v>2441</v>
      </c>
      <c r="B23" s="1200"/>
      <c r="C23" s="555"/>
      <c r="D23" s="1200"/>
      <c r="E23" s="555"/>
      <c r="F23" s="1200"/>
      <c r="G23" s="555"/>
      <c r="H23" s="1200"/>
      <c r="I23" s="555"/>
      <c r="J23" s="265"/>
    </row>
    <row r="24" spans="1:11" ht="12.75" customHeight="1">
      <c r="A24" s="1282"/>
      <c r="B24" s="1283"/>
      <c r="C24" s="1284"/>
      <c r="D24" s="1283"/>
      <c r="E24" s="1284"/>
      <c r="F24" s="1283"/>
      <c r="G24" s="1284"/>
      <c r="H24" s="1283"/>
      <c r="I24" s="1284"/>
      <c r="J24" s="265"/>
      <c r="K24" s="297"/>
    </row>
    <row r="25" spans="1:11" ht="27" customHeight="1">
      <c r="A25" s="178" t="s">
        <v>821</v>
      </c>
      <c r="B25" s="1211" t="s">
        <v>2448</v>
      </c>
      <c r="C25" s="180"/>
      <c r="D25" s="179"/>
      <c r="E25" s="1112"/>
      <c r="F25" s="1258" t="s">
        <v>2449</v>
      </c>
      <c r="G25" s="180"/>
      <c r="H25" s="872"/>
      <c r="I25" s="15"/>
      <c r="J25" s="265"/>
      <c r="K25" s="1285" t="s">
        <v>2442</v>
      </c>
    </row>
    <row r="26" spans="1:11" ht="20.25" customHeight="1">
      <c r="A26" s="274"/>
      <c r="B26" s="436" t="s">
        <v>979</v>
      </c>
      <c r="C26" s="183" t="s">
        <v>2371</v>
      </c>
      <c r="D26" s="182" t="s">
        <v>2370</v>
      </c>
      <c r="E26" s="183" t="s">
        <v>2436</v>
      </c>
      <c r="F26" s="1259" t="s">
        <v>164</v>
      </c>
      <c r="G26" s="758" t="s">
        <v>556</v>
      </c>
      <c r="H26" s="757" t="s">
        <v>556</v>
      </c>
      <c r="I26" s="758" t="s">
        <v>556</v>
      </c>
      <c r="J26" s="265"/>
      <c r="K26" s="1286" t="s">
        <v>2443</v>
      </c>
    </row>
    <row r="27" spans="1:11" ht="15" customHeight="1">
      <c r="A27" s="274"/>
      <c r="B27" s="436"/>
      <c r="C27" s="183"/>
      <c r="D27" s="182" t="s">
        <v>870</v>
      </c>
      <c r="E27" s="183"/>
      <c r="F27" s="1261"/>
      <c r="G27" s="758" t="s">
        <v>2437</v>
      </c>
      <c r="H27" s="757" t="s">
        <v>2438</v>
      </c>
      <c r="I27" s="758" t="s">
        <v>2439</v>
      </c>
      <c r="J27" s="265"/>
      <c r="K27" s="1286" t="s">
        <v>2444</v>
      </c>
    </row>
    <row r="28" spans="1:11" s="432" customFormat="1" ht="26.25" customHeight="1">
      <c r="A28" s="275"/>
      <c r="B28" s="188"/>
      <c r="C28" s="187"/>
      <c r="D28" s="188" t="s">
        <v>2375</v>
      </c>
      <c r="E28" s="187"/>
      <c r="F28" s="1287"/>
      <c r="G28" s="187" t="s">
        <v>2440</v>
      </c>
      <c r="H28" s="188"/>
      <c r="I28" s="187"/>
      <c r="J28" s="265"/>
      <c r="K28" s="1288" t="s">
        <v>2450</v>
      </c>
    </row>
    <row r="29" spans="1:11" ht="2.25" customHeight="1" thickBot="1">
      <c r="A29" s="437">
        <v>1997</v>
      </c>
      <c r="B29" s="554">
        <v>8.1194068933590158E-2</v>
      </c>
      <c r="C29" s="212" t="s">
        <v>1060</v>
      </c>
      <c r="D29" s="554" t="s">
        <v>1060</v>
      </c>
      <c r="E29" s="212" t="s">
        <v>1060</v>
      </c>
      <c r="F29" s="1289" t="s">
        <v>1060</v>
      </c>
      <c r="G29" s="212" t="s">
        <v>1060</v>
      </c>
      <c r="H29" s="554" t="s">
        <v>1060</v>
      </c>
      <c r="I29" s="212" t="s">
        <v>1060</v>
      </c>
      <c r="J29" s="265"/>
      <c r="K29" s="497" t="s">
        <v>1060</v>
      </c>
    </row>
    <row r="30" spans="1:11" ht="18" customHeight="1" thickBot="1">
      <c r="A30" s="438">
        <v>1998</v>
      </c>
      <c r="B30" s="554">
        <v>5.3962220912188608E-2</v>
      </c>
      <c r="C30" s="214">
        <v>5.8106512967161184E-2</v>
      </c>
      <c r="D30" s="556">
        <v>7.1844673501836986E-2</v>
      </c>
      <c r="E30" s="214">
        <v>3.0633500796471091E-2</v>
      </c>
      <c r="F30" s="1289" t="s">
        <v>1060</v>
      </c>
      <c r="G30" s="212" t="s">
        <v>1060</v>
      </c>
      <c r="H30" s="554" t="s">
        <v>1060</v>
      </c>
      <c r="I30" s="212" t="s">
        <v>1060</v>
      </c>
      <c r="J30" s="265"/>
      <c r="K30" s="497" t="s">
        <v>1060</v>
      </c>
    </row>
    <row r="31" spans="1:11" ht="18" customHeight="1" thickBot="1">
      <c r="A31" s="437">
        <v>1999</v>
      </c>
      <c r="B31" s="554">
        <v>2.2247729964299134E-2</v>
      </c>
      <c r="C31" s="214">
        <v>2.2325637842026236E-2</v>
      </c>
      <c r="D31" s="556">
        <v>1.1106493174334098E-2</v>
      </c>
      <c r="E31" s="214">
        <v>2.4491737011057113E-2</v>
      </c>
      <c r="F31" s="1289" t="s">
        <v>1060</v>
      </c>
      <c r="G31" s="212" t="s">
        <v>1060</v>
      </c>
      <c r="H31" s="554" t="s">
        <v>1060</v>
      </c>
      <c r="I31" s="212" t="s">
        <v>1060</v>
      </c>
      <c r="J31" s="265"/>
      <c r="K31" s="499" t="s">
        <v>1060</v>
      </c>
    </row>
    <row r="32" spans="1:11" ht="18" customHeight="1" thickBot="1">
      <c r="A32" s="438">
        <v>2000</v>
      </c>
      <c r="B32" s="554">
        <v>3.2056202659894506E-2</v>
      </c>
      <c r="C32" s="214">
        <v>3.0344122253117334E-2</v>
      </c>
      <c r="D32" s="556">
        <v>-9.0873447499556503E-3</v>
      </c>
      <c r="E32" s="214">
        <v>3.073658382930744E-2</v>
      </c>
      <c r="F32" s="1290">
        <v>6.4000000000000001E-2</v>
      </c>
      <c r="G32" s="214">
        <v>4.2999999999999997E-2</v>
      </c>
      <c r="H32" s="556">
        <v>7.4999999999999997E-2</v>
      </c>
      <c r="I32" s="214">
        <v>6.7000000000000004E-2</v>
      </c>
      <c r="J32" s="265"/>
      <c r="K32" s="554">
        <v>-3.0000000000000001E-3</v>
      </c>
    </row>
    <row r="33" spans="1:11" ht="18" customHeight="1" thickBot="1">
      <c r="A33" s="437">
        <v>2001</v>
      </c>
      <c r="B33" s="554">
        <v>3.6216340974279504E-2</v>
      </c>
      <c r="C33" s="214">
        <v>4.2491813158326064E-2</v>
      </c>
      <c r="D33" s="556">
        <v>8.8324451960815065E-3</v>
      </c>
      <c r="E33" s="214">
        <v>4.9764367169028212E-2</v>
      </c>
      <c r="F33" s="1290">
        <v>4.4000000000000004E-2</v>
      </c>
      <c r="G33" s="214">
        <v>0.03</v>
      </c>
      <c r="H33" s="556">
        <v>4.7E-2</v>
      </c>
      <c r="I33" s="214">
        <v>5.5E-2</v>
      </c>
      <c r="J33" s="265"/>
      <c r="K33" s="556">
        <v>-4.0000000000000001E-3</v>
      </c>
    </row>
    <row r="34" spans="1:11" ht="18" customHeight="1" thickBot="1">
      <c r="A34" s="438">
        <v>2002</v>
      </c>
      <c r="B34" s="554">
        <v>9.0485506785250358E-2</v>
      </c>
      <c r="C34" s="214">
        <v>8.5617370013942429E-2</v>
      </c>
      <c r="D34" s="556">
        <v>0.12763871228942492</v>
      </c>
      <c r="E34" s="214">
        <v>9.1378491427520858E-2</v>
      </c>
      <c r="F34" s="1290">
        <v>3.9E-2</v>
      </c>
      <c r="G34" s="214">
        <v>4.0000000000000001E-3</v>
      </c>
      <c r="H34" s="556">
        <v>4.4000000000000004E-2</v>
      </c>
      <c r="I34" s="214">
        <v>0.06</v>
      </c>
      <c r="J34" s="265"/>
      <c r="K34" s="1291">
        <v>-5.0000000000000001E-3</v>
      </c>
    </row>
    <row r="35" spans="1:11" ht="18" customHeight="1" thickBot="1">
      <c r="A35" s="438">
        <v>2003</v>
      </c>
      <c r="B35" s="554">
        <v>9.1271921978299142E-2</v>
      </c>
      <c r="C35" s="214">
        <v>8.3630255522752606E-2</v>
      </c>
      <c r="D35" s="556">
        <v>0.13713423391078017</v>
      </c>
      <c r="E35" s="214">
        <v>8.8191938903005695E-2</v>
      </c>
      <c r="F35" s="1290">
        <v>8.492201039861369E-3</v>
      </c>
      <c r="G35" s="214">
        <v>1.9462465245597693E-2</v>
      </c>
      <c r="H35" s="556">
        <v>3.4042553191488967E-3</v>
      </c>
      <c r="I35" s="214">
        <v>6.7057837384743024E-3</v>
      </c>
      <c r="J35" s="265"/>
      <c r="K35" s="1291">
        <v>-5.0000000000000001E-3</v>
      </c>
    </row>
    <row r="36" spans="1:11" ht="18" customHeight="1" thickBot="1">
      <c r="A36" s="1264">
        <v>2004</v>
      </c>
      <c r="B36" s="554">
        <v>7.0308608781491921E-2</v>
      </c>
      <c r="C36" s="214">
        <v>6.4099553037502144E-2</v>
      </c>
      <c r="D36" s="556">
        <v>9.9881105667954051E-2</v>
      </c>
      <c r="E36" s="214">
        <v>4.7372698773109123E-2</v>
      </c>
      <c r="F36" s="1290">
        <v>1.3060663344217405E-2</v>
      </c>
      <c r="G36" s="214">
        <v>0.03</v>
      </c>
      <c r="H36" s="556">
        <v>5.9372349448685302E-3</v>
      </c>
      <c r="I36" s="214">
        <v>9.1590341382181695E-3</v>
      </c>
      <c r="J36" s="1292"/>
      <c r="K36" s="1291">
        <v>-4.0000000000000001E-3</v>
      </c>
    </row>
    <row r="37" spans="1:11" ht="18" customHeight="1" thickBot="1">
      <c r="A37" s="1264">
        <v>2005</v>
      </c>
      <c r="B37" s="554">
        <v>1.8670777167897112E-2</v>
      </c>
      <c r="C37" s="214">
        <v>1.9029056323154769E-2</v>
      </c>
      <c r="D37" s="556">
        <v>2.9832202272288999E-2</v>
      </c>
      <c r="E37" s="214">
        <v>-1.773726673646614E-3</v>
      </c>
      <c r="F37" s="1290">
        <v>8.5665818490245904E-3</v>
      </c>
      <c r="G37" s="214">
        <v>7.9435127978817466E-3</v>
      </c>
      <c r="H37" s="556">
        <v>6.7453625632378778E-3</v>
      </c>
      <c r="I37" s="214">
        <v>1.2376237623762387E-2</v>
      </c>
      <c r="J37" s="265"/>
      <c r="K37" s="1291">
        <v>-2E-3</v>
      </c>
    </row>
    <row r="38" spans="1:11" ht="18" customHeight="1" thickBot="1">
      <c r="A38" s="1264">
        <v>2006</v>
      </c>
      <c r="B38" s="554">
        <v>3.8295836717208154E-2</v>
      </c>
      <c r="C38" s="214">
        <v>3.9686638831593068E-2</v>
      </c>
      <c r="D38" s="556">
        <v>4.4181569525866937E-2</v>
      </c>
      <c r="E38" s="214">
        <v>2.5962167298034355E-2</v>
      </c>
      <c r="F38" s="1290">
        <v>2.9349928517366175E-2</v>
      </c>
      <c r="G38" s="214">
        <v>-7.0052539404553693E-3</v>
      </c>
      <c r="H38" s="556">
        <v>3.6850921273031689E-2</v>
      </c>
      <c r="I38" s="214">
        <v>4.7269763651181629E-2</v>
      </c>
      <c r="J38" s="1292"/>
      <c r="K38" s="1291">
        <v>-3.0000000000000001E-3</v>
      </c>
    </row>
    <row r="39" spans="1:11" ht="21" customHeight="1" thickBot="1">
      <c r="A39" s="1264">
        <v>2007</v>
      </c>
      <c r="B39" s="554">
        <v>1.1387219675381033E-2</v>
      </c>
      <c r="C39" s="214">
        <v>9.0477579316117218E-3</v>
      </c>
      <c r="D39" s="556">
        <v>5.6352245330395512E-3</v>
      </c>
      <c r="E39" s="214">
        <v>-5.7730470864159056E-4</v>
      </c>
      <c r="F39" s="1290">
        <v>4.9019607843137081E-3</v>
      </c>
      <c r="G39" s="214">
        <v>-8.8183421516763172E-4</v>
      </c>
      <c r="H39" s="556">
        <v>8.0775444264944429E-3</v>
      </c>
      <c r="I39" s="214">
        <v>2.3346303501945442E-3</v>
      </c>
      <c r="J39" s="1292"/>
      <c r="K39" s="1291">
        <v>0</v>
      </c>
    </row>
    <row r="40" spans="1:11" s="217" customFormat="1" ht="21" customHeight="1" thickBot="1">
      <c r="A40" s="1270">
        <v>2008</v>
      </c>
      <c r="B40" s="888">
        <v>-1.0083724776331904E-2</v>
      </c>
      <c r="C40" s="281">
        <v>-1.1190023949128935E-2</v>
      </c>
      <c r="D40" s="886">
        <v>-8.3619184298174831E-3</v>
      </c>
      <c r="E40" s="281">
        <v>-3.0446345836793287E-2</v>
      </c>
      <c r="F40" s="1293">
        <v>1.1382113821138296E-2</v>
      </c>
      <c r="G40" s="281">
        <v>9.7087378640776656E-3</v>
      </c>
      <c r="H40" s="886">
        <v>2.4038461538460343E-3</v>
      </c>
      <c r="I40" s="281">
        <v>2.4844720496894235E-2</v>
      </c>
      <c r="J40" s="1294"/>
      <c r="K40" s="1295">
        <v>0</v>
      </c>
    </row>
    <row r="41" spans="1:11" s="354" customFormat="1" ht="21" customHeight="1" thickBot="1">
      <c r="A41" s="1275" t="s">
        <v>2451</v>
      </c>
      <c r="B41" s="1296">
        <v>1.2576552297519417E-2</v>
      </c>
      <c r="C41" s="1091" t="s">
        <v>1060</v>
      </c>
      <c r="D41" s="750" t="s">
        <v>1060</v>
      </c>
      <c r="E41" s="1091" t="s">
        <v>1060</v>
      </c>
      <c r="F41" s="1297">
        <v>1.7684887459807008E-2</v>
      </c>
      <c r="G41" s="1091">
        <v>-8.7412587412594167E-4</v>
      </c>
      <c r="H41" s="572">
        <v>2.1582733812949728E-2</v>
      </c>
      <c r="I41" s="612">
        <v>2.7272727272727337E-2</v>
      </c>
      <c r="J41" s="1298"/>
      <c r="K41" s="572">
        <v>-1E-3</v>
      </c>
    </row>
    <row r="42" spans="1:11" ht="17.25" customHeight="1">
      <c r="A42" s="1206" t="s">
        <v>2455</v>
      </c>
      <c r="B42" s="1207"/>
      <c r="C42" s="1207"/>
      <c r="D42" s="1207"/>
      <c r="E42" s="1207"/>
      <c r="F42" s="1207"/>
      <c r="G42" s="1207"/>
    </row>
    <row r="43" spans="1:11" ht="12" customHeight="1">
      <c r="A43" s="1199"/>
      <c r="B43" s="1200"/>
      <c r="C43" s="1200"/>
      <c r="D43" s="1200"/>
      <c r="E43" s="1200"/>
      <c r="F43" s="1200"/>
      <c r="G43" s="1200"/>
    </row>
    <row r="44" spans="1:11" ht="14.25" customHeight="1">
      <c r="A44" s="1199" t="s">
        <v>2445</v>
      </c>
      <c r="B44" s="1200"/>
      <c r="C44" s="1200"/>
      <c r="D44" s="1200"/>
      <c r="E44" s="1200"/>
      <c r="F44" s="1200"/>
      <c r="G44" s="1200"/>
    </row>
    <row r="45" spans="1:11" ht="15" customHeight="1">
      <c r="A45" s="1299" t="s">
        <v>2446</v>
      </c>
      <c r="B45"/>
      <c r="C45"/>
      <c r="D45"/>
      <c r="E45"/>
      <c r="F45"/>
      <c r="G45"/>
      <c r="I45" s="266"/>
    </row>
    <row r="46" spans="1:11" ht="15.75" customHeight="1">
      <c r="A46" s="3" t="s">
        <v>2452</v>
      </c>
      <c r="B46" s="1201"/>
      <c r="C46" s="1201"/>
      <c r="D46" s="1201"/>
      <c r="E46" s="1201"/>
      <c r="F46" s="1201"/>
      <c r="G46" s="1201"/>
      <c r="I46" s="778"/>
    </row>
    <row r="47" spans="1:11" ht="15.75" customHeight="1">
      <c r="A47" s="3" t="s">
        <v>2453</v>
      </c>
      <c r="B47" s="1201"/>
      <c r="C47" s="1201"/>
      <c r="D47" s="1201"/>
      <c r="E47" s="1201"/>
      <c r="F47" s="1201"/>
      <c r="G47" s="1201"/>
      <c r="I47" s="778"/>
    </row>
    <row r="48" spans="1:11" ht="15" customHeight="1">
      <c r="A48" s="1199" t="s">
        <v>2447</v>
      </c>
      <c r="B48" s="1201"/>
      <c r="C48" s="1201"/>
      <c r="D48" s="1201"/>
      <c r="E48" s="1201"/>
      <c r="F48" s="1201"/>
      <c r="G48" s="1201"/>
    </row>
    <row r="49" spans="1:9" ht="15" customHeight="1">
      <c r="A49" s="1199" t="s">
        <v>2454</v>
      </c>
      <c r="B49" s="1201"/>
      <c r="C49" s="1201"/>
      <c r="D49" s="1201"/>
      <c r="E49" s="1201"/>
      <c r="F49" s="1201"/>
      <c r="G49" s="1201"/>
    </row>
    <row r="50" spans="1:9" ht="15.75" customHeight="1">
      <c r="A50" s="3"/>
      <c r="B50" s="1201"/>
      <c r="C50" s="1201"/>
      <c r="D50" s="1201"/>
      <c r="E50" s="1201"/>
      <c r="F50" s="1201"/>
      <c r="G50" s="1201"/>
      <c r="I50" s="266"/>
    </row>
    <row r="51" spans="1:9" ht="15" customHeight="1">
      <c r="A51" s="1199"/>
      <c r="B51" s="1201"/>
      <c r="C51" s="1201"/>
      <c r="D51" s="1201"/>
      <c r="E51" s="1201"/>
      <c r="F51" s="1201"/>
      <c r="G51" s="1201"/>
    </row>
    <row r="52" spans="1:9" ht="16.5" customHeight="1">
      <c r="A52" s="3" t="s">
        <v>711</v>
      </c>
      <c r="B52" s="1201"/>
      <c r="C52" s="1201"/>
      <c r="D52" s="1201"/>
      <c r="E52" s="1201"/>
      <c r="F52" s="1201"/>
      <c r="G52" s="1201"/>
    </row>
    <row r="53" spans="1:9" ht="31" customHeight="1">
      <c r="A53" s="3"/>
      <c r="B53" s="1201"/>
      <c r="C53" s="1201"/>
      <c r="D53" s="1201"/>
      <c r="E53" s="1201"/>
      <c r="F53" s="1201"/>
      <c r="G53" s="1201"/>
    </row>
    <row r="54" spans="1:9" ht="31" customHeight="1">
      <c r="A54" s="3"/>
      <c r="B54" s="1201"/>
      <c r="C54" s="1201"/>
      <c r="D54" s="1201"/>
      <c r="E54" s="1201"/>
      <c r="F54" s="1201"/>
      <c r="G54" s="1201"/>
    </row>
    <row r="55" spans="1:9">
      <c r="A55" s="3"/>
      <c r="B55" s="1201"/>
      <c r="C55" s="1201"/>
      <c r="D55" s="1201"/>
      <c r="E55" s="1201"/>
      <c r="F55" s="1201"/>
      <c r="G55" s="1201"/>
    </row>
    <row r="56" spans="1:9">
      <c r="A56" s="3"/>
      <c r="B56" s="1201"/>
      <c r="C56" s="1201"/>
      <c r="D56" s="1201"/>
      <c r="E56" s="1201"/>
      <c r="F56" s="1201"/>
      <c r="G56" s="1201"/>
    </row>
    <row r="57" spans="1:9">
      <c r="A57" s="3"/>
      <c r="B57" s="1201"/>
      <c r="C57" s="1201"/>
      <c r="D57" s="1201"/>
      <c r="E57" s="1201"/>
      <c r="F57" s="1201"/>
      <c r="G57" s="1201"/>
    </row>
    <row r="58" spans="1:9">
      <c r="A58" s="3"/>
      <c r="B58" s="1201"/>
      <c r="C58" s="1201"/>
      <c r="D58" s="1201"/>
      <c r="E58" s="1201"/>
      <c r="F58" s="1201"/>
      <c r="G58" s="1201"/>
    </row>
    <row r="59" spans="1:9">
      <c r="A59" s="3"/>
      <c r="B59" s="1201"/>
      <c r="C59" s="1201"/>
      <c r="D59" s="1201"/>
      <c r="E59" s="1201"/>
      <c r="F59" s="1201"/>
      <c r="G59" s="1201"/>
    </row>
    <row r="60" spans="1:9">
      <c r="A60" s="3"/>
      <c r="B60" s="1201"/>
      <c r="C60" s="1201"/>
      <c r="D60" s="1201"/>
      <c r="E60" s="1201"/>
      <c r="F60" s="1201"/>
      <c r="G60" s="1201"/>
    </row>
    <row r="61" spans="1:9">
      <c r="A61" s="3"/>
      <c r="B61" s="1201"/>
      <c r="C61" s="1201"/>
      <c r="D61" s="1201"/>
      <c r="E61" s="1201"/>
      <c r="F61" s="1201"/>
      <c r="G61" s="1201"/>
    </row>
    <row r="62" spans="1:9">
      <c r="A62" s="3"/>
      <c r="B62" s="1201"/>
      <c r="C62" s="1201"/>
      <c r="D62" s="1201"/>
      <c r="E62" s="1201"/>
      <c r="F62" s="1201"/>
      <c r="G62" s="1201"/>
    </row>
    <row r="63" spans="1:9">
      <c r="A63" s="3"/>
      <c r="B63" s="1201"/>
      <c r="C63" s="1201"/>
      <c r="D63" s="1201"/>
      <c r="E63" s="1201"/>
      <c r="F63" s="1201"/>
      <c r="G63" s="1201"/>
    </row>
    <row r="64" spans="1:9">
      <c r="A64" s="3"/>
      <c r="B64" s="1201"/>
      <c r="C64" s="1201"/>
      <c r="D64" s="1201"/>
      <c r="E64" s="1201"/>
      <c r="F64" s="1201"/>
      <c r="G64" s="1201"/>
    </row>
    <row r="65" spans="1:7">
      <c r="A65" s="3"/>
      <c r="B65" s="1201"/>
      <c r="C65" s="1201"/>
      <c r="D65" s="1201"/>
      <c r="E65" s="1201"/>
      <c r="F65" s="1201"/>
      <c r="G65" s="1201"/>
    </row>
    <row r="66" spans="1:7">
      <c r="A66" s="3"/>
      <c r="B66" s="1201"/>
      <c r="C66" s="1201"/>
      <c r="D66" s="1201"/>
      <c r="E66" s="1201"/>
      <c r="F66" s="1201"/>
      <c r="G66" s="1201"/>
    </row>
    <row r="67" spans="1:7">
      <c r="A67" s="3"/>
      <c r="B67" s="1201"/>
      <c r="C67" s="1201"/>
      <c r="D67" s="1201"/>
      <c r="E67" s="1201"/>
      <c r="F67" s="1201"/>
      <c r="G67" s="1201"/>
    </row>
  </sheetData>
  <mergeCells count="1">
    <mergeCell ref="A2:H2"/>
  </mergeCells>
  <phoneticPr fontId="0" type="noConversion"/>
  <pageMargins left="0.46" right="0.44" top="0.67" bottom="0.68" header="0.41" footer="0.33"/>
  <pageSetup paperSize="9" scale="70" orientation="portrait" horizontalDpi="1200" verticalDpi="1200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EE04-5BE1-5A4B-93C9-61279AB22CC5}">
  <sheetPr>
    <pageSetUpPr fitToPage="1"/>
  </sheetPr>
  <dimension ref="A1:O35"/>
  <sheetViews>
    <sheetView topLeftCell="A14" zoomScale="75" workbookViewId="0">
      <selection activeCell="A24" sqref="A24"/>
    </sheetView>
  </sheetViews>
  <sheetFormatPr baseColWidth="10" defaultColWidth="11.3984375" defaultRowHeight="13"/>
  <cols>
    <col min="1" max="1" width="17.19921875" style="2" customWidth="1"/>
    <col min="2" max="2" width="13.3984375" style="225" customWidth="1"/>
    <col min="3" max="3" width="13" style="225" customWidth="1"/>
    <col min="4" max="4" width="14.796875" style="225" customWidth="1"/>
    <col min="5" max="5" width="13.19921875" style="225" customWidth="1"/>
    <col min="6" max="6" width="15" style="225" customWidth="1"/>
    <col min="7" max="7" width="12.796875" style="225" customWidth="1"/>
    <col min="8" max="8" width="13.19921875" style="225" customWidth="1"/>
    <col min="9" max="10" width="13" style="225" customWidth="1"/>
    <col min="11" max="11" width="13.19921875" style="225" customWidth="1"/>
    <col min="12" max="12" width="12.796875" style="2" customWidth="1"/>
    <col min="13" max="13" width="14" style="2" customWidth="1"/>
    <col min="14" max="16384" width="11.3984375" style="2"/>
  </cols>
  <sheetData>
    <row r="1" spans="1:15" s="1" customFormat="1" ht="14" customHeight="1">
      <c r="A1" s="360"/>
      <c r="B1" s="1193"/>
      <c r="C1" s="1193"/>
      <c r="D1" s="1193"/>
      <c r="E1" s="1193"/>
      <c r="F1" s="1193"/>
      <c r="G1" s="1193"/>
      <c r="H1" s="1193"/>
      <c r="I1" s="1193"/>
      <c r="J1" s="1193"/>
      <c r="K1" s="1193"/>
    </row>
    <row r="2" spans="1:15" s="1" customFormat="1" ht="27" customHeight="1">
      <c r="A2" s="1216" t="s">
        <v>2068</v>
      </c>
      <c r="B2" s="589"/>
      <c r="C2" s="589"/>
      <c r="D2" s="589"/>
      <c r="E2" s="589"/>
      <c r="F2" s="589"/>
      <c r="G2" s="589"/>
      <c r="H2" s="589"/>
      <c r="I2" s="589"/>
      <c r="J2" s="589"/>
      <c r="K2" s="428"/>
      <c r="M2" s="428"/>
    </row>
    <row r="3" spans="1:15" ht="27" customHeight="1">
      <c r="A3" s="178" t="s">
        <v>821</v>
      </c>
      <c r="B3" s="179" t="s">
        <v>2069</v>
      </c>
      <c r="C3" s="180" t="s">
        <v>1820</v>
      </c>
      <c r="D3" s="179" t="s">
        <v>2070</v>
      </c>
      <c r="E3" s="180" t="s">
        <v>1820</v>
      </c>
      <c r="F3" s="179" t="s">
        <v>2071</v>
      </c>
      <c r="G3" s="180" t="s">
        <v>1820</v>
      </c>
      <c r="H3" s="179" t="s">
        <v>2072</v>
      </c>
      <c r="I3" s="180" t="s">
        <v>1820</v>
      </c>
      <c r="J3" s="179" t="s">
        <v>1499</v>
      </c>
      <c r="K3" s="180" t="s">
        <v>1820</v>
      </c>
      <c r="L3" s="179" t="s">
        <v>2073</v>
      </c>
      <c r="M3" s="180" t="s">
        <v>1820</v>
      </c>
    </row>
    <row r="4" spans="1:15" ht="15" customHeight="1">
      <c r="A4" s="274"/>
      <c r="B4" s="436" t="s">
        <v>2074</v>
      </c>
      <c r="C4" s="920" t="s">
        <v>1848</v>
      </c>
      <c r="D4" s="436" t="s">
        <v>2075</v>
      </c>
      <c r="E4" s="920" t="s">
        <v>1848</v>
      </c>
      <c r="F4" s="436" t="s">
        <v>2076</v>
      </c>
      <c r="G4" s="920" t="s">
        <v>1848</v>
      </c>
      <c r="H4" s="436" t="s">
        <v>769</v>
      </c>
      <c r="I4" s="920" t="s">
        <v>1848</v>
      </c>
      <c r="J4" s="436" t="s">
        <v>1514</v>
      </c>
      <c r="K4" s="920" t="s">
        <v>1848</v>
      </c>
      <c r="L4" s="182" t="s">
        <v>1709</v>
      </c>
      <c r="M4" s="920" t="s">
        <v>1848</v>
      </c>
    </row>
    <row r="5" spans="1:15" ht="17.25" customHeight="1">
      <c r="A5" s="274"/>
      <c r="B5" s="436" t="s">
        <v>2077</v>
      </c>
      <c r="C5" s="920" t="s">
        <v>2377</v>
      </c>
      <c r="D5" s="436" t="s">
        <v>1710</v>
      </c>
      <c r="E5" s="920" t="s">
        <v>2377</v>
      </c>
      <c r="F5" s="436" t="s">
        <v>2078</v>
      </c>
      <c r="G5" s="920" t="s">
        <v>2377</v>
      </c>
      <c r="H5" s="436"/>
      <c r="I5" s="920" t="s">
        <v>2377</v>
      </c>
      <c r="J5" s="436" t="s">
        <v>2079</v>
      </c>
      <c r="K5" s="920" t="s">
        <v>2377</v>
      </c>
      <c r="L5" s="182" t="s">
        <v>2080</v>
      </c>
      <c r="M5" s="920" t="s">
        <v>2377</v>
      </c>
    </row>
    <row r="6" spans="1:15" ht="33.75" customHeight="1">
      <c r="A6" s="378"/>
      <c r="B6" s="188" t="s">
        <v>1711</v>
      </c>
      <c r="C6" s="187"/>
      <c r="D6" s="188"/>
      <c r="E6" s="187"/>
      <c r="F6" s="188" t="s">
        <v>1712</v>
      </c>
      <c r="G6" s="187"/>
      <c r="H6" s="188" t="s">
        <v>1713</v>
      </c>
      <c r="I6" s="187"/>
      <c r="J6" s="188" t="s">
        <v>1714</v>
      </c>
      <c r="K6" s="187"/>
      <c r="L6" s="188"/>
      <c r="M6" s="187"/>
      <c r="O6" s="428"/>
    </row>
    <row r="7" spans="1:15" ht="3" customHeight="1" thickBot="1">
      <c r="A7" s="437">
        <v>1996</v>
      </c>
      <c r="B7" s="497">
        <v>100</v>
      </c>
      <c r="C7" s="212" t="s">
        <v>1301</v>
      </c>
      <c r="D7" s="497">
        <v>100</v>
      </c>
      <c r="E7" s="212" t="s">
        <v>1301</v>
      </c>
      <c r="F7" s="497">
        <v>100</v>
      </c>
      <c r="G7" s="212" t="s">
        <v>1301</v>
      </c>
      <c r="H7" s="497">
        <v>100</v>
      </c>
      <c r="I7" s="212" t="s">
        <v>1301</v>
      </c>
      <c r="J7" s="497">
        <v>100</v>
      </c>
      <c r="K7" s="212" t="s">
        <v>1301</v>
      </c>
      <c r="L7" s="497">
        <v>100</v>
      </c>
      <c r="M7" s="212" t="s">
        <v>1301</v>
      </c>
    </row>
    <row r="8" spans="1:15" ht="0.75" hidden="1" customHeight="1" thickBot="1">
      <c r="A8" s="438">
        <v>1997</v>
      </c>
      <c r="B8" s="499">
        <v>105.39794339791686</v>
      </c>
      <c r="C8" s="214">
        <v>5.3979433979168601E-2</v>
      </c>
      <c r="D8" s="499">
        <v>101.86202823875851</v>
      </c>
      <c r="E8" s="214">
        <v>1.8620282387585174E-2</v>
      </c>
      <c r="F8" s="499">
        <v>107.8243544179355</v>
      </c>
      <c r="G8" s="214">
        <v>7.8243544179354974E-2</v>
      </c>
      <c r="H8" s="499">
        <v>108.11940689335901</v>
      </c>
      <c r="I8" s="214">
        <v>8.1194068933590158E-2</v>
      </c>
      <c r="J8" s="499">
        <v>105.86780210602365</v>
      </c>
      <c r="K8" s="214">
        <v>5.8678021060236452E-2</v>
      </c>
      <c r="L8" s="499">
        <v>100.47120418848168</v>
      </c>
      <c r="M8" s="214">
        <v>4.7120418848167755E-3</v>
      </c>
      <c r="N8" s="428"/>
    </row>
    <row r="9" spans="1:15" ht="20.25" customHeight="1" thickBot="1">
      <c r="A9" s="438">
        <v>1998</v>
      </c>
      <c r="B9" s="499">
        <v>112.34514562910323</v>
      </c>
      <c r="C9" s="214">
        <v>6.5914020778926163E-2</v>
      </c>
      <c r="D9" s="499">
        <v>105.86830875441009</v>
      </c>
      <c r="E9" s="214">
        <v>3.9330460868706618E-2</v>
      </c>
      <c r="F9" s="499">
        <v>115.36251956603556</v>
      </c>
      <c r="G9" s="214">
        <v>6.9911525914466033E-2</v>
      </c>
      <c r="H9" s="499">
        <v>113.95377021303325</v>
      </c>
      <c r="I9" s="214">
        <v>5.3962220912188608E-2</v>
      </c>
      <c r="J9" s="499">
        <v>124.70421988413921</v>
      </c>
      <c r="K9" s="214">
        <v>0.17792395235759617</v>
      </c>
      <c r="L9" s="499">
        <v>101.15183246073298</v>
      </c>
      <c r="M9" s="214">
        <v>6.774361646690874E-3</v>
      </c>
    </row>
    <row r="10" spans="1:15" ht="20.25" customHeight="1" thickBot="1">
      <c r="A10" s="438">
        <v>1999</v>
      </c>
      <c r="B10" s="499">
        <v>116.73767747746584</v>
      </c>
      <c r="C10" s="214">
        <v>3.9098546036551829E-2</v>
      </c>
      <c r="D10" s="499">
        <v>108.76544952296268</v>
      </c>
      <c r="E10" s="214">
        <v>2.7365514785669065E-2</v>
      </c>
      <c r="F10" s="499">
        <v>118.23129090839484</v>
      </c>
      <c r="G10" s="214">
        <v>2.4867447010960442E-2</v>
      </c>
      <c r="H10" s="499">
        <v>116.48898292114663</v>
      </c>
      <c r="I10" s="214">
        <v>2.2247729964299356E-2</v>
      </c>
      <c r="J10" s="499">
        <v>129.78488562275899</v>
      </c>
      <c r="K10" s="214">
        <v>4.0741730659476838E-2</v>
      </c>
      <c r="L10" s="499">
        <v>101.46596858638743</v>
      </c>
      <c r="M10" s="214">
        <v>3.1055900621119736E-3</v>
      </c>
    </row>
    <row r="11" spans="1:15" ht="20.25" customHeight="1" thickBot="1">
      <c r="A11" s="438">
        <v>2000</v>
      </c>
      <c r="B11" s="499">
        <v>123.67905954399367</v>
      </c>
      <c r="C11" s="214">
        <v>5.9461368570295159E-2</v>
      </c>
      <c r="D11" s="499">
        <v>112.70035278561646</v>
      </c>
      <c r="E11" s="214">
        <v>3.6177878912025507E-2</v>
      </c>
      <c r="F11" s="499">
        <v>122.25148214575734</v>
      </c>
      <c r="G11" s="214">
        <v>3.4002768695787333E-2</v>
      </c>
      <c r="H11" s="499">
        <v>120.22317736531187</v>
      </c>
      <c r="I11" s="214">
        <v>3.2056202659894284E-2</v>
      </c>
      <c r="J11" s="499">
        <v>135.7015791217149</v>
      </c>
      <c r="K11" s="214">
        <v>4.5588463329649498E-2</v>
      </c>
      <c r="L11" s="499">
        <v>102.77486910994764</v>
      </c>
      <c r="M11" s="214">
        <v>1.2899896800825594E-2</v>
      </c>
    </row>
    <row r="12" spans="1:15" ht="20.25" customHeight="1" thickBot="1">
      <c r="A12" s="438">
        <v>2001</v>
      </c>
      <c r="B12" s="499">
        <v>130.2910910770666</v>
      </c>
      <c r="C12" s="214">
        <v>5.3461204810673513E-2</v>
      </c>
      <c r="D12" s="499">
        <v>119.03449432568512</v>
      </c>
      <c r="E12" s="214">
        <v>5.6203386977126346E-2</v>
      </c>
      <c r="F12" s="499">
        <v>126.81505316810784</v>
      </c>
      <c r="G12" s="214">
        <v>3.7329371736446237E-2</v>
      </c>
      <c r="H12" s="499">
        <v>124.57722094978531</v>
      </c>
      <c r="I12" s="214">
        <v>3.6216340974279726E-2</v>
      </c>
      <c r="J12" s="499">
        <v>141.65456872934899</v>
      </c>
      <c r="K12" s="214">
        <v>4.3868241225805349E-2</v>
      </c>
      <c r="L12" s="499">
        <v>105.28795811518326</v>
      </c>
      <c r="M12" s="214">
        <v>2.4452368823229875E-2</v>
      </c>
    </row>
    <row r="13" spans="1:15" ht="20.25" customHeight="1" thickBot="1">
      <c r="A13" s="438">
        <v>2002</v>
      </c>
      <c r="B13" s="499">
        <v>135.12284583994762</v>
      </c>
      <c r="C13" s="214">
        <v>3.7084306554951318E-2</v>
      </c>
      <c r="D13" s="499">
        <v>122.30444994955147</v>
      </c>
      <c r="E13" s="214">
        <v>2.7470655816116407E-2</v>
      </c>
      <c r="F13" s="499">
        <v>137.28928000877301</v>
      </c>
      <c r="G13" s="214">
        <v>8.2594507347486523E-2</v>
      </c>
      <c r="H13" s="499">
        <v>135.84965392132474</v>
      </c>
      <c r="I13" s="214">
        <v>9.0485506785250358E-2</v>
      </c>
      <c r="J13" s="499">
        <v>146.83573016358903</v>
      </c>
      <c r="K13" s="214">
        <v>3.6576027732218019E-2</v>
      </c>
      <c r="L13" s="499">
        <v>107.17277486910994</v>
      </c>
      <c r="M13" s="214">
        <v>1.7901541521630815E-2</v>
      </c>
    </row>
    <row r="14" spans="1:15" ht="20.25" customHeight="1" thickBot="1">
      <c r="A14" s="438">
        <v>2003</v>
      </c>
      <c r="B14" s="499">
        <v>141.13594015958546</v>
      </c>
      <c r="C14" s="214">
        <v>4.4500944916156637E-2</v>
      </c>
      <c r="D14" s="499">
        <v>126.16400951454192</v>
      </c>
      <c r="E14" s="214">
        <v>3.1556983957512941E-2</v>
      </c>
      <c r="F14" s="499">
        <v>148.64710880687124</v>
      </c>
      <c r="G14" s="214">
        <v>8.2729174465569821E-2</v>
      </c>
      <c r="H14" s="499">
        <v>148.24891293481085</v>
      </c>
      <c r="I14" s="214">
        <v>9.1271921978299142E-2</v>
      </c>
      <c r="J14" s="499">
        <v>151.28762572832832</v>
      </c>
      <c r="K14" s="214">
        <v>3.0318884645988087E-2</v>
      </c>
      <c r="L14" s="499">
        <v>108.6910994764398</v>
      </c>
      <c r="M14" s="214">
        <v>1.4167073766487626E-2</v>
      </c>
    </row>
    <row r="15" spans="1:15" ht="20.25" customHeight="1" thickBot="1">
      <c r="A15" s="438">
        <v>2004</v>
      </c>
      <c r="B15" s="499">
        <v>150.48255750594851</v>
      </c>
      <c r="C15" s="214">
        <v>6.6224218549822522E-2</v>
      </c>
      <c r="D15" s="499">
        <v>129.76680025721751</v>
      </c>
      <c r="E15" s="214">
        <v>2.8556406510371168E-2</v>
      </c>
      <c r="F15" s="499">
        <v>159.53922129347404</v>
      </c>
      <c r="G15" s="214">
        <v>7.3274970324207933E-2</v>
      </c>
      <c r="H15" s="499">
        <v>158.6720877566259</v>
      </c>
      <c r="I15" s="214">
        <v>7.0308608781491699E-2</v>
      </c>
      <c r="J15" s="499">
        <v>165.28935819309285</v>
      </c>
      <c r="K15" s="214">
        <v>9.2550414466202602E-2</v>
      </c>
      <c r="L15" s="499">
        <v>109.68586387434556</v>
      </c>
      <c r="M15" s="214">
        <v>9.1522157996146714E-3</v>
      </c>
    </row>
    <row r="16" spans="1:15" ht="20.25" customHeight="1" thickBot="1">
      <c r="A16" s="438">
        <v>2005</v>
      </c>
      <c r="B16" s="499">
        <v>158.85411997758723</v>
      </c>
      <c r="C16" s="214">
        <v>5.5631447327759487E-2</v>
      </c>
      <c r="D16" s="499">
        <v>131.56863292998989</v>
      </c>
      <c r="E16" s="214">
        <v>1.3885159140865522E-2</v>
      </c>
      <c r="F16" s="499">
        <v>163.19650081000955</v>
      </c>
      <c r="G16" s="214">
        <v>2.2924015090984406E-2</v>
      </c>
      <c r="H16" s="499">
        <v>161.63461894989487</v>
      </c>
      <c r="I16" s="214">
        <v>1.8670777167897112E-2</v>
      </c>
      <c r="J16" s="499">
        <v>173.55365358411964</v>
      </c>
      <c r="K16" s="214">
        <v>4.9998956262945482E-2</v>
      </c>
      <c r="L16" s="499">
        <v>110.73298429319371</v>
      </c>
      <c r="M16" s="214">
        <v>9.5465393794746944E-3</v>
      </c>
    </row>
    <row r="17" spans="1:13" ht="20.25" customHeight="1" thickBot="1">
      <c r="A17" s="438">
        <v>2006</v>
      </c>
      <c r="B17" s="499">
        <v>159.92892738162934</v>
      </c>
      <c r="C17" s="214">
        <v>6.7660026960192354E-3</v>
      </c>
      <c r="D17" s="499">
        <v>132.42007975142448</v>
      </c>
      <c r="E17" s="214">
        <v>6.4715031423003833E-3</v>
      </c>
      <c r="F17" s="499">
        <v>168.77599451425854</v>
      </c>
      <c r="G17" s="214">
        <v>3.4188807214344141E-2</v>
      </c>
      <c r="H17" s="499">
        <v>167.82455192504821</v>
      </c>
      <c r="I17" s="214">
        <v>3.8295836717208154E-2</v>
      </c>
      <c r="J17" s="499">
        <v>175.08520169816336</v>
      </c>
      <c r="K17" s="214">
        <v>8.8246376979981278E-3</v>
      </c>
      <c r="L17" s="499">
        <v>112.04188481675392</v>
      </c>
      <c r="M17" s="214">
        <v>1.1820330969267268E-2</v>
      </c>
    </row>
    <row r="18" spans="1:13" ht="20.25" customHeight="1" thickBot="1">
      <c r="A18" s="438">
        <v>2007</v>
      </c>
      <c r="B18" s="499">
        <v>166.19096335942064</v>
      </c>
      <c r="C18" s="214">
        <v>3.915511771581226E-2</v>
      </c>
      <c r="D18" s="499">
        <v>137.4374713918709</v>
      </c>
      <c r="E18" s="214">
        <v>3.7889960871983597E-2</v>
      </c>
      <c r="F18" s="499">
        <v>171.12819099456249</v>
      </c>
      <c r="G18" s="214">
        <v>1.3936795259738455E-2</v>
      </c>
      <c r="H18" s="499">
        <v>169.73560696474115</v>
      </c>
      <c r="I18" s="214">
        <v>1.1387219675381255E-2</v>
      </c>
      <c r="J18" s="499">
        <v>180.36269580313146</v>
      </c>
      <c r="K18" s="214">
        <v>3.014243381954218E-2</v>
      </c>
      <c r="L18" s="499">
        <v>113.87434554973821</v>
      </c>
      <c r="M18" s="214">
        <v>1.6355140186915751E-2</v>
      </c>
    </row>
    <row r="19" spans="1:13" s="217" customFormat="1" ht="30" customHeight="1" thickBot="1">
      <c r="A19" s="440">
        <v>2008</v>
      </c>
      <c r="B19" s="559">
        <v>173.20418822710363</v>
      </c>
      <c r="C19" s="764">
        <v>4.2199796703239034E-2</v>
      </c>
      <c r="D19" s="1302">
        <v>142.96025774090762</v>
      </c>
      <c r="E19" s="891">
        <v>4.0183992713965111E-2</v>
      </c>
      <c r="F19" s="559">
        <v>170.40272566721498</v>
      </c>
      <c r="G19" s="764">
        <v>-4.2393092752938122E-3</v>
      </c>
      <c r="H19" s="559">
        <v>168.02403981936502</v>
      </c>
      <c r="I19" s="764">
        <v>-1.0083724776332126E-2</v>
      </c>
      <c r="J19" s="559">
        <v>186.17626997740183</v>
      </c>
      <c r="K19" s="764">
        <v>3.223268619036368E-2</v>
      </c>
      <c r="L19" s="1303">
        <v>116.1780104712042</v>
      </c>
      <c r="M19" s="868">
        <v>2.0229885057471586E-2</v>
      </c>
    </row>
    <row r="20" spans="1:13" ht="20" customHeight="1">
      <c r="A20" s="1197" t="s">
        <v>2434</v>
      </c>
      <c r="B20" s="1198"/>
      <c r="C20" s="1198"/>
      <c r="D20" s="1198"/>
      <c r="E20" s="1198"/>
      <c r="F20" s="1198"/>
      <c r="G20" s="1198"/>
      <c r="H20" s="1198"/>
      <c r="I20" s="1198"/>
      <c r="J20" s="1198"/>
      <c r="K20" s="1198"/>
    </row>
    <row r="21" spans="1:13" ht="12.75" customHeight="1">
      <c r="A21" s="1209"/>
      <c r="B21" s="1210"/>
      <c r="C21" s="1210"/>
      <c r="D21" s="1210"/>
      <c r="E21" s="1210"/>
      <c r="F21" s="1210"/>
      <c r="G21" s="1210"/>
      <c r="H21" s="1210"/>
      <c r="I21" s="1210"/>
      <c r="J21" s="1210"/>
      <c r="K21" s="1210"/>
    </row>
    <row r="22" spans="1:13" ht="12" customHeight="1">
      <c r="A22" s="1209" t="s">
        <v>2081</v>
      </c>
      <c r="B22" s="1210"/>
      <c r="C22" s="1210"/>
      <c r="D22" s="1210"/>
      <c r="E22" s="1210"/>
      <c r="F22" s="1210"/>
      <c r="G22" s="1210"/>
      <c r="H22" s="1210"/>
      <c r="I22" s="1210"/>
      <c r="J22" s="1210"/>
      <c r="K22" s="1210"/>
    </row>
    <row r="23" spans="1:13" ht="12" customHeight="1">
      <c r="A23" s="1209" t="s">
        <v>1715</v>
      </c>
      <c r="B23" s="1210"/>
      <c r="C23" s="1210"/>
      <c r="D23" s="1210"/>
      <c r="E23" s="1210"/>
      <c r="F23" s="1210"/>
      <c r="G23" s="1210"/>
      <c r="H23" s="1210"/>
      <c r="I23" s="1210"/>
      <c r="J23" s="1210"/>
      <c r="K23" s="1210"/>
    </row>
    <row r="24" spans="1:13" ht="12" customHeight="1">
      <c r="A24" s="1209" t="s">
        <v>2082</v>
      </c>
      <c r="B24" s="1210"/>
      <c r="C24" s="1210"/>
      <c r="D24" s="1210"/>
      <c r="E24" s="1210"/>
      <c r="F24" s="1210"/>
      <c r="G24" s="1210"/>
      <c r="H24" s="1210"/>
      <c r="I24" s="1210"/>
      <c r="J24" s="1210"/>
      <c r="K24" s="1210"/>
    </row>
    <row r="25" spans="1:13" ht="12" customHeight="1">
      <c r="A25" s="1209" t="s">
        <v>2083</v>
      </c>
      <c r="B25" s="1210"/>
      <c r="C25" s="1210"/>
      <c r="D25" s="1210"/>
      <c r="E25" s="1210"/>
      <c r="F25" s="1210"/>
      <c r="G25" s="1210"/>
      <c r="H25" s="1210"/>
      <c r="I25" s="1210"/>
      <c r="J25" s="1210"/>
      <c r="K25" s="1210"/>
    </row>
    <row r="26" spans="1:13" ht="12" customHeight="1">
      <c r="A26" s="1209" t="s">
        <v>2084</v>
      </c>
      <c r="B26" s="1210"/>
      <c r="C26" s="1210"/>
      <c r="D26" s="1210"/>
      <c r="E26" s="1210"/>
      <c r="F26" s="1210"/>
      <c r="G26" s="1210"/>
      <c r="H26" s="1210"/>
      <c r="I26" s="1210"/>
      <c r="J26" s="1210"/>
      <c r="K26" s="1210"/>
    </row>
    <row r="27" spans="1:13" ht="12" customHeight="1">
      <c r="A27" s="1209" t="s">
        <v>1708</v>
      </c>
      <c r="B27" s="1203"/>
      <c r="C27" s="1203"/>
      <c r="D27" s="1203"/>
      <c r="E27" s="1203"/>
      <c r="F27" s="1203"/>
      <c r="G27" s="1203"/>
      <c r="H27" s="1203"/>
      <c r="I27" s="1203"/>
      <c r="J27" s="1203"/>
      <c r="K27" s="1203"/>
    </row>
    <row r="28" spans="1:13" ht="15.75" customHeight="1">
      <c r="A28" s="1209"/>
      <c r="B28" s="1203"/>
      <c r="C28" s="1203"/>
      <c r="D28" s="1203"/>
      <c r="E28" s="1203"/>
      <c r="F28" s="1203"/>
      <c r="G28" s="1203"/>
      <c r="H28" s="1203"/>
      <c r="I28" s="1203"/>
      <c r="J28" s="1203"/>
      <c r="K28" s="1203"/>
    </row>
    <row r="29" spans="1:13" ht="15.75" customHeight="1">
      <c r="A29" s="290"/>
      <c r="B29" s="1203"/>
      <c r="C29" s="1203"/>
      <c r="D29" s="1203"/>
      <c r="E29" s="1203"/>
      <c r="F29" s="1203"/>
      <c r="G29" s="1203"/>
      <c r="H29" s="1203"/>
      <c r="I29" s="1203"/>
      <c r="J29" s="1203"/>
      <c r="K29" s="1203"/>
      <c r="M29" s="226"/>
    </row>
    <row r="30" spans="1:13" ht="15.75" customHeight="1">
      <c r="A30" s="266" t="s">
        <v>711</v>
      </c>
      <c r="B30" s="1203"/>
      <c r="C30" s="1203"/>
      <c r="D30" s="1203"/>
      <c r="E30" s="1203"/>
      <c r="F30" s="1203"/>
      <c r="G30" s="1203"/>
      <c r="H30" s="1203"/>
      <c r="I30" s="1203"/>
      <c r="J30" s="1203"/>
      <c r="K30" s="1203"/>
    </row>
    <row r="31" spans="1:13" ht="31" customHeight="1">
      <c r="A31" s="290"/>
      <c r="B31" s="1203"/>
      <c r="C31" s="1203"/>
      <c r="D31" s="1203"/>
      <c r="E31" s="1203"/>
      <c r="F31" s="1203"/>
      <c r="G31" s="1203"/>
      <c r="H31" s="1203"/>
      <c r="I31" s="1203"/>
      <c r="J31" s="1203"/>
      <c r="K31" s="1203"/>
    </row>
    <row r="32" spans="1:13" ht="31" customHeight="1">
      <c r="A32" s="290"/>
      <c r="B32" s="1203"/>
      <c r="C32" s="1203"/>
      <c r="D32" s="1203"/>
      <c r="E32" s="1203"/>
      <c r="F32" s="1203"/>
      <c r="G32" s="1203"/>
      <c r="H32" s="1203"/>
      <c r="I32" s="1203"/>
      <c r="J32" s="1203"/>
      <c r="K32" s="1203"/>
    </row>
    <row r="33" spans="1:11" ht="31" customHeight="1">
      <c r="A33" s="290"/>
      <c r="B33" s="1203"/>
      <c r="C33" s="1203"/>
      <c r="D33" s="1203"/>
      <c r="E33" s="1203"/>
      <c r="F33" s="1203"/>
      <c r="G33" s="1203"/>
      <c r="H33" s="1203"/>
      <c r="I33" s="1203"/>
      <c r="J33" s="1203"/>
      <c r="K33" s="1203"/>
    </row>
    <row r="34" spans="1:11" ht="31" customHeight="1">
      <c r="A34" s="290"/>
      <c r="B34" s="1203"/>
      <c r="C34" s="1203"/>
      <c r="D34" s="1203"/>
      <c r="E34" s="1203"/>
      <c r="F34" s="1203"/>
      <c r="G34" s="1203"/>
      <c r="H34" s="1203"/>
      <c r="I34" s="1203"/>
      <c r="J34" s="1203"/>
      <c r="K34" s="1203"/>
    </row>
    <row r="35" spans="1:11" ht="31" customHeight="1">
      <c r="A35" s="290"/>
      <c r="B35" s="1203"/>
      <c r="C35" s="1203"/>
      <c r="D35" s="1203"/>
      <c r="E35" s="1203"/>
      <c r="F35" s="1203"/>
      <c r="G35" s="1203"/>
      <c r="H35" s="1203"/>
      <c r="I35" s="1203"/>
      <c r="J35" s="1203"/>
      <c r="K35" s="1203"/>
    </row>
  </sheetData>
  <phoneticPr fontId="0" type="noConversion"/>
  <pageMargins left="0.56000000000000005" right="0.6" top="0.9" bottom="0.49" header="0.47" footer="0.4921259845"/>
  <pageSetup paperSize="9" scale="75" orientation="landscape"/>
  <headerFooter alignWithMargins="0"/>
  <rowBreaks count="1" manualBreakCount="1">
    <brk id="26" max="16383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0445-7389-6E4C-877C-3EFA6CE3A045}">
  <sheetPr>
    <pageSetUpPr fitToPage="1"/>
  </sheetPr>
  <dimension ref="A1:J51"/>
  <sheetViews>
    <sheetView topLeftCell="A22" zoomScale="75" workbookViewId="0">
      <selection activeCell="A26" sqref="A26"/>
    </sheetView>
  </sheetViews>
  <sheetFormatPr baseColWidth="10" defaultColWidth="11.3984375" defaultRowHeight="13"/>
  <cols>
    <col min="1" max="1" width="23.796875" style="2" customWidth="1"/>
    <col min="2" max="2" width="20" style="2" customWidth="1"/>
    <col min="3" max="3" width="15.796875" style="2" customWidth="1"/>
    <col min="4" max="4" width="18.796875" style="2" customWidth="1"/>
    <col min="5" max="5" width="14.19921875" style="2" customWidth="1"/>
    <col min="6" max="6" width="20" style="2" customWidth="1"/>
    <col min="7" max="7" width="15" style="2" customWidth="1"/>
    <col min="8" max="10" width="13.19921875" style="2" customWidth="1"/>
    <col min="11" max="16384" width="11.3984375" style="2"/>
  </cols>
  <sheetData>
    <row r="1" spans="1:10" s="1" customFormat="1" ht="14" customHeight="1"/>
    <row r="2" spans="1:10" s="1" customFormat="1" ht="39" customHeight="1">
      <c r="A2" s="2017" t="s">
        <v>1001</v>
      </c>
      <c r="B2" s="2021"/>
      <c r="C2" s="2021"/>
      <c r="D2" s="2021"/>
      <c r="E2" s="2021"/>
      <c r="F2" s="177"/>
      <c r="G2" s="177"/>
    </row>
    <row r="3" spans="1:10" ht="24" customHeight="1">
      <c r="A3" s="394" t="s">
        <v>2456</v>
      </c>
      <c r="B3" s="179" t="s">
        <v>2251</v>
      </c>
      <c r="C3" s="180" t="s">
        <v>2252</v>
      </c>
      <c r="D3" s="179" t="s">
        <v>2253</v>
      </c>
      <c r="E3" s="180" t="s">
        <v>2254</v>
      </c>
      <c r="F3" s="179" t="s">
        <v>164</v>
      </c>
      <c r="G3" s="228" t="s">
        <v>2372</v>
      </c>
    </row>
    <row r="4" spans="1:10" ht="15" customHeight="1">
      <c r="A4" s="274"/>
      <c r="B4" s="182" t="s">
        <v>2255</v>
      </c>
      <c r="C4" s="183" t="s">
        <v>2256</v>
      </c>
      <c r="D4" s="182" t="s">
        <v>2257</v>
      </c>
      <c r="E4" s="245" t="s">
        <v>2258</v>
      </c>
      <c r="F4" s="182"/>
      <c r="G4" s="181" t="s">
        <v>1848</v>
      </c>
    </row>
    <row r="5" spans="1:10" ht="15" customHeight="1">
      <c r="A5" s="274"/>
      <c r="B5" s="182" t="s">
        <v>2259</v>
      </c>
      <c r="C5" s="183" t="s">
        <v>2260</v>
      </c>
      <c r="D5" s="182"/>
      <c r="E5" s="245" t="s">
        <v>2261</v>
      </c>
      <c r="F5" s="182"/>
      <c r="G5" s="181" t="s">
        <v>2377</v>
      </c>
    </row>
    <row r="6" spans="1:10" ht="24" customHeight="1">
      <c r="A6" s="378" t="s">
        <v>2250</v>
      </c>
      <c r="B6" s="188"/>
      <c r="C6" s="187"/>
      <c r="D6" s="188"/>
      <c r="E6" s="248" t="s">
        <v>2262</v>
      </c>
      <c r="F6" s="188"/>
      <c r="G6" s="247"/>
    </row>
    <row r="7" spans="1:10" ht="1.5" customHeight="1" thickBot="1">
      <c r="A7" s="276">
        <v>1996</v>
      </c>
      <c r="B7" s="211">
        <v>1753.1648672625149</v>
      </c>
      <c r="C7" s="257">
        <v>1842.1623355260151</v>
      </c>
      <c r="D7" s="211">
        <v>1515.4959144221264</v>
      </c>
      <c r="E7" s="257">
        <v>1176.4588298743031</v>
      </c>
      <c r="F7" s="211">
        <v>1771.0161788756484</v>
      </c>
      <c r="G7" s="473" t="s">
        <v>1060</v>
      </c>
    </row>
    <row r="8" spans="1:10" ht="19.5" hidden="1" customHeight="1" thickBot="1">
      <c r="A8" s="278">
        <v>1997</v>
      </c>
      <c r="B8" s="213">
        <v>1811.5958116334416</v>
      </c>
      <c r="C8" s="263">
        <v>2130.0081643172375</v>
      </c>
      <c r="D8" s="213">
        <v>1576.8168903289518</v>
      </c>
      <c r="E8" s="263">
        <v>1389.6088488110106</v>
      </c>
      <c r="F8" s="213">
        <v>1909.5867615098578</v>
      </c>
      <c r="G8" s="477">
        <v>7.8243544179354974E-2</v>
      </c>
      <c r="H8" s="8"/>
      <c r="I8" s="8"/>
      <c r="J8" s="8"/>
    </row>
    <row r="9" spans="1:10" ht="21" customHeight="1" thickBot="1">
      <c r="A9" s="278">
        <v>1998</v>
      </c>
      <c r="B9" s="213">
        <v>1918.0694163570959</v>
      </c>
      <c r="C9" s="263">
        <v>2297.6573623558743</v>
      </c>
      <c r="D9" s="213">
        <v>1557.6743377537739</v>
      </c>
      <c r="E9" s="263">
        <v>1666.142713790621</v>
      </c>
      <c r="F9" s="213">
        <v>2043.088885873075</v>
      </c>
      <c r="G9" s="477">
        <v>6.9911525914465811E-2</v>
      </c>
    </row>
    <row r="10" spans="1:10" ht="21" customHeight="1" thickBot="1">
      <c r="A10" s="278">
        <v>1999</v>
      </c>
      <c r="B10" s="213">
        <v>1950.8999883727415</v>
      </c>
      <c r="C10" s="263">
        <v>2374.4763783142644</v>
      </c>
      <c r="D10" s="213">
        <v>1570.8419091195699</v>
      </c>
      <c r="E10" s="263">
        <v>1752.9616538234313</v>
      </c>
      <c r="F10" s="213">
        <v>2093.8952904812063</v>
      </c>
      <c r="G10" s="477">
        <v>2.4867447010960664E-2</v>
      </c>
    </row>
    <row r="11" spans="1:10" ht="21" customHeight="1" thickBot="1">
      <c r="A11" s="278">
        <v>2000</v>
      </c>
      <c r="B11" s="213">
        <v>2027.0193294058211</v>
      </c>
      <c r="C11" s="263">
        <v>2433.7171249231678</v>
      </c>
      <c r="D11" s="213">
        <v>1662.9240904226378</v>
      </c>
      <c r="E11" s="263">
        <v>1828.3919207533229</v>
      </c>
      <c r="F11" s="213">
        <v>2165.0935277166373</v>
      </c>
      <c r="G11" s="477">
        <v>3.4002768695787333E-2</v>
      </c>
    </row>
    <row r="12" spans="1:10" ht="21" customHeight="1" thickBot="1">
      <c r="A12" s="278">
        <v>2001</v>
      </c>
      <c r="B12" s="213">
        <v>2122.8464393209329</v>
      </c>
      <c r="C12" s="263">
        <v>2484.2689833767849</v>
      </c>
      <c r="D12" s="213">
        <v>1731.3120166424887</v>
      </c>
      <c r="E12" s="263">
        <v>1922.2028434326885</v>
      </c>
      <c r="F12" s="213">
        <v>2245.9151088569452</v>
      </c>
      <c r="G12" s="477">
        <v>3.7329371736446237E-2</v>
      </c>
    </row>
    <row r="13" spans="1:10" ht="21" customHeight="1" thickBot="1">
      <c r="A13" s="278">
        <v>2002</v>
      </c>
      <c r="B13" s="213">
        <v>2285.7395632640332</v>
      </c>
      <c r="C13" s="263">
        <v>2654.9017890161094</v>
      </c>
      <c r="D13" s="213">
        <v>1950.7839810299843</v>
      </c>
      <c r="E13" s="263">
        <v>2240.2987240624661</v>
      </c>
      <c r="F13" s="213">
        <v>2431.415360817261</v>
      </c>
      <c r="G13" s="477">
        <v>8.2594507347486523E-2</v>
      </c>
    </row>
    <row r="14" spans="1:10" ht="21" customHeight="1" thickBot="1">
      <c r="A14" s="278">
        <v>2003</v>
      </c>
      <c r="B14" s="213">
        <v>2510.8199696536694</v>
      </c>
      <c r="C14" s="263">
        <v>2859.9015075571601</v>
      </c>
      <c r="D14" s="213">
        <v>2124.4793305026888</v>
      </c>
      <c r="E14" s="263">
        <v>2210.374964555655</v>
      </c>
      <c r="F14" s="213">
        <v>2632.5643464005784</v>
      </c>
      <c r="G14" s="477">
        <v>8.2729174465569821E-2</v>
      </c>
    </row>
    <row r="15" spans="1:10" ht="21" customHeight="1" thickBot="1">
      <c r="A15" s="278">
        <v>2004</v>
      </c>
      <c r="B15" s="213">
        <v>2690.5459375499613</v>
      </c>
      <c r="C15" s="263">
        <v>3090.7636553345851</v>
      </c>
      <c r="D15" s="213">
        <v>2246.9396743730986</v>
      </c>
      <c r="E15" s="263">
        <v>2415.1482194113514</v>
      </c>
      <c r="F15" s="213">
        <v>2825.4654207596486</v>
      </c>
      <c r="G15" s="477">
        <v>7.3274970324207933E-2</v>
      </c>
    </row>
    <row r="16" spans="1:10" ht="21" customHeight="1" thickBot="1">
      <c r="A16" s="278">
        <v>2005</v>
      </c>
      <c r="B16" s="213">
        <v>2840.2952473424793</v>
      </c>
      <c r="C16" s="263">
        <v>3103.8126743937628</v>
      </c>
      <c r="D16" s="213">
        <v>2376.2836440132501</v>
      </c>
      <c r="E16" s="263">
        <v>2400.5917441113538</v>
      </c>
      <c r="F16" s="213">
        <v>2890.2364327041978</v>
      </c>
      <c r="G16" s="477">
        <v>2.2924015090984629E-2</v>
      </c>
    </row>
    <row r="17" spans="1:7" ht="21" customHeight="1" thickBot="1">
      <c r="A17" s="278">
        <v>2006</v>
      </c>
      <c r="B17" s="213">
        <v>3011.1782609964857</v>
      </c>
      <c r="C17" s="263">
        <v>3242.7971622539844</v>
      </c>
      <c r="D17" s="213">
        <v>2532.6355623862773</v>
      </c>
      <c r="E17" s="263">
        <v>2415.428916702369</v>
      </c>
      <c r="F17" s="213">
        <v>2989.0501689057955</v>
      </c>
      <c r="G17" s="477">
        <v>3.4188807214344141E-2</v>
      </c>
    </row>
    <row r="18" spans="1:7" ht="21" customHeight="1" thickBot="1">
      <c r="A18" s="278">
        <v>2007</v>
      </c>
      <c r="B18" s="213">
        <v>3123.9745528614731</v>
      </c>
      <c r="C18" s="263">
        <v>3317.638542693885</v>
      </c>
      <c r="D18" s="213">
        <v>2650.6385932147032</v>
      </c>
      <c r="E18" s="263">
        <v>2470.5095950288969</v>
      </c>
      <c r="F18" s="213">
        <v>3030.7079491309219</v>
      </c>
      <c r="G18" s="477">
        <v>1.3936795259738233E-2</v>
      </c>
    </row>
    <row r="19" spans="1:7" ht="21" customHeight="1" thickBot="1">
      <c r="A19" s="429">
        <v>2008</v>
      </c>
      <c r="B19" s="430">
        <v>3180.5156961243692</v>
      </c>
      <c r="C19" s="431">
        <v>3344.9015527889869</v>
      </c>
      <c r="D19" s="430">
        <v>2727.0156464501351</v>
      </c>
      <c r="E19" s="431">
        <v>2468.4220560673621</v>
      </c>
      <c r="F19" s="430">
        <v>3017.8598408114649</v>
      </c>
      <c r="G19" s="777">
        <v>-4.2393092752937012E-3</v>
      </c>
    </row>
    <row r="20" spans="1:7" ht="20" customHeight="1">
      <c r="A20" s="1300" t="s">
        <v>764</v>
      </c>
      <c r="B20" s="201"/>
      <c r="C20" s="201"/>
      <c r="D20" s="201"/>
      <c r="E20" s="201"/>
      <c r="F20" s="201"/>
      <c r="G20" s="466"/>
    </row>
    <row r="21" spans="1:7">
      <c r="G21" s="467"/>
    </row>
    <row r="22" spans="1:7">
      <c r="A22" s="376" t="s">
        <v>2457</v>
      </c>
      <c r="G22" s="467"/>
    </row>
    <row r="23" spans="1:7">
      <c r="G23" s="467"/>
    </row>
    <row r="24" spans="1:7">
      <c r="G24" s="467"/>
    </row>
    <row r="25" spans="1:7" ht="16">
      <c r="A25" s="778" t="s">
        <v>1002</v>
      </c>
      <c r="G25" s="467"/>
    </row>
    <row r="26" spans="1:7">
      <c r="G26" s="467"/>
    </row>
    <row r="27" spans="1:7" ht="18" customHeight="1">
      <c r="A27" s="394"/>
      <c r="B27" s="179" t="s">
        <v>2369</v>
      </c>
      <c r="C27" s="446" t="s">
        <v>2372</v>
      </c>
      <c r="D27" s="179" t="s">
        <v>2227</v>
      </c>
      <c r="E27" s="446" t="s">
        <v>2372</v>
      </c>
      <c r="F27" s="179" t="s">
        <v>870</v>
      </c>
      <c r="G27" s="446" t="s">
        <v>2372</v>
      </c>
    </row>
    <row r="28" spans="1:7" ht="18" customHeight="1">
      <c r="A28" s="766"/>
      <c r="B28" s="182" t="s">
        <v>2374</v>
      </c>
      <c r="C28" s="494" t="s">
        <v>2373</v>
      </c>
      <c r="D28" s="182" t="s">
        <v>2375</v>
      </c>
      <c r="E28" s="494" t="s">
        <v>2373</v>
      </c>
      <c r="F28" s="182" t="s">
        <v>871</v>
      </c>
      <c r="G28" s="494" t="s">
        <v>2373</v>
      </c>
    </row>
    <row r="29" spans="1:7" ht="18" customHeight="1">
      <c r="A29" s="274"/>
      <c r="B29" s="182"/>
      <c r="C29" s="494" t="s">
        <v>2377</v>
      </c>
      <c r="D29" s="182"/>
      <c r="E29" s="494" t="s">
        <v>2377</v>
      </c>
      <c r="F29" s="182"/>
      <c r="G29" s="494" t="s">
        <v>2377</v>
      </c>
    </row>
    <row r="30" spans="1:7" ht="18" customHeight="1">
      <c r="A30" s="275" t="s">
        <v>821</v>
      </c>
      <c r="B30" s="188"/>
      <c r="C30" s="447"/>
      <c r="D30" s="188"/>
      <c r="E30" s="447"/>
      <c r="F30" s="188"/>
      <c r="G30" s="447"/>
    </row>
    <row r="31" spans="1:7" ht="1.5" customHeight="1" thickBot="1">
      <c r="A31" s="276">
        <v>1996</v>
      </c>
      <c r="B31" s="211" t="s">
        <v>1060</v>
      </c>
      <c r="C31" s="257" t="s">
        <v>1060</v>
      </c>
      <c r="D31" s="211" t="s">
        <v>1060</v>
      </c>
      <c r="E31" s="257" t="s">
        <v>1060</v>
      </c>
      <c r="F31" s="211" t="s">
        <v>1060</v>
      </c>
      <c r="G31" s="473" t="s">
        <v>1060</v>
      </c>
    </row>
    <row r="32" spans="1:7" ht="0.75" customHeight="1" thickBot="1">
      <c r="A32" s="278">
        <v>1997</v>
      </c>
      <c r="B32" s="211">
        <v>635</v>
      </c>
      <c r="C32" s="477" t="s">
        <v>1060</v>
      </c>
      <c r="D32" s="211">
        <v>1640.15</v>
      </c>
      <c r="E32" s="477" t="s">
        <v>1060</v>
      </c>
      <c r="F32" s="211">
        <v>2340.06</v>
      </c>
      <c r="G32" s="477" t="s">
        <v>1060</v>
      </c>
    </row>
    <row r="33" spans="1:7" ht="21" customHeight="1" thickBot="1">
      <c r="A33" s="278">
        <v>1998</v>
      </c>
      <c r="B33" s="211">
        <v>656.52</v>
      </c>
      <c r="C33" s="477">
        <v>3.388976377952746E-2</v>
      </c>
      <c r="D33" s="211">
        <v>1784.45</v>
      </c>
      <c r="E33" s="477">
        <v>8.7979757948968285E-2</v>
      </c>
      <c r="F33" s="211">
        <v>2512.02</v>
      </c>
      <c r="G33" s="477">
        <v>7.3485295248839844E-2</v>
      </c>
    </row>
    <row r="34" spans="1:7" ht="21" customHeight="1" thickBot="1">
      <c r="A34" s="278">
        <v>1999</v>
      </c>
      <c r="B34" s="211">
        <v>671.71</v>
      </c>
      <c r="C34" s="477">
        <v>2.3137147383171852E-2</v>
      </c>
      <c r="D34" s="211">
        <v>1815.15</v>
      </c>
      <c r="E34" s="477">
        <v>1.7204180559836191E-2</v>
      </c>
      <c r="F34" s="211">
        <v>2575.1999999999998</v>
      </c>
      <c r="G34" s="477">
        <v>2.5151073637948773E-2</v>
      </c>
    </row>
    <row r="35" spans="1:7" ht="21" customHeight="1" thickBot="1">
      <c r="A35" s="278">
        <v>2000</v>
      </c>
      <c r="B35" s="211">
        <v>693.68</v>
      </c>
      <c r="C35" s="477">
        <v>3.2707567253725589E-2</v>
      </c>
      <c r="D35" s="211">
        <v>1808.28</v>
      </c>
      <c r="E35" s="477">
        <v>-3.784811172630298E-3</v>
      </c>
      <c r="F35" s="211">
        <v>2662.32</v>
      </c>
      <c r="G35" s="477">
        <v>3.3830382106244228E-2</v>
      </c>
    </row>
    <row r="36" spans="1:7" ht="21" customHeight="1" thickBot="1">
      <c r="A36" s="278">
        <v>2001</v>
      </c>
      <c r="B36" s="211">
        <v>727.82</v>
      </c>
      <c r="C36" s="477">
        <v>4.9215776727020932E-2</v>
      </c>
      <c r="D36" s="211">
        <v>1832.96</v>
      </c>
      <c r="E36" s="477">
        <v>1.364832879863731E-2</v>
      </c>
      <c r="F36" s="211">
        <v>2775.24</v>
      </c>
      <c r="G36" s="477">
        <v>4.2414135040115264E-2</v>
      </c>
    </row>
    <row r="37" spans="1:7" ht="21" customHeight="1" thickBot="1">
      <c r="A37" s="278">
        <v>2002</v>
      </c>
      <c r="B37" s="211">
        <v>787.47</v>
      </c>
      <c r="C37" s="477">
        <v>8.1957077299332326E-2</v>
      </c>
      <c r="D37" s="211">
        <v>2041.33</v>
      </c>
      <c r="E37" s="477">
        <v>0.11367951291899425</v>
      </c>
      <c r="F37" s="211">
        <v>2988.54</v>
      </c>
      <c r="G37" s="477">
        <v>7.6858217667661322E-2</v>
      </c>
    </row>
    <row r="38" spans="1:7" ht="21" customHeight="1" thickBot="1">
      <c r="A38" s="278">
        <v>2003</v>
      </c>
      <c r="B38" s="211">
        <v>852.56</v>
      </c>
      <c r="C38" s="477">
        <v>8.2657117096524457E-2</v>
      </c>
      <c r="D38" s="211">
        <v>2294.29</v>
      </c>
      <c r="E38" s="477">
        <v>0.12391920953496016</v>
      </c>
      <c r="F38" s="211">
        <v>3212.78</v>
      </c>
      <c r="G38" s="477">
        <v>7.5033293849170679E-2</v>
      </c>
    </row>
    <row r="39" spans="1:7" ht="21" customHeight="1" thickBot="1">
      <c r="A39" s="278">
        <v>2004</v>
      </c>
      <c r="B39" s="211">
        <v>892.68</v>
      </c>
      <c r="C39" s="477">
        <v>4.7058271558600095E-2</v>
      </c>
      <c r="D39" s="211">
        <v>2519.3000000000002</v>
      </c>
      <c r="E39" s="477">
        <v>9.8073913934158208E-2</v>
      </c>
      <c r="F39" s="211">
        <v>3430.62</v>
      </c>
      <c r="G39" s="477">
        <v>6.7804206948499424E-2</v>
      </c>
    </row>
    <row r="40" spans="1:7" ht="21" customHeight="1" thickBot="1">
      <c r="A40" s="278">
        <v>2005</v>
      </c>
      <c r="B40" s="211">
        <v>898.43</v>
      </c>
      <c r="C40" s="477">
        <v>6.4412779495450767E-3</v>
      </c>
      <c r="D40" s="211">
        <v>2598.67</v>
      </c>
      <c r="E40" s="477">
        <v>3.1504783074663756E-2</v>
      </c>
      <c r="F40" s="211">
        <v>3506.02</v>
      </c>
      <c r="G40" s="477">
        <v>2.1978534492307578E-2</v>
      </c>
    </row>
    <row r="41" spans="1:7" ht="21" customHeight="1" thickBot="1">
      <c r="A41" s="278">
        <v>2006</v>
      </c>
      <c r="B41" s="211">
        <v>921.03</v>
      </c>
      <c r="C41" s="477">
        <v>2.5154992598199311E-2</v>
      </c>
      <c r="D41" s="211">
        <v>2701.55</v>
      </c>
      <c r="E41" s="477">
        <v>3.9589482312105906E-2</v>
      </c>
      <c r="F41" s="211">
        <v>3630.2</v>
      </c>
      <c r="G41" s="477">
        <v>3.5419079183803825E-2</v>
      </c>
    </row>
    <row r="42" spans="1:7" ht="21" customHeight="1" thickBot="1">
      <c r="A42" s="278">
        <v>2007</v>
      </c>
      <c r="B42" s="211">
        <v>923.76</v>
      </c>
      <c r="C42" s="477">
        <v>2.9640728315036835E-3</v>
      </c>
      <c r="D42" s="211">
        <v>2720.47</v>
      </c>
      <c r="E42" s="477">
        <v>7.0033869445316199E-3</v>
      </c>
      <c r="F42" s="211">
        <v>3670.56</v>
      </c>
      <c r="G42" s="477">
        <v>1.1117844746845851E-2</v>
      </c>
    </row>
    <row r="43" spans="1:7" ht="21" customHeight="1" thickBot="1">
      <c r="A43" s="780">
        <v>2008</v>
      </c>
      <c r="B43" s="442">
        <v>900.7570192948325</v>
      </c>
      <c r="C43" s="777">
        <v>-2.4901468677110405E-2</v>
      </c>
      <c r="D43" s="442">
        <v>2711.5696629149288</v>
      </c>
      <c r="E43" s="777">
        <v>-3.2716174356162142E-3</v>
      </c>
      <c r="F43" s="442">
        <v>3651.1711467075061</v>
      </c>
      <c r="G43" s="777">
        <v>-5.2822602797650831E-3</v>
      </c>
    </row>
    <row r="44" spans="1:7" ht="15" customHeight="1">
      <c r="A44" s="624" t="s">
        <v>399</v>
      </c>
    </row>
    <row r="46" spans="1:7">
      <c r="A46" s="744" t="str">
        <f>A22</f>
        <v>Quelle: T 3.12 + 2.02</v>
      </c>
    </row>
    <row r="48" spans="1:7">
      <c r="A48" s="266" t="s">
        <v>1127</v>
      </c>
    </row>
    <row r="51" spans="1:1">
      <c r="A51" s="2" t="s">
        <v>711</v>
      </c>
    </row>
  </sheetData>
  <mergeCells count="1">
    <mergeCell ref="A2:E2"/>
  </mergeCells>
  <phoneticPr fontId="0" type="noConversion"/>
  <pageMargins left="0.56000000000000005" right="0.54" top="0.5" bottom="0.49" header="0.36" footer="0.4921259845"/>
  <pageSetup paperSize="9" scale="72" orientation="portrait" horizontalDpi="1200" verticalDpi="1200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50B9-EF31-E045-96D0-8DDC01ED5B16}">
  <sheetPr>
    <pageSetUpPr fitToPage="1"/>
  </sheetPr>
  <dimension ref="A1:K32"/>
  <sheetViews>
    <sheetView topLeftCell="A13" zoomScale="75" workbookViewId="0">
      <selection activeCell="J9" sqref="J9"/>
    </sheetView>
  </sheetViews>
  <sheetFormatPr baseColWidth="10" defaultColWidth="11.3984375" defaultRowHeight="13"/>
  <cols>
    <col min="1" max="1" width="20.796875" style="2" customWidth="1"/>
    <col min="2" max="7" width="14.19921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773" t="s">
        <v>1640</v>
      </c>
      <c r="G2" s="428"/>
    </row>
    <row r="3" spans="1:11" ht="24" customHeight="1">
      <c r="A3" s="178" t="s">
        <v>821</v>
      </c>
      <c r="B3" s="179" t="s">
        <v>2042</v>
      </c>
      <c r="C3" s="180" t="s">
        <v>2372</v>
      </c>
      <c r="D3" s="179" t="s">
        <v>81</v>
      </c>
      <c r="E3" s="180" t="s">
        <v>2372</v>
      </c>
      <c r="F3" s="179" t="s">
        <v>2043</v>
      </c>
      <c r="G3" s="180" t="s">
        <v>2372</v>
      </c>
    </row>
    <row r="4" spans="1:11" ht="15" customHeight="1">
      <c r="A4" s="274"/>
      <c r="B4" s="182"/>
      <c r="C4" s="183" t="s">
        <v>2373</v>
      </c>
      <c r="D4" s="182" t="s">
        <v>2044</v>
      </c>
      <c r="E4" s="183" t="s">
        <v>2373</v>
      </c>
      <c r="F4" s="182"/>
      <c r="G4" s="183" t="s">
        <v>2373</v>
      </c>
    </row>
    <row r="5" spans="1:11" ht="15" customHeight="1">
      <c r="A5" s="274"/>
      <c r="B5" s="182"/>
      <c r="C5" s="183" t="s">
        <v>2377</v>
      </c>
      <c r="D5" s="182"/>
      <c r="E5" s="183" t="s">
        <v>2377</v>
      </c>
      <c r="F5" s="182"/>
      <c r="G5" s="183" t="s">
        <v>2377</v>
      </c>
    </row>
    <row r="6" spans="1:11" ht="24" customHeight="1">
      <c r="A6" s="275"/>
      <c r="B6" s="188"/>
      <c r="C6" s="187"/>
      <c r="D6" s="188"/>
      <c r="E6" s="187"/>
      <c r="F6" s="188"/>
      <c r="G6" s="187"/>
    </row>
    <row r="7" spans="1:11" ht="2.25" customHeight="1" thickBot="1">
      <c r="A7" s="276">
        <v>1996</v>
      </c>
      <c r="B7" s="211">
        <v>5599991</v>
      </c>
      <c r="C7" s="212">
        <v>-1.7950663164953688E-2</v>
      </c>
      <c r="D7" s="211">
        <v>1117084</v>
      </c>
      <c r="E7" s="212">
        <v>-7.0395014962435803E-2</v>
      </c>
      <c r="F7" s="211">
        <v>18812841</v>
      </c>
      <c r="G7" s="212">
        <v>-0.15548674078736344</v>
      </c>
    </row>
    <row r="8" spans="1:11" ht="0.75" customHeight="1" thickBot="1">
      <c r="A8" s="278">
        <v>1997</v>
      </c>
      <c r="B8" s="213">
        <v>5669325</v>
      </c>
      <c r="C8" s="214">
        <v>1.2381091326753918E-2</v>
      </c>
      <c r="D8" s="213">
        <v>1150122</v>
      </c>
      <c r="E8" s="214">
        <v>2.9575215471710273E-2</v>
      </c>
      <c r="F8" s="213">
        <v>18987651</v>
      </c>
      <c r="G8" s="214">
        <v>9.2920574835028899E-3</v>
      </c>
      <c r="I8" s="8"/>
      <c r="J8" s="8"/>
      <c r="K8" s="8"/>
    </row>
    <row r="9" spans="1:11" ht="20" customHeight="1" thickBot="1">
      <c r="A9" s="278">
        <v>1998</v>
      </c>
      <c r="B9" s="213">
        <v>5768621</v>
      </c>
      <c r="C9" s="214">
        <v>1.7514607118131346E-2</v>
      </c>
      <c r="D9" s="213">
        <v>1154759</v>
      </c>
      <c r="E9" s="214">
        <v>4.0317461973599323E-3</v>
      </c>
      <c r="F9" s="213">
        <v>17067058</v>
      </c>
      <c r="G9" s="214">
        <v>-0.10114958401120813</v>
      </c>
    </row>
    <row r="10" spans="1:11" ht="20" customHeight="1" thickBot="1">
      <c r="A10" s="278">
        <v>1999</v>
      </c>
      <c r="B10" s="213">
        <v>5833167</v>
      </c>
      <c r="C10" s="214">
        <v>1.1189155952523141E-2</v>
      </c>
      <c r="D10" s="213">
        <v>1096033</v>
      </c>
      <c r="E10" s="214">
        <v>-5.085563308014919E-2</v>
      </c>
      <c r="F10" s="213">
        <v>12747160</v>
      </c>
      <c r="G10" s="214">
        <v>-0.25311321963047173</v>
      </c>
    </row>
    <row r="11" spans="1:11" ht="19.5" customHeight="1" thickBot="1">
      <c r="A11" s="278">
        <v>2000</v>
      </c>
      <c r="B11" s="213">
        <v>5947035</v>
      </c>
      <c r="C11" s="214">
        <v>1.9520785192674923E-2</v>
      </c>
      <c r="D11" s="213">
        <v>1097932</v>
      </c>
      <c r="E11" s="214">
        <v>1.7326120655126261E-3</v>
      </c>
      <c r="F11" s="213">
        <v>12447351</v>
      </c>
      <c r="G11" s="214">
        <v>-2.3519670263807781E-2</v>
      </c>
    </row>
    <row r="12" spans="1:11" ht="19.5" customHeight="1" thickBot="1">
      <c r="A12" s="278">
        <v>2001</v>
      </c>
      <c r="B12" s="213">
        <v>6043905</v>
      </c>
      <c r="C12" s="214">
        <v>1.6288789287434831E-2</v>
      </c>
      <c r="D12" s="213">
        <v>1193315</v>
      </c>
      <c r="E12" s="214">
        <v>8.6875143451507014E-2</v>
      </c>
      <c r="F12" s="213">
        <v>12514126</v>
      </c>
      <c r="G12" s="214">
        <v>5.3645952460085683E-3</v>
      </c>
    </row>
    <row r="13" spans="1:11" ht="19.5" customHeight="1" thickBot="1">
      <c r="A13" s="278">
        <v>2002</v>
      </c>
      <c r="B13" s="213">
        <v>6170788</v>
      </c>
      <c r="C13" s="214">
        <v>2.0993546390950885E-2</v>
      </c>
      <c r="D13" s="213">
        <v>1207239</v>
      </c>
      <c r="E13" s="214">
        <v>1.1668335686721444E-2</v>
      </c>
      <c r="F13" s="213">
        <v>12391461</v>
      </c>
      <c r="G13" s="214">
        <v>-9.8021228170469109E-3</v>
      </c>
    </row>
    <row r="14" spans="1:11" ht="19.5" customHeight="1" thickBot="1">
      <c r="A14" s="278">
        <v>2003</v>
      </c>
      <c r="B14" s="213">
        <v>6105077</v>
      </c>
      <c r="C14" s="214">
        <v>-1.0648721038544834E-2</v>
      </c>
      <c r="D14" s="213">
        <v>1148028</v>
      </c>
      <c r="E14" s="214">
        <v>-4.904662622728391E-2</v>
      </c>
      <c r="F14" s="213">
        <v>11395671</v>
      </c>
      <c r="G14" s="214">
        <v>-8.0360984067980368E-2</v>
      </c>
    </row>
    <row r="15" spans="1:11" ht="19.5" customHeight="1" thickBot="1">
      <c r="A15" s="278">
        <v>2004</v>
      </c>
      <c r="B15" s="213">
        <v>6076231</v>
      </c>
      <c r="C15" s="214">
        <v>-4.7249199313948043E-3</v>
      </c>
      <c r="D15" s="213">
        <v>1196146</v>
      </c>
      <c r="E15" s="214">
        <v>4.191361186312529E-2</v>
      </c>
      <c r="F15" s="213">
        <v>11754955</v>
      </c>
      <c r="G15" s="214">
        <v>3.1528112736845422E-2</v>
      </c>
    </row>
    <row r="16" spans="1:11" ht="19.5" customHeight="1" thickBot="1">
      <c r="A16" s="278">
        <v>2005</v>
      </c>
      <c r="B16" s="213">
        <v>6104057</v>
      </c>
      <c r="C16" s="214">
        <v>4.5794835647294807E-3</v>
      </c>
      <c r="D16" s="213">
        <v>1219455</v>
      </c>
      <c r="E16" s="214">
        <v>1.948675161727742E-2</v>
      </c>
      <c r="F16" s="213">
        <v>11492862</v>
      </c>
      <c r="G16" s="214">
        <v>-2.2296384801132829E-2</v>
      </c>
    </row>
    <row r="17" spans="1:7" ht="19.5" customHeight="1" thickBot="1">
      <c r="A17" s="278">
        <v>2006</v>
      </c>
      <c r="B17" s="213">
        <v>6139775</v>
      </c>
      <c r="C17" s="214">
        <v>5.8515180968985447E-3</v>
      </c>
      <c r="D17" s="213">
        <v>1147933</v>
      </c>
      <c r="E17" s="214">
        <v>-5.86507907220849E-2</v>
      </c>
      <c r="F17" s="213">
        <v>11050113</v>
      </c>
      <c r="G17" s="214">
        <v>-3.8523824613921231E-2</v>
      </c>
    </row>
    <row r="18" spans="1:7" ht="19.5" customHeight="1" thickBot="1">
      <c r="A18" s="278">
        <v>2007</v>
      </c>
      <c r="B18" s="213">
        <v>6170950</v>
      </c>
      <c r="C18" s="214">
        <v>5.0775476300026767E-3</v>
      </c>
      <c r="D18" s="213">
        <v>1232442</v>
      </c>
      <c r="E18" s="214">
        <v>7.3618408042978034E-2</v>
      </c>
      <c r="F18" s="213">
        <v>11706006</v>
      </c>
      <c r="G18" s="214">
        <v>5.935622558791942E-2</v>
      </c>
    </row>
    <row r="19" spans="1:7" ht="30" customHeight="1" thickBot="1">
      <c r="A19" s="429">
        <v>2008</v>
      </c>
      <c r="B19" s="1079">
        <v>6246787.7832813188</v>
      </c>
      <c r="C19" s="1080">
        <v>1.2289482702228849E-2</v>
      </c>
      <c r="D19" s="430">
        <v>1283429</v>
      </c>
      <c r="E19" s="216">
        <v>4.1370709534404027E-2</v>
      </c>
      <c r="F19" s="430">
        <v>11789734</v>
      </c>
      <c r="G19" s="216">
        <v>7.152567664838072E-3</v>
      </c>
    </row>
    <row r="20" spans="1:7" ht="19.5" customHeight="1">
      <c r="A20" s="201" t="s">
        <v>764</v>
      </c>
      <c r="B20" s="201"/>
      <c r="C20" s="201"/>
      <c r="D20" s="201"/>
      <c r="E20" s="201"/>
      <c r="F20" s="201"/>
      <c r="G20" s="201"/>
    </row>
    <row r="21" spans="1:7" ht="12.75" customHeight="1">
      <c r="A21" s="202"/>
      <c r="B21" s="202"/>
      <c r="C21" s="202"/>
      <c r="D21" s="202"/>
      <c r="E21" s="202"/>
      <c r="F21" s="202"/>
      <c r="G21" s="202"/>
    </row>
    <row r="22" spans="1:7" ht="12.75" customHeight="1">
      <c r="A22" s="202" t="s">
        <v>82</v>
      </c>
      <c r="B22" s="202"/>
      <c r="C22" s="202"/>
      <c r="D22" s="202"/>
      <c r="E22" s="202"/>
      <c r="F22" s="202"/>
      <c r="G22" s="202"/>
    </row>
    <row r="23" spans="1:7" ht="12.75" customHeight="1">
      <c r="A23" s="202" t="s">
        <v>83</v>
      </c>
      <c r="B23" s="202"/>
      <c r="C23" s="202"/>
      <c r="D23" s="202"/>
      <c r="E23" s="202"/>
      <c r="F23" s="202"/>
      <c r="G23" s="202"/>
    </row>
    <row r="24" spans="1:7" ht="12.75" customHeight="1">
      <c r="A24" s="2" t="s">
        <v>2037</v>
      </c>
    </row>
    <row r="25" spans="1:7" ht="12.75" customHeight="1">
      <c r="A25" s="2" t="s">
        <v>2038</v>
      </c>
    </row>
    <row r="26" spans="1:7" ht="12.75" customHeight="1">
      <c r="A26" s="2" t="s">
        <v>2039</v>
      </c>
    </row>
    <row r="27" spans="1:7" ht="12.75" customHeight="1">
      <c r="A27" s="2" t="s">
        <v>2040</v>
      </c>
    </row>
    <row r="29" spans="1:7">
      <c r="A29" s="2" t="s">
        <v>2041</v>
      </c>
    </row>
    <row r="32" spans="1:7">
      <c r="A32" s="2" t="s">
        <v>711</v>
      </c>
    </row>
  </sheetData>
  <phoneticPr fontId="0" type="noConversion"/>
  <pageMargins left="0.53" right="0.47" top="0.92" bottom="0.49" header="0.54" footer="0.4921259845"/>
  <pageSetup paperSize="9" scale="86" orientation="portrait" horizontalDpi="4294967292" verticalDpi="4294967292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E5D8-0017-EF4D-9F87-C62BDEE86F76}">
  <sheetPr>
    <pageSetUpPr fitToPage="1"/>
  </sheetPr>
  <dimension ref="A1:L38"/>
  <sheetViews>
    <sheetView topLeftCell="C1" zoomScale="75" workbookViewId="0"/>
  </sheetViews>
  <sheetFormatPr baseColWidth="10" defaultColWidth="11.3984375" defaultRowHeight="13"/>
  <cols>
    <col min="1" max="1" width="10" style="2" customWidth="1"/>
    <col min="2" max="2" width="13.796875" style="225" customWidth="1"/>
    <col min="3" max="3" width="13.3984375" style="225" customWidth="1"/>
    <col min="4" max="4" width="12.59765625" style="225" customWidth="1"/>
    <col min="5" max="5" width="14.19921875" style="225" customWidth="1"/>
    <col min="6" max="6" width="13.796875" style="225" customWidth="1"/>
    <col min="7" max="7" width="14.59765625" style="225" customWidth="1"/>
    <col min="8" max="8" width="13.796875" style="225" customWidth="1"/>
    <col min="9" max="9" width="12.3984375" style="225" customWidth="1"/>
    <col min="10" max="11" width="14.19921875" style="225" customWidth="1"/>
    <col min="12" max="16384" width="11.3984375" style="2"/>
  </cols>
  <sheetData>
    <row r="1" spans="1:12" s="1" customFormat="1" ht="14" customHeight="1">
      <c r="A1" s="360"/>
      <c r="B1" s="1193"/>
      <c r="C1" s="1193"/>
      <c r="D1" s="1193"/>
      <c r="E1" s="1193"/>
      <c r="F1" s="1193"/>
      <c r="G1" s="1193"/>
      <c r="H1" s="1193"/>
      <c r="I1" s="1193"/>
      <c r="J1" s="1193"/>
      <c r="K1" s="1193"/>
    </row>
    <row r="2" spans="1:12" s="1" customFormat="1" ht="27" customHeight="1">
      <c r="A2" s="1216" t="s">
        <v>780</v>
      </c>
      <c r="B2" s="1304"/>
      <c r="C2" s="1304"/>
      <c r="D2" s="1304"/>
      <c r="E2" s="1304"/>
      <c r="F2" s="1304"/>
      <c r="G2" s="1304"/>
      <c r="H2" s="1304"/>
      <c r="I2" s="1304"/>
      <c r="J2" s="1304"/>
      <c r="K2" s="433"/>
    </row>
    <row r="3" spans="1:12" ht="20" customHeight="1">
      <c r="A3" s="274" t="s">
        <v>821</v>
      </c>
      <c r="B3" s="1316" t="s">
        <v>769</v>
      </c>
      <c r="C3" s="183"/>
      <c r="D3" s="182"/>
      <c r="E3" s="274"/>
      <c r="F3" s="302" t="s">
        <v>164</v>
      </c>
      <c r="G3" s="1317" t="s">
        <v>177</v>
      </c>
      <c r="H3" s="678"/>
      <c r="I3" s="274"/>
      <c r="J3" s="184"/>
      <c r="K3" s="303" t="s">
        <v>164</v>
      </c>
    </row>
    <row r="4" spans="1:12" ht="32.25" customHeight="1">
      <c r="A4" s="274"/>
      <c r="B4" s="1318" t="s">
        <v>781</v>
      </c>
      <c r="C4" s="1319"/>
      <c r="D4" s="1320" t="s">
        <v>164</v>
      </c>
      <c r="E4" s="1321" t="s">
        <v>782</v>
      </c>
      <c r="F4" s="678"/>
      <c r="G4" s="1322" t="s">
        <v>781</v>
      </c>
      <c r="H4" s="1318"/>
      <c r="I4" s="1319" t="s">
        <v>164</v>
      </c>
      <c r="J4" s="1323" t="s">
        <v>782</v>
      </c>
      <c r="K4" s="181"/>
    </row>
    <row r="5" spans="1:12" ht="15" customHeight="1">
      <c r="A5" s="274"/>
      <c r="B5" s="182" t="s">
        <v>783</v>
      </c>
      <c r="C5" s="183" t="s">
        <v>2257</v>
      </c>
      <c r="D5" s="182"/>
      <c r="E5" s="183" t="s">
        <v>2257</v>
      </c>
      <c r="F5" s="182"/>
      <c r="G5" s="1324" t="s">
        <v>783</v>
      </c>
      <c r="H5" s="182" t="s">
        <v>2257</v>
      </c>
      <c r="I5" s="183"/>
      <c r="J5" s="182" t="s">
        <v>2257</v>
      </c>
      <c r="K5" s="183"/>
    </row>
    <row r="6" spans="1:12" ht="15" customHeight="1">
      <c r="A6" s="274"/>
      <c r="B6" s="436" t="s">
        <v>2257</v>
      </c>
      <c r="C6" s="920" t="s">
        <v>789</v>
      </c>
      <c r="D6" s="436"/>
      <c r="E6" s="920" t="s">
        <v>1148</v>
      </c>
      <c r="F6" s="182"/>
      <c r="G6" s="1325" t="s">
        <v>2257</v>
      </c>
      <c r="H6" s="182" t="s">
        <v>789</v>
      </c>
      <c r="I6" s="183"/>
      <c r="J6" s="182" t="s">
        <v>1148</v>
      </c>
      <c r="K6" s="183"/>
    </row>
    <row r="7" spans="1:12" ht="15" customHeight="1">
      <c r="A7" s="274"/>
      <c r="B7" s="436" t="s">
        <v>790</v>
      </c>
      <c r="C7" s="920"/>
      <c r="D7" s="436"/>
      <c r="E7" s="920"/>
      <c r="F7" s="436"/>
      <c r="G7" s="1325" t="s">
        <v>790</v>
      </c>
      <c r="H7" s="182"/>
      <c r="I7" s="183"/>
      <c r="J7" s="182"/>
      <c r="K7" s="183"/>
    </row>
    <row r="8" spans="1:12" ht="20" customHeight="1">
      <c r="A8" s="378"/>
      <c r="B8" s="188"/>
      <c r="C8" s="187"/>
      <c r="D8" s="188"/>
      <c r="E8" s="187"/>
      <c r="F8" s="188"/>
      <c r="G8" s="1326"/>
      <c r="H8" s="188"/>
      <c r="I8" s="187"/>
      <c r="J8" s="188"/>
      <c r="K8" s="187"/>
    </row>
    <row r="9" spans="1:12" ht="1.5" customHeight="1" thickBot="1">
      <c r="A9" s="437">
        <v>1991</v>
      </c>
      <c r="B9" s="1327">
        <v>996.2</v>
      </c>
      <c r="C9" s="1328" t="s">
        <v>1060</v>
      </c>
      <c r="D9" s="1327">
        <v>996.2</v>
      </c>
      <c r="E9" s="1328">
        <v>780</v>
      </c>
      <c r="F9" s="1327">
        <v>1776.2</v>
      </c>
      <c r="G9" s="1329">
        <v>885.4</v>
      </c>
      <c r="H9" s="1327" t="s">
        <v>1060</v>
      </c>
      <c r="I9" s="1328">
        <v>885.4</v>
      </c>
      <c r="J9" s="497">
        <v>649.4</v>
      </c>
      <c r="K9" s="277">
        <v>1534.8</v>
      </c>
    </row>
    <row r="10" spans="1:12" ht="20" hidden="1" customHeight="1" thickBot="1">
      <c r="A10" s="438">
        <v>1992</v>
      </c>
      <c r="B10" s="1162">
        <v>1003.8</v>
      </c>
      <c r="C10" s="1328" t="s">
        <v>1060</v>
      </c>
      <c r="D10" s="1327">
        <v>1003.8</v>
      </c>
      <c r="E10" s="1330">
        <v>897</v>
      </c>
      <c r="F10" s="1331">
        <v>1900.8</v>
      </c>
      <c r="G10" s="1332">
        <v>923.2</v>
      </c>
      <c r="H10" s="1327" t="s">
        <v>1060</v>
      </c>
      <c r="I10" s="1328">
        <v>923.2</v>
      </c>
      <c r="J10" s="1230">
        <v>783.9</v>
      </c>
      <c r="K10" s="1333">
        <v>1707.1</v>
      </c>
    </row>
    <row r="11" spans="1:12" ht="20" hidden="1" customHeight="1" thickBot="1">
      <c r="A11" s="438">
        <v>1993</v>
      </c>
      <c r="B11" s="1162">
        <v>1026.2</v>
      </c>
      <c r="C11" s="1328" t="s">
        <v>1060</v>
      </c>
      <c r="D11" s="1327">
        <v>1026.2</v>
      </c>
      <c r="E11" s="1330">
        <v>932.8</v>
      </c>
      <c r="F11" s="1331">
        <v>1959</v>
      </c>
      <c r="G11" s="1332">
        <v>928.41399999999999</v>
      </c>
      <c r="H11" s="1327" t="s">
        <v>1060</v>
      </c>
      <c r="I11" s="1328">
        <v>928.41399999999999</v>
      </c>
      <c r="J11" s="1230">
        <v>833.7</v>
      </c>
      <c r="K11" s="1333">
        <v>1762.114</v>
      </c>
    </row>
    <row r="12" spans="1:12" ht="20" hidden="1" customHeight="1" thickBot="1">
      <c r="A12" s="438">
        <v>1994</v>
      </c>
      <c r="B12" s="1162">
        <v>1052.2</v>
      </c>
      <c r="C12" s="1328" t="s">
        <v>1060</v>
      </c>
      <c r="D12" s="1327">
        <v>1052.2</v>
      </c>
      <c r="E12" s="1330">
        <v>931.1</v>
      </c>
      <c r="F12" s="1331">
        <v>1983.3</v>
      </c>
      <c r="G12" s="1332">
        <v>983.23500000000001</v>
      </c>
      <c r="H12" s="1327" t="s">
        <v>1060</v>
      </c>
      <c r="I12" s="1328">
        <v>983.23500000000001</v>
      </c>
      <c r="J12" s="1230">
        <v>876.1</v>
      </c>
      <c r="K12" s="1333">
        <v>1859.335</v>
      </c>
    </row>
    <row r="13" spans="1:12" ht="19.5" hidden="1" customHeight="1" thickBot="1">
      <c r="A13" s="438">
        <v>1995</v>
      </c>
      <c r="B13" s="1162">
        <v>1073.0999999999999</v>
      </c>
      <c r="C13" s="1328" t="s">
        <v>1060</v>
      </c>
      <c r="D13" s="1327">
        <v>1073.0999999999999</v>
      </c>
      <c r="E13" s="1330">
        <v>935</v>
      </c>
      <c r="F13" s="1331">
        <v>2008.1</v>
      </c>
      <c r="G13" s="1332">
        <v>1017.388</v>
      </c>
      <c r="H13" s="1327" t="s">
        <v>1060</v>
      </c>
      <c r="I13" s="1328">
        <v>1017.388</v>
      </c>
      <c r="J13" s="1230">
        <v>901.4</v>
      </c>
      <c r="K13" s="1333">
        <v>1918.788</v>
      </c>
    </row>
    <row r="14" spans="1:12" ht="0.75" hidden="1" customHeight="1" thickBot="1">
      <c r="A14" s="438">
        <v>1996</v>
      </c>
      <c r="B14" s="1162">
        <v>832</v>
      </c>
      <c r="C14" s="1330">
        <v>180.9</v>
      </c>
      <c r="D14" s="1331">
        <v>1012.9</v>
      </c>
      <c r="E14" s="1330">
        <v>978.3</v>
      </c>
      <c r="F14" s="1331">
        <v>1991.2</v>
      </c>
      <c r="G14" s="1332">
        <v>872.50191104999999</v>
      </c>
      <c r="H14" s="1334">
        <v>116.7</v>
      </c>
      <c r="I14" s="1335">
        <v>989.20191105000004</v>
      </c>
      <c r="J14" s="1230">
        <v>846.1</v>
      </c>
      <c r="K14" s="1333">
        <v>1835.3019110499999</v>
      </c>
      <c r="L14"/>
    </row>
    <row r="15" spans="1:12" ht="19.5" hidden="1" customHeight="1" thickBot="1">
      <c r="A15" s="438">
        <v>1997</v>
      </c>
      <c r="B15" s="1162">
        <v>558.9</v>
      </c>
      <c r="C15" s="501">
        <v>393.8</v>
      </c>
      <c r="D15" s="1327">
        <v>952.7</v>
      </c>
      <c r="E15" s="501">
        <v>1319.9</v>
      </c>
      <c r="F15" s="1327">
        <v>2272.6</v>
      </c>
      <c r="G15" s="1332">
        <v>621.52611999999999</v>
      </c>
      <c r="H15" s="499">
        <v>335.7</v>
      </c>
      <c r="I15" s="1328">
        <v>957.22612000000004</v>
      </c>
      <c r="J15" s="499">
        <v>1082.8</v>
      </c>
      <c r="K15" s="277">
        <v>2040.02612</v>
      </c>
      <c r="L15"/>
    </row>
    <row r="16" spans="1:12" ht="20" customHeight="1" thickBot="1">
      <c r="A16" s="438">
        <v>1998</v>
      </c>
      <c r="B16" s="1162">
        <v>509.6</v>
      </c>
      <c r="C16" s="501">
        <v>508.1</v>
      </c>
      <c r="D16" s="1327">
        <v>1017.7</v>
      </c>
      <c r="E16" s="501">
        <v>1428.4</v>
      </c>
      <c r="F16" s="1327">
        <v>2446.1</v>
      </c>
      <c r="G16" s="1332">
        <v>456.36259100000001</v>
      </c>
      <c r="H16" s="499">
        <v>453.7</v>
      </c>
      <c r="I16" s="1328">
        <v>910.062591</v>
      </c>
      <c r="J16" s="499">
        <v>1137.0999999999999</v>
      </c>
      <c r="K16" s="277">
        <v>2047.1625909999998</v>
      </c>
      <c r="L16"/>
    </row>
    <row r="17" spans="1:12" ht="20" customHeight="1" thickBot="1">
      <c r="A17" s="438">
        <v>1999</v>
      </c>
      <c r="B17" s="1162">
        <v>462.9</v>
      </c>
      <c r="C17" s="501">
        <v>442.7</v>
      </c>
      <c r="D17" s="1327">
        <v>905.6</v>
      </c>
      <c r="E17" s="501">
        <v>1337.8</v>
      </c>
      <c r="F17" s="1327">
        <v>2243.4</v>
      </c>
      <c r="G17" s="1332">
        <v>412.14915300000001</v>
      </c>
      <c r="H17" s="499">
        <v>385.2</v>
      </c>
      <c r="I17" s="1328">
        <v>797.349153</v>
      </c>
      <c r="J17" s="499">
        <v>1077.5</v>
      </c>
      <c r="K17" s="277">
        <v>1874.8491530000001</v>
      </c>
      <c r="L17"/>
    </row>
    <row r="18" spans="1:12" ht="20" customHeight="1" thickBot="1">
      <c r="A18" s="438">
        <v>2000</v>
      </c>
      <c r="B18" s="1162">
        <v>438.9</v>
      </c>
      <c r="C18" s="501">
        <v>339.7</v>
      </c>
      <c r="D18" s="1327">
        <v>778.6</v>
      </c>
      <c r="E18" s="501">
        <v>1636.2</v>
      </c>
      <c r="F18" s="1327">
        <v>2414.8000000000002</v>
      </c>
      <c r="G18" s="1332">
        <v>381.63992000000002</v>
      </c>
      <c r="H18" s="499">
        <v>299.2</v>
      </c>
      <c r="I18" s="1328">
        <v>680.83992000000001</v>
      </c>
      <c r="J18" s="499">
        <v>1334.1</v>
      </c>
      <c r="K18" s="277">
        <v>2014.9399199999998</v>
      </c>
      <c r="L18"/>
    </row>
    <row r="19" spans="1:12" ht="20" customHeight="1" thickBot="1">
      <c r="A19" s="438">
        <v>2001</v>
      </c>
      <c r="B19" s="1162">
        <v>398.65</v>
      </c>
      <c r="C19" s="501">
        <v>248.38</v>
      </c>
      <c r="D19" s="1327">
        <v>647.03</v>
      </c>
      <c r="E19" s="501">
        <v>1850.78</v>
      </c>
      <c r="F19" s="1327">
        <v>2497.81</v>
      </c>
      <c r="G19" s="1332">
        <v>351.97137099999998</v>
      </c>
      <c r="H19" s="499">
        <v>201.85</v>
      </c>
      <c r="I19" s="1328">
        <v>553.821371</v>
      </c>
      <c r="J19" s="499">
        <v>1595.15</v>
      </c>
      <c r="K19" s="277">
        <v>2148.9713710000001</v>
      </c>
      <c r="L19"/>
    </row>
    <row r="20" spans="1:12" ht="20" customHeight="1" thickBot="1">
      <c r="A20" s="438">
        <v>2002</v>
      </c>
      <c r="B20" s="1162">
        <v>370.90300000000002</v>
      </c>
      <c r="C20" s="501">
        <v>248.779527</v>
      </c>
      <c r="D20" s="1327">
        <v>619.68252700000005</v>
      </c>
      <c r="E20" s="501">
        <v>1945.9522629999999</v>
      </c>
      <c r="F20" s="1327">
        <v>2565.6347900000001</v>
      </c>
      <c r="G20" s="1332">
        <v>329.149</v>
      </c>
      <c r="H20" s="499">
        <v>227.06825000000001</v>
      </c>
      <c r="I20" s="1328">
        <v>556.21725000000004</v>
      </c>
      <c r="J20" s="499">
        <v>1700.9860189999999</v>
      </c>
      <c r="K20" s="277">
        <v>2257.2032690000001</v>
      </c>
      <c r="L20"/>
    </row>
    <row r="21" spans="1:12" ht="20" customHeight="1" thickBot="1">
      <c r="A21" s="438">
        <v>2003</v>
      </c>
      <c r="B21" s="1162">
        <v>354.08080662000003</v>
      </c>
      <c r="C21" s="501">
        <v>295.50233600000001</v>
      </c>
      <c r="D21" s="1327">
        <v>649.58314261999999</v>
      </c>
      <c r="E21" s="501">
        <v>2059.7853359999999</v>
      </c>
      <c r="F21" s="1327">
        <v>2709.3684786200001</v>
      </c>
      <c r="G21" s="1332">
        <v>309.91303072000005</v>
      </c>
      <c r="H21" s="499">
        <v>266.92607400000003</v>
      </c>
      <c r="I21" s="1328">
        <v>576.83910472000002</v>
      </c>
      <c r="J21" s="499">
        <v>1821.754373</v>
      </c>
      <c r="K21" s="277">
        <v>2398.59347772</v>
      </c>
      <c r="L21"/>
    </row>
    <row r="22" spans="1:12" ht="20" customHeight="1" thickBot="1">
      <c r="A22" s="438">
        <v>2004</v>
      </c>
      <c r="B22" s="1162">
        <v>354.05374882999996</v>
      </c>
      <c r="C22" s="501">
        <v>465.97641131</v>
      </c>
      <c r="D22" s="1327">
        <v>820.03016013999991</v>
      </c>
      <c r="E22" s="501">
        <v>2199.5077430000001</v>
      </c>
      <c r="F22" s="1327">
        <v>3019.5379031399998</v>
      </c>
      <c r="G22" s="1332">
        <v>277.93515424999998</v>
      </c>
      <c r="H22" s="499">
        <v>341.37247587999997</v>
      </c>
      <c r="I22" s="1328">
        <v>619.30763013000001</v>
      </c>
      <c r="J22" s="499">
        <v>1729.046304</v>
      </c>
      <c r="K22" s="277">
        <v>2348.3539341300002</v>
      </c>
      <c r="L22"/>
    </row>
    <row r="23" spans="1:12" ht="20" customHeight="1" thickBot="1">
      <c r="A23" s="438">
        <v>2005</v>
      </c>
      <c r="B23" s="1162">
        <v>340.05814830000003</v>
      </c>
      <c r="C23" s="501">
        <v>497.83377424000003</v>
      </c>
      <c r="D23" s="1327">
        <v>837.89192254</v>
      </c>
      <c r="E23" s="501">
        <v>2145.0129550000001</v>
      </c>
      <c r="F23" s="1327">
        <v>2982.9048775400001</v>
      </c>
      <c r="G23" s="1332">
        <v>251.06148209</v>
      </c>
      <c r="H23" s="499">
        <v>268.00454783000004</v>
      </c>
      <c r="I23" s="1328">
        <v>519.06602992000001</v>
      </c>
      <c r="J23" s="499">
        <v>1547.535421</v>
      </c>
      <c r="K23" s="277">
        <v>2066.6014509199999</v>
      </c>
      <c r="L23"/>
    </row>
    <row r="24" spans="1:12" ht="20" customHeight="1" thickBot="1">
      <c r="A24" s="438">
        <v>2006</v>
      </c>
      <c r="B24" s="1162">
        <v>315.75842189999997</v>
      </c>
      <c r="C24" s="501">
        <v>549.01423610000006</v>
      </c>
      <c r="D24" s="1327">
        <v>864.77265800000009</v>
      </c>
      <c r="E24" s="501">
        <v>2152.4333590000001</v>
      </c>
      <c r="F24" s="1327">
        <v>3017.2060170000004</v>
      </c>
      <c r="G24" s="1332">
        <v>220.62135384000001</v>
      </c>
      <c r="H24" s="499">
        <v>347.81852166000004</v>
      </c>
      <c r="I24" s="1328">
        <v>568.43987550000008</v>
      </c>
      <c r="J24" s="499">
        <v>1471.853128</v>
      </c>
      <c r="K24" s="277">
        <v>2040.2930034999999</v>
      </c>
      <c r="L24"/>
    </row>
    <row r="25" spans="1:12" ht="20" customHeight="1" thickBot="1">
      <c r="A25" s="438">
        <v>2007</v>
      </c>
      <c r="B25" s="1162">
        <v>299.25460810000004</v>
      </c>
      <c r="C25" s="501">
        <v>544.40750937999996</v>
      </c>
      <c r="D25" s="1327">
        <v>843.66211748000001</v>
      </c>
      <c r="E25" s="501">
        <v>2152.1659110000001</v>
      </c>
      <c r="F25" s="1327">
        <v>2995.8280284800003</v>
      </c>
      <c r="G25" s="1332">
        <v>207.71949052000002</v>
      </c>
      <c r="H25" s="499">
        <v>361.81478957000002</v>
      </c>
      <c r="I25" s="1328">
        <v>569.53428009000004</v>
      </c>
      <c r="J25" s="499">
        <v>1413.613732</v>
      </c>
      <c r="K25" s="277">
        <v>1983.1480120900001</v>
      </c>
      <c r="L25"/>
    </row>
    <row r="26" spans="1:12" s="251" customFormat="1" ht="27.75" customHeight="1" thickBot="1">
      <c r="A26" s="440">
        <v>2008</v>
      </c>
      <c r="B26" s="1336">
        <v>279.14776779000005</v>
      </c>
      <c r="C26" s="560">
        <v>601.73837565999997</v>
      </c>
      <c r="D26" s="1337">
        <v>880.88614344999996</v>
      </c>
      <c r="E26" s="560">
        <v>2165.5996903400001</v>
      </c>
      <c r="F26" s="1337">
        <v>3046.48583379</v>
      </c>
      <c r="G26" s="1338">
        <v>198.28855634000001</v>
      </c>
      <c r="H26" s="559">
        <v>376.54164749</v>
      </c>
      <c r="I26" s="1339">
        <v>574.83020383000007</v>
      </c>
      <c r="J26" s="559">
        <v>1588.33368651</v>
      </c>
      <c r="K26" s="1340">
        <v>2163.1638903399999</v>
      </c>
      <c r="L26" s="1341"/>
    </row>
    <row r="27" spans="1:12" ht="20" customHeight="1">
      <c r="A27" s="1197" t="s">
        <v>778</v>
      </c>
      <c r="B27" s="1198"/>
      <c r="C27" s="1198"/>
      <c r="D27" s="1198"/>
      <c r="E27" s="1198"/>
      <c r="F27" s="1198"/>
      <c r="G27" s="1198"/>
      <c r="H27" s="1198"/>
      <c r="I27" s="1198"/>
      <c r="J27" s="1198"/>
      <c r="K27" s="1198"/>
    </row>
    <row r="28" spans="1:12" ht="13.5" customHeight="1">
      <c r="A28" s="1209"/>
      <c r="B28" s="1210"/>
      <c r="C28" s="1210"/>
      <c r="D28" s="1210"/>
      <c r="E28" s="1210"/>
      <c r="F28" s="1210"/>
      <c r="G28" s="1210"/>
      <c r="H28" s="1210"/>
      <c r="I28" s="1210"/>
      <c r="J28" s="1210"/>
      <c r="K28" s="1210"/>
    </row>
    <row r="29" spans="1:12">
      <c r="A29" s="290" t="s">
        <v>784</v>
      </c>
      <c r="B29" s="1203"/>
      <c r="C29" s="1203"/>
      <c r="D29" s="1203"/>
      <c r="E29" s="1203"/>
      <c r="F29" s="1203"/>
      <c r="G29" s="1203"/>
      <c r="H29" s="1203"/>
      <c r="I29" s="1203"/>
      <c r="J29" s="1203"/>
      <c r="K29" s="1203"/>
    </row>
    <row r="30" spans="1:12">
      <c r="A30" s="290" t="s">
        <v>785</v>
      </c>
      <c r="B30" s="1203"/>
      <c r="C30" s="1203"/>
      <c r="D30" s="1203"/>
      <c r="E30" s="1203"/>
      <c r="F30" s="1203"/>
      <c r="G30" s="1203"/>
      <c r="H30" s="1203"/>
      <c r="I30" s="1203"/>
      <c r="J30" s="1203"/>
      <c r="K30" s="1203"/>
    </row>
    <row r="31" spans="1:12">
      <c r="A31" s="290" t="s">
        <v>786</v>
      </c>
      <c r="B31" s="1203"/>
      <c r="C31" s="1203"/>
      <c r="D31" s="1203"/>
      <c r="E31" s="1203"/>
      <c r="F31" s="1203"/>
      <c r="G31" s="1203"/>
      <c r="H31" s="1203"/>
      <c r="I31" s="1203"/>
      <c r="J31" s="1203"/>
      <c r="K31" s="1203"/>
    </row>
    <row r="32" spans="1:12">
      <c r="A32" s="290" t="s">
        <v>787</v>
      </c>
      <c r="B32" s="1203"/>
      <c r="C32" s="1203"/>
      <c r="D32" s="1203"/>
      <c r="E32" s="1203"/>
      <c r="F32" s="1203"/>
      <c r="G32" s="1203"/>
      <c r="H32" s="1203"/>
      <c r="I32" s="1203"/>
      <c r="J32" s="1203"/>
      <c r="K32" s="1203"/>
    </row>
    <row r="33" spans="1:11">
      <c r="A33" s="290" t="s">
        <v>1627</v>
      </c>
      <c r="B33" s="1203"/>
      <c r="C33" s="1203"/>
      <c r="D33" s="1203"/>
      <c r="E33" s="1203"/>
      <c r="F33" s="1203"/>
      <c r="G33" s="1203"/>
      <c r="H33" s="1203"/>
      <c r="I33" s="1203"/>
      <c r="J33" s="1203"/>
      <c r="K33" s="1203"/>
    </row>
    <row r="34" spans="1:11">
      <c r="A34" s="1209" t="s">
        <v>788</v>
      </c>
      <c r="B34" s="1203"/>
      <c r="C34" s="1203"/>
      <c r="D34" s="1203"/>
      <c r="E34" s="1203"/>
      <c r="F34" s="1203"/>
      <c r="G34" s="1203"/>
      <c r="H34" s="1203"/>
      <c r="I34" s="1203"/>
      <c r="J34" s="1203"/>
      <c r="K34" s="1203"/>
    </row>
    <row r="35" spans="1:11">
      <c r="A35" s="1209" t="s">
        <v>1628</v>
      </c>
      <c r="B35" s="1203"/>
      <c r="C35" s="1203"/>
      <c r="D35" s="1203"/>
      <c r="E35" s="1203"/>
      <c r="F35" s="1203"/>
      <c r="G35" s="1203"/>
      <c r="H35" s="1203"/>
      <c r="I35" s="1203"/>
      <c r="J35" s="1203"/>
      <c r="K35" s="1203"/>
    </row>
    <row r="36" spans="1:11">
      <c r="A36" s="1342"/>
      <c r="B36" s="1203"/>
      <c r="C36" s="1203"/>
      <c r="D36" s="1203"/>
      <c r="E36" s="1203"/>
      <c r="F36" s="1203"/>
      <c r="G36" s="1203"/>
      <c r="H36" s="1203"/>
      <c r="I36" s="1203"/>
      <c r="J36" s="1203"/>
      <c r="K36" s="1203"/>
    </row>
    <row r="38" spans="1:11">
      <c r="A38" s="2" t="s">
        <v>711</v>
      </c>
    </row>
  </sheetData>
  <phoneticPr fontId="0" type="noConversion"/>
  <pageMargins left="0.48" right="0.44" top="0.72" bottom="0.49" header="0.45" footer="0.4921259845"/>
  <pageSetup paperSize="9" scale="64" orientation="portrait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22F9-3375-C64F-8A73-535C1222D082}">
  <sheetPr>
    <pageSetUpPr fitToPage="1"/>
  </sheetPr>
  <dimension ref="A1:L38"/>
  <sheetViews>
    <sheetView zoomScale="75" workbookViewId="0"/>
  </sheetViews>
  <sheetFormatPr baseColWidth="10" defaultColWidth="11.3984375" defaultRowHeight="13"/>
  <cols>
    <col min="1" max="1" width="13" style="2" customWidth="1"/>
    <col min="2" max="2" width="17" style="225" customWidth="1"/>
    <col min="3" max="3" width="17.19921875" style="225" customWidth="1"/>
    <col min="4" max="4" width="16.796875" style="225" customWidth="1"/>
    <col min="5" max="5" width="15.19921875" style="225" customWidth="1"/>
    <col min="6" max="6" width="16.3984375" style="225" customWidth="1"/>
    <col min="7" max="7" width="17.59765625" style="225" customWidth="1"/>
    <col min="8" max="8" width="17.19921875" style="225" customWidth="1"/>
    <col min="9" max="9" width="16.3984375" style="225" customWidth="1"/>
    <col min="10" max="16384" width="11.3984375" style="2"/>
  </cols>
  <sheetData>
    <row r="1" spans="1:12" s="1" customFormat="1" ht="14" customHeight="1">
      <c r="A1" s="360"/>
      <c r="B1" s="1193"/>
      <c r="C1" s="1193"/>
      <c r="D1" s="1193"/>
      <c r="E1" s="1193"/>
      <c r="F1" s="1193"/>
      <c r="G1" s="1193"/>
      <c r="H1" s="1193"/>
      <c r="I1" s="1193"/>
    </row>
    <row r="2" spans="1:12" s="1" customFormat="1" ht="27" customHeight="1">
      <c r="A2" s="1216" t="s">
        <v>1635</v>
      </c>
      <c r="B2" s="1304"/>
      <c r="C2" s="1304"/>
      <c r="D2" s="1304"/>
      <c r="E2" s="1304"/>
      <c r="F2" s="1304"/>
      <c r="G2" s="1304"/>
      <c r="H2" s="1304"/>
      <c r="I2" s="433"/>
    </row>
    <row r="3" spans="1:12" ht="20" customHeight="1">
      <c r="A3" s="274" t="s">
        <v>821</v>
      </c>
      <c r="B3" s="1316" t="s">
        <v>769</v>
      </c>
      <c r="C3" s="183"/>
      <c r="D3" s="182"/>
      <c r="E3" s="303" t="s">
        <v>164</v>
      </c>
      <c r="F3" s="1767" t="s">
        <v>177</v>
      </c>
      <c r="G3" s="274"/>
      <c r="H3" s="678"/>
      <c r="I3" s="303" t="s">
        <v>164</v>
      </c>
    </row>
    <row r="4" spans="1:12" ht="33" customHeight="1">
      <c r="A4" s="274"/>
      <c r="B4" s="1318" t="s">
        <v>781</v>
      </c>
      <c r="C4" s="1319"/>
      <c r="D4" s="1323" t="s">
        <v>1636</v>
      </c>
      <c r="E4" s="1321"/>
      <c r="F4" s="1768" t="s">
        <v>781</v>
      </c>
      <c r="G4" s="1769"/>
      <c r="H4" s="1323" t="s">
        <v>1636</v>
      </c>
      <c r="I4" s="1321"/>
    </row>
    <row r="5" spans="1:12" ht="15" customHeight="1">
      <c r="A5" s="274"/>
      <c r="B5" s="436" t="s">
        <v>1629</v>
      </c>
      <c r="C5" s="920" t="s">
        <v>1779</v>
      </c>
      <c r="D5" s="436" t="s">
        <v>2257</v>
      </c>
      <c r="E5" s="183"/>
      <c r="F5" s="1262" t="s">
        <v>1629</v>
      </c>
      <c r="G5" s="920" t="s">
        <v>1779</v>
      </c>
      <c r="H5" s="436" t="s">
        <v>2257</v>
      </c>
      <c r="I5" s="183"/>
    </row>
    <row r="6" spans="1:12" ht="17.25" customHeight="1">
      <c r="A6" s="274"/>
      <c r="B6" s="436" t="s">
        <v>1637</v>
      </c>
      <c r="C6" s="920" t="s">
        <v>1638</v>
      </c>
      <c r="D6" s="436" t="s">
        <v>1783</v>
      </c>
      <c r="E6" s="183"/>
      <c r="F6" s="1262" t="s">
        <v>1637</v>
      </c>
      <c r="G6" s="920" t="s">
        <v>1638</v>
      </c>
      <c r="H6" s="436" t="s">
        <v>1783</v>
      </c>
      <c r="I6" s="183"/>
    </row>
    <row r="7" spans="1:12" ht="16.5" customHeight="1">
      <c r="A7" s="378"/>
      <c r="B7" s="188"/>
      <c r="C7" s="187"/>
      <c r="D7" s="188"/>
      <c r="E7" s="187"/>
      <c r="F7" s="1287"/>
      <c r="G7" s="187"/>
      <c r="H7" s="188"/>
      <c r="I7" s="187"/>
    </row>
    <row r="8" spans="1:12" ht="1.5" customHeight="1" thickBot="1">
      <c r="A8" s="437">
        <v>1991</v>
      </c>
      <c r="B8" s="1327">
        <v>7381.6</v>
      </c>
      <c r="C8" s="1328">
        <v>2030</v>
      </c>
      <c r="D8" s="1327">
        <v>763.6</v>
      </c>
      <c r="E8" s="277">
        <v>10175.200000000001</v>
      </c>
      <c r="F8" s="1770">
        <v>8411.9</v>
      </c>
      <c r="G8" s="1328">
        <v>1717.6</v>
      </c>
      <c r="H8" s="1327">
        <v>608.6</v>
      </c>
      <c r="I8" s="277">
        <v>10738.1</v>
      </c>
    </row>
    <row r="9" spans="1:12" ht="20" hidden="1" customHeight="1" thickBot="1">
      <c r="A9" s="438">
        <v>1992</v>
      </c>
      <c r="B9" s="1162">
        <v>8071.6</v>
      </c>
      <c r="C9" s="1330">
        <v>2234.5</v>
      </c>
      <c r="D9" s="1334">
        <v>751.05194456734102</v>
      </c>
      <c r="E9" s="1333">
        <v>11057.151944567342</v>
      </c>
      <c r="F9" s="1771">
        <v>9374.4</v>
      </c>
      <c r="G9" s="1330">
        <v>1832.3</v>
      </c>
      <c r="H9" s="1334">
        <v>631.14866850607859</v>
      </c>
      <c r="I9" s="1333">
        <v>11837.848668506078</v>
      </c>
    </row>
    <row r="10" spans="1:12" ht="20" hidden="1" customHeight="1" thickBot="1">
      <c r="A10" s="438">
        <v>1993</v>
      </c>
      <c r="B10" s="1162">
        <v>8959</v>
      </c>
      <c r="C10" s="1330">
        <v>3326.3</v>
      </c>
      <c r="D10" s="1334">
        <v>734.92479192401356</v>
      </c>
      <c r="E10" s="1333">
        <v>13020.224791924013</v>
      </c>
      <c r="F10" s="1771">
        <v>9747.2000000000007</v>
      </c>
      <c r="G10" s="1330">
        <v>2431.9</v>
      </c>
      <c r="H10" s="1334">
        <v>626.00138979065252</v>
      </c>
      <c r="I10" s="1333">
        <v>12805.101389790652</v>
      </c>
    </row>
    <row r="11" spans="1:12" ht="20" hidden="1" customHeight="1" thickBot="1">
      <c r="A11" s="438">
        <v>1994</v>
      </c>
      <c r="B11" s="1162">
        <v>8986.1</v>
      </c>
      <c r="C11" s="1330">
        <v>4076.6</v>
      </c>
      <c r="D11" s="1334">
        <v>690.03021854426788</v>
      </c>
      <c r="E11" s="1333">
        <v>13752.730218544268</v>
      </c>
      <c r="F11" s="1771">
        <v>9548.9</v>
      </c>
      <c r="G11" s="1330">
        <v>3331.5</v>
      </c>
      <c r="H11" s="1334">
        <v>613.0603501903413</v>
      </c>
      <c r="I11" s="1333">
        <v>13493.46035019034</v>
      </c>
    </row>
    <row r="12" spans="1:12" ht="19.5" hidden="1" customHeight="1" thickBot="1">
      <c r="A12" s="438">
        <v>1995</v>
      </c>
      <c r="B12" s="1162">
        <v>9125.7999999999993</v>
      </c>
      <c r="C12" s="1330">
        <v>4249.7</v>
      </c>
      <c r="D12" s="1334">
        <v>651.42256806953048</v>
      </c>
      <c r="E12" s="1333">
        <v>14026.922568069531</v>
      </c>
      <c r="F12" s="1771">
        <v>10017.200000000001</v>
      </c>
      <c r="G12" s="1330">
        <v>3664.1</v>
      </c>
      <c r="H12" s="1334">
        <v>587.27080996548773</v>
      </c>
      <c r="I12" s="1333">
        <v>14268.570809965489</v>
      </c>
    </row>
    <row r="13" spans="1:12" ht="0.75" hidden="1" customHeight="1" thickBot="1">
      <c r="A13" s="438">
        <v>1996</v>
      </c>
      <c r="B13" s="1162">
        <v>11035.2</v>
      </c>
      <c r="C13" s="1330">
        <v>4337.5</v>
      </c>
      <c r="D13" s="1334">
        <v>640.36315374410731</v>
      </c>
      <c r="E13" s="1333">
        <v>16013.063153744108</v>
      </c>
      <c r="F13" s="1771">
        <v>10780.5</v>
      </c>
      <c r="G13" s="1330">
        <v>3809.6285714248806</v>
      </c>
      <c r="H13" s="1334">
        <v>512.67578326995283</v>
      </c>
      <c r="I13" s="1333">
        <v>15102.804354694834</v>
      </c>
      <c r="K13"/>
      <c r="L13"/>
    </row>
    <row r="14" spans="1:12" ht="19.5" hidden="1" customHeight="1" thickBot="1">
      <c r="A14" s="438">
        <v>1997</v>
      </c>
      <c r="B14" s="499">
        <v>11924.8</v>
      </c>
      <c r="C14" s="501">
        <v>4410.6000000000004</v>
      </c>
      <c r="D14" s="499">
        <v>601.9</v>
      </c>
      <c r="E14" s="277">
        <v>16937.3</v>
      </c>
      <c r="F14" s="1267">
        <v>11360.5</v>
      </c>
      <c r="G14" s="501">
        <v>3288.3</v>
      </c>
      <c r="H14" s="499">
        <v>475.9</v>
      </c>
      <c r="I14" s="277">
        <v>15124.7</v>
      </c>
      <c r="K14"/>
      <c r="L14"/>
    </row>
    <row r="15" spans="1:12" ht="20" customHeight="1" thickBot="1">
      <c r="A15" s="438">
        <v>1998</v>
      </c>
      <c r="B15" s="499">
        <v>12604.2</v>
      </c>
      <c r="C15" s="501">
        <v>4453.3</v>
      </c>
      <c r="D15" s="499">
        <v>637.79999999999995</v>
      </c>
      <c r="E15" s="277">
        <v>17695.3</v>
      </c>
      <c r="F15" s="1267">
        <v>11926.9</v>
      </c>
      <c r="G15" s="501">
        <v>3299.5</v>
      </c>
      <c r="H15" s="499">
        <v>460.1</v>
      </c>
      <c r="I15" s="277">
        <v>15686.5</v>
      </c>
      <c r="K15"/>
      <c r="L15"/>
    </row>
    <row r="16" spans="1:12" ht="20" customHeight="1" thickBot="1">
      <c r="A16" s="438">
        <v>1999</v>
      </c>
      <c r="B16" s="499">
        <v>12949.5</v>
      </c>
      <c r="C16" s="501">
        <v>3766.7</v>
      </c>
      <c r="D16" s="499">
        <v>1098.2</v>
      </c>
      <c r="E16" s="277">
        <v>17814.400000000001</v>
      </c>
      <c r="F16" s="1267">
        <v>12430.6</v>
      </c>
      <c r="G16" s="501">
        <v>2787.1</v>
      </c>
      <c r="H16" s="499">
        <v>763.9</v>
      </c>
      <c r="I16" s="277">
        <v>15981.6</v>
      </c>
      <c r="K16"/>
      <c r="L16"/>
    </row>
    <row r="17" spans="1:12" ht="20" customHeight="1" thickBot="1">
      <c r="A17" s="438">
        <v>2000</v>
      </c>
      <c r="B17" s="499">
        <v>13346.7</v>
      </c>
      <c r="C17" s="501">
        <v>2917.4</v>
      </c>
      <c r="D17" s="499">
        <v>2242.9</v>
      </c>
      <c r="E17" s="277">
        <v>18507</v>
      </c>
      <c r="F17" s="1267">
        <v>13190.3</v>
      </c>
      <c r="G17" s="501">
        <v>2199.1</v>
      </c>
      <c r="H17" s="499">
        <v>1583.8</v>
      </c>
      <c r="I17" s="277">
        <v>16973.2</v>
      </c>
      <c r="K17"/>
      <c r="L17"/>
    </row>
    <row r="18" spans="1:12" ht="20" customHeight="1" thickBot="1">
      <c r="A18" s="438">
        <v>2001</v>
      </c>
      <c r="B18" s="499">
        <v>13954.7</v>
      </c>
      <c r="C18" s="501">
        <v>1986.99</v>
      </c>
      <c r="D18" s="499">
        <v>3190.46</v>
      </c>
      <c r="E18" s="277">
        <v>19132.150000000001</v>
      </c>
      <c r="F18" s="1267">
        <v>13986.27</v>
      </c>
      <c r="G18" s="501">
        <v>1576.7</v>
      </c>
      <c r="H18" s="499">
        <v>2353.3000000000002</v>
      </c>
      <c r="I18" s="277">
        <v>17916.27</v>
      </c>
      <c r="K18"/>
      <c r="L18"/>
    </row>
    <row r="19" spans="1:12" ht="20" customHeight="1" thickBot="1">
      <c r="A19" s="438">
        <v>2002</v>
      </c>
      <c r="B19" s="499">
        <v>15296.16</v>
      </c>
      <c r="C19" s="501">
        <v>1958.4404729999999</v>
      </c>
      <c r="D19" s="499">
        <v>3432.3745709999994</v>
      </c>
      <c r="E19" s="277">
        <v>20686.975043999999</v>
      </c>
      <c r="F19" s="1267">
        <v>14592.75</v>
      </c>
      <c r="G19" s="501">
        <v>1422.34175</v>
      </c>
      <c r="H19" s="499">
        <v>2395.4617459999999</v>
      </c>
      <c r="I19" s="277">
        <v>18410.553496</v>
      </c>
      <c r="K19"/>
      <c r="L19"/>
    </row>
    <row r="20" spans="1:12" ht="20" customHeight="1" thickBot="1">
      <c r="A20" s="438">
        <v>2003</v>
      </c>
      <c r="B20" s="499">
        <v>16759.707467</v>
      </c>
      <c r="C20" s="501">
        <v>1882.6076640000001</v>
      </c>
      <c r="D20" s="499">
        <v>3406.1985699999996</v>
      </c>
      <c r="E20" s="277">
        <v>22048.513701</v>
      </c>
      <c r="F20" s="1267">
        <v>15335.619704000001</v>
      </c>
      <c r="G20" s="501">
        <v>1354.5729260000001</v>
      </c>
      <c r="H20" s="499">
        <v>2360.4405969999998</v>
      </c>
      <c r="I20" s="277">
        <v>19050.633227000002</v>
      </c>
      <c r="K20"/>
      <c r="L20"/>
    </row>
    <row r="21" spans="1:12" ht="20" customHeight="1" thickBot="1">
      <c r="A21" s="438">
        <v>2004</v>
      </c>
      <c r="B21" s="499">
        <v>17979.586842000001</v>
      </c>
      <c r="C21" s="501">
        <v>1358.7895999899999</v>
      </c>
      <c r="D21" s="499">
        <v>4022.0203419999989</v>
      </c>
      <c r="E21" s="277">
        <v>23360.39678399</v>
      </c>
      <c r="F21" s="1267">
        <v>16307.508545000001</v>
      </c>
      <c r="G21" s="501">
        <v>1040.45917962</v>
      </c>
      <c r="H21" s="499">
        <v>2754.9745040000003</v>
      </c>
      <c r="I21" s="277">
        <v>20102.942228620002</v>
      </c>
      <c r="K21"/>
      <c r="L21"/>
    </row>
    <row r="22" spans="1:12" ht="20" customHeight="1" thickBot="1">
      <c r="A22" s="438">
        <v>2005</v>
      </c>
      <c r="B22" s="499">
        <v>18442.676721830001</v>
      </c>
      <c r="C22" s="501">
        <v>1397.6693543900001</v>
      </c>
      <c r="D22" s="499">
        <v>4025.3035210000007</v>
      </c>
      <c r="E22" s="277">
        <v>23865.649597220003</v>
      </c>
      <c r="F22" s="1267">
        <v>17352.720037080002</v>
      </c>
      <c r="G22" s="501">
        <v>1144.4166189</v>
      </c>
      <c r="H22" s="499">
        <v>2812.7367870000003</v>
      </c>
      <c r="I22" s="277">
        <v>21309.873442980002</v>
      </c>
      <c r="K22"/>
      <c r="L22"/>
    </row>
    <row r="23" spans="1:12" ht="20" customHeight="1" thickBot="1">
      <c r="A23" s="438">
        <v>2006</v>
      </c>
      <c r="B23" s="499">
        <v>19234.85838514</v>
      </c>
      <c r="C23" s="501">
        <v>1384.0624223099999</v>
      </c>
      <c r="D23" s="499">
        <v>4199.0627370000002</v>
      </c>
      <c r="E23" s="277">
        <v>24817.983544449999</v>
      </c>
      <c r="F23" s="1267">
        <v>17563.915602790003</v>
      </c>
      <c r="G23" s="501">
        <v>1083.2765844199998</v>
      </c>
      <c r="H23" s="499">
        <v>2891.0596519999999</v>
      </c>
      <c r="I23" s="277">
        <v>21538.251839210003</v>
      </c>
      <c r="K23"/>
      <c r="L23"/>
    </row>
    <row r="24" spans="1:12" ht="20" customHeight="1" thickBot="1">
      <c r="A24" s="438">
        <v>2007</v>
      </c>
      <c r="B24" s="499">
        <v>19629.610287169999</v>
      </c>
      <c r="C24" s="501">
        <v>1410.6232075</v>
      </c>
      <c r="D24" s="499">
        <v>4207.0683449999997</v>
      </c>
      <c r="E24" s="277">
        <v>25247.301839669999</v>
      </c>
      <c r="F24" s="1267">
        <v>18423.621994609999</v>
      </c>
      <c r="G24" s="501">
        <v>1170.1273056000002</v>
      </c>
      <c r="H24" s="499">
        <v>3037.7777310000001</v>
      </c>
      <c r="I24" s="277">
        <v>22631.527031209996</v>
      </c>
      <c r="K24"/>
      <c r="L24"/>
    </row>
    <row r="25" spans="1:12" ht="24.75" customHeight="1" thickBot="1">
      <c r="A25" s="440">
        <v>2008</v>
      </c>
      <c r="B25" s="559">
        <v>19621.43996068</v>
      </c>
      <c r="C25" s="560">
        <v>1412.4505677400002</v>
      </c>
      <c r="D25" s="559">
        <v>4509.4953152600001</v>
      </c>
      <c r="E25" s="560">
        <v>25543.38584368</v>
      </c>
      <c r="F25" s="1772">
        <v>19431.457254779998</v>
      </c>
      <c r="G25" s="560">
        <v>1241.37670198</v>
      </c>
      <c r="H25" s="559">
        <v>3128.0701190199998</v>
      </c>
      <c r="I25" s="560">
        <v>23800.904075779996</v>
      </c>
      <c r="K25"/>
      <c r="L25"/>
    </row>
    <row r="26" spans="1:12" ht="17.25" customHeight="1">
      <c r="A26" s="1197" t="s">
        <v>778</v>
      </c>
      <c r="B26" s="1198"/>
      <c r="C26" s="1198"/>
      <c r="D26" s="1198"/>
      <c r="E26" s="1198"/>
      <c r="F26" s="1198"/>
      <c r="G26" s="1198"/>
      <c r="H26" s="1198"/>
      <c r="I26" s="1198"/>
    </row>
    <row r="27" spans="1:12" ht="13.5" customHeight="1">
      <c r="A27" s="1209"/>
      <c r="B27" s="1210"/>
      <c r="C27" s="1210"/>
      <c r="D27" s="1210"/>
      <c r="E27" s="1210"/>
      <c r="F27" s="1210"/>
      <c r="G27" s="1210"/>
      <c r="H27" s="1210"/>
      <c r="I27" s="1210"/>
    </row>
    <row r="28" spans="1:12">
      <c r="A28" s="290" t="s">
        <v>1639</v>
      </c>
      <c r="B28" s="1203"/>
      <c r="C28" s="1203"/>
      <c r="D28" s="1203"/>
      <c r="E28" s="1203"/>
      <c r="F28" s="1203"/>
      <c r="G28" s="1203"/>
      <c r="H28" s="1203"/>
      <c r="I28" s="1203"/>
    </row>
    <row r="29" spans="1:12">
      <c r="A29" s="290" t="s">
        <v>1630</v>
      </c>
      <c r="B29" s="1203"/>
      <c r="C29" s="1203"/>
      <c r="D29" s="1203"/>
      <c r="E29" s="1203"/>
      <c r="F29" s="1203"/>
      <c r="G29" s="1203"/>
      <c r="H29" s="1203"/>
      <c r="I29" s="1203"/>
    </row>
    <row r="30" spans="1:12">
      <c r="A30" s="1209" t="s">
        <v>788</v>
      </c>
      <c r="B30" s="1203"/>
      <c r="C30" s="1203"/>
      <c r="D30" s="1203"/>
      <c r="E30" s="1203"/>
      <c r="F30" s="1203"/>
      <c r="G30" s="1203"/>
      <c r="H30" s="1203"/>
      <c r="I30" s="1203"/>
    </row>
    <row r="31" spans="1:12">
      <c r="A31" s="1209" t="s">
        <v>1628</v>
      </c>
      <c r="B31" s="1203"/>
      <c r="C31" s="1203"/>
      <c r="D31" s="1203"/>
      <c r="E31" s="1203"/>
      <c r="F31" s="1203"/>
      <c r="G31" s="1203"/>
      <c r="H31" s="1203"/>
      <c r="I31" s="1203"/>
    </row>
    <row r="32" spans="1:12">
      <c r="A32" s="290" t="s">
        <v>1631</v>
      </c>
    </row>
    <row r="33" spans="1:1">
      <c r="A33" s="290" t="s">
        <v>1632</v>
      </c>
    </row>
    <row r="34" spans="1:1">
      <c r="A34" s="290" t="s">
        <v>1633</v>
      </c>
    </row>
    <row r="35" spans="1:1">
      <c r="A35" s="290" t="s">
        <v>1634</v>
      </c>
    </row>
    <row r="38" spans="1:1">
      <c r="A38" s="2" t="s">
        <v>711</v>
      </c>
    </row>
  </sheetData>
  <phoneticPr fontId="0" type="noConversion"/>
  <pageMargins left="0.6" right="0.55000000000000004" top="0.95" bottom="0.49" header="0.45" footer="0.4921259845"/>
  <pageSetup paperSize="9" scale="62" orientation="portrait" horizontalDpi="1200" verticalDpi="1200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DA6F-41CD-AF44-983D-622BA393D2D4}">
  <sheetPr>
    <pageSetUpPr fitToPage="1"/>
  </sheetPr>
  <dimension ref="A1:N89"/>
  <sheetViews>
    <sheetView zoomScale="75" workbookViewId="0"/>
  </sheetViews>
  <sheetFormatPr baseColWidth="10" defaultColWidth="11.3984375" defaultRowHeight="13"/>
  <cols>
    <col min="1" max="1" width="27.19921875" style="2" customWidth="1"/>
    <col min="2" max="2" width="0.19921875" style="2" customWidth="1"/>
    <col min="3" max="3" width="0.19921875" style="2" hidden="1" customWidth="1"/>
    <col min="4" max="12" width="9.19921875" style="2" customWidth="1"/>
    <col min="13" max="13" width="9.796875" style="2" customWidth="1"/>
    <col min="14" max="14" width="10.796875" style="2" customWidth="1"/>
    <col min="15" max="16384" width="11.3984375" style="2"/>
  </cols>
  <sheetData>
    <row r="1" spans="1:14" s="1" customFormat="1" ht="13.5" customHeight="1">
      <c r="A1" s="360"/>
      <c r="B1" s="360"/>
      <c r="C1" s="360"/>
      <c r="D1" s="360"/>
      <c r="E1" s="360"/>
      <c r="F1" s="360"/>
    </row>
    <row r="2" spans="1:14" s="1" customFormat="1" ht="27" customHeight="1">
      <c r="A2" s="1216" t="s">
        <v>899</v>
      </c>
      <c r="B2" s="589"/>
      <c r="C2" s="589"/>
      <c r="D2" s="589"/>
      <c r="E2" s="589"/>
      <c r="F2" s="589"/>
      <c r="G2" s="589"/>
      <c r="H2" s="589"/>
      <c r="I2" s="428"/>
      <c r="J2" s="428"/>
      <c r="K2" s="428"/>
    </row>
    <row r="3" spans="1:14" ht="78" customHeight="1">
      <c r="A3" s="1217" t="s">
        <v>900</v>
      </c>
      <c r="B3" s="1218">
        <v>1996</v>
      </c>
      <c r="C3" s="1219">
        <v>1997</v>
      </c>
      <c r="D3" s="1218">
        <v>1998</v>
      </c>
      <c r="E3" s="1219">
        <v>1999</v>
      </c>
      <c r="F3" s="1218">
        <v>2000</v>
      </c>
      <c r="G3" s="1219">
        <v>2001</v>
      </c>
      <c r="H3" s="1218">
        <v>2002</v>
      </c>
      <c r="I3" s="1219">
        <v>2003</v>
      </c>
      <c r="J3" s="1218">
        <v>2004</v>
      </c>
      <c r="K3" s="1219">
        <v>2005</v>
      </c>
      <c r="L3" s="1218">
        <v>2006</v>
      </c>
      <c r="M3" s="1219">
        <v>2007</v>
      </c>
      <c r="N3" s="1218">
        <v>2008</v>
      </c>
    </row>
    <row r="4" spans="1:14" ht="30" customHeight="1" thickBot="1">
      <c r="A4" s="1220" t="s">
        <v>901</v>
      </c>
      <c r="B4" s="566">
        <v>7.5999999999999998E-2</v>
      </c>
      <c r="C4" s="439">
        <v>7.5999999999999998E-2</v>
      </c>
      <c r="D4" s="566">
        <v>7.8E-2</v>
      </c>
      <c r="E4" s="439">
        <v>0.08</v>
      </c>
      <c r="F4" s="566">
        <v>8.3000000000000004E-2</v>
      </c>
      <c r="G4" s="439">
        <v>8.4000000000000005E-2</v>
      </c>
      <c r="H4" s="566">
        <v>8.5999999999999993E-2</v>
      </c>
      <c r="I4" s="439">
        <v>8.5000000000000006E-2</v>
      </c>
      <c r="J4" s="566">
        <v>8.8000000000000009E-2</v>
      </c>
      <c r="K4" s="439">
        <v>8.6999999999999994E-2</v>
      </c>
      <c r="L4" s="566">
        <v>8.8000000000000009E-2</v>
      </c>
      <c r="M4" s="439">
        <v>8.900000000000001E-2</v>
      </c>
      <c r="N4" s="566" t="s">
        <v>1060</v>
      </c>
    </row>
    <row r="5" spans="1:14" ht="18" customHeight="1" thickBot="1">
      <c r="A5" s="438" t="s">
        <v>902</v>
      </c>
      <c r="B5" s="556">
        <v>8.4000000000000005E-2</v>
      </c>
      <c r="C5" s="214">
        <v>8.3000000000000004E-2</v>
      </c>
      <c r="D5" s="556">
        <v>8.4000000000000005E-2</v>
      </c>
      <c r="E5" s="214">
        <v>8.5999999999999993E-2</v>
      </c>
      <c r="F5" s="556">
        <v>8.5999999999999993E-2</v>
      </c>
      <c r="G5" s="214">
        <v>8.6999999999999994E-2</v>
      </c>
      <c r="H5" s="556">
        <v>0.09</v>
      </c>
      <c r="I5" s="214">
        <v>0.10199999999999999</v>
      </c>
      <c r="J5" s="556">
        <v>0.105</v>
      </c>
      <c r="K5" s="214">
        <v>0.10300000000000001</v>
      </c>
      <c r="L5" s="556">
        <v>0.1</v>
      </c>
      <c r="M5" s="214">
        <v>0.10199999999999999</v>
      </c>
      <c r="N5" s="556" t="s">
        <v>1060</v>
      </c>
    </row>
    <row r="6" spans="1:14" ht="18" customHeight="1" thickBot="1">
      <c r="A6" s="438" t="s">
        <v>903</v>
      </c>
      <c r="B6" s="556">
        <v>8.199999999999999E-2</v>
      </c>
      <c r="C6" s="214">
        <v>8.199999999999999E-2</v>
      </c>
      <c r="D6" s="556">
        <v>8.3000000000000004E-2</v>
      </c>
      <c r="E6" s="214">
        <v>8.5000000000000006E-2</v>
      </c>
      <c r="F6" s="556">
        <v>8.3000000000000004E-2</v>
      </c>
      <c r="G6" s="214">
        <v>8.5999999999999993E-2</v>
      </c>
      <c r="H6" s="556">
        <v>8.8000000000000009E-2</v>
      </c>
      <c r="I6" s="214">
        <v>9.3000000000000013E-2</v>
      </c>
      <c r="J6" s="556">
        <v>9.5000000000000001E-2</v>
      </c>
      <c r="K6" s="214">
        <v>9.5000000000000001E-2</v>
      </c>
      <c r="L6" s="556">
        <v>9.6000000000000002E-2</v>
      </c>
      <c r="M6" s="214">
        <v>9.8000000000000004E-2</v>
      </c>
      <c r="N6" s="556" t="s">
        <v>1060</v>
      </c>
    </row>
    <row r="7" spans="1:14" ht="18" customHeight="1" thickBot="1">
      <c r="A7" s="438" t="s">
        <v>904</v>
      </c>
      <c r="B7" s="556">
        <v>0.10400000000000001</v>
      </c>
      <c r="C7" s="214">
        <v>0.10199999999999999</v>
      </c>
      <c r="D7" s="556">
        <v>0.10199999999999999</v>
      </c>
      <c r="E7" s="214">
        <v>0.10300000000000001</v>
      </c>
      <c r="F7" s="556">
        <v>0.10300000000000001</v>
      </c>
      <c r="G7" s="214">
        <v>0.10400000000000001</v>
      </c>
      <c r="H7" s="556">
        <v>0.106</v>
      </c>
      <c r="I7" s="214">
        <v>0.10800000000000001</v>
      </c>
      <c r="J7" s="556">
        <v>0.106</v>
      </c>
      <c r="K7" s="214">
        <v>0.107</v>
      </c>
      <c r="L7" s="556">
        <v>0.105</v>
      </c>
      <c r="M7" s="214">
        <v>0.10400000000000001</v>
      </c>
      <c r="N7" s="556" t="s">
        <v>1060</v>
      </c>
    </row>
    <row r="8" spans="1:14" ht="18" customHeight="1" thickBot="1">
      <c r="A8" s="438" t="s">
        <v>905</v>
      </c>
      <c r="B8" s="556">
        <v>0.08</v>
      </c>
      <c r="C8" s="214">
        <v>7.5999999999999998E-2</v>
      </c>
      <c r="D8" s="556">
        <v>7.400000000000001E-2</v>
      </c>
      <c r="E8" s="214">
        <v>7.400000000000001E-2</v>
      </c>
      <c r="F8" s="556">
        <v>7.2000000000000008E-2</v>
      </c>
      <c r="G8" s="214">
        <v>7.400000000000001E-2</v>
      </c>
      <c r="H8" s="556">
        <v>7.8E-2</v>
      </c>
      <c r="I8" s="214">
        <v>8.1000000000000003E-2</v>
      </c>
      <c r="J8" s="556">
        <v>8.199999999999999E-2</v>
      </c>
      <c r="K8" s="214">
        <v>8.5000000000000006E-2</v>
      </c>
      <c r="L8" s="556">
        <v>8.3000000000000004E-2</v>
      </c>
      <c r="M8" s="214">
        <v>8.199999999999999E-2</v>
      </c>
      <c r="N8" s="556" t="s">
        <v>1060</v>
      </c>
    </row>
    <row r="9" spans="1:14" ht="18" customHeight="1" thickBot="1">
      <c r="A9" s="438" t="s">
        <v>906</v>
      </c>
      <c r="B9" s="556">
        <v>0.10400000000000001</v>
      </c>
      <c r="C9" s="214">
        <v>0.10199999999999999</v>
      </c>
      <c r="D9" s="556">
        <v>0.10099999999999999</v>
      </c>
      <c r="E9" s="214">
        <v>0.10099999999999999</v>
      </c>
      <c r="F9" s="556">
        <v>0.10099999999999999</v>
      </c>
      <c r="G9" s="214">
        <v>0.10199999999999999</v>
      </c>
      <c r="H9" s="556">
        <v>0.105</v>
      </c>
      <c r="I9" s="214">
        <v>0.109</v>
      </c>
      <c r="J9" s="556">
        <v>0.11</v>
      </c>
      <c r="K9" s="214">
        <v>0.111</v>
      </c>
      <c r="L9" s="556">
        <v>0.11</v>
      </c>
      <c r="M9" s="214">
        <v>0.11</v>
      </c>
      <c r="N9" s="556" t="s">
        <v>1060</v>
      </c>
    </row>
    <row r="10" spans="1:14" ht="18" customHeight="1" thickBot="1">
      <c r="A10" s="438" t="s">
        <v>907</v>
      </c>
      <c r="B10" s="556">
        <v>6.8000000000000005E-2</v>
      </c>
      <c r="C10" s="214">
        <v>6.6000000000000003E-2</v>
      </c>
      <c r="D10" s="556">
        <v>6.7000000000000004E-2</v>
      </c>
      <c r="E10" s="214">
        <v>6.9000000000000006E-2</v>
      </c>
      <c r="F10" s="556">
        <v>7.0000000000000007E-2</v>
      </c>
      <c r="G10" s="214">
        <v>7.2999999999999995E-2</v>
      </c>
      <c r="H10" s="556">
        <v>7.5999999999999998E-2</v>
      </c>
      <c r="I10" s="214">
        <v>7.8E-2</v>
      </c>
      <c r="J10" s="556">
        <v>8.1000000000000003E-2</v>
      </c>
      <c r="K10" s="214">
        <v>8.199999999999999E-2</v>
      </c>
      <c r="L10" s="556">
        <v>8.5000000000000006E-2</v>
      </c>
      <c r="M10" s="214">
        <v>8.4000000000000005E-2</v>
      </c>
      <c r="N10" s="556" t="s">
        <v>1060</v>
      </c>
    </row>
    <row r="11" spans="1:14" ht="18" customHeight="1" thickBot="1">
      <c r="A11" s="438" t="s">
        <v>908</v>
      </c>
      <c r="B11" s="556">
        <v>7.400000000000001E-2</v>
      </c>
      <c r="C11" s="214">
        <v>7.6999999999999999E-2</v>
      </c>
      <c r="D11" s="556">
        <v>7.6999999999999999E-2</v>
      </c>
      <c r="E11" s="214">
        <v>7.8E-2</v>
      </c>
      <c r="F11" s="556">
        <v>8.1000000000000003E-2</v>
      </c>
      <c r="G11" s="214">
        <v>8.199999999999999E-2</v>
      </c>
      <c r="H11" s="556">
        <v>8.3000000000000004E-2</v>
      </c>
      <c r="I11" s="214">
        <v>8.3000000000000004E-2</v>
      </c>
      <c r="J11" s="556">
        <v>8.6999999999999994E-2</v>
      </c>
      <c r="K11" s="214">
        <v>8.900000000000001E-2</v>
      </c>
      <c r="L11" s="556">
        <v>0.09</v>
      </c>
      <c r="M11" s="214">
        <v>8.6999999999999994E-2</v>
      </c>
      <c r="N11" s="556">
        <v>0.09</v>
      </c>
    </row>
    <row r="12" spans="1:14" ht="18" customHeight="1" thickBot="1">
      <c r="A12" s="438" t="s">
        <v>909</v>
      </c>
      <c r="B12" s="556">
        <v>7.0000000000000007E-2</v>
      </c>
      <c r="C12" s="214">
        <v>7.0000000000000007E-2</v>
      </c>
      <c r="D12" s="556">
        <v>7.2999999999999995E-2</v>
      </c>
      <c r="E12" s="214">
        <v>7.4999999999999997E-2</v>
      </c>
      <c r="F12" s="556">
        <v>7.6999999999999999E-2</v>
      </c>
      <c r="G12" s="214">
        <v>7.9000000000000001E-2</v>
      </c>
      <c r="H12" s="556">
        <v>0.08</v>
      </c>
      <c r="I12" s="214">
        <v>8.1000000000000003E-2</v>
      </c>
      <c r="J12" s="556">
        <v>0.08</v>
      </c>
      <c r="K12" s="214">
        <v>8.199999999999999E-2</v>
      </c>
      <c r="L12" s="556">
        <v>8.1000000000000003E-2</v>
      </c>
      <c r="M12" s="214" t="s">
        <v>1060</v>
      </c>
      <c r="N12" s="556" t="s">
        <v>1060</v>
      </c>
    </row>
    <row r="13" spans="1:14" ht="18" customHeight="1" thickBot="1">
      <c r="A13" s="438" t="s">
        <v>910</v>
      </c>
      <c r="B13" s="556">
        <v>8.199999999999999E-2</v>
      </c>
      <c r="C13" s="214">
        <v>7.9000000000000001E-2</v>
      </c>
      <c r="D13" s="556">
        <v>8.1000000000000003E-2</v>
      </c>
      <c r="E13" s="214">
        <v>8.1000000000000003E-2</v>
      </c>
      <c r="F13" s="556">
        <v>0.08</v>
      </c>
      <c r="G13" s="214">
        <v>8.3000000000000004E-2</v>
      </c>
      <c r="H13" s="556">
        <v>8.900000000000001E-2</v>
      </c>
      <c r="I13" s="214">
        <v>9.8000000000000004E-2</v>
      </c>
      <c r="J13" s="556">
        <v>0.1</v>
      </c>
      <c r="K13" s="214">
        <v>9.8000000000000004E-2</v>
      </c>
      <c r="L13" s="556">
        <v>9.6999999999999989E-2</v>
      </c>
      <c r="M13" s="214">
        <v>9.8000000000000004E-2</v>
      </c>
      <c r="N13" s="556" t="s">
        <v>1060</v>
      </c>
    </row>
    <row r="14" spans="1:14" ht="18" customHeight="1" thickBot="1">
      <c r="A14" s="438" t="s">
        <v>911</v>
      </c>
      <c r="B14" s="556">
        <v>7.8E-2</v>
      </c>
      <c r="C14" s="214">
        <v>8.4000000000000005E-2</v>
      </c>
      <c r="D14" s="556">
        <v>9.3000000000000013E-2</v>
      </c>
      <c r="E14" s="214">
        <v>9.3000000000000013E-2</v>
      </c>
      <c r="F14" s="556">
        <v>8.4000000000000005E-2</v>
      </c>
      <c r="G14" s="214">
        <v>8.8000000000000009E-2</v>
      </c>
      <c r="H14" s="556">
        <v>9.8000000000000004E-2</v>
      </c>
      <c r="I14" s="214">
        <v>0.1</v>
      </c>
      <c r="J14" s="556">
        <v>9.6999999999999989E-2</v>
      </c>
      <c r="K14" s="214">
        <v>9.0999999999999998E-2</v>
      </c>
      <c r="L14" s="556">
        <v>8.5999999999999993E-2</v>
      </c>
      <c r="M14" s="214">
        <v>8.900000000000001E-2</v>
      </c>
      <c r="N14" s="556">
        <v>8.5999999999999993E-2</v>
      </c>
    </row>
    <row r="15" spans="1:14" ht="18" customHeight="1" thickBot="1">
      <c r="A15" s="438" t="s">
        <v>912</v>
      </c>
      <c r="B15" s="556">
        <v>9.5000000000000001E-2</v>
      </c>
      <c r="C15" s="214">
        <v>9.8000000000000004E-2</v>
      </c>
      <c r="D15" s="556">
        <v>0.1</v>
      </c>
      <c r="E15" s="214">
        <v>0.10099999999999999</v>
      </c>
      <c r="F15" s="556">
        <v>9.9000000000000005E-2</v>
      </c>
      <c r="G15" s="214">
        <v>0.10099999999999999</v>
      </c>
      <c r="H15" s="556">
        <v>0.10099999999999999</v>
      </c>
      <c r="I15" s="214">
        <v>0.10300000000000001</v>
      </c>
      <c r="J15" s="556">
        <v>0.10400000000000001</v>
      </c>
      <c r="K15" s="214">
        <v>0.10400000000000001</v>
      </c>
      <c r="L15" s="556">
        <v>0.10199999999999999</v>
      </c>
      <c r="M15" s="214">
        <v>0.10099999999999999</v>
      </c>
      <c r="N15" s="556" t="s">
        <v>1060</v>
      </c>
    </row>
    <row r="16" spans="1:14" ht="18" customHeight="1" thickBot="1">
      <c r="A16" s="438" t="s">
        <v>913</v>
      </c>
      <c r="B16" s="556">
        <v>8.199999999999999E-2</v>
      </c>
      <c r="C16" s="214">
        <v>8.1000000000000003E-2</v>
      </c>
      <c r="D16" s="556">
        <v>8.199999999999999E-2</v>
      </c>
      <c r="E16" s="214">
        <v>8.3000000000000004E-2</v>
      </c>
      <c r="F16" s="556">
        <v>8.199999999999999E-2</v>
      </c>
      <c r="G16" s="214">
        <v>0.09</v>
      </c>
      <c r="H16" s="556">
        <v>9.3000000000000013E-2</v>
      </c>
      <c r="I16" s="214">
        <v>9.4E-2</v>
      </c>
      <c r="J16" s="556">
        <v>9.1999999999999998E-2</v>
      </c>
      <c r="K16" s="214">
        <v>9.1999999999999998E-2</v>
      </c>
      <c r="L16" s="556">
        <v>9.0999999999999998E-2</v>
      </c>
      <c r="M16" s="214">
        <v>9.0999999999999998E-2</v>
      </c>
      <c r="N16" s="556" t="s">
        <v>1060</v>
      </c>
    </row>
    <row r="17" spans="1:14" ht="18" customHeight="1" thickBot="1">
      <c r="A17" s="438" t="s">
        <v>914</v>
      </c>
      <c r="B17" s="556">
        <v>7.4999999999999997E-2</v>
      </c>
      <c r="C17" s="214">
        <v>7.2999999999999995E-2</v>
      </c>
      <c r="D17" s="556">
        <v>7.2999999999999995E-2</v>
      </c>
      <c r="E17" s="214">
        <v>7.2999999999999995E-2</v>
      </c>
      <c r="F17" s="556">
        <v>7.2000000000000008E-2</v>
      </c>
      <c r="G17" s="214">
        <v>7.2000000000000008E-2</v>
      </c>
      <c r="H17" s="556">
        <v>7.2999999999999995E-2</v>
      </c>
      <c r="I17" s="214">
        <v>8.1000000000000003E-2</v>
      </c>
      <c r="J17" s="556">
        <v>8.199999999999999E-2</v>
      </c>
      <c r="K17" s="214">
        <v>8.3000000000000004E-2</v>
      </c>
      <c r="L17" s="556">
        <v>8.4000000000000005E-2</v>
      </c>
      <c r="M17" s="214">
        <v>8.5000000000000006E-2</v>
      </c>
      <c r="N17" s="556" t="s">
        <v>1060</v>
      </c>
    </row>
    <row r="18" spans="1:14" ht="18" customHeight="1" thickBot="1">
      <c r="A18" s="438" t="s">
        <v>915</v>
      </c>
      <c r="B18" s="556">
        <v>0.13500000000000001</v>
      </c>
      <c r="C18" s="214">
        <v>0.13400000000000001</v>
      </c>
      <c r="D18" s="556">
        <v>0.13400000000000001</v>
      </c>
      <c r="E18" s="214">
        <v>0.13500000000000001</v>
      </c>
      <c r="F18" s="556">
        <v>0.13600000000000001</v>
      </c>
      <c r="G18" s="214">
        <v>0.14300000000000002</v>
      </c>
      <c r="H18" s="556">
        <v>0.151</v>
      </c>
      <c r="I18" s="214">
        <v>0.156</v>
      </c>
      <c r="J18" s="556">
        <v>0.156</v>
      </c>
      <c r="K18" s="214">
        <v>0.157</v>
      </c>
      <c r="L18" s="556">
        <v>0.158</v>
      </c>
      <c r="M18" s="214">
        <v>0.16</v>
      </c>
      <c r="N18" s="556" t="s">
        <v>1060</v>
      </c>
    </row>
    <row r="19" spans="1:14" s="251" customFormat="1" ht="30" customHeight="1" thickBot="1">
      <c r="A19" s="1221" t="s">
        <v>2335</v>
      </c>
      <c r="B19" s="753">
        <v>9.9000000000000005E-2</v>
      </c>
      <c r="C19" s="868">
        <v>0.1</v>
      </c>
      <c r="D19" s="753">
        <v>0.10099999999999999</v>
      </c>
      <c r="E19" s="868">
        <v>0.10199999999999999</v>
      </c>
      <c r="F19" s="753">
        <v>0.10199999999999999</v>
      </c>
      <c r="G19" s="868">
        <v>0.106</v>
      </c>
      <c r="H19" s="753">
        <v>0.109</v>
      </c>
      <c r="I19" s="868">
        <v>0.113</v>
      </c>
      <c r="J19" s="753">
        <v>0.113</v>
      </c>
      <c r="K19" s="868">
        <v>0.11199999999999999</v>
      </c>
      <c r="L19" s="753">
        <v>0.10800000000000001</v>
      </c>
      <c r="M19" s="868">
        <v>0.10800000000000001</v>
      </c>
      <c r="N19" s="753" t="s">
        <v>1060</v>
      </c>
    </row>
    <row r="20" spans="1:14" ht="20" customHeight="1">
      <c r="A20" s="1222" t="s">
        <v>898</v>
      </c>
      <c r="B20" s="266"/>
      <c r="C20" s="266"/>
      <c r="D20" s="266"/>
      <c r="E20" s="266"/>
      <c r="F20" s="266"/>
      <c r="G20" s="266"/>
    </row>
    <row r="21" spans="1:14" ht="11.25" customHeight="1">
      <c r="A21" s="1222"/>
      <c r="B21" s="266"/>
      <c r="C21" s="266"/>
      <c r="D21" s="266"/>
      <c r="E21" s="266"/>
      <c r="F21" s="266"/>
      <c r="G21" s="266"/>
    </row>
    <row r="22" spans="1:14" ht="15.75" customHeight="1">
      <c r="A22" s="1222" t="s">
        <v>916</v>
      </c>
      <c r="B22" s="266"/>
      <c r="C22" s="266"/>
      <c r="D22" s="266"/>
      <c r="E22" s="266"/>
      <c r="F22" s="266"/>
      <c r="G22" s="266"/>
    </row>
    <row r="23" spans="1:14" ht="18.75" customHeight="1">
      <c r="A23" s="362" t="s">
        <v>917</v>
      </c>
      <c r="B23" s="266"/>
      <c r="C23" s="266"/>
      <c r="D23" s="266"/>
      <c r="E23" s="266"/>
      <c r="F23" s="266"/>
      <c r="G23" s="266"/>
    </row>
    <row r="24" spans="1:14" ht="14.25" customHeight="1">
      <c r="A24" s="1098"/>
      <c r="B24" s="266"/>
      <c r="C24" s="266"/>
      <c r="D24" s="266"/>
      <c r="E24" s="266"/>
      <c r="F24" s="266"/>
      <c r="G24" s="266"/>
    </row>
    <row r="25" spans="1:14" ht="14.25" customHeight="1">
      <c r="A25" s="778"/>
      <c r="B25" s="266"/>
      <c r="C25" s="266"/>
      <c r="D25" s="266"/>
      <c r="E25" s="266"/>
      <c r="F25" s="266"/>
      <c r="G25" s="266"/>
    </row>
    <row r="26" spans="1:14" ht="18.75" customHeight="1">
      <c r="A26" s="362" t="s">
        <v>711</v>
      </c>
      <c r="B26" s="266"/>
      <c r="C26" s="266"/>
      <c r="D26" s="266"/>
      <c r="E26" s="266"/>
      <c r="F26" s="266"/>
      <c r="G26" s="266"/>
    </row>
    <row r="27" spans="1:14" ht="31" customHeight="1">
      <c r="A27" s="266"/>
      <c r="B27" s="266"/>
      <c r="C27" s="266"/>
      <c r="D27" s="266"/>
      <c r="E27" s="266"/>
      <c r="F27" s="266"/>
      <c r="G27" s="266"/>
      <c r="K27" s="1"/>
    </row>
    <row r="28" spans="1:14" ht="31" customHeight="1">
      <c r="A28" s="266"/>
      <c r="B28" s="266"/>
      <c r="C28" s="266"/>
      <c r="D28" s="266"/>
      <c r="E28" s="266"/>
      <c r="F28" s="266"/>
      <c r="G28" s="266"/>
    </row>
    <row r="29" spans="1:14" ht="31" customHeight="1">
      <c r="A29" s="266"/>
      <c r="B29" s="266"/>
      <c r="C29" s="266"/>
      <c r="D29" s="266"/>
      <c r="E29" s="266"/>
      <c r="F29" s="266"/>
      <c r="G29" s="266"/>
    </row>
    <row r="30" spans="1:14" ht="31" customHeight="1">
      <c r="A30" s="266"/>
      <c r="B30" s="266"/>
      <c r="C30" s="266"/>
      <c r="D30" s="266"/>
      <c r="E30" s="266"/>
      <c r="F30" s="266"/>
      <c r="G30" s="266"/>
    </row>
    <row r="31" spans="1:14" ht="31" customHeight="1">
      <c r="A31" s="266"/>
      <c r="B31" s="266"/>
      <c r="C31" s="266"/>
      <c r="D31" s="266"/>
      <c r="E31" s="266"/>
      <c r="F31" s="266"/>
      <c r="G31" s="266"/>
    </row>
    <row r="32" spans="1:14" ht="31" customHeight="1">
      <c r="A32" s="266"/>
      <c r="B32" s="266"/>
      <c r="C32" s="266"/>
      <c r="D32" s="266"/>
      <c r="E32" s="266"/>
      <c r="F32" s="266"/>
      <c r="G32" s="266"/>
    </row>
    <row r="33" spans="1:7" ht="31" customHeight="1">
      <c r="A33" s="266"/>
      <c r="B33" s="266"/>
      <c r="C33" s="266"/>
      <c r="D33" s="266"/>
      <c r="E33" s="266"/>
      <c r="F33" s="266"/>
      <c r="G33" s="266"/>
    </row>
    <row r="34" spans="1:7">
      <c r="A34" s="266"/>
      <c r="B34" s="266"/>
      <c r="C34" s="266"/>
      <c r="D34" s="266"/>
      <c r="E34" s="266"/>
      <c r="F34" s="266"/>
      <c r="G34" s="266"/>
    </row>
    <row r="35" spans="1:7">
      <c r="A35" s="266"/>
      <c r="B35" s="266"/>
      <c r="C35" s="266"/>
      <c r="D35" s="266"/>
      <c r="E35" s="266"/>
      <c r="F35" s="266"/>
      <c r="G35" s="266"/>
    </row>
    <row r="36" spans="1:7">
      <c r="A36" s="266"/>
      <c r="B36" s="266"/>
      <c r="C36" s="266"/>
      <c r="D36" s="266"/>
      <c r="E36" s="266"/>
      <c r="F36" s="266"/>
      <c r="G36" s="266"/>
    </row>
    <row r="37" spans="1:7">
      <c r="A37" s="266"/>
      <c r="B37" s="266"/>
      <c r="C37" s="266"/>
      <c r="D37" s="266"/>
      <c r="E37" s="266"/>
      <c r="F37" s="266"/>
      <c r="G37" s="266"/>
    </row>
    <row r="38" spans="1:7">
      <c r="A38" s="266"/>
      <c r="B38" s="266"/>
      <c r="C38" s="266"/>
      <c r="D38" s="266"/>
      <c r="E38" s="266"/>
      <c r="F38" s="266"/>
      <c r="G38" s="266"/>
    </row>
    <row r="39" spans="1:7">
      <c r="A39" s="266"/>
      <c r="B39" s="266"/>
      <c r="C39" s="266"/>
      <c r="D39" s="266"/>
      <c r="E39" s="266"/>
      <c r="F39" s="266"/>
      <c r="G39" s="266"/>
    </row>
    <row r="40" spans="1:7">
      <c r="A40" s="266"/>
      <c r="B40" s="266"/>
      <c r="C40" s="266"/>
      <c r="D40" s="266"/>
      <c r="E40" s="266"/>
      <c r="F40" s="266"/>
      <c r="G40" s="266"/>
    </row>
    <row r="41" spans="1:7">
      <c r="A41" s="266"/>
      <c r="B41" s="266"/>
      <c r="C41" s="266"/>
      <c r="D41" s="266"/>
      <c r="E41" s="266"/>
      <c r="F41" s="266"/>
      <c r="G41" s="266"/>
    </row>
    <row r="42" spans="1:7">
      <c r="A42" s="266"/>
      <c r="B42" s="266"/>
      <c r="C42" s="266"/>
      <c r="D42" s="266"/>
      <c r="E42" s="266"/>
      <c r="F42" s="266"/>
      <c r="G42" s="266"/>
    </row>
    <row r="43" spans="1:7">
      <c r="A43" s="266"/>
      <c r="B43" s="266"/>
      <c r="C43" s="266"/>
      <c r="D43" s="266"/>
      <c r="E43" s="266"/>
      <c r="F43" s="266"/>
      <c r="G43" s="266"/>
    </row>
    <row r="44" spans="1:7">
      <c r="A44" s="266"/>
      <c r="B44" s="266"/>
      <c r="C44" s="266"/>
      <c r="D44" s="266"/>
      <c r="E44" s="266"/>
      <c r="F44" s="266"/>
      <c r="G44" s="266"/>
    </row>
    <row r="45" spans="1:7">
      <c r="A45" s="266"/>
      <c r="B45" s="266"/>
      <c r="C45" s="266"/>
      <c r="D45" s="266"/>
      <c r="E45" s="266"/>
      <c r="F45" s="266"/>
      <c r="G45" s="266"/>
    </row>
    <row r="46" spans="1:7">
      <c r="A46" s="266"/>
      <c r="B46" s="266"/>
      <c r="C46" s="266"/>
      <c r="D46" s="266"/>
      <c r="E46" s="266"/>
      <c r="F46" s="266"/>
      <c r="G46" s="266"/>
    </row>
    <row r="47" spans="1:7">
      <c r="A47" s="266"/>
      <c r="B47" s="266"/>
      <c r="C47" s="266"/>
      <c r="D47" s="266"/>
      <c r="E47" s="266"/>
      <c r="F47" s="266"/>
      <c r="G47" s="266"/>
    </row>
    <row r="48" spans="1:7">
      <c r="A48" s="266"/>
      <c r="B48" s="266"/>
      <c r="C48" s="266"/>
      <c r="D48" s="266"/>
      <c r="E48" s="266"/>
      <c r="F48" s="266"/>
      <c r="G48" s="266"/>
    </row>
    <row r="49" spans="1:7">
      <c r="A49" s="266"/>
      <c r="B49" s="266"/>
      <c r="C49" s="266"/>
      <c r="D49" s="266"/>
      <c r="E49" s="266"/>
      <c r="F49" s="266"/>
      <c r="G49" s="266"/>
    </row>
    <row r="50" spans="1:7">
      <c r="A50" s="266"/>
      <c r="B50" s="266"/>
      <c r="C50" s="266"/>
      <c r="D50" s="266"/>
      <c r="E50" s="266"/>
      <c r="F50" s="266"/>
      <c r="G50" s="266"/>
    </row>
    <row r="51" spans="1:7">
      <c r="A51" s="266"/>
      <c r="B51" s="266"/>
      <c r="C51" s="266"/>
      <c r="D51" s="266"/>
      <c r="E51" s="266"/>
      <c r="F51" s="266"/>
      <c r="G51" s="266"/>
    </row>
    <row r="52" spans="1:7">
      <c r="A52" s="266"/>
      <c r="B52" s="266"/>
      <c r="C52" s="266"/>
      <c r="D52" s="266"/>
      <c r="E52" s="266"/>
      <c r="F52" s="266"/>
      <c r="G52" s="266"/>
    </row>
    <row r="53" spans="1:7">
      <c r="A53" s="266"/>
      <c r="B53" s="266"/>
      <c r="C53" s="266"/>
      <c r="D53" s="266"/>
      <c r="E53" s="266"/>
      <c r="F53" s="266"/>
      <c r="G53" s="266"/>
    </row>
    <row r="54" spans="1:7">
      <c r="A54" s="266"/>
      <c r="B54" s="266"/>
      <c r="C54" s="266"/>
      <c r="D54" s="266"/>
      <c r="E54" s="266"/>
      <c r="F54" s="266"/>
      <c r="G54" s="266"/>
    </row>
    <row r="55" spans="1:7">
      <c r="A55" s="266"/>
      <c r="B55" s="266"/>
      <c r="C55" s="266"/>
      <c r="D55" s="266"/>
      <c r="E55" s="266"/>
      <c r="F55" s="266"/>
      <c r="G55" s="266"/>
    </row>
    <row r="56" spans="1:7">
      <c r="A56" s="266"/>
      <c r="B56" s="266"/>
      <c r="C56" s="266"/>
      <c r="D56" s="266"/>
      <c r="E56" s="266"/>
      <c r="F56" s="266"/>
      <c r="G56" s="266"/>
    </row>
    <row r="57" spans="1:7">
      <c r="A57" s="266"/>
      <c r="B57" s="266"/>
      <c r="C57" s="266"/>
      <c r="D57" s="266"/>
      <c r="E57" s="266"/>
      <c r="F57" s="266"/>
      <c r="G57" s="266"/>
    </row>
    <row r="58" spans="1:7">
      <c r="A58" s="266"/>
      <c r="B58" s="266"/>
      <c r="C58" s="266"/>
      <c r="D58" s="266"/>
      <c r="E58" s="266"/>
      <c r="F58" s="266"/>
      <c r="G58" s="266"/>
    </row>
    <row r="59" spans="1:7">
      <c r="A59" s="266"/>
      <c r="B59" s="266"/>
      <c r="C59" s="266"/>
      <c r="D59" s="266"/>
      <c r="E59" s="266"/>
      <c r="F59" s="266"/>
      <c r="G59" s="266"/>
    </row>
    <row r="60" spans="1:7">
      <c r="A60" s="266"/>
      <c r="B60" s="266"/>
      <c r="C60" s="266"/>
      <c r="D60" s="266"/>
      <c r="E60" s="266"/>
      <c r="F60" s="266"/>
      <c r="G60" s="266"/>
    </row>
    <row r="61" spans="1:7">
      <c r="A61" s="266"/>
      <c r="B61" s="266"/>
      <c r="C61" s="266"/>
      <c r="D61" s="266"/>
      <c r="E61" s="266"/>
      <c r="F61" s="266"/>
      <c r="G61" s="266"/>
    </row>
    <row r="62" spans="1:7">
      <c r="A62" s="266"/>
      <c r="B62" s="266"/>
      <c r="C62" s="266"/>
      <c r="D62" s="266"/>
      <c r="E62" s="266"/>
      <c r="F62" s="266"/>
      <c r="G62" s="266"/>
    </row>
    <row r="63" spans="1:7">
      <c r="A63" s="266"/>
      <c r="B63" s="266"/>
      <c r="C63" s="266"/>
      <c r="D63" s="266"/>
      <c r="E63" s="266"/>
      <c r="F63" s="266"/>
      <c r="G63" s="266"/>
    </row>
    <row r="64" spans="1:7">
      <c r="A64" s="266"/>
      <c r="B64" s="266"/>
      <c r="C64" s="266"/>
      <c r="D64" s="266"/>
      <c r="E64" s="266"/>
      <c r="F64" s="266"/>
      <c r="G64" s="266"/>
    </row>
    <row r="65" spans="1:7">
      <c r="A65" s="266"/>
      <c r="B65" s="266"/>
      <c r="C65" s="266"/>
      <c r="D65" s="266"/>
      <c r="E65" s="266"/>
      <c r="F65" s="266"/>
      <c r="G65" s="266"/>
    </row>
    <row r="66" spans="1:7">
      <c r="A66" s="266"/>
      <c r="B66" s="266"/>
      <c r="C66" s="266"/>
      <c r="D66" s="266"/>
      <c r="E66" s="266"/>
      <c r="F66" s="266"/>
      <c r="G66" s="266"/>
    </row>
    <row r="67" spans="1:7">
      <c r="A67" s="266"/>
      <c r="B67" s="266"/>
      <c r="C67" s="266"/>
      <c r="D67" s="266"/>
      <c r="E67" s="266"/>
      <c r="F67" s="266"/>
      <c r="G67" s="266"/>
    </row>
    <row r="68" spans="1:7">
      <c r="A68" s="266"/>
      <c r="B68" s="266"/>
      <c r="C68" s="266"/>
      <c r="D68" s="266"/>
      <c r="E68" s="266"/>
      <c r="F68" s="266"/>
      <c r="G68" s="266"/>
    </row>
    <row r="69" spans="1:7">
      <c r="A69" s="266"/>
      <c r="B69" s="266"/>
      <c r="C69" s="266"/>
      <c r="D69" s="266"/>
      <c r="E69" s="266"/>
      <c r="F69" s="266"/>
      <c r="G69" s="266"/>
    </row>
    <row r="70" spans="1:7">
      <c r="A70" s="266"/>
      <c r="B70" s="266"/>
      <c r="C70" s="266"/>
      <c r="D70" s="266"/>
      <c r="E70" s="266"/>
      <c r="F70" s="266"/>
      <c r="G70" s="266"/>
    </row>
    <row r="71" spans="1:7">
      <c r="A71" s="266"/>
      <c r="B71" s="266"/>
      <c r="C71" s="266"/>
      <c r="D71" s="266"/>
      <c r="E71" s="266"/>
      <c r="F71" s="266"/>
      <c r="G71" s="266"/>
    </row>
    <row r="72" spans="1:7">
      <c r="A72" s="266"/>
      <c r="B72" s="266"/>
      <c r="C72" s="266"/>
      <c r="D72" s="266"/>
      <c r="E72" s="266"/>
      <c r="F72" s="266"/>
      <c r="G72" s="266"/>
    </row>
    <row r="73" spans="1:7">
      <c r="A73" s="266"/>
      <c r="B73" s="266"/>
      <c r="C73" s="266"/>
      <c r="D73" s="266"/>
      <c r="E73" s="266"/>
      <c r="F73" s="266"/>
      <c r="G73" s="266"/>
    </row>
    <row r="74" spans="1:7">
      <c r="A74" s="266"/>
      <c r="B74" s="266"/>
      <c r="C74" s="266"/>
      <c r="D74" s="266"/>
      <c r="E74" s="266"/>
      <c r="F74" s="266"/>
      <c r="G74" s="266"/>
    </row>
    <row r="75" spans="1:7">
      <c r="A75" s="266"/>
      <c r="B75" s="266"/>
      <c r="C75" s="266"/>
      <c r="D75" s="266"/>
      <c r="E75" s="266"/>
      <c r="F75" s="266"/>
      <c r="G75" s="266"/>
    </row>
    <row r="76" spans="1:7">
      <c r="A76" s="266"/>
      <c r="B76" s="266"/>
      <c r="C76" s="266"/>
      <c r="D76" s="266"/>
      <c r="E76" s="266"/>
      <c r="F76" s="266"/>
      <c r="G76" s="266"/>
    </row>
    <row r="77" spans="1:7">
      <c r="A77" s="266"/>
      <c r="B77" s="266"/>
      <c r="C77" s="266"/>
      <c r="D77" s="266"/>
      <c r="E77" s="266"/>
      <c r="F77" s="266"/>
      <c r="G77" s="266"/>
    </row>
    <row r="78" spans="1:7">
      <c r="A78" s="266"/>
      <c r="B78" s="266"/>
      <c r="C78" s="266"/>
      <c r="D78" s="266"/>
      <c r="E78" s="266"/>
      <c r="F78" s="266"/>
      <c r="G78" s="266"/>
    </row>
    <row r="79" spans="1:7">
      <c r="A79" s="266"/>
      <c r="B79" s="266"/>
      <c r="C79" s="266"/>
      <c r="D79" s="266"/>
      <c r="E79" s="266"/>
      <c r="F79" s="266"/>
      <c r="G79" s="266"/>
    </row>
    <row r="80" spans="1:7">
      <c r="A80" s="266"/>
      <c r="B80" s="266"/>
      <c r="C80" s="266"/>
      <c r="D80" s="266"/>
      <c r="E80" s="266"/>
      <c r="F80" s="266"/>
      <c r="G80" s="266"/>
    </row>
    <row r="81" spans="1:7">
      <c r="A81" s="266"/>
      <c r="B81" s="266"/>
      <c r="C81" s="266"/>
      <c r="D81" s="266"/>
      <c r="E81" s="266"/>
      <c r="F81" s="266"/>
      <c r="G81" s="266"/>
    </row>
    <row r="82" spans="1:7">
      <c r="A82" s="266"/>
      <c r="B82" s="266"/>
      <c r="C82" s="266"/>
      <c r="D82" s="266"/>
      <c r="E82" s="266"/>
      <c r="F82" s="266"/>
      <c r="G82" s="266"/>
    </row>
    <row r="83" spans="1:7">
      <c r="A83" s="266"/>
      <c r="B83" s="266"/>
      <c r="C83" s="266"/>
      <c r="D83" s="266"/>
      <c r="E83" s="266"/>
      <c r="F83" s="266"/>
      <c r="G83" s="266"/>
    </row>
    <row r="84" spans="1:7">
      <c r="A84" s="266"/>
      <c r="B84" s="266"/>
      <c r="C84" s="266"/>
      <c r="D84" s="266"/>
      <c r="E84" s="266"/>
      <c r="F84" s="266"/>
      <c r="G84" s="266"/>
    </row>
    <row r="85" spans="1:7">
      <c r="A85" s="266"/>
      <c r="B85" s="266"/>
      <c r="C85" s="266"/>
      <c r="D85" s="266"/>
      <c r="E85" s="266"/>
      <c r="F85" s="266"/>
      <c r="G85" s="266"/>
    </row>
    <row r="86" spans="1:7">
      <c r="A86" s="266"/>
      <c r="B86" s="266"/>
      <c r="C86" s="266"/>
      <c r="D86" s="266"/>
      <c r="E86" s="266"/>
      <c r="F86" s="266"/>
      <c r="G86" s="266"/>
    </row>
    <row r="87" spans="1:7">
      <c r="A87" s="266"/>
      <c r="B87" s="266"/>
      <c r="C87" s="266"/>
      <c r="D87" s="266"/>
      <c r="E87" s="266"/>
      <c r="F87" s="266"/>
      <c r="G87" s="266"/>
    </row>
    <row r="88" spans="1:7">
      <c r="A88" s="266"/>
      <c r="B88" s="266"/>
      <c r="C88" s="266"/>
      <c r="D88" s="266"/>
      <c r="E88" s="266"/>
      <c r="F88" s="266"/>
      <c r="G88" s="266"/>
    </row>
    <row r="89" spans="1:7">
      <c r="A89" s="266"/>
      <c r="B89" s="266"/>
      <c r="C89" s="266"/>
      <c r="D89" s="266"/>
      <c r="E89" s="266"/>
      <c r="F89" s="266"/>
      <c r="G89" s="266"/>
    </row>
  </sheetData>
  <phoneticPr fontId="0" type="noConversion"/>
  <pageMargins left="0.49" right="0.51" top="0.9" bottom="0.49" header="0.47" footer="0.4921259845"/>
  <pageSetup paperSize="9" scale="71" orientation="portrait" horizontalDpi="1200" verticalDpi="1200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6329-9983-A14F-82E3-76DE6575321F}">
  <sheetPr>
    <pageSetUpPr fitToPage="1"/>
  </sheetPr>
  <dimension ref="A1:N106"/>
  <sheetViews>
    <sheetView zoomScale="75" workbookViewId="0">
      <selection activeCell="M44" sqref="M44"/>
    </sheetView>
  </sheetViews>
  <sheetFormatPr baseColWidth="10" defaultColWidth="11.3984375" defaultRowHeight="13"/>
  <cols>
    <col min="1" max="1" width="30.3984375" style="2" customWidth="1"/>
    <col min="2" max="3" width="0.19921875" style="2" customWidth="1"/>
    <col min="4" max="4" width="10" style="2" customWidth="1"/>
    <col min="5" max="10" width="9.59765625" style="2" customWidth="1"/>
    <col min="11" max="13" width="9.3984375" style="2" customWidth="1"/>
    <col min="14" max="14" width="10.796875" style="2" customWidth="1"/>
    <col min="15" max="16384" width="11.3984375" style="2"/>
  </cols>
  <sheetData>
    <row r="1" spans="1:14" s="1" customFormat="1" ht="13.5" customHeight="1">
      <c r="A1" s="360"/>
      <c r="B1" s="360"/>
      <c r="C1" s="360"/>
      <c r="D1" s="360"/>
      <c r="E1" s="360"/>
    </row>
    <row r="2" spans="1:14" s="1" customFormat="1" ht="30.75" customHeight="1">
      <c r="A2" s="1216" t="s">
        <v>620</v>
      </c>
      <c r="B2" s="589"/>
      <c r="C2" s="589"/>
      <c r="D2" s="589"/>
      <c r="E2" s="589"/>
      <c r="F2" s="589"/>
      <c r="G2" s="589"/>
      <c r="H2" s="428"/>
      <c r="I2" s="428"/>
    </row>
    <row r="3" spans="1:14" ht="78" customHeight="1">
      <c r="A3" s="1223" t="s">
        <v>900</v>
      </c>
      <c r="B3" s="1219">
        <v>1996</v>
      </c>
      <c r="C3" s="1218">
        <v>1997</v>
      </c>
      <c r="D3" s="1219">
        <v>1998</v>
      </c>
      <c r="E3" s="1218">
        <v>1999</v>
      </c>
      <c r="F3" s="1219">
        <v>2000</v>
      </c>
      <c r="G3" s="1218">
        <v>2001</v>
      </c>
      <c r="H3" s="1219">
        <v>2002</v>
      </c>
      <c r="I3" s="1218">
        <v>2003</v>
      </c>
      <c r="J3" s="1219">
        <v>2004</v>
      </c>
      <c r="K3" s="1218">
        <v>2005</v>
      </c>
      <c r="L3" s="1219">
        <v>2006</v>
      </c>
      <c r="M3" s="1218">
        <v>2007</v>
      </c>
      <c r="N3" s="1219">
        <v>2008</v>
      </c>
    </row>
    <row r="4" spans="1:14" ht="30" customHeight="1" thickBot="1">
      <c r="A4" s="1224" t="s">
        <v>621</v>
      </c>
      <c r="B4" s="439">
        <v>7.2000000000000008E-2</v>
      </c>
      <c r="C4" s="566">
        <v>7.0000000000000007E-2</v>
      </c>
      <c r="D4" s="439">
        <v>7.0000000000000007E-2</v>
      </c>
      <c r="E4" s="566">
        <v>7.0000000000000007E-2</v>
      </c>
      <c r="F4" s="439">
        <v>7.0999999999999994E-2</v>
      </c>
      <c r="G4" s="566">
        <v>7.2999999999999995E-2</v>
      </c>
      <c r="H4" s="439">
        <v>7.400000000000001E-2</v>
      </c>
      <c r="I4" s="566">
        <v>7.5999999999999998E-2</v>
      </c>
      <c r="J4" s="439">
        <v>7.5999999999999998E-2</v>
      </c>
      <c r="K4" s="566">
        <v>7.6999999999999999E-2</v>
      </c>
      <c r="L4" s="439">
        <v>7.6999999999999999E-2</v>
      </c>
      <c r="M4" s="566">
        <v>7.5999999999999998E-2</v>
      </c>
      <c r="N4" s="439" t="s">
        <v>1060</v>
      </c>
    </row>
    <row r="5" spans="1:14" ht="18" customHeight="1" thickBot="1">
      <c r="A5" s="1225" t="s">
        <v>622</v>
      </c>
      <c r="B5" s="214">
        <v>7.400000000000001E-2</v>
      </c>
      <c r="C5" s="556">
        <v>7.2000000000000008E-2</v>
      </c>
      <c r="D5" s="214">
        <v>7.0999999999999994E-2</v>
      </c>
      <c r="E5" s="556">
        <v>7.2000000000000008E-2</v>
      </c>
      <c r="F5" s="214">
        <v>7.2000000000000008E-2</v>
      </c>
      <c r="G5" s="556">
        <v>7.2999999999999995E-2</v>
      </c>
      <c r="H5" s="214">
        <v>7.4999999999999997E-2</v>
      </c>
      <c r="I5" s="556">
        <v>7.5999999999999998E-2</v>
      </c>
      <c r="J5" s="214">
        <v>7.5999999999999998E-2</v>
      </c>
      <c r="K5" s="556">
        <v>7.5999999999999998E-2</v>
      </c>
      <c r="L5" s="214">
        <v>7.6999999999999999E-2</v>
      </c>
      <c r="M5" s="556">
        <v>7.5999999999999998E-2</v>
      </c>
      <c r="N5" s="214" t="s">
        <v>1060</v>
      </c>
    </row>
    <row r="6" spans="1:14" ht="18" customHeight="1" thickBot="1">
      <c r="A6" s="1225" t="s">
        <v>2018</v>
      </c>
      <c r="B6" s="214">
        <v>6.5000000000000002E-2</v>
      </c>
      <c r="C6" s="556">
        <v>6.0999999999999999E-2</v>
      </c>
      <c r="D6" s="214">
        <v>6.0999999999999999E-2</v>
      </c>
      <c r="E6" s="556">
        <v>6.2E-2</v>
      </c>
      <c r="F6" s="214">
        <v>0.06</v>
      </c>
      <c r="G6" s="556">
        <v>6.2E-2</v>
      </c>
      <c r="H6" s="214">
        <v>6.3E-2</v>
      </c>
      <c r="I6" s="556">
        <v>7.400000000000001E-2</v>
      </c>
      <c r="J6" s="214">
        <v>7.5999999999999998E-2</v>
      </c>
      <c r="K6" s="556">
        <v>7.5999999999999998E-2</v>
      </c>
      <c r="L6" s="214">
        <v>7.400000000000001E-2</v>
      </c>
      <c r="M6" s="556">
        <v>7.400000000000001E-2</v>
      </c>
      <c r="N6" s="214" t="s">
        <v>1060</v>
      </c>
    </row>
    <row r="7" spans="1:14" ht="18" customHeight="1" thickBot="1">
      <c r="A7" s="1225" t="s">
        <v>903</v>
      </c>
      <c r="B7" s="214">
        <v>5.4000000000000006E-2</v>
      </c>
      <c r="C7" s="556">
        <v>5.2999999999999999E-2</v>
      </c>
      <c r="D7" s="214">
        <v>5.5999999999999994E-2</v>
      </c>
      <c r="E7" s="556">
        <v>5.7000000000000002E-2</v>
      </c>
      <c r="F7" s="214">
        <v>5.7000000000000002E-2</v>
      </c>
      <c r="G7" s="556">
        <v>5.7999999999999996E-2</v>
      </c>
      <c r="H7" s="214">
        <v>0.06</v>
      </c>
      <c r="I7" s="556">
        <v>6.0999999999999999E-2</v>
      </c>
      <c r="J7" s="214">
        <v>6.0999999999999999E-2</v>
      </c>
      <c r="K7" s="556">
        <v>6.0999999999999999E-2</v>
      </c>
      <c r="L7" s="214">
        <v>6.2E-2</v>
      </c>
      <c r="M7" s="556">
        <v>6.5000000000000002E-2</v>
      </c>
      <c r="N7" s="214" t="s">
        <v>1060</v>
      </c>
    </row>
    <row r="8" spans="1:14" ht="18" customHeight="1" thickBot="1">
      <c r="A8" s="1225" t="s">
        <v>904</v>
      </c>
      <c r="B8" s="214">
        <v>8.5000000000000006E-2</v>
      </c>
      <c r="C8" s="556">
        <v>8.199999999999999E-2</v>
      </c>
      <c r="D8" s="214">
        <v>8.1000000000000003E-2</v>
      </c>
      <c r="E8" s="556">
        <v>8.3000000000000004E-2</v>
      </c>
      <c r="F8" s="214">
        <v>8.3000000000000004E-2</v>
      </c>
      <c r="G8" s="556">
        <v>8.4000000000000005E-2</v>
      </c>
      <c r="H8" s="214">
        <v>8.4000000000000005E-2</v>
      </c>
      <c r="I8" s="556">
        <v>8.5000000000000006E-2</v>
      </c>
      <c r="J8" s="214">
        <v>8.1000000000000003E-2</v>
      </c>
      <c r="K8" s="556">
        <v>8.1000000000000003E-2</v>
      </c>
      <c r="L8" s="214">
        <v>0.08</v>
      </c>
      <c r="M8" s="556">
        <v>0.08</v>
      </c>
      <c r="N8" s="214" t="s">
        <v>1060</v>
      </c>
    </row>
    <row r="9" spans="1:14" ht="18" customHeight="1" thickBot="1">
      <c r="A9" s="1225" t="s">
        <v>2019</v>
      </c>
      <c r="B9" s="214">
        <v>4.9000000000000002E-2</v>
      </c>
      <c r="C9" s="556">
        <v>5.0999999999999997E-2</v>
      </c>
      <c r="D9" s="214">
        <v>5.0999999999999997E-2</v>
      </c>
      <c r="E9" s="556">
        <v>5.4000000000000006E-2</v>
      </c>
      <c r="F9" s="214">
        <v>0.06</v>
      </c>
      <c r="G9" s="556">
        <v>6.0999999999999999E-2</v>
      </c>
      <c r="H9" s="214">
        <v>6.0999999999999999E-2</v>
      </c>
      <c r="I9" s="556">
        <v>0.06</v>
      </c>
      <c r="J9" s="214">
        <v>6.0999999999999999E-2</v>
      </c>
      <c r="K9" s="556">
        <v>6.6000000000000003E-2</v>
      </c>
      <c r="L9" s="214">
        <v>6.8000000000000005E-2</v>
      </c>
      <c r="M9" s="556">
        <v>6.7000000000000004E-2</v>
      </c>
      <c r="N9" s="214" t="s">
        <v>1060</v>
      </c>
    </row>
    <row r="10" spans="1:14" ht="18" customHeight="1" thickBot="1">
      <c r="A10" s="1225" t="s">
        <v>914</v>
      </c>
      <c r="B10" s="214">
        <v>0.06</v>
      </c>
      <c r="C10" s="556">
        <v>5.7999999999999996E-2</v>
      </c>
      <c r="D10" s="214">
        <v>5.7000000000000002E-2</v>
      </c>
      <c r="E10" s="556">
        <v>5.7000000000000002E-2</v>
      </c>
      <c r="F10" s="214">
        <v>5.7999999999999996E-2</v>
      </c>
      <c r="G10" s="556">
        <v>5.7999999999999996E-2</v>
      </c>
      <c r="H10" s="214">
        <v>0.06</v>
      </c>
      <c r="I10" s="556">
        <v>6.2E-2</v>
      </c>
      <c r="J10" s="214">
        <v>6.3E-2</v>
      </c>
      <c r="K10" s="556">
        <v>6.3E-2</v>
      </c>
      <c r="L10" s="214">
        <v>6.3E-2</v>
      </c>
      <c r="M10" s="556">
        <v>6.4000000000000001E-2</v>
      </c>
      <c r="N10" s="214" t="s">
        <v>1060</v>
      </c>
    </row>
    <row r="11" spans="1:14" ht="18" customHeight="1" thickBot="1">
      <c r="A11" s="1225" t="s">
        <v>906</v>
      </c>
      <c r="B11" s="214">
        <v>8.199999999999999E-2</v>
      </c>
      <c r="C11" s="556">
        <v>8.1000000000000003E-2</v>
      </c>
      <c r="D11" s="214">
        <v>8.1000000000000003E-2</v>
      </c>
      <c r="E11" s="556">
        <v>0.08</v>
      </c>
      <c r="F11" s="214">
        <v>0.08</v>
      </c>
      <c r="G11" s="556">
        <v>8.1000000000000003E-2</v>
      </c>
      <c r="H11" s="214">
        <v>8.4000000000000005E-2</v>
      </c>
      <c r="I11" s="556">
        <v>8.5999999999999993E-2</v>
      </c>
      <c r="J11" s="214">
        <v>8.8000000000000009E-2</v>
      </c>
      <c r="K11" s="556">
        <v>8.8000000000000009E-2</v>
      </c>
      <c r="L11" s="214">
        <v>8.6999999999999994E-2</v>
      </c>
      <c r="M11" s="556">
        <v>8.6999999999999994E-2</v>
      </c>
      <c r="N11" s="214" t="s">
        <v>1060</v>
      </c>
    </row>
    <row r="12" spans="1:14" ht="18" customHeight="1" thickBot="1">
      <c r="A12" s="1225" t="s">
        <v>2020</v>
      </c>
      <c r="B12" s="214">
        <v>5.9000000000000004E-2</v>
      </c>
      <c r="C12" s="556">
        <v>5.7999999999999996E-2</v>
      </c>
      <c r="D12" s="214">
        <v>5.5E-2</v>
      </c>
      <c r="E12" s="556">
        <v>5.5999999999999994E-2</v>
      </c>
      <c r="F12" s="214">
        <v>5.5E-2</v>
      </c>
      <c r="G12" s="556">
        <v>6.0999999999999999E-2</v>
      </c>
      <c r="H12" s="214">
        <v>6.4000000000000001E-2</v>
      </c>
      <c r="I12" s="556">
        <v>6.6000000000000003E-2</v>
      </c>
      <c r="J12" s="214">
        <v>6.8000000000000005E-2</v>
      </c>
      <c r="K12" s="556">
        <v>6.9000000000000006E-2</v>
      </c>
      <c r="L12" s="214">
        <v>7.0000000000000007E-2</v>
      </c>
      <c r="M12" s="556">
        <v>7.2000000000000008E-2</v>
      </c>
      <c r="N12" s="214" t="s">
        <v>1060</v>
      </c>
    </row>
    <row r="13" spans="1:14" ht="18" customHeight="1" thickBot="1">
      <c r="A13" s="1225" t="s">
        <v>908</v>
      </c>
      <c r="B13" s="214">
        <v>5.4000000000000006E-2</v>
      </c>
      <c r="C13" s="556">
        <v>5.5999999999999994E-2</v>
      </c>
      <c r="D13" s="214">
        <v>5.5999999999999994E-2</v>
      </c>
      <c r="E13" s="556">
        <v>5.5999999999999994E-2</v>
      </c>
      <c r="F13" s="214">
        <v>0.06</v>
      </c>
      <c r="G13" s="556">
        <v>6.3E-2</v>
      </c>
      <c r="H13" s="214">
        <v>6.2E-2</v>
      </c>
      <c r="I13" s="556">
        <v>6.2E-2</v>
      </c>
      <c r="J13" s="214">
        <v>6.5000000000000002E-2</v>
      </c>
      <c r="K13" s="556">
        <v>6.8000000000000005E-2</v>
      </c>
      <c r="L13" s="214">
        <v>6.9000000000000006E-2</v>
      </c>
      <c r="M13" s="556">
        <v>6.7000000000000004E-2</v>
      </c>
      <c r="N13" s="214" t="s">
        <v>1060</v>
      </c>
    </row>
    <row r="14" spans="1:14" ht="18" customHeight="1" thickBot="1">
      <c r="A14" s="1225" t="s">
        <v>2021</v>
      </c>
      <c r="B14" s="214">
        <v>5.2999999999999999E-2</v>
      </c>
      <c r="C14" s="556">
        <v>5.2999999999999999E-2</v>
      </c>
      <c r="D14" s="214">
        <v>5.0999999999999997E-2</v>
      </c>
      <c r="E14" s="556">
        <v>5.0999999999999997E-2</v>
      </c>
      <c r="F14" s="214">
        <v>4.8000000000000001E-2</v>
      </c>
      <c r="G14" s="556">
        <v>5.2000000000000005E-2</v>
      </c>
      <c r="H14" s="214">
        <v>5.4000000000000006E-2</v>
      </c>
      <c r="I14" s="556">
        <v>5.4000000000000006E-2</v>
      </c>
      <c r="J14" s="214">
        <v>5.5E-2</v>
      </c>
      <c r="K14" s="556">
        <v>5.5E-2</v>
      </c>
      <c r="L14" s="214">
        <v>0.05</v>
      </c>
      <c r="M14" s="556">
        <v>4.9000000000000002E-2</v>
      </c>
      <c r="N14" s="214" t="s">
        <v>1060</v>
      </c>
    </row>
    <row r="15" spans="1:14" ht="18" customHeight="1" thickBot="1">
      <c r="A15" s="1225" t="s">
        <v>910</v>
      </c>
      <c r="B15" s="214">
        <v>7.6999999999999999E-2</v>
      </c>
      <c r="C15" s="556">
        <v>7.400000000000001E-2</v>
      </c>
      <c r="D15" s="214">
        <v>7.2999999999999995E-2</v>
      </c>
      <c r="E15" s="556">
        <v>7.400000000000001E-2</v>
      </c>
      <c r="F15" s="214">
        <v>7.2999999999999995E-2</v>
      </c>
      <c r="G15" s="556">
        <v>7.4999999999999997E-2</v>
      </c>
      <c r="H15" s="214">
        <v>7.9000000000000001E-2</v>
      </c>
      <c r="I15" s="556">
        <v>8.199999999999999E-2</v>
      </c>
      <c r="J15" s="214">
        <v>8.1000000000000003E-2</v>
      </c>
      <c r="K15" s="556">
        <v>0.08</v>
      </c>
      <c r="L15" s="214">
        <v>8.8000000000000009E-2</v>
      </c>
      <c r="M15" s="556">
        <v>8.6999999999999994E-2</v>
      </c>
      <c r="N15" s="214" t="s">
        <v>1060</v>
      </c>
    </row>
    <row r="16" spans="1:14" ht="18" customHeight="1" thickBot="1">
      <c r="A16" s="1225" t="s">
        <v>912</v>
      </c>
      <c r="B16" s="214">
        <v>7.0000000000000007E-2</v>
      </c>
      <c r="C16" s="556">
        <v>7.0999999999999994E-2</v>
      </c>
      <c r="D16" s="214">
        <v>7.2000000000000008E-2</v>
      </c>
      <c r="E16" s="556">
        <v>7.400000000000001E-2</v>
      </c>
      <c r="F16" s="214">
        <v>7.0999999999999994E-2</v>
      </c>
      <c r="G16" s="556">
        <v>7.2000000000000008E-2</v>
      </c>
      <c r="H16" s="214">
        <v>7.2000000000000008E-2</v>
      </c>
      <c r="I16" s="556">
        <v>7.2000000000000008E-2</v>
      </c>
      <c r="J16" s="214">
        <v>7.2000000000000008E-2</v>
      </c>
      <c r="K16" s="556">
        <v>7.0999999999999994E-2</v>
      </c>
      <c r="L16" s="214">
        <v>7.0000000000000007E-2</v>
      </c>
      <c r="M16" s="556">
        <v>7.0999999999999994E-2</v>
      </c>
      <c r="N16" s="214" t="s">
        <v>1060</v>
      </c>
    </row>
    <row r="17" spans="1:14" ht="18" customHeight="1" thickBot="1">
      <c r="A17" s="1225" t="s">
        <v>2022</v>
      </c>
      <c r="B17" s="214">
        <v>5.7000000000000002E-2</v>
      </c>
      <c r="C17" s="556">
        <v>5.7000000000000002E-2</v>
      </c>
      <c r="D17" s="214">
        <v>5.9000000000000004E-2</v>
      </c>
      <c r="E17" s="556">
        <v>6.0999999999999999E-2</v>
      </c>
      <c r="F17" s="214">
        <v>6.2E-2</v>
      </c>
      <c r="G17" s="556">
        <v>6.3E-2</v>
      </c>
      <c r="H17" s="214">
        <v>6.7000000000000004E-2</v>
      </c>
      <c r="I17" s="556">
        <v>6.4000000000000001E-2</v>
      </c>
      <c r="J17" s="214">
        <v>7.0000000000000007E-2</v>
      </c>
      <c r="K17" s="556">
        <v>7.0999999999999994E-2</v>
      </c>
      <c r="L17" s="214">
        <v>6.9000000000000006E-2</v>
      </c>
      <c r="M17" s="556">
        <v>6.6000000000000003E-2</v>
      </c>
      <c r="N17" s="214" t="s">
        <v>1060</v>
      </c>
    </row>
    <row r="18" spans="1:14" ht="18" customHeight="1" thickBot="1">
      <c r="A18" s="1225" t="s">
        <v>905</v>
      </c>
      <c r="B18" s="214">
        <v>6.5000000000000002E-2</v>
      </c>
      <c r="C18" s="556">
        <v>6.2E-2</v>
      </c>
      <c r="D18" s="214">
        <v>5.9000000000000004E-2</v>
      </c>
      <c r="E18" s="556">
        <v>5.9000000000000004E-2</v>
      </c>
      <c r="F18" s="214">
        <v>5.7999999999999996E-2</v>
      </c>
      <c r="G18" s="556">
        <v>5.9000000000000004E-2</v>
      </c>
      <c r="H18" s="214">
        <v>6.2E-2</v>
      </c>
      <c r="I18" s="556">
        <v>6.4000000000000001E-2</v>
      </c>
      <c r="J18" s="214">
        <v>6.6000000000000003E-2</v>
      </c>
      <c r="K18" s="556">
        <v>6.7000000000000004E-2</v>
      </c>
      <c r="L18" s="214">
        <v>6.6000000000000003E-2</v>
      </c>
      <c r="M18" s="556">
        <v>6.5000000000000002E-2</v>
      </c>
      <c r="N18" s="214" t="s">
        <v>1060</v>
      </c>
    </row>
    <row r="19" spans="1:14" ht="18" customHeight="1" thickBot="1">
      <c r="A19" s="1225" t="s">
        <v>913</v>
      </c>
      <c r="B19" s="214">
        <v>7.2000000000000008E-2</v>
      </c>
      <c r="C19" s="556">
        <v>7.2999999999999995E-2</v>
      </c>
      <c r="D19" s="214">
        <v>7.4999999999999997E-2</v>
      </c>
      <c r="E19" s="556">
        <v>7.6999999999999999E-2</v>
      </c>
      <c r="F19" s="214">
        <v>0.08</v>
      </c>
      <c r="G19" s="556">
        <v>8.4000000000000005E-2</v>
      </c>
      <c r="H19" s="214">
        <v>8.6999999999999994E-2</v>
      </c>
      <c r="I19" s="556">
        <v>8.8000000000000009E-2</v>
      </c>
      <c r="J19" s="214">
        <v>8.3000000000000004E-2</v>
      </c>
      <c r="K19" s="556">
        <v>0.08</v>
      </c>
      <c r="L19" s="214">
        <v>7.8E-2</v>
      </c>
      <c r="M19" s="556">
        <v>7.5999999999999998E-2</v>
      </c>
      <c r="N19" s="214" t="s">
        <v>1060</v>
      </c>
    </row>
    <row r="20" spans="1:14" ht="18" customHeight="1" thickBot="1">
      <c r="A20" s="1225" t="s">
        <v>2023</v>
      </c>
      <c r="B20" s="214">
        <v>6.3E-2</v>
      </c>
      <c r="C20" s="556">
        <v>6.2E-2</v>
      </c>
      <c r="D20" s="214">
        <v>6.4000000000000001E-2</v>
      </c>
      <c r="E20" s="556">
        <v>6.3E-2</v>
      </c>
      <c r="F20" s="214">
        <v>6.5000000000000002E-2</v>
      </c>
      <c r="G20" s="556">
        <v>7.0999999999999994E-2</v>
      </c>
      <c r="H20" s="214">
        <v>7.0999999999999994E-2</v>
      </c>
      <c r="I20" s="556">
        <v>7.5999999999999998E-2</v>
      </c>
      <c r="J20" s="214">
        <v>7.6999999999999999E-2</v>
      </c>
      <c r="K20" s="556">
        <v>0.08</v>
      </c>
      <c r="L20" s="214">
        <v>0.08</v>
      </c>
      <c r="M20" s="556">
        <v>7.5999999999999998E-2</v>
      </c>
      <c r="N20" s="214" t="s">
        <v>1060</v>
      </c>
    </row>
    <row r="21" spans="1:14" ht="18" customHeight="1" thickBot="1">
      <c r="A21" s="1225" t="s">
        <v>2024</v>
      </c>
      <c r="B21" s="214">
        <v>6.9000000000000006E-2</v>
      </c>
      <c r="C21" s="556">
        <v>6.8000000000000005E-2</v>
      </c>
      <c r="D21" s="214">
        <v>6.8000000000000005E-2</v>
      </c>
      <c r="E21" s="556">
        <v>7.400000000000001E-2</v>
      </c>
      <c r="F21" s="214">
        <v>7.400000000000001E-2</v>
      </c>
      <c r="G21" s="556">
        <v>7.400000000000001E-2</v>
      </c>
      <c r="H21" s="214">
        <v>7.8E-2</v>
      </c>
      <c r="I21" s="556">
        <v>8.199999999999999E-2</v>
      </c>
      <c r="J21" s="214">
        <v>7.8E-2</v>
      </c>
      <c r="K21" s="556">
        <v>7.400000000000001E-2</v>
      </c>
      <c r="L21" s="214">
        <v>7.2999999999999995E-2</v>
      </c>
      <c r="M21" s="556">
        <v>8.8000000000000009E-2</v>
      </c>
      <c r="N21" s="214" t="s">
        <v>1060</v>
      </c>
    </row>
    <row r="22" spans="1:14" ht="18" customHeight="1" thickBot="1">
      <c r="A22" s="1225" t="s">
        <v>911</v>
      </c>
      <c r="B22" s="214">
        <v>7.5999999999999998E-2</v>
      </c>
      <c r="C22" s="556">
        <v>7.6999999999999999E-2</v>
      </c>
      <c r="D22" s="214">
        <v>8.5999999999999993E-2</v>
      </c>
      <c r="E22" s="556">
        <v>8.5999999999999993E-2</v>
      </c>
      <c r="F22" s="214">
        <v>8.199999999999999E-2</v>
      </c>
      <c r="G22" s="556">
        <v>8.5999999999999993E-2</v>
      </c>
      <c r="H22" s="214">
        <v>8.6999999999999994E-2</v>
      </c>
      <c r="I22" s="556">
        <v>9.1999999999999998E-2</v>
      </c>
      <c r="J22" s="214">
        <v>8.4000000000000005E-2</v>
      </c>
      <c r="K22" s="556">
        <v>7.4999999999999997E-2</v>
      </c>
      <c r="L22" s="214">
        <v>7.2000000000000008E-2</v>
      </c>
      <c r="M22" s="556">
        <v>7.2999999999999995E-2</v>
      </c>
      <c r="N22" s="214" t="s">
        <v>1060</v>
      </c>
    </row>
    <row r="23" spans="1:14" s="251" customFormat="1" ht="30" customHeight="1" thickBot="1">
      <c r="A23" s="1226" t="s">
        <v>623</v>
      </c>
      <c r="B23" s="868">
        <v>5.9000000000000004E-2</v>
      </c>
      <c r="C23" s="753">
        <v>5.9000000000000004E-2</v>
      </c>
      <c r="D23" s="868">
        <v>6.2E-2</v>
      </c>
      <c r="E23" s="753">
        <v>6.0999999999999999E-2</v>
      </c>
      <c r="F23" s="868">
        <v>6.2E-2</v>
      </c>
      <c r="G23" s="753">
        <v>6.5000000000000002E-2</v>
      </c>
      <c r="H23" s="868">
        <v>6.9000000000000006E-2</v>
      </c>
      <c r="I23" s="753">
        <v>7.0000000000000007E-2</v>
      </c>
      <c r="J23" s="868">
        <v>7.0999999999999994E-2</v>
      </c>
      <c r="K23" s="753">
        <v>7.2000000000000008E-2</v>
      </c>
      <c r="L23" s="868">
        <v>6.9000000000000006E-2</v>
      </c>
      <c r="M23" s="753">
        <v>6.7000000000000004E-2</v>
      </c>
      <c r="N23" s="868" t="s">
        <v>1060</v>
      </c>
    </row>
    <row r="24" spans="1:14" ht="20" customHeight="1">
      <c r="A24" s="1222" t="s">
        <v>2025</v>
      </c>
      <c r="B24" s="266"/>
      <c r="C24" s="266"/>
      <c r="D24" s="266"/>
      <c r="E24" s="266"/>
      <c r="F24" s="266"/>
    </row>
    <row r="25" spans="1:14" ht="15" customHeight="1">
      <c r="A25" s="1222"/>
      <c r="B25" s="266"/>
      <c r="C25" s="266"/>
      <c r="D25" s="266"/>
      <c r="E25" s="266"/>
      <c r="F25" s="266"/>
    </row>
    <row r="26" spans="1:14" s="266" customFormat="1" ht="13.5" customHeight="1">
      <c r="A26" s="1222" t="s">
        <v>2026</v>
      </c>
    </row>
    <row r="27" spans="1:14" s="266" customFormat="1" ht="13.5" customHeight="1">
      <c r="A27" s="1222" t="s">
        <v>2027</v>
      </c>
    </row>
    <row r="28" spans="1:14" s="266" customFormat="1" ht="13.5" customHeight="1">
      <c r="A28" s="1222" t="s">
        <v>2028</v>
      </c>
    </row>
    <row r="29" spans="1:14" s="266" customFormat="1" ht="13.5" customHeight="1">
      <c r="A29" s="1222" t="s">
        <v>2029</v>
      </c>
    </row>
    <row r="30" spans="1:14" s="266" customFormat="1" ht="13.5" customHeight="1">
      <c r="A30" s="1222" t="s">
        <v>2030</v>
      </c>
    </row>
    <row r="31" spans="1:14" ht="13.5" customHeight="1">
      <c r="A31" s="1227" t="s">
        <v>2031</v>
      </c>
      <c r="B31" s="587"/>
      <c r="C31" s="587"/>
      <c r="D31" s="587"/>
      <c r="E31" s="587"/>
    </row>
    <row r="32" spans="1:14" ht="13.5" customHeight="1">
      <c r="A32" s="1227" t="s">
        <v>2032</v>
      </c>
      <c r="B32" s="587"/>
      <c r="C32" s="587"/>
      <c r="D32" s="587"/>
      <c r="E32" s="587"/>
    </row>
    <row r="33" spans="1:10" ht="13.5" customHeight="1">
      <c r="A33" s="1227" t="s">
        <v>2033</v>
      </c>
      <c r="B33" s="587"/>
      <c r="C33" s="587"/>
      <c r="D33" s="587"/>
      <c r="E33" s="587"/>
    </row>
    <row r="34" spans="1:10" ht="13.5" customHeight="1">
      <c r="A34" s="1227" t="s">
        <v>2034</v>
      </c>
      <c r="B34" s="587"/>
      <c r="C34" s="587"/>
      <c r="D34" s="587"/>
      <c r="E34" s="587"/>
    </row>
    <row r="35" spans="1:10" ht="13.5" customHeight="1">
      <c r="A35" s="1227" t="s">
        <v>2035</v>
      </c>
      <c r="B35" s="587"/>
      <c r="C35" s="587"/>
      <c r="D35" s="587"/>
      <c r="E35" s="587"/>
    </row>
    <row r="36" spans="1:10" ht="13.5" customHeight="1">
      <c r="A36" s="1227" t="s">
        <v>2036</v>
      </c>
      <c r="B36" s="587"/>
      <c r="C36" s="587"/>
      <c r="D36" s="587"/>
      <c r="E36" s="587"/>
    </row>
    <row r="37" spans="1:10" ht="13.5" customHeight="1">
      <c r="A37" s="1227"/>
      <c r="B37" s="587"/>
      <c r="C37" s="587"/>
      <c r="D37" s="587"/>
      <c r="E37" s="587"/>
    </row>
    <row r="38" spans="1:10" ht="12.75" customHeight="1">
      <c r="A38" s="1222" t="s">
        <v>617</v>
      </c>
      <c r="B38" s="266"/>
      <c r="C38" s="266"/>
      <c r="D38" s="266"/>
      <c r="E38" s="266"/>
      <c r="F38" s="266"/>
    </row>
    <row r="39" spans="1:10" ht="12.75" customHeight="1">
      <c r="A39" s="1228" t="s">
        <v>618</v>
      </c>
      <c r="B39" s="266"/>
      <c r="C39" s="266"/>
      <c r="D39" s="266"/>
      <c r="E39" s="266"/>
      <c r="F39" s="266"/>
    </row>
    <row r="40" spans="1:10" ht="12.75" customHeight="1">
      <c r="A40" s="1228" t="s">
        <v>619</v>
      </c>
      <c r="B40" s="266"/>
      <c r="C40" s="266"/>
      <c r="D40" s="266"/>
      <c r="E40" s="266"/>
      <c r="F40" s="266"/>
    </row>
    <row r="41" spans="1:10" ht="12.75" customHeight="1">
      <c r="A41" s="1228"/>
      <c r="B41" s="266"/>
      <c r="C41" s="266"/>
      <c r="D41" s="266"/>
      <c r="E41" s="266"/>
      <c r="F41" s="266"/>
    </row>
    <row r="42" spans="1:10" ht="17.25" customHeight="1">
      <c r="A42" s="778"/>
      <c r="B42" s="266"/>
      <c r="C42" s="266"/>
      <c r="D42" s="266"/>
      <c r="E42" s="266"/>
      <c r="F42" s="266"/>
    </row>
    <row r="43" spans="1:10" ht="18.75" customHeight="1">
      <c r="A43" s="362" t="s">
        <v>711</v>
      </c>
      <c r="B43" s="266"/>
      <c r="C43" s="266"/>
      <c r="D43" s="266"/>
      <c r="E43" s="266"/>
      <c r="F43" s="266"/>
    </row>
    <row r="44" spans="1:10" ht="31" customHeight="1">
      <c r="A44" s="266"/>
      <c r="B44" s="266"/>
      <c r="C44" s="266"/>
      <c r="D44" s="266"/>
      <c r="E44" s="266"/>
      <c r="F44" s="266"/>
      <c r="J44" s="1"/>
    </row>
    <row r="45" spans="1:10" ht="31" customHeight="1">
      <c r="A45" s="266"/>
      <c r="B45" s="266"/>
      <c r="C45" s="266"/>
      <c r="D45" s="266"/>
      <c r="E45" s="266"/>
      <c r="F45" s="266"/>
    </row>
    <row r="46" spans="1:10" ht="31" customHeight="1">
      <c r="A46" s="266"/>
      <c r="B46" s="266"/>
      <c r="C46" s="266"/>
      <c r="D46" s="266"/>
      <c r="E46" s="266"/>
      <c r="F46" s="266"/>
    </row>
    <row r="47" spans="1:10" ht="31" customHeight="1">
      <c r="A47" s="266"/>
      <c r="B47" s="266"/>
      <c r="C47" s="266"/>
      <c r="D47" s="266"/>
      <c r="E47" s="266"/>
      <c r="F47" s="266"/>
    </row>
    <row r="48" spans="1:10" ht="31" customHeight="1">
      <c r="A48" s="266"/>
      <c r="B48" s="266"/>
      <c r="C48" s="266"/>
      <c r="D48" s="266"/>
      <c r="E48" s="266"/>
      <c r="F48" s="266"/>
    </row>
    <row r="49" spans="1:6" ht="31" customHeight="1">
      <c r="A49" s="266"/>
      <c r="B49" s="266"/>
      <c r="C49" s="266"/>
      <c r="D49" s="266"/>
      <c r="E49" s="266"/>
      <c r="F49" s="266"/>
    </row>
    <row r="50" spans="1:6" ht="31" customHeight="1">
      <c r="A50" s="266"/>
      <c r="B50" s="266"/>
      <c r="C50" s="266"/>
      <c r="D50" s="266"/>
      <c r="E50" s="266"/>
      <c r="F50" s="266"/>
    </row>
    <row r="51" spans="1:6">
      <c r="A51" s="266"/>
      <c r="B51" s="266"/>
      <c r="C51" s="266"/>
      <c r="D51" s="266"/>
      <c r="E51" s="266"/>
      <c r="F51" s="266"/>
    </row>
    <row r="52" spans="1:6">
      <c r="A52" s="266"/>
      <c r="B52" s="266"/>
      <c r="C52" s="266"/>
      <c r="D52" s="266"/>
      <c r="E52" s="266"/>
      <c r="F52" s="266"/>
    </row>
    <row r="53" spans="1:6">
      <c r="A53" s="266"/>
      <c r="B53" s="266"/>
      <c r="C53" s="266"/>
      <c r="D53" s="266"/>
      <c r="E53" s="266"/>
      <c r="F53" s="266"/>
    </row>
    <row r="54" spans="1:6">
      <c r="A54" s="266"/>
      <c r="B54" s="266"/>
      <c r="C54" s="266"/>
      <c r="D54" s="266"/>
      <c r="E54" s="266"/>
      <c r="F54" s="266"/>
    </row>
    <row r="55" spans="1:6">
      <c r="A55" s="266"/>
      <c r="B55" s="266"/>
      <c r="C55" s="266"/>
      <c r="D55" s="266"/>
      <c r="E55" s="266"/>
      <c r="F55" s="266"/>
    </row>
    <row r="56" spans="1:6">
      <c r="A56" s="266"/>
      <c r="B56" s="266"/>
      <c r="C56" s="266"/>
      <c r="D56" s="266"/>
      <c r="E56" s="266"/>
      <c r="F56" s="266"/>
    </row>
    <row r="57" spans="1:6">
      <c r="A57" s="266"/>
      <c r="B57" s="266"/>
      <c r="C57" s="266"/>
      <c r="D57" s="266"/>
      <c r="E57" s="266"/>
      <c r="F57" s="266"/>
    </row>
    <row r="58" spans="1:6">
      <c r="A58" s="266"/>
      <c r="B58" s="266"/>
      <c r="C58" s="266"/>
      <c r="D58" s="266"/>
      <c r="E58" s="266"/>
      <c r="F58" s="266"/>
    </row>
    <row r="59" spans="1:6">
      <c r="A59" s="266"/>
      <c r="B59" s="266"/>
      <c r="C59" s="266"/>
      <c r="D59" s="266"/>
      <c r="E59" s="266"/>
      <c r="F59" s="266"/>
    </row>
    <row r="60" spans="1:6">
      <c r="A60" s="266"/>
      <c r="B60" s="266"/>
      <c r="C60" s="266"/>
      <c r="D60" s="266"/>
      <c r="E60" s="266"/>
      <c r="F60" s="266"/>
    </row>
    <row r="61" spans="1:6">
      <c r="A61" s="266"/>
      <c r="B61" s="266"/>
      <c r="C61" s="266"/>
      <c r="D61" s="266"/>
      <c r="E61" s="266"/>
      <c r="F61" s="266"/>
    </row>
    <row r="62" spans="1:6">
      <c r="A62" s="266"/>
      <c r="B62" s="266"/>
      <c r="C62" s="266"/>
      <c r="D62" s="266"/>
      <c r="E62" s="266"/>
      <c r="F62" s="266"/>
    </row>
    <row r="63" spans="1:6">
      <c r="A63" s="266"/>
      <c r="B63" s="266"/>
      <c r="C63" s="266"/>
      <c r="D63" s="266"/>
      <c r="E63" s="266"/>
      <c r="F63" s="266"/>
    </row>
    <row r="64" spans="1:6">
      <c r="A64" s="266"/>
      <c r="B64" s="266"/>
      <c r="C64" s="266"/>
      <c r="D64" s="266"/>
      <c r="E64" s="266"/>
      <c r="F64" s="266"/>
    </row>
    <row r="65" spans="1:6">
      <c r="A65" s="266"/>
      <c r="B65" s="266"/>
      <c r="C65" s="266"/>
      <c r="D65" s="266"/>
      <c r="E65" s="266"/>
      <c r="F65" s="266"/>
    </row>
    <row r="66" spans="1:6">
      <c r="A66" s="266"/>
      <c r="B66" s="266"/>
      <c r="C66" s="266"/>
      <c r="D66" s="266"/>
      <c r="E66" s="266"/>
      <c r="F66" s="266"/>
    </row>
    <row r="67" spans="1:6">
      <c r="A67" s="266"/>
      <c r="B67" s="266"/>
      <c r="C67" s="266"/>
      <c r="D67" s="266"/>
      <c r="E67" s="266"/>
      <c r="F67" s="266"/>
    </row>
    <row r="68" spans="1:6">
      <c r="A68" s="266"/>
      <c r="B68" s="266"/>
      <c r="C68" s="266"/>
      <c r="D68" s="266"/>
      <c r="E68" s="266"/>
      <c r="F68" s="266"/>
    </row>
    <row r="69" spans="1:6">
      <c r="A69" s="266"/>
      <c r="B69" s="266"/>
      <c r="C69" s="266"/>
      <c r="D69" s="266"/>
      <c r="E69" s="266"/>
      <c r="F69" s="266"/>
    </row>
    <row r="70" spans="1:6">
      <c r="A70" s="266"/>
      <c r="B70" s="266"/>
      <c r="C70" s="266"/>
      <c r="D70" s="266"/>
      <c r="E70" s="266"/>
      <c r="F70" s="266"/>
    </row>
    <row r="71" spans="1:6">
      <c r="A71" s="266"/>
      <c r="B71" s="266"/>
      <c r="C71" s="266"/>
      <c r="D71" s="266"/>
      <c r="E71" s="266"/>
      <c r="F71" s="266"/>
    </row>
    <row r="72" spans="1:6">
      <c r="A72" s="266"/>
      <c r="B72" s="266"/>
      <c r="C72" s="266"/>
      <c r="D72" s="266"/>
      <c r="E72" s="266"/>
      <c r="F72" s="266"/>
    </row>
    <row r="73" spans="1:6">
      <c r="A73" s="266"/>
      <c r="B73" s="266"/>
      <c r="C73" s="266"/>
      <c r="D73" s="266"/>
      <c r="E73" s="266"/>
      <c r="F73" s="266"/>
    </row>
    <row r="74" spans="1:6">
      <c r="A74" s="266"/>
      <c r="B74" s="266"/>
      <c r="C74" s="266"/>
      <c r="D74" s="266"/>
      <c r="E74" s="266"/>
      <c r="F74" s="266"/>
    </row>
    <row r="75" spans="1:6">
      <c r="A75" s="266"/>
      <c r="B75" s="266"/>
      <c r="C75" s="266"/>
      <c r="D75" s="266"/>
      <c r="E75" s="266"/>
      <c r="F75" s="266"/>
    </row>
    <row r="76" spans="1:6">
      <c r="A76" s="266"/>
      <c r="B76" s="266"/>
      <c r="C76" s="266"/>
      <c r="D76" s="266"/>
      <c r="E76" s="266"/>
      <c r="F76" s="266"/>
    </row>
    <row r="77" spans="1:6">
      <c r="A77" s="266"/>
      <c r="B77" s="266"/>
      <c r="C77" s="266"/>
      <c r="D77" s="266"/>
      <c r="E77" s="266"/>
      <c r="F77" s="266"/>
    </row>
    <row r="78" spans="1:6">
      <c r="A78" s="266"/>
      <c r="B78" s="266"/>
      <c r="C78" s="266"/>
      <c r="D78" s="266"/>
      <c r="E78" s="266"/>
      <c r="F78" s="266"/>
    </row>
    <row r="79" spans="1:6">
      <c r="A79" s="266"/>
      <c r="B79" s="266"/>
      <c r="C79" s="266"/>
      <c r="D79" s="266"/>
      <c r="E79" s="266"/>
      <c r="F79" s="266"/>
    </row>
    <row r="80" spans="1:6">
      <c r="A80" s="266"/>
      <c r="B80" s="266"/>
      <c r="C80" s="266"/>
      <c r="D80" s="266"/>
      <c r="E80" s="266"/>
      <c r="F80" s="266"/>
    </row>
    <row r="81" spans="1:6">
      <c r="A81" s="266"/>
      <c r="B81" s="266"/>
      <c r="C81" s="266"/>
      <c r="D81" s="266"/>
      <c r="E81" s="266"/>
      <c r="F81" s="266"/>
    </row>
    <row r="82" spans="1:6">
      <c r="A82" s="266"/>
      <c r="B82" s="266"/>
      <c r="C82" s="266"/>
      <c r="D82" s="266"/>
      <c r="E82" s="266"/>
      <c r="F82" s="266"/>
    </row>
    <row r="83" spans="1:6">
      <c r="A83" s="266"/>
      <c r="B83" s="266"/>
      <c r="C83" s="266"/>
      <c r="D83" s="266"/>
      <c r="E83" s="266"/>
      <c r="F83" s="266"/>
    </row>
    <row r="84" spans="1:6">
      <c r="A84" s="266"/>
      <c r="B84" s="266"/>
      <c r="C84" s="266"/>
      <c r="D84" s="266"/>
      <c r="E84" s="266"/>
      <c r="F84" s="266"/>
    </row>
    <row r="85" spans="1:6">
      <c r="A85" s="266"/>
      <c r="B85" s="266"/>
      <c r="C85" s="266"/>
      <c r="D85" s="266"/>
      <c r="E85" s="266"/>
      <c r="F85" s="266"/>
    </row>
    <row r="86" spans="1:6">
      <c r="A86" s="266"/>
      <c r="B86" s="266"/>
      <c r="C86" s="266"/>
      <c r="D86" s="266"/>
      <c r="E86" s="266"/>
      <c r="F86" s="266"/>
    </row>
    <row r="87" spans="1:6">
      <c r="A87" s="266"/>
      <c r="B87" s="266"/>
      <c r="C87" s="266"/>
      <c r="D87" s="266"/>
      <c r="E87" s="266"/>
      <c r="F87" s="266"/>
    </row>
    <row r="88" spans="1:6">
      <c r="A88" s="266"/>
      <c r="B88" s="266"/>
      <c r="C88" s="266"/>
      <c r="D88" s="266"/>
      <c r="E88" s="266"/>
      <c r="F88" s="266"/>
    </row>
    <row r="89" spans="1:6">
      <c r="A89" s="266"/>
      <c r="B89" s="266"/>
      <c r="C89" s="266"/>
      <c r="D89" s="266"/>
      <c r="E89" s="266"/>
      <c r="F89" s="266"/>
    </row>
    <row r="90" spans="1:6">
      <c r="A90" s="266"/>
      <c r="B90" s="266"/>
      <c r="C90" s="266"/>
      <c r="D90" s="266"/>
      <c r="E90" s="266"/>
      <c r="F90" s="266"/>
    </row>
    <row r="91" spans="1:6">
      <c r="A91" s="266"/>
      <c r="B91" s="266"/>
      <c r="C91" s="266"/>
      <c r="D91" s="266"/>
      <c r="E91" s="266"/>
      <c r="F91" s="266"/>
    </row>
    <row r="92" spans="1:6">
      <c r="A92" s="266"/>
      <c r="B92" s="266"/>
      <c r="C92" s="266"/>
      <c r="D92" s="266"/>
      <c r="E92" s="266"/>
      <c r="F92" s="266"/>
    </row>
    <row r="93" spans="1:6">
      <c r="A93" s="266"/>
      <c r="B93" s="266"/>
      <c r="C93" s="266"/>
      <c r="D93" s="266"/>
      <c r="E93" s="266"/>
      <c r="F93" s="266"/>
    </row>
    <row r="94" spans="1:6">
      <c r="A94" s="266"/>
      <c r="B94" s="266"/>
      <c r="C94" s="266"/>
      <c r="D94" s="266"/>
      <c r="E94" s="266"/>
      <c r="F94" s="266"/>
    </row>
    <row r="95" spans="1:6">
      <c r="A95" s="266"/>
      <c r="B95" s="266"/>
      <c r="C95" s="266"/>
      <c r="D95" s="266"/>
      <c r="E95" s="266"/>
      <c r="F95" s="266"/>
    </row>
    <row r="96" spans="1:6">
      <c r="A96" s="266"/>
      <c r="B96" s="266"/>
      <c r="C96" s="266"/>
      <c r="D96" s="266"/>
      <c r="E96" s="266"/>
      <c r="F96" s="266"/>
    </row>
    <row r="97" spans="1:6">
      <c r="A97" s="266"/>
      <c r="B97" s="266"/>
      <c r="C97" s="266"/>
      <c r="D97" s="266"/>
      <c r="E97" s="266"/>
      <c r="F97" s="266"/>
    </row>
    <row r="98" spans="1:6">
      <c r="A98" s="266"/>
      <c r="B98" s="266"/>
      <c r="C98" s="266"/>
      <c r="D98" s="266"/>
      <c r="E98" s="266"/>
      <c r="F98" s="266"/>
    </row>
    <row r="99" spans="1:6">
      <c r="A99" s="266"/>
      <c r="B99" s="266"/>
      <c r="C99" s="266"/>
      <c r="D99" s="266"/>
      <c r="E99" s="266"/>
      <c r="F99" s="266"/>
    </row>
    <row r="100" spans="1:6">
      <c r="A100" s="266"/>
      <c r="B100" s="266"/>
      <c r="C100" s="266"/>
      <c r="D100" s="266"/>
      <c r="E100" s="266"/>
      <c r="F100" s="266"/>
    </row>
    <row r="101" spans="1:6">
      <c r="A101" s="266"/>
      <c r="B101" s="266"/>
      <c r="C101" s="266"/>
      <c r="D101" s="266"/>
      <c r="E101" s="266"/>
      <c r="F101" s="266"/>
    </row>
    <row r="102" spans="1:6">
      <c r="A102" s="266"/>
      <c r="B102" s="266"/>
      <c r="C102" s="266"/>
      <c r="D102" s="266"/>
      <c r="E102" s="266"/>
      <c r="F102" s="266"/>
    </row>
    <row r="103" spans="1:6">
      <c r="A103" s="266"/>
      <c r="B103" s="266"/>
      <c r="C103" s="266"/>
      <c r="D103" s="266"/>
      <c r="E103" s="266"/>
      <c r="F103" s="266"/>
    </row>
    <row r="104" spans="1:6">
      <c r="A104" s="266"/>
      <c r="B104" s="266"/>
      <c r="C104" s="266"/>
      <c r="D104" s="266"/>
      <c r="E104" s="266"/>
      <c r="F104" s="266"/>
    </row>
    <row r="105" spans="1:6">
      <c r="A105" s="266"/>
      <c r="B105" s="266"/>
      <c r="C105" s="266"/>
      <c r="D105" s="266"/>
      <c r="E105" s="266"/>
      <c r="F105" s="266"/>
    </row>
    <row r="106" spans="1:6">
      <c r="A106" s="266"/>
      <c r="B106" s="266"/>
      <c r="C106" s="266"/>
      <c r="D106" s="266"/>
      <c r="E106" s="266"/>
      <c r="F106" s="266"/>
    </row>
  </sheetData>
  <phoneticPr fontId="0" type="noConversion"/>
  <pageMargins left="0.49" right="0.51" top="0.77" bottom="0.49" header="0.47" footer="0.4921259845"/>
  <pageSetup paperSize="9" scale="68" orientation="portrait" horizontalDpi="1200" verticalDpi="1200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55C1-B76F-804E-9383-FAA9C45AB7E6}">
  <sheetPr>
    <pageSetUpPr fitToPage="1"/>
  </sheetPr>
  <dimension ref="A1:G36"/>
  <sheetViews>
    <sheetView topLeftCell="A12" zoomScale="75" workbookViewId="0">
      <selection activeCell="I14" sqref="I14"/>
    </sheetView>
  </sheetViews>
  <sheetFormatPr baseColWidth="10" defaultColWidth="10.796875" defaultRowHeight="13"/>
  <cols>
    <col min="1" max="1" width="35.796875" style="2" customWidth="1"/>
    <col min="2" max="3" width="12.796875" style="7" customWidth="1"/>
    <col min="4" max="4" width="14.19921875" style="7" customWidth="1"/>
    <col min="5" max="5" width="12.796875" style="7" customWidth="1"/>
    <col min="6" max="6" width="14.19921875" style="7" customWidth="1"/>
    <col min="7" max="7" width="12.796875" style="2" customWidth="1"/>
    <col min="8" max="16384" width="10.796875" style="2"/>
  </cols>
  <sheetData>
    <row r="1" spans="1:7" ht="14" customHeight="1">
      <c r="A1" s="364"/>
    </row>
    <row r="2" spans="1:7" ht="28" customHeight="1">
      <c r="A2" s="53" t="s">
        <v>2151</v>
      </c>
      <c r="G2" s="428">
        <v>2008</v>
      </c>
    </row>
    <row r="3" spans="1:7" s="92" customFormat="1" ht="25" customHeight="1">
      <c r="A3" s="843" t="s">
        <v>2152</v>
      </c>
      <c r="B3" s="208" t="s">
        <v>1867</v>
      </c>
      <c r="C3" s="242" t="s">
        <v>1868</v>
      </c>
      <c r="D3" s="208" t="s">
        <v>2371</v>
      </c>
      <c r="E3" s="180" t="s">
        <v>76</v>
      </c>
      <c r="F3" s="513" t="s">
        <v>164</v>
      </c>
      <c r="G3" s="180" t="s">
        <v>2372</v>
      </c>
    </row>
    <row r="4" spans="1:7" s="92" customFormat="1" ht="15" customHeight="1">
      <c r="A4" s="844"/>
      <c r="B4" s="209"/>
      <c r="C4" s="245"/>
      <c r="D4" s="209"/>
      <c r="E4" s="245"/>
      <c r="F4" s="182"/>
      <c r="G4" s="183" t="s">
        <v>2373</v>
      </c>
    </row>
    <row r="5" spans="1:7" s="92" customFormat="1" ht="15" customHeight="1">
      <c r="A5" s="844"/>
      <c r="B5" s="209"/>
      <c r="C5" s="245"/>
      <c r="D5" s="209"/>
      <c r="E5" s="245"/>
      <c r="F5" s="182"/>
      <c r="G5" s="183" t="s">
        <v>2377</v>
      </c>
    </row>
    <row r="6" spans="1:7" s="92" customFormat="1" ht="24" customHeight="1">
      <c r="A6" s="845"/>
      <c r="B6" s="846"/>
      <c r="C6" s="847"/>
      <c r="D6" s="846"/>
      <c r="E6" s="847"/>
      <c r="F6" s="412"/>
      <c r="G6" s="187"/>
    </row>
    <row r="7" spans="1:7" ht="30" customHeight="1" thickBot="1">
      <c r="A7" s="848" t="s">
        <v>77</v>
      </c>
      <c r="B7" s="381">
        <v>2966175.79</v>
      </c>
      <c r="C7" s="382">
        <v>3141735.96</v>
      </c>
      <c r="D7" s="381">
        <v>6107911.75</v>
      </c>
      <c r="E7" s="382">
        <v>1507651.61</v>
      </c>
      <c r="F7" s="383">
        <v>7615563.3200000003</v>
      </c>
      <c r="G7" s="759">
        <v>1.0344946740770043E-2</v>
      </c>
    </row>
    <row r="8" spans="1:7" ht="24" customHeight="1" thickBot="1">
      <c r="A8" s="849" t="s">
        <v>78</v>
      </c>
      <c r="B8" s="1075">
        <v>2106623.3543340205</v>
      </c>
      <c r="C8" s="1076">
        <v>2780540.4179168111</v>
      </c>
      <c r="D8" s="1075">
        <v>4887163.7722508311</v>
      </c>
      <c r="E8" s="1076">
        <v>1359624.0110304875</v>
      </c>
      <c r="F8" s="1077">
        <v>6246787.7832813188</v>
      </c>
      <c r="G8" s="1074">
        <v>1.2289482702228805E-2</v>
      </c>
    </row>
    <row r="9" spans="1:7" ht="20" customHeight="1" thickBot="1">
      <c r="A9" s="849" t="s">
        <v>379</v>
      </c>
      <c r="B9" s="927">
        <v>71.021527498005128</v>
      </c>
      <c r="C9" s="1072">
        <v>88.503313242046318</v>
      </c>
      <c r="D9" s="927">
        <v>80.013660515819197</v>
      </c>
      <c r="E9" s="1072">
        <v>90.181577893216812</v>
      </c>
      <c r="F9" s="1073">
        <v>82.026601589353191</v>
      </c>
      <c r="G9" s="1074">
        <v>1.9128079803736034E-3</v>
      </c>
    </row>
    <row r="10" spans="1:7" ht="24" customHeight="1" thickBot="1">
      <c r="A10" s="849" t="s">
        <v>79</v>
      </c>
      <c r="B10" s="213">
        <v>512213</v>
      </c>
      <c r="C10" s="263">
        <v>688099</v>
      </c>
      <c r="D10" s="213">
        <v>1200312</v>
      </c>
      <c r="E10" s="263">
        <v>83117</v>
      </c>
      <c r="F10" s="280">
        <v>1283429</v>
      </c>
      <c r="G10" s="759">
        <v>4.1370709534404054E-2</v>
      </c>
    </row>
    <row r="11" spans="1:7" ht="20" customHeight="1" thickBot="1">
      <c r="A11" s="849" t="s">
        <v>2309</v>
      </c>
      <c r="B11" s="213" t="s">
        <v>2467</v>
      </c>
      <c r="C11" s="263">
        <v>93446</v>
      </c>
      <c r="D11" s="213">
        <v>93446</v>
      </c>
      <c r="E11" s="263">
        <v>532</v>
      </c>
      <c r="F11" s="280">
        <v>93978</v>
      </c>
      <c r="G11" s="759">
        <v>1.1516769277134369E-2</v>
      </c>
    </row>
    <row r="12" spans="1:7" ht="20" customHeight="1" thickBot="1">
      <c r="A12" s="851" t="s">
        <v>2153</v>
      </c>
      <c r="B12" s="499">
        <v>17.27</v>
      </c>
      <c r="C12" s="501">
        <v>21.9</v>
      </c>
      <c r="D12" s="499">
        <v>19.651757411197043</v>
      </c>
      <c r="E12" s="501">
        <v>5.51</v>
      </c>
      <c r="F12" s="850">
        <v>16.850000000000001</v>
      </c>
      <c r="G12" s="759">
        <v>3.0581039755351678E-2</v>
      </c>
    </row>
    <row r="13" spans="1:7" ht="24" customHeight="1" thickBot="1">
      <c r="A13" s="849" t="s">
        <v>80</v>
      </c>
      <c r="B13" s="213">
        <v>4884416</v>
      </c>
      <c r="C13" s="263">
        <v>6435364</v>
      </c>
      <c r="D13" s="213">
        <v>11319780</v>
      </c>
      <c r="E13" s="263">
        <v>469954</v>
      </c>
      <c r="F13" s="280">
        <v>11789734</v>
      </c>
      <c r="G13" s="759">
        <v>7.152567664838033E-3</v>
      </c>
    </row>
    <row r="14" spans="1:7" ht="20" customHeight="1" thickBot="1">
      <c r="A14" s="849" t="s">
        <v>2309</v>
      </c>
      <c r="B14" s="852" t="s">
        <v>2467</v>
      </c>
      <c r="C14" s="263">
        <v>516977</v>
      </c>
      <c r="D14" s="213">
        <v>516977</v>
      </c>
      <c r="E14" s="263">
        <v>2786</v>
      </c>
      <c r="F14" s="280">
        <v>519763</v>
      </c>
      <c r="G14" s="759">
        <v>-2.5783524110668973E-2</v>
      </c>
    </row>
    <row r="15" spans="1:7" ht="20" customHeight="1" thickBot="1">
      <c r="A15" s="849" t="s">
        <v>2154</v>
      </c>
      <c r="B15" s="499">
        <v>164.67</v>
      </c>
      <c r="C15" s="501">
        <v>204.83</v>
      </c>
      <c r="D15" s="499">
        <v>185.32978967811709</v>
      </c>
      <c r="E15" s="501">
        <v>31.17</v>
      </c>
      <c r="F15" s="850">
        <v>154.81</v>
      </c>
      <c r="G15" s="759">
        <v>-3.155183515775976E-3</v>
      </c>
    </row>
    <row r="16" spans="1:7" ht="30" customHeight="1" thickBot="1">
      <c r="A16" s="853" t="s">
        <v>2155</v>
      </c>
      <c r="B16" s="854">
        <v>9.5399999999999991</v>
      </c>
      <c r="C16" s="855">
        <v>9.35</v>
      </c>
      <c r="D16" s="854">
        <v>9.4306980185151854</v>
      </c>
      <c r="E16" s="855">
        <v>5.65</v>
      </c>
      <c r="F16" s="559">
        <v>9.19</v>
      </c>
      <c r="G16" s="761">
        <v>-3.2631578947368477E-2</v>
      </c>
    </row>
    <row r="17" spans="1:7" ht="20" customHeight="1">
      <c r="A17" s="201" t="s">
        <v>764</v>
      </c>
      <c r="B17" s="253"/>
      <c r="C17" s="253"/>
      <c r="D17" s="253"/>
      <c r="E17" s="253"/>
      <c r="F17" s="253"/>
      <c r="G17" s="201"/>
    </row>
    <row r="18" spans="1:7" ht="13.5" customHeight="1">
      <c r="A18" s="202"/>
      <c r="B18" s="254"/>
      <c r="C18" s="254"/>
      <c r="D18" s="254"/>
      <c r="E18" s="254"/>
      <c r="F18" s="254"/>
      <c r="G18" s="202"/>
    </row>
    <row r="19" spans="1:7" ht="13.5" customHeight="1">
      <c r="A19" s="202" t="s">
        <v>2156</v>
      </c>
      <c r="B19" s="254"/>
      <c r="C19" s="254"/>
      <c r="D19" s="254"/>
      <c r="E19" s="254"/>
      <c r="F19" s="254"/>
      <c r="G19" s="202"/>
    </row>
    <row r="20" spans="1:7" ht="12.75" customHeight="1">
      <c r="A20" s="202" t="s">
        <v>2157</v>
      </c>
      <c r="B20" s="254"/>
      <c r="C20" s="254"/>
      <c r="D20" s="254"/>
      <c r="E20" s="254"/>
      <c r="F20" s="254"/>
      <c r="G20" s="202"/>
    </row>
    <row r="21" spans="1:7" ht="12.75" customHeight="1">
      <c r="A21" s="202" t="s">
        <v>2158</v>
      </c>
      <c r="B21" s="254"/>
      <c r="C21" s="254"/>
      <c r="D21" s="254"/>
      <c r="E21" s="254"/>
      <c r="F21" s="254"/>
      <c r="G21" s="202"/>
    </row>
    <row r="22" spans="1:7" ht="12.75" customHeight="1">
      <c r="A22" s="1078" t="s">
        <v>378</v>
      </c>
      <c r="B22" s="254"/>
      <c r="C22" s="254"/>
      <c r="D22" s="254"/>
      <c r="E22" s="254"/>
      <c r="F22" s="254"/>
      <c r="G22" s="202"/>
    </row>
    <row r="23" spans="1:7" ht="12.75" customHeight="1">
      <c r="A23" s="856" t="s">
        <v>2159</v>
      </c>
    </row>
    <row r="24" spans="1:7" ht="12.75" customHeight="1">
      <c r="A24" s="856" t="s">
        <v>2160</v>
      </c>
    </row>
    <row r="25" spans="1:7" ht="12.75" customHeight="1">
      <c r="A25" s="856" t="s">
        <v>2161</v>
      </c>
    </row>
    <row r="26" spans="1:7" ht="12.75" customHeight="1">
      <c r="A26" s="856" t="s">
        <v>2162</v>
      </c>
    </row>
    <row r="27" spans="1:7" ht="12.75" customHeight="1">
      <c r="A27" s="856" t="s">
        <v>1756</v>
      </c>
    </row>
    <row r="28" spans="1:7" ht="12.75" customHeight="1">
      <c r="A28" s="856" t="s">
        <v>1757</v>
      </c>
    </row>
    <row r="29" spans="1:7" ht="12.75" customHeight="1">
      <c r="A29" s="856" t="s">
        <v>1758</v>
      </c>
    </row>
    <row r="30" spans="1:7" ht="12.75" customHeight="1">
      <c r="A30" s="856" t="s">
        <v>1759</v>
      </c>
    </row>
    <row r="31" spans="1:7" ht="12.75" customHeight="1">
      <c r="A31" s="856" t="s">
        <v>1760</v>
      </c>
    </row>
    <row r="33" spans="1:1">
      <c r="A33" s="2" t="s">
        <v>1761</v>
      </c>
    </row>
    <row r="36" spans="1:1">
      <c r="A36" s="266" t="s">
        <v>711</v>
      </c>
    </row>
  </sheetData>
  <phoneticPr fontId="0" type="noConversion"/>
  <pageMargins left="0.57999999999999996" right="0.65" top="0.85" bottom="0.47244094488188981" header="0.49" footer="0.51181102362204722"/>
  <pageSetup paperSize="9" scale="78" orientation="portrait" horizontalDpi="1200" verticalDpi="1200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6A2B-7F13-4742-AD73-FE9D0FE4F8E2}">
  <dimension ref="A1:B18"/>
  <sheetViews>
    <sheetView workbookViewId="0">
      <selection activeCell="D21" sqref="D21"/>
    </sheetView>
  </sheetViews>
  <sheetFormatPr baseColWidth="10" defaultColWidth="11.3984375" defaultRowHeight="13"/>
  <cols>
    <col min="1" max="1" width="5.59765625" style="113" customWidth="1"/>
    <col min="2" max="16384" width="11.3984375" style="113"/>
  </cols>
  <sheetData>
    <row r="1" spans="1:2" ht="16">
      <c r="A1" s="112" t="s">
        <v>1054</v>
      </c>
    </row>
    <row r="2" spans="1:2" ht="16">
      <c r="A2" s="112"/>
    </row>
    <row r="3" spans="1:2" s="116" customFormat="1">
      <c r="A3" s="114" t="s">
        <v>1063</v>
      </c>
      <c r="B3" s="115" t="s">
        <v>1278</v>
      </c>
    </row>
    <row r="4" spans="1:2" s="116" customFormat="1">
      <c r="A4" s="114" t="s">
        <v>1064</v>
      </c>
      <c r="B4" s="115" t="s">
        <v>1277</v>
      </c>
    </row>
    <row r="5" spans="1:2">
      <c r="A5" s="114" t="s">
        <v>1065</v>
      </c>
      <c r="B5" s="115" t="s">
        <v>1055</v>
      </c>
    </row>
    <row r="6" spans="1:2" s="116" customFormat="1">
      <c r="A6" s="115"/>
      <c r="B6" s="115"/>
    </row>
    <row r="7" spans="1:2" s="116" customFormat="1">
      <c r="A7" s="115"/>
      <c r="B7" s="115"/>
    </row>
    <row r="8" spans="1:2" s="116" customFormat="1">
      <c r="A8" s="115"/>
      <c r="B8" s="115"/>
    </row>
    <row r="9" spans="1:2" s="116" customFormat="1">
      <c r="A9" s="115"/>
      <c r="B9" s="115"/>
    </row>
    <row r="10" spans="1:2" s="116" customFormat="1">
      <c r="A10" s="115"/>
      <c r="B10" s="115"/>
    </row>
    <row r="11" spans="1:2" s="116" customFormat="1">
      <c r="A11" s="115"/>
      <c r="B11" s="115"/>
    </row>
    <row r="12" spans="1:2" s="116" customFormat="1">
      <c r="A12" s="115"/>
      <c r="B12" s="115"/>
    </row>
    <row r="13" spans="1:2">
      <c r="A13" s="117"/>
      <c r="B13" s="118"/>
    </row>
    <row r="14" spans="1:2">
      <c r="A14" s="117"/>
      <c r="B14" s="118"/>
    </row>
    <row r="15" spans="1:2">
      <c r="A15" s="115"/>
      <c r="B15" s="115"/>
    </row>
    <row r="18" spans="1:1">
      <c r="A18" s="119" t="s">
        <v>711</v>
      </c>
    </row>
  </sheetData>
  <phoneticPr fontId="30" type="noConversion"/>
  <pageMargins left="0.46" right="0.35" top="0.88" bottom="0.984251969" header="0.4921259845" footer="0.4921259845"/>
  <pageSetup paperSize="9" orientation="portrait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E259-59FE-144F-82E2-D67366E43B57}">
  <dimension ref="A1:K28"/>
  <sheetViews>
    <sheetView zoomScale="75" workbookViewId="0">
      <selection activeCell="A3" sqref="A3"/>
    </sheetView>
  </sheetViews>
  <sheetFormatPr baseColWidth="10" defaultColWidth="11.3984375" defaultRowHeight="13"/>
  <cols>
    <col min="1" max="1" width="21.796875" style="2" customWidth="1"/>
    <col min="2" max="7" width="12.796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53" t="s">
        <v>1302</v>
      </c>
      <c r="G2" s="241"/>
    </row>
    <row r="3" spans="1:11" ht="24" customHeight="1">
      <c r="A3" s="178" t="s">
        <v>1280</v>
      </c>
      <c r="B3" s="179" t="s">
        <v>1303</v>
      </c>
      <c r="C3" s="180" t="s">
        <v>1304</v>
      </c>
      <c r="D3" s="179" t="s">
        <v>1303</v>
      </c>
      <c r="E3" s="180" t="s">
        <v>1304</v>
      </c>
      <c r="F3" s="179" t="s">
        <v>164</v>
      </c>
      <c r="G3" s="180" t="s">
        <v>2372</v>
      </c>
    </row>
    <row r="4" spans="1:11" ht="15" customHeight="1">
      <c r="A4" s="274" t="s">
        <v>1281</v>
      </c>
      <c r="B4" s="182" t="s">
        <v>660</v>
      </c>
      <c r="C4" s="183" t="s">
        <v>1305</v>
      </c>
      <c r="D4" s="182" t="s">
        <v>661</v>
      </c>
      <c r="E4" s="183" t="s">
        <v>1305</v>
      </c>
      <c r="F4" s="182"/>
      <c r="G4" s="183" t="s">
        <v>2373</v>
      </c>
    </row>
    <row r="5" spans="1:11" ht="15" customHeight="1">
      <c r="A5" s="274" t="s">
        <v>1285</v>
      </c>
      <c r="B5" s="182"/>
      <c r="C5" s="183"/>
      <c r="D5" s="182"/>
      <c r="E5" s="183"/>
      <c r="F5" s="182"/>
      <c r="G5" s="183" t="s">
        <v>2377</v>
      </c>
    </row>
    <row r="6" spans="1:11" ht="14.25" customHeight="1">
      <c r="A6" s="275"/>
      <c r="B6" s="188"/>
      <c r="C6" s="187"/>
      <c r="D6" s="188"/>
      <c r="E6" s="187"/>
      <c r="F6" s="188"/>
      <c r="G6" s="187"/>
    </row>
    <row r="7" spans="1:11" ht="2.25" customHeight="1" thickBot="1">
      <c r="A7" s="276">
        <v>1996</v>
      </c>
      <c r="B7" s="233">
        <v>82</v>
      </c>
      <c r="C7" s="212">
        <v>0.56551724137931036</v>
      </c>
      <c r="D7" s="211">
        <v>63</v>
      </c>
      <c r="E7" s="212">
        <v>0.43448275862068964</v>
      </c>
      <c r="F7" s="211">
        <v>145</v>
      </c>
      <c r="G7" s="212">
        <v>-0.12650602409638553</v>
      </c>
      <c r="I7" s="8"/>
      <c r="J7" s="8"/>
      <c r="K7" s="8"/>
    </row>
    <row r="8" spans="1:11" ht="19.5" hidden="1" customHeight="1" thickBot="1">
      <c r="A8" s="278">
        <v>1997</v>
      </c>
      <c r="B8" s="235">
        <v>60</v>
      </c>
      <c r="C8" s="214">
        <v>0.46511627906976744</v>
      </c>
      <c r="D8" s="213">
        <v>69</v>
      </c>
      <c r="E8" s="214">
        <v>0.53488372093023251</v>
      </c>
      <c r="F8" s="213">
        <v>129</v>
      </c>
      <c r="G8" s="214">
        <v>-0.1103448275862069</v>
      </c>
    </row>
    <row r="9" spans="1:11" ht="20" customHeight="1" thickBot="1">
      <c r="A9" s="278">
        <v>1998</v>
      </c>
      <c r="B9" s="235">
        <v>62</v>
      </c>
      <c r="C9" s="214">
        <v>0.52542372881355937</v>
      </c>
      <c r="D9" s="213">
        <v>56</v>
      </c>
      <c r="E9" s="214">
        <v>0.47457627118644069</v>
      </c>
      <c r="F9" s="213">
        <v>118</v>
      </c>
      <c r="G9" s="214">
        <v>-8.5271317829457363E-2</v>
      </c>
    </row>
    <row r="10" spans="1:11" ht="20" customHeight="1" thickBot="1">
      <c r="A10" s="278">
        <v>1999</v>
      </c>
      <c r="B10" s="235">
        <v>59</v>
      </c>
      <c r="C10" s="214">
        <v>0.54128440366972475</v>
      </c>
      <c r="D10" s="213">
        <v>50</v>
      </c>
      <c r="E10" s="214">
        <v>0.45871559633027525</v>
      </c>
      <c r="F10" s="213">
        <v>109</v>
      </c>
      <c r="G10" s="214">
        <v>-7.6271186440677971E-2</v>
      </c>
    </row>
    <row r="11" spans="1:11" ht="19.5" customHeight="1" thickBot="1">
      <c r="A11" s="278">
        <v>2000</v>
      </c>
      <c r="B11" s="235">
        <v>59</v>
      </c>
      <c r="C11" s="214">
        <v>0.58415841584158412</v>
      </c>
      <c r="D11" s="213">
        <v>42</v>
      </c>
      <c r="E11" s="214">
        <v>0.41584158415841582</v>
      </c>
      <c r="F11" s="213">
        <v>101</v>
      </c>
      <c r="G11" s="214">
        <v>-7.3394495412844041E-2</v>
      </c>
    </row>
    <row r="12" spans="1:11" ht="20" customHeight="1" thickBot="1">
      <c r="A12" s="278">
        <v>2001</v>
      </c>
      <c r="B12" s="235">
        <v>64</v>
      </c>
      <c r="C12" s="214">
        <v>0.64646464646464652</v>
      </c>
      <c r="D12" s="213">
        <v>35</v>
      </c>
      <c r="E12" s="214">
        <v>0.35353535353535354</v>
      </c>
      <c r="F12" s="213">
        <v>99</v>
      </c>
      <c r="G12" s="214">
        <v>-1.9801980198019802E-2</v>
      </c>
    </row>
    <row r="13" spans="1:11" ht="20" customHeight="1" thickBot="1">
      <c r="A13" s="278">
        <v>2002</v>
      </c>
      <c r="B13" s="235">
        <v>68</v>
      </c>
      <c r="C13" s="214">
        <v>0.73118279569892475</v>
      </c>
      <c r="D13" s="213">
        <v>25</v>
      </c>
      <c r="E13" s="214">
        <v>0.26881720430107525</v>
      </c>
      <c r="F13" s="213">
        <v>93</v>
      </c>
      <c r="G13" s="214">
        <v>-6.0606060606060608E-2</v>
      </c>
    </row>
    <row r="14" spans="1:11" ht="20" customHeight="1" thickBot="1">
      <c r="A14" s="278">
        <v>2003</v>
      </c>
      <c r="B14" s="235">
        <v>70</v>
      </c>
      <c r="C14" s="214">
        <v>0.75268817204301075</v>
      </c>
      <c r="D14" s="213">
        <v>23</v>
      </c>
      <c r="E14" s="214">
        <v>0.24731182795698925</v>
      </c>
      <c r="F14" s="213">
        <v>93</v>
      </c>
      <c r="G14" s="214">
        <v>0</v>
      </c>
    </row>
    <row r="15" spans="1:11" ht="20" customHeight="1" thickBot="1">
      <c r="A15" s="278">
        <v>2004</v>
      </c>
      <c r="B15" s="235">
        <v>72</v>
      </c>
      <c r="C15" s="214">
        <v>0.77419354838709675</v>
      </c>
      <c r="D15" s="213">
        <v>21</v>
      </c>
      <c r="E15" s="214">
        <v>0.22580645161290322</v>
      </c>
      <c r="F15" s="213">
        <v>93</v>
      </c>
      <c r="G15" s="214">
        <v>0</v>
      </c>
    </row>
    <row r="16" spans="1:11" ht="20" customHeight="1" thickBot="1">
      <c r="A16" s="278">
        <v>2005</v>
      </c>
      <c r="B16" s="235">
        <v>65</v>
      </c>
      <c r="C16" s="214">
        <v>0.76470588235294112</v>
      </c>
      <c r="D16" s="213">
        <v>20</v>
      </c>
      <c r="E16" s="214">
        <v>0.23529411764705882</v>
      </c>
      <c r="F16" s="213">
        <v>85</v>
      </c>
      <c r="G16" s="214">
        <v>-8.6021505376344093E-2</v>
      </c>
    </row>
    <row r="17" spans="1:7" ht="20" customHeight="1" thickBot="1">
      <c r="A17" s="278">
        <v>2006</v>
      </c>
      <c r="B17" s="235">
        <v>66</v>
      </c>
      <c r="C17" s="214">
        <v>0.75862068965517238</v>
      </c>
      <c r="D17" s="213">
        <v>21</v>
      </c>
      <c r="E17" s="214">
        <v>0.2413793103448276</v>
      </c>
      <c r="F17" s="213">
        <v>87</v>
      </c>
      <c r="G17" s="214">
        <v>2.3529411764705882E-2</v>
      </c>
    </row>
    <row r="18" spans="1:7" ht="20" customHeight="1" thickBot="1">
      <c r="A18" s="278">
        <v>2007</v>
      </c>
      <c r="B18" s="235">
        <v>66</v>
      </c>
      <c r="C18" s="214">
        <v>0.75862068965517238</v>
      </c>
      <c r="D18" s="213">
        <v>21</v>
      </c>
      <c r="E18" s="214">
        <v>0.2413793103448276</v>
      </c>
      <c r="F18" s="213">
        <v>87</v>
      </c>
      <c r="G18" s="214">
        <v>0</v>
      </c>
    </row>
    <row r="19" spans="1:7" ht="21" customHeight="1" thickBot="1">
      <c r="A19" s="279">
        <v>2008</v>
      </c>
      <c r="B19" s="282">
        <v>63</v>
      </c>
      <c r="C19" s="281">
        <v>0.73255813953488369</v>
      </c>
      <c r="D19" s="280">
        <v>23</v>
      </c>
      <c r="E19" s="281">
        <v>0.26744186046511625</v>
      </c>
      <c r="F19" s="280">
        <v>86</v>
      </c>
      <c r="G19" s="281">
        <v>-1.1494252873563218E-2</v>
      </c>
    </row>
    <row r="20" spans="1:7">
      <c r="A20" s="201" t="s">
        <v>2367</v>
      </c>
      <c r="B20" s="201"/>
      <c r="C20" s="201"/>
      <c r="D20" s="201"/>
      <c r="E20" s="201"/>
      <c r="F20" s="201"/>
      <c r="G20" s="201"/>
    </row>
    <row r="21" spans="1:7">
      <c r="A21" s="202"/>
      <c r="B21" s="202"/>
      <c r="C21" s="202"/>
      <c r="D21" s="202"/>
      <c r="E21" s="202"/>
      <c r="F21" s="202"/>
      <c r="G21" s="202"/>
    </row>
    <row r="22" spans="1:7">
      <c r="A22" s="202" t="s">
        <v>2405</v>
      </c>
      <c r="B22" s="202"/>
      <c r="C22" s="202"/>
      <c r="D22" s="202"/>
      <c r="E22" s="202"/>
      <c r="F22" s="202"/>
      <c r="G22" s="202"/>
    </row>
    <row r="23" spans="1:7">
      <c r="A23" s="202"/>
      <c r="B23" s="202"/>
      <c r="C23" s="202"/>
      <c r="D23" s="202"/>
      <c r="E23" s="202"/>
      <c r="F23" s="202"/>
      <c r="G23" s="202"/>
    </row>
    <row r="24" spans="1:7">
      <c r="A24" s="2" t="s">
        <v>658</v>
      </c>
    </row>
    <row r="25" spans="1:7">
      <c r="A25" s="2" t="s">
        <v>659</v>
      </c>
    </row>
    <row r="28" spans="1:7">
      <c r="A28" s="202" t="s">
        <v>711</v>
      </c>
    </row>
  </sheetData>
  <phoneticPr fontId="0" type="noConversion"/>
  <pageMargins left="0.56000000000000005" right="0.56999999999999995" top="0.81" bottom="0.49" header="0.47" footer="0.4921259845"/>
  <pageSetup paperSize="9" scale="80" orientation="portrait" horizontalDpi="1200" verticalDpi="1200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DB18-5C69-B248-AE20-D0FF5CA0C054}">
  <dimension ref="A1:K29"/>
  <sheetViews>
    <sheetView topLeftCell="A5" zoomScale="75" workbookViewId="0">
      <selection activeCell="I24" sqref="I24"/>
    </sheetView>
  </sheetViews>
  <sheetFormatPr baseColWidth="10" defaultColWidth="11.3984375" defaultRowHeight="13"/>
  <cols>
    <col min="1" max="1" width="21.796875" style="2" customWidth="1"/>
    <col min="2" max="2" width="15.19921875" style="2" customWidth="1"/>
    <col min="3" max="4" width="12.796875" style="2" customWidth="1"/>
    <col min="5" max="5" width="13" style="2" customWidth="1"/>
    <col min="6" max="6" width="15.19921875" style="2" customWidth="1"/>
    <col min="7" max="7" width="13" style="2" customWidth="1"/>
    <col min="8" max="16384" width="11.3984375" style="2"/>
  </cols>
  <sheetData>
    <row r="1" spans="1:11" s="1" customFormat="1" ht="14" customHeight="1"/>
    <row r="2" spans="1:11" s="1" customFormat="1" ht="39" customHeight="1">
      <c r="A2" s="2017" t="s">
        <v>1279</v>
      </c>
      <c r="B2" s="2021"/>
      <c r="C2" s="2021"/>
      <c r="D2" s="2021"/>
      <c r="E2" s="2021"/>
      <c r="F2" s="2021"/>
      <c r="G2" s="241"/>
    </row>
    <row r="3" spans="1:11" ht="24" customHeight="1">
      <c r="A3" s="178" t="s">
        <v>1280</v>
      </c>
      <c r="B3" s="269" t="s">
        <v>1293</v>
      </c>
      <c r="C3" s="270"/>
      <c r="D3" s="271"/>
      <c r="E3" s="270"/>
      <c r="F3" s="272" t="s">
        <v>1294</v>
      </c>
      <c r="G3" s="273"/>
    </row>
    <row r="4" spans="1:11" ht="15" customHeight="1">
      <c r="A4" s="274" t="s">
        <v>1281</v>
      </c>
      <c r="B4" s="182" t="s">
        <v>1282</v>
      </c>
      <c r="C4" s="183" t="s">
        <v>2372</v>
      </c>
      <c r="D4" s="182" t="s">
        <v>1283</v>
      </c>
      <c r="E4" s="183" t="s">
        <v>2372</v>
      </c>
      <c r="F4" s="182" t="s">
        <v>1284</v>
      </c>
      <c r="G4" s="183" t="s">
        <v>2372</v>
      </c>
    </row>
    <row r="5" spans="1:11" ht="15" customHeight="1">
      <c r="A5" s="274" t="s">
        <v>1285</v>
      </c>
      <c r="B5" s="182" t="s">
        <v>1286</v>
      </c>
      <c r="C5" s="183" t="s">
        <v>2373</v>
      </c>
      <c r="D5" s="182" t="s">
        <v>1287</v>
      </c>
      <c r="E5" s="183" t="s">
        <v>2373</v>
      </c>
      <c r="F5" s="182" t="s">
        <v>1288</v>
      </c>
      <c r="G5" s="183" t="s">
        <v>2373</v>
      </c>
    </row>
    <row r="6" spans="1:11" ht="24" customHeight="1">
      <c r="A6" s="275"/>
      <c r="B6" s="188"/>
      <c r="C6" s="187" t="s">
        <v>2377</v>
      </c>
      <c r="D6" s="188"/>
      <c r="E6" s="187" t="s">
        <v>1289</v>
      </c>
      <c r="F6" s="188"/>
      <c r="G6" s="187" t="s">
        <v>1289</v>
      </c>
    </row>
    <row r="7" spans="1:11" ht="2.25" customHeight="1" thickBot="1">
      <c r="A7" s="276">
        <v>1996</v>
      </c>
      <c r="B7" s="211">
        <v>913.21658500000001</v>
      </c>
      <c r="C7" s="212">
        <v>0.93069045454545452</v>
      </c>
      <c r="D7" s="211">
        <v>2674.048675</v>
      </c>
      <c r="E7" s="277" t="s">
        <v>1301</v>
      </c>
      <c r="F7" s="211">
        <v>530</v>
      </c>
      <c r="G7" s="212">
        <v>0.4887640449438202</v>
      </c>
      <c r="I7" s="8"/>
      <c r="J7" s="8"/>
      <c r="K7" s="8"/>
    </row>
    <row r="8" spans="1:11" ht="0.75" hidden="1" customHeight="1" thickBot="1">
      <c r="A8" s="278">
        <v>1997</v>
      </c>
      <c r="B8" s="213">
        <v>951.20448216581099</v>
      </c>
      <c r="C8" s="214">
        <v>4.1597905458332182E-2</v>
      </c>
      <c r="D8" s="213">
        <v>2894.7924399622598</v>
      </c>
      <c r="E8" s="214">
        <v>8.2550391481658339E-2</v>
      </c>
      <c r="F8" s="213">
        <v>532</v>
      </c>
      <c r="G8" s="214">
        <v>3.7735849056603774E-3</v>
      </c>
    </row>
    <row r="9" spans="1:11" ht="20" customHeight="1" thickBot="1">
      <c r="A9" s="278">
        <v>1998</v>
      </c>
      <c r="B9" s="213">
        <v>1005.42211</v>
      </c>
      <c r="C9" s="214">
        <v>5.6998919633704945E-2</v>
      </c>
      <c r="D9" s="213">
        <v>3172.9022279999999</v>
      </c>
      <c r="E9" s="214">
        <v>9.6072445194504488E-2</v>
      </c>
      <c r="F9" s="213">
        <v>609.28660000000002</v>
      </c>
      <c r="G9" s="214">
        <v>0.14527556390977447</v>
      </c>
    </row>
    <row r="10" spans="1:11" ht="20" customHeight="1" thickBot="1">
      <c r="A10" s="278">
        <v>1999</v>
      </c>
      <c r="B10" s="213">
        <v>1043.283537</v>
      </c>
      <c r="C10" s="214">
        <v>3.7657245273828376E-2</v>
      </c>
      <c r="D10" s="213">
        <v>3340.3853559999998</v>
      </c>
      <c r="E10" s="214">
        <v>5.2785467677512014E-2</v>
      </c>
      <c r="F10" s="213">
        <v>659.60795700000006</v>
      </c>
      <c r="G10" s="214">
        <v>8.2590618273896119E-2</v>
      </c>
    </row>
    <row r="11" spans="1:11" ht="20.25" customHeight="1" thickBot="1">
      <c r="A11" s="278">
        <v>2000</v>
      </c>
      <c r="B11" s="213">
        <v>1090.4996369999999</v>
      </c>
      <c r="C11" s="214">
        <v>4.5257207964549594E-2</v>
      </c>
      <c r="D11" s="213">
        <v>3554.1311930000002</v>
      </c>
      <c r="E11" s="214">
        <v>6.3988376854805129E-2</v>
      </c>
      <c r="F11" s="213">
        <v>732.09943699999997</v>
      </c>
      <c r="G11" s="214">
        <v>0.10990085736640061</v>
      </c>
    </row>
    <row r="12" spans="1:11" ht="20" customHeight="1" thickBot="1">
      <c r="A12" s="278">
        <v>2001</v>
      </c>
      <c r="B12" s="213">
        <v>1148.4065562125586</v>
      </c>
      <c r="C12" s="214">
        <v>5.3101273258432738E-2</v>
      </c>
      <c r="D12" s="213">
        <v>3804.1073437743612</v>
      </c>
      <c r="E12" s="214">
        <v>7.0333968331472624E-2</v>
      </c>
      <c r="F12" s="213">
        <v>844.73803099999998</v>
      </c>
      <c r="G12" s="214">
        <v>0.15385696028065654</v>
      </c>
    </row>
    <row r="13" spans="1:11" ht="20" customHeight="1" thickBot="1">
      <c r="A13" s="278">
        <v>2002</v>
      </c>
      <c r="B13" s="213">
        <v>1176.9857406315903</v>
      </c>
      <c r="C13" s="214">
        <v>2.4885946761994921E-2</v>
      </c>
      <c r="D13" s="213">
        <v>3992.1493332093432</v>
      </c>
      <c r="E13" s="214">
        <v>4.9431304756087785E-2</v>
      </c>
      <c r="F13" s="213">
        <v>928.34341900000004</v>
      </c>
      <c r="G13" s="214">
        <v>9.8971971110414073E-2</v>
      </c>
    </row>
    <row r="14" spans="1:11" ht="20" customHeight="1" thickBot="1">
      <c r="A14" s="278">
        <v>2003</v>
      </c>
      <c r="B14" s="213">
        <v>1165.5985248499421</v>
      </c>
      <c r="C14" s="214">
        <v>-9.6748969749944191E-3</v>
      </c>
      <c r="D14" s="213">
        <v>4231.4747261964076</v>
      </c>
      <c r="E14" s="214">
        <v>5.9949008168656705E-2</v>
      </c>
      <c r="F14" s="213">
        <v>1008.669965</v>
      </c>
      <c r="G14" s="214">
        <v>8.652675761576116E-2</v>
      </c>
    </row>
    <row r="15" spans="1:11" ht="20" customHeight="1" thickBot="1">
      <c r="A15" s="278">
        <v>2004</v>
      </c>
      <c r="B15" s="213">
        <v>1233.4256947047143</v>
      </c>
      <c r="C15" s="214">
        <v>5.8190850802169757E-2</v>
      </c>
      <c r="D15" s="213">
        <v>4554.5751523643485</v>
      </c>
      <c r="E15" s="214">
        <v>7.6356458935622609E-2</v>
      </c>
      <c r="F15" s="213">
        <v>1102.909758</v>
      </c>
      <c r="G15" s="214">
        <v>9.3429760248685462E-2</v>
      </c>
    </row>
    <row r="16" spans="1:11" ht="20" customHeight="1" thickBot="1">
      <c r="A16" s="278">
        <v>2005</v>
      </c>
      <c r="B16" s="213">
        <v>1249.2878390447622</v>
      </c>
      <c r="C16" s="214">
        <v>1.286023504143507E-2</v>
      </c>
      <c r="D16" s="213">
        <v>4844.6728040822618</v>
      </c>
      <c r="E16" s="214">
        <v>6.3693679874251119E-2</v>
      </c>
      <c r="F16" s="213">
        <v>1201.552809</v>
      </c>
      <c r="G16" s="214">
        <v>8.9438914004059442E-2</v>
      </c>
    </row>
    <row r="17" spans="1:7" ht="20" customHeight="1" thickBot="1">
      <c r="A17" s="278">
        <v>2006</v>
      </c>
      <c r="B17" s="213">
        <v>1280.5357003449858</v>
      </c>
      <c r="C17" s="214">
        <v>2.5012539403342388E-2</v>
      </c>
      <c r="D17" s="213">
        <v>4994.7882609152675</v>
      </c>
      <c r="E17" s="214">
        <v>3.0985674967876901E-2</v>
      </c>
      <c r="F17" s="213">
        <v>1236.2073047456083</v>
      </c>
      <c r="G17" s="214">
        <v>2.884142543385149E-2</v>
      </c>
    </row>
    <row r="18" spans="1:7" ht="20" customHeight="1" thickBot="1">
      <c r="A18" s="278">
        <v>2007</v>
      </c>
      <c r="B18" s="213">
        <v>1328.2484532036312</v>
      </c>
      <c r="C18" s="214">
        <v>3.7259994270984614E-2</v>
      </c>
      <c r="D18" s="213">
        <v>5286.2111265764588</v>
      </c>
      <c r="E18" s="214">
        <v>5.8345389321426341E-2</v>
      </c>
      <c r="F18" s="213">
        <v>1323.229456</v>
      </c>
      <c r="G18" s="214">
        <v>7.0394464520899647E-2</v>
      </c>
    </row>
    <row r="19" spans="1:7" ht="24" customHeight="1" thickBot="1">
      <c r="A19" s="279">
        <v>2008</v>
      </c>
      <c r="B19" s="280">
        <v>1413.6658153593723</v>
      </c>
      <c r="C19" s="281">
        <v>6.4308271505772216E-2</v>
      </c>
      <c r="D19" s="280">
        <v>5584.9685713290592</v>
      </c>
      <c r="E19" s="281">
        <v>5.6516366372617144E-2</v>
      </c>
      <c r="F19" s="280">
        <v>1444.5191400000001</v>
      </c>
      <c r="G19" s="281">
        <v>9.1661868204360827E-2</v>
      </c>
    </row>
    <row r="20" spans="1:7">
      <c r="A20" s="201" t="s">
        <v>2367</v>
      </c>
      <c r="B20" s="201"/>
      <c r="C20" s="201"/>
      <c r="D20" s="201"/>
      <c r="E20" s="201"/>
      <c r="F20" s="201"/>
      <c r="G20" s="201"/>
    </row>
    <row r="21" spans="1:7">
      <c r="A21" s="202"/>
      <c r="B21" s="202"/>
      <c r="C21" s="202"/>
      <c r="D21" s="202"/>
      <c r="E21" s="202"/>
      <c r="F21" s="202"/>
      <c r="G21" s="202"/>
    </row>
    <row r="22" spans="1:7">
      <c r="A22" s="202" t="s">
        <v>2405</v>
      </c>
      <c r="B22" s="202"/>
      <c r="C22" s="202"/>
      <c r="D22" s="202"/>
      <c r="E22" s="202"/>
      <c r="F22" s="202"/>
      <c r="G22" s="202"/>
    </row>
    <row r="23" spans="1:7">
      <c r="A23" s="202"/>
      <c r="B23" s="202"/>
      <c r="C23" s="202"/>
      <c r="D23" s="202"/>
      <c r="E23" s="202"/>
      <c r="F23" s="202"/>
      <c r="G23" s="202"/>
    </row>
    <row r="24" spans="1:7">
      <c r="A24" s="202" t="s">
        <v>1290</v>
      </c>
    </row>
    <row r="25" spans="1:7">
      <c r="A25" s="98" t="s">
        <v>1291</v>
      </c>
    </row>
    <row r="26" spans="1:7">
      <c r="A26" s="98" t="s">
        <v>1292</v>
      </c>
    </row>
    <row r="29" spans="1:7">
      <c r="A29" s="202" t="s">
        <v>711</v>
      </c>
    </row>
  </sheetData>
  <mergeCells count="1">
    <mergeCell ref="A2:F2"/>
  </mergeCells>
  <phoneticPr fontId="0" type="noConversion"/>
  <pageMargins left="0.62" right="0.66" top="0.89" bottom="0.49" header="0.53" footer="0.4921259845"/>
  <pageSetup paperSize="9" scale="80" orientation="portrait" horizontalDpi="1200" verticalDpi="1200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74C4-0779-C84E-AEE1-DBC3DDF79185}">
  <dimension ref="A1:J34"/>
  <sheetViews>
    <sheetView zoomScale="75" workbookViewId="0">
      <selection activeCell="A3" sqref="A3"/>
    </sheetView>
  </sheetViews>
  <sheetFormatPr baseColWidth="10" defaultColWidth="11.3984375" defaultRowHeight="13"/>
  <cols>
    <col min="1" max="1" width="14.796875" style="2" customWidth="1"/>
    <col min="2" max="2" width="14.796875" style="224" customWidth="1"/>
    <col min="3" max="3" width="14.3984375" style="225" customWidth="1"/>
    <col min="4" max="4" width="14.796875" style="224" customWidth="1"/>
    <col min="5" max="5" width="14.796875" style="225" customWidth="1"/>
    <col min="6" max="6" width="14.796875" style="224" customWidth="1"/>
    <col min="7" max="7" width="14.796875" style="225" customWidth="1"/>
    <col min="8" max="8" width="7.59765625" style="2" customWidth="1"/>
    <col min="9" max="9" width="6.3984375" style="2" customWidth="1"/>
    <col min="10" max="10" width="8.796875" style="2" customWidth="1"/>
    <col min="11" max="16384" width="11.3984375" style="2"/>
  </cols>
  <sheetData>
    <row r="1" spans="1:10" s="1" customFormat="1" ht="18.75" customHeight="1">
      <c r="A1" s="203"/>
      <c r="B1" s="204"/>
      <c r="C1" s="260"/>
      <c r="D1" s="261"/>
      <c r="E1" s="260"/>
      <c r="F1" s="261"/>
      <c r="G1" s="260"/>
    </row>
    <row r="2" spans="1:10" s="1" customFormat="1" ht="40.5" customHeight="1">
      <c r="A2" s="2024" t="s">
        <v>1300</v>
      </c>
      <c r="B2" s="2021"/>
      <c r="C2" s="2021"/>
      <c r="D2" s="2021"/>
      <c r="E2" s="2021"/>
      <c r="F2" s="2021"/>
      <c r="G2" s="241">
        <v>2008</v>
      </c>
    </row>
    <row r="3" spans="1:10" ht="27" customHeight="1">
      <c r="A3" s="178" t="s">
        <v>1843</v>
      </c>
      <c r="B3" s="208" t="s">
        <v>1844</v>
      </c>
      <c r="C3" s="180" t="s">
        <v>2372</v>
      </c>
      <c r="D3" s="208" t="s">
        <v>1846</v>
      </c>
      <c r="E3" s="180" t="s">
        <v>2372</v>
      </c>
      <c r="F3" s="208" t="s">
        <v>164</v>
      </c>
      <c r="G3" s="180" t="s">
        <v>2372</v>
      </c>
    </row>
    <row r="4" spans="1:10" ht="15" customHeight="1">
      <c r="A4" s="181"/>
      <c r="B4" s="209"/>
      <c r="C4" s="183" t="s">
        <v>1848</v>
      </c>
      <c r="D4" s="209"/>
      <c r="E4" s="183" t="s">
        <v>1848</v>
      </c>
      <c r="F4" s="209"/>
      <c r="G4" s="183" t="s">
        <v>1848</v>
      </c>
    </row>
    <row r="5" spans="1:10" ht="15" customHeight="1">
      <c r="A5" s="181"/>
      <c r="B5" s="209"/>
      <c r="C5" s="183" t="s">
        <v>2377</v>
      </c>
      <c r="D5" s="209"/>
      <c r="E5" s="183" t="s">
        <v>2377</v>
      </c>
      <c r="F5" s="209"/>
      <c r="G5" s="183" t="s">
        <v>2377</v>
      </c>
    </row>
    <row r="6" spans="1:10" ht="23" customHeight="1">
      <c r="A6" s="185"/>
      <c r="B6" s="210"/>
      <c r="C6" s="187"/>
      <c r="D6" s="210"/>
      <c r="E6" s="187"/>
      <c r="F6" s="210"/>
      <c r="G6" s="187"/>
    </row>
    <row r="7" spans="1:10" ht="30" customHeight="1" thickBot="1">
      <c r="A7" s="190" t="s">
        <v>1849</v>
      </c>
      <c r="B7" s="211">
        <v>0</v>
      </c>
      <c r="C7" s="212">
        <v>0</v>
      </c>
      <c r="D7" s="211">
        <v>0</v>
      </c>
      <c r="E7" s="212">
        <v>0</v>
      </c>
      <c r="F7" s="211">
        <v>0</v>
      </c>
      <c r="G7" s="212">
        <v>0</v>
      </c>
      <c r="H7" s="262"/>
      <c r="I7" s="262"/>
      <c r="J7" s="262"/>
    </row>
    <row r="8" spans="1:10" ht="20" customHeight="1" thickBot="1">
      <c r="A8" s="195" t="s">
        <v>1850</v>
      </c>
      <c r="B8" s="213">
        <v>-194.22027660117772</v>
      </c>
      <c r="C8" s="214">
        <v>-4.6219235876626345E-2</v>
      </c>
      <c r="D8" s="213">
        <v>-149.06699024738899</v>
      </c>
      <c r="E8" s="214">
        <v>-3.3415724710646924E-2</v>
      </c>
      <c r="F8" s="213">
        <v>-171.61482626564668</v>
      </c>
      <c r="G8" s="214">
        <v>-4.0807103296919583E-2</v>
      </c>
      <c r="H8" s="262"/>
      <c r="I8" s="262"/>
      <c r="J8" s="262"/>
    </row>
    <row r="9" spans="1:10" ht="20" customHeight="1" thickBot="1">
      <c r="A9" s="195" t="s">
        <v>1851</v>
      </c>
      <c r="B9" s="213">
        <v>-187.9604667486804</v>
      </c>
      <c r="C9" s="214">
        <v>-4.4082707016569064E-2</v>
      </c>
      <c r="D9" s="213">
        <v>-104.3576692786273</v>
      </c>
      <c r="E9" s="214">
        <v>-4.9210891981407517E-2</v>
      </c>
      <c r="F9" s="213">
        <v>-146.32606484154792</v>
      </c>
      <c r="G9" s="214">
        <v>-4.6417795002427931E-2</v>
      </c>
      <c r="H9" s="262"/>
      <c r="I9" s="262"/>
      <c r="J9" s="262"/>
    </row>
    <row r="10" spans="1:10" ht="20" customHeight="1" thickBot="1">
      <c r="A10" s="195" t="s">
        <v>1852</v>
      </c>
      <c r="B10" s="213">
        <v>-176.75269681828416</v>
      </c>
      <c r="C10" s="214">
        <v>-5.2549447762818682E-2</v>
      </c>
      <c r="D10" s="213">
        <v>-74.383580882335082</v>
      </c>
      <c r="E10" s="214">
        <v>-2.1427342030839534E-2</v>
      </c>
      <c r="F10" s="213">
        <v>-125.56754175783773</v>
      </c>
      <c r="G10" s="214">
        <v>-4.3808406533014953E-2</v>
      </c>
      <c r="H10" s="262"/>
      <c r="I10" s="262"/>
      <c r="J10" s="262"/>
    </row>
    <row r="11" spans="1:10" ht="20" customHeight="1" thickBot="1">
      <c r="A11" s="195" t="s">
        <v>1853</v>
      </c>
      <c r="B11" s="213">
        <v>-160.20775637173477</v>
      </c>
      <c r="C11" s="214">
        <v>-4.8305096552905852E-2</v>
      </c>
      <c r="D11" s="213">
        <v>-86.013886435634788</v>
      </c>
      <c r="E11" s="214">
        <v>-2.6178544790186761E-2</v>
      </c>
      <c r="F11" s="213">
        <v>-123.14465088995131</v>
      </c>
      <c r="G11" s="214">
        <v>-4.1010746011546854E-2</v>
      </c>
      <c r="H11" s="262"/>
      <c r="I11" s="262"/>
      <c r="J11" s="262"/>
    </row>
    <row r="12" spans="1:10" ht="20" customHeight="1" thickBot="1">
      <c r="A12" s="195" t="s">
        <v>1854</v>
      </c>
      <c r="B12" s="213">
        <v>-139.52544525706742</v>
      </c>
      <c r="C12" s="214">
        <v>-5.0173438151104297E-2</v>
      </c>
      <c r="D12" s="213">
        <v>-89.024334161430573</v>
      </c>
      <c r="E12" s="214">
        <v>-4.3574002761130021E-2</v>
      </c>
      <c r="F12" s="213">
        <v>-114.56174176896617</v>
      </c>
      <c r="G12" s="214">
        <v>-4.7419423613660208E-2</v>
      </c>
      <c r="H12" s="262"/>
      <c r="I12" s="262"/>
      <c r="J12" s="262"/>
    </row>
    <row r="13" spans="1:10" ht="20" customHeight="1" thickBot="1">
      <c r="A13" s="195" t="s">
        <v>1855</v>
      </c>
      <c r="B13" s="213">
        <v>-111.08307656754639</v>
      </c>
      <c r="C13" s="214">
        <v>-5.3288389702379896E-2</v>
      </c>
      <c r="D13" s="213">
        <v>-63.361588124202399</v>
      </c>
      <c r="E13" s="214">
        <v>-1.6998403438432376E-2</v>
      </c>
      <c r="F13" s="213">
        <v>-87.509054072442382</v>
      </c>
      <c r="G13" s="214">
        <v>-4.0201529385107536E-2</v>
      </c>
      <c r="H13" s="262"/>
      <c r="I13" s="262"/>
      <c r="J13" s="262"/>
    </row>
    <row r="14" spans="1:10" ht="20" customHeight="1" thickBot="1">
      <c r="A14" s="195" t="s">
        <v>1856</v>
      </c>
      <c r="B14" s="213">
        <v>-66.51197132253165</v>
      </c>
      <c r="C14" s="214">
        <v>-4.9613773957837892E-2</v>
      </c>
      <c r="D14" s="213">
        <v>-24.385722524935716</v>
      </c>
      <c r="E14" s="214">
        <v>-0.10735991768438667</v>
      </c>
      <c r="F14" s="213">
        <v>-45.651378927180993</v>
      </c>
      <c r="G14" s="214">
        <v>-6.5650895604608892E-2</v>
      </c>
      <c r="H14" s="262"/>
      <c r="I14" s="262"/>
      <c r="J14" s="262"/>
    </row>
    <row r="15" spans="1:10" ht="20" customHeight="1" thickBot="1">
      <c r="A15" s="195" t="s">
        <v>1857</v>
      </c>
      <c r="B15" s="213">
        <v>-7.9220189463446218</v>
      </c>
      <c r="C15" s="214">
        <v>-0.17670573134645545</v>
      </c>
      <c r="D15" s="213">
        <v>13.656204677628068</v>
      </c>
      <c r="E15" s="214">
        <v>0.10443860761422778</v>
      </c>
      <c r="F15" s="213">
        <v>2.8956800188899212</v>
      </c>
      <c r="G15" s="214">
        <v>1.8634233143096958E-2</v>
      </c>
      <c r="H15" s="262"/>
      <c r="I15" s="262"/>
      <c r="J15" s="262"/>
    </row>
    <row r="16" spans="1:10" ht="20" customHeight="1" thickBot="1">
      <c r="A16" s="195" t="s">
        <v>1858</v>
      </c>
      <c r="B16" s="213">
        <v>69.634491705064477</v>
      </c>
      <c r="C16" s="214">
        <v>-7.5457047589407448E-3</v>
      </c>
      <c r="D16" s="213">
        <v>70.964081180126698</v>
      </c>
      <c r="E16" s="214">
        <v>7.081467403560685E-3</v>
      </c>
      <c r="F16" s="213">
        <v>70.308390815430712</v>
      </c>
      <c r="G16" s="214">
        <v>-1.1654524103567708E-4</v>
      </c>
      <c r="H16" s="262"/>
      <c r="I16" s="262"/>
      <c r="J16" s="262"/>
    </row>
    <row r="17" spans="1:10" ht="20" customHeight="1" thickBot="1">
      <c r="A17" s="195" t="s">
        <v>1859</v>
      </c>
      <c r="B17" s="213">
        <v>159.13655923381401</v>
      </c>
      <c r="C17" s="214">
        <v>4.4523986357776421E-2</v>
      </c>
      <c r="D17" s="213">
        <v>142.75443001537258</v>
      </c>
      <c r="E17" s="214">
        <v>6.171662345660231E-2</v>
      </c>
      <c r="F17" s="213">
        <v>150.51693387857713</v>
      </c>
      <c r="G17" s="214">
        <v>5.3401700607227806E-2</v>
      </c>
      <c r="H17" s="262"/>
      <c r="I17" s="262"/>
      <c r="J17" s="262"/>
    </row>
    <row r="18" spans="1:10" ht="20" customHeight="1" thickBot="1">
      <c r="A18" s="195" t="s">
        <v>1860</v>
      </c>
      <c r="B18" s="213">
        <v>263.53317958767025</v>
      </c>
      <c r="C18" s="214">
        <v>1.5127067891069993E-2</v>
      </c>
      <c r="D18" s="213">
        <v>236.70589722299644</v>
      </c>
      <c r="E18" s="214">
        <v>2.7172714913095718E-2</v>
      </c>
      <c r="F18" s="213">
        <v>248.81119985598505</v>
      </c>
      <c r="G18" s="214">
        <v>2.1688959530155059E-2</v>
      </c>
      <c r="H18" s="262"/>
      <c r="I18" s="262"/>
      <c r="J18" s="262"/>
    </row>
    <row r="19" spans="1:10" ht="20" customHeight="1" thickBot="1">
      <c r="A19" s="195" t="s">
        <v>1861</v>
      </c>
      <c r="B19" s="213">
        <v>386.45536472725672</v>
      </c>
      <c r="C19" s="214">
        <v>4.6709199323079147E-2</v>
      </c>
      <c r="D19" s="213">
        <v>360.20584299343494</v>
      </c>
      <c r="E19" s="214">
        <v>4.4391179059875725E-2</v>
      </c>
      <c r="F19" s="213">
        <v>371.13097675417436</v>
      </c>
      <c r="G19" s="214">
        <v>4.5702137497060112E-2</v>
      </c>
      <c r="H19" s="262"/>
      <c r="I19" s="262"/>
      <c r="J19" s="262"/>
    </row>
    <row r="20" spans="1:10" ht="20" customHeight="1" thickBot="1">
      <c r="A20" s="195" t="s">
        <v>1862</v>
      </c>
      <c r="B20" s="213">
        <v>501.26673214371277</v>
      </c>
      <c r="C20" s="214">
        <v>4.2748299790164167E-2</v>
      </c>
      <c r="D20" s="213">
        <v>535.29513591225736</v>
      </c>
      <c r="E20" s="214">
        <v>4.1434501469019197E-2</v>
      </c>
      <c r="F20" s="213">
        <v>522.72976678908287</v>
      </c>
      <c r="G20" s="214">
        <v>4.1717827806670695E-2</v>
      </c>
      <c r="H20" s="262"/>
      <c r="I20" s="262"/>
      <c r="J20" s="262"/>
    </row>
    <row r="21" spans="1:10" ht="20" customHeight="1" thickBot="1">
      <c r="A21" s="195" t="s">
        <v>1863</v>
      </c>
      <c r="B21" s="213">
        <v>645.89222944453695</v>
      </c>
      <c r="C21" s="214">
        <v>3.2005655598386723E-2</v>
      </c>
      <c r="D21" s="213">
        <v>789.47211170016362</v>
      </c>
      <c r="E21" s="214">
        <v>3.2713942707354872E-2</v>
      </c>
      <c r="F21" s="213">
        <v>742.8859543841819</v>
      </c>
      <c r="G21" s="214">
        <v>3.2368000188934605E-2</v>
      </c>
      <c r="H21" s="262"/>
      <c r="I21" s="262"/>
      <c r="J21" s="262"/>
    </row>
    <row r="22" spans="1:10" ht="20" customHeight="1" thickBot="1">
      <c r="A22" s="195" t="s">
        <v>1864</v>
      </c>
      <c r="B22" s="213">
        <v>927.15773185125045</v>
      </c>
      <c r="C22" s="214">
        <v>4.7610221067143119E-2</v>
      </c>
      <c r="D22" s="213">
        <v>1205.8379471143544</v>
      </c>
      <c r="E22" s="214">
        <v>2.2728350550466094E-2</v>
      </c>
      <c r="F22" s="213">
        <v>1135.360745605132</v>
      </c>
      <c r="G22" s="214">
        <v>2.7324865500161784E-2</v>
      </c>
      <c r="H22" s="262"/>
      <c r="I22" s="262"/>
      <c r="J22" s="262"/>
    </row>
    <row r="23" spans="1:10" ht="20" customHeight="1">
      <c r="A23" s="201" t="s">
        <v>2367</v>
      </c>
      <c r="B23" s="219"/>
      <c r="C23" s="220"/>
      <c r="D23" s="219"/>
      <c r="E23" s="220"/>
      <c r="F23" s="219"/>
      <c r="G23" s="220"/>
    </row>
    <row r="24" spans="1:10" ht="11.25" customHeight="1">
      <c r="A24" s="202"/>
      <c r="B24" s="221"/>
      <c r="C24" s="222"/>
      <c r="D24" s="221"/>
      <c r="E24" s="222"/>
      <c r="F24" s="221"/>
      <c r="G24" s="222"/>
    </row>
    <row r="25" spans="1:10" ht="15.75" customHeight="1">
      <c r="A25" s="202" t="s">
        <v>2405</v>
      </c>
      <c r="B25" s="221"/>
      <c r="C25" s="222"/>
      <c r="D25" s="221"/>
      <c r="E25" s="222"/>
      <c r="F25" s="221"/>
      <c r="G25" s="222"/>
    </row>
    <row r="26" spans="1:10">
      <c r="A26" s="255"/>
      <c r="B26" s="221"/>
      <c r="C26" s="222"/>
      <c r="D26" s="221"/>
      <c r="E26" s="222"/>
      <c r="F26" s="221"/>
      <c r="G26" s="222"/>
    </row>
    <row r="27" spans="1:10">
      <c r="A27" s="255" t="s">
        <v>1295</v>
      </c>
      <c r="B27" s="221"/>
      <c r="C27" s="222"/>
      <c r="D27" s="221"/>
      <c r="E27" s="222"/>
      <c r="F27" s="221"/>
      <c r="G27" s="222"/>
    </row>
    <row r="28" spans="1:10">
      <c r="A28" s="255" t="s">
        <v>1296</v>
      </c>
      <c r="B28" s="221"/>
      <c r="C28" s="222"/>
      <c r="D28" s="221"/>
      <c r="E28" s="222"/>
      <c r="F28" s="221"/>
      <c r="G28" s="222"/>
    </row>
    <row r="29" spans="1:10">
      <c r="A29" s="255" t="s">
        <v>1297</v>
      </c>
      <c r="B29" s="221"/>
      <c r="C29" s="222"/>
      <c r="D29" s="221"/>
      <c r="E29" s="222"/>
      <c r="F29" s="221"/>
      <c r="G29" s="222"/>
    </row>
    <row r="30" spans="1:10">
      <c r="A30" s="255" t="s">
        <v>1298</v>
      </c>
      <c r="B30" s="221"/>
      <c r="C30" s="222"/>
      <c r="D30" s="221"/>
      <c r="E30" s="222"/>
      <c r="F30" s="221"/>
      <c r="G30" s="222"/>
    </row>
    <row r="31" spans="1:10">
      <c r="A31" s="255" t="s">
        <v>1299</v>
      </c>
      <c r="B31" s="221"/>
      <c r="C31" s="222"/>
      <c r="D31" s="221"/>
      <c r="E31" s="222"/>
      <c r="F31" s="221"/>
      <c r="G31" s="222"/>
    </row>
    <row r="32" spans="1:10">
      <c r="A32" s="255"/>
      <c r="B32" s="221"/>
      <c r="C32" s="222"/>
      <c r="D32" s="221"/>
      <c r="E32" s="222"/>
      <c r="F32" s="221"/>
      <c r="G32" s="222"/>
    </row>
    <row r="33" spans="1:7">
      <c r="A33" s="255"/>
      <c r="B33" s="221"/>
      <c r="C33" s="222"/>
      <c r="D33" s="221"/>
      <c r="E33" s="222"/>
      <c r="F33" s="221"/>
      <c r="G33" s="222"/>
    </row>
    <row r="34" spans="1:7">
      <c r="A34" s="202" t="s">
        <v>711</v>
      </c>
    </row>
  </sheetData>
  <mergeCells count="1">
    <mergeCell ref="A2:F2"/>
  </mergeCells>
  <phoneticPr fontId="0" type="noConversion"/>
  <pageMargins left="0.62" right="0.54" top="0.74" bottom="0.86614173228346458" header="0.4" footer="0.51181102362204722"/>
  <pageSetup paperSize="9" scale="80" orientation="portrait" horizontalDpi="1200" verticalDpi="1200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B43F-508D-204F-891C-5BCE68355130}">
  <sheetPr>
    <pageSetUpPr fitToPage="1"/>
  </sheetPr>
  <dimension ref="A1:D22"/>
  <sheetViews>
    <sheetView topLeftCell="A2" workbookViewId="0">
      <selection activeCell="B3" sqref="B3:B19"/>
    </sheetView>
  </sheetViews>
  <sheetFormatPr baseColWidth="10" defaultColWidth="11.3984375" defaultRowHeight="13"/>
  <cols>
    <col min="1" max="1" width="5.59765625" style="100" customWidth="1"/>
    <col min="2" max="16384" width="11.3984375" style="100"/>
  </cols>
  <sheetData>
    <row r="1" spans="1:4" ht="16">
      <c r="A1" s="99" t="s">
        <v>167</v>
      </c>
    </row>
    <row r="3" spans="1:4">
      <c r="A3" s="775">
        <v>11.01</v>
      </c>
      <c r="B3" s="172" t="s">
        <v>714</v>
      </c>
      <c r="C3" s="166"/>
      <c r="D3" s="166"/>
    </row>
    <row r="4" spans="1:4">
      <c r="A4" s="775">
        <v>11.02</v>
      </c>
      <c r="B4" s="172" t="s">
        <v>715</v>
      </c>
      <c r="C4" s="166"/>
      <c r="D4" s="166"/>
    </row>
    <row r="5" spans="1:4">
      <c r="A5" s="775">
        <v>11.03</v>
      </c>
      <c r="B5" s="172" t="s">
        <v>168</v>
      </c>
      <c r="C5" s="166"/>
      <c r="D5" s="166"/>
    </row>
    <row r="6" spans="1:4">
      <c r="A6" s="775">
        <v>11.04</v>
      </c>
      <c r="B6" s="172" t="s">
        <v>2047</v>
      </c>
      <c r="C6" s="166"/>
      <c r="D6" s="166"/>
    </row>
    <row r="7" spans="1:4">
      <c r="A7" s="775">
        <v>11.05</v>
      </c>
      <c r="B7" s="172" t="s">
        <v>716</v>
      </c>
      <c r="C7" s="166"/>
      <c r="D7" s="166"/>
    </row>
    <row r="8" spans="1:4">
      <c r="A8" s="775">
        <v>11.06</v>
      </c>
      <c r="B8" s="172" t="s">
        <v>2048</v>
      </c>
      <c r="C8" s="166"/>
      <c r="D8" s="166"/>
    </row>
    <row r="9" spans="1:4">
      <c r="A9" s="775">
        <v>11.07</v>
      </c>
      <c r="B9" s="172" t="s">
        <v>713</v>
      </c>
      <c r="C9" s="166"/>
      <c r="D9" s="166"/>
    </row>
    <row r="10" spans="1:4">
      <c r="A10" s="775">
        <v>11.08</v>
      </c>
      <c r="B10" s="172" t="s">
        <v>830</v>
      </c>
      <c r="C10" s="166"/>
      <c r="D10" s="166"/>
    </row>
    <row r="11" spans="1:4">
      <c r="A11" s="775">
        <v>11.09</v>
      </c>
      <c r="B11" s="172" t="s">
        <v>717</v>
      </c>
      <c r="C11" s="166"/>
      <c r="D11" s="166"/>
    </row>
    <row r="12" spans="1:4">
      <c r="A12" s="775">
        <v>11.1</v>
      </c>
      <c r="B12" s="172" t="s">
        <v>2053</v>
      </c>
      <c r="C12" s="166"/>
      <c r="D12" s="166"/>
    </row>
    <row r="13" spans="1:4">
      <c r="A13" s="775">
        <v>11.11</v>
      </c>
      <c r="B13" s="776" t="s">
        <v>2054</v>
      </c>
      <c r="C13" s="166"/>
      <c r="D13" s="166"/>
    </row>
    <row r="14" spans="1:4">
      <c r="A14" s="775">
        <v>11.12</v>
      </c>
      <c r="B14" s="172" t="s">
        <v>2049</v>
      </c>
      <c r="C14" s="166"/>
      <c r="D14" s="166"/>
    </row>
    <row r="15" spans="1:4">
      <c r="A15" s="775">
        <v>11.13</v>
      </c>
      <c r="B15" s="172" t="s">
        <v>1706</v>
      </c>
      <c r="C15" s="166"/>
      <c r="D15" s="166"/>
    </row>
    <row r="16" spans="1:4">
      <c r="A16" s="775">
        <v>11.14</v>
      </c>
      <c r="B16" s="563" t="s">
        <v>2050</v>
      </c>
      <c r="C16" s="166"/>
      <c r="D16" s="166"/>
    </row>
    <row r="17" spans="1:4">
      <c r="A17" s="775">
        <v>11.15</v>
      </c>
      <c r="B17" s="563" t="s">
        <v>2051</v>
      </c>
      <c r="C17" s="166"/>
      <c r="D17" s="166"/>
    </row>
    <row r="18" spans="1:4">
      <c r="A18" s="775">
        <v>11.16</v>
      </c>
      <c r="B18" s="563" t="s">
        <v>2052</v>
      </c>
      <c r="C18" s="166"/>
      <c r="D18" s="166"/>
    </row>
    <row r="19" spans="1:4">
      <c r="A19" s="775">
        <v>11.17</v>
      </c>
      <c r="B19" s="776" t="s">
        <v>712</v>
      </c>
      <c r="C19" s="166"/>
      <c r="D19" s="166"/>
    </row>
    <row r="20" spans="1:4">
      <c r="A20" s="101"/>
      <c r="B20" s="102"/>
    </row>
    <row r="22" spans="1:4">
      <c r="A22" s="103" t="s">
        <v>711</v>
      </c>
    </row>
  </sheetData>
  <phoneticPr fontId="30" type="noConversion"/>
  <pageMargins left="0.46" right="0.46" top="0.63" bottom="0.984251969" header="0.38" footer="0.4921259845"/>
  <pageSetup paperSize="9" orientation="portrait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B2DC-77C0-EF42-9BA3-25FDF98A7589}">
  <sheetPr>
    <pageSetUpPr fitToPage="1"/>
  </sheetPr>
  <dimension ref="A1:K28"/>
  <sheetViews>
    <sheetView topLeftCell="A6" zoomScale="75" workbookViewId="0">
      <selection activeCell="F17" sqref="F17"/>
    </sheetView>
  </sheetViews>
  <sheetFormatPr baseColWidth="10" defaultColWidth="11.3984375" defaultRowHeight="13"/>
  <cols>
    <col min="1" max="1" width="20.796875" style="2" customWidth="1"/>
    <col min="2" max="5" width="14" style="2" customWidth="1"/>
    <col min="6" max="6" width="14.796875" style="2" customWidth="1"/>
    <col min="7" max="7" width="13.796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77" t="s">
        <v>2331</v>
      </c>
      <c r="G2" s="298"/>
    </row>
    <row r="3" spans="1:11" ht="24" customHeight="1">
      <c r="A3" s="178" t="s">
        <v>1931</v>
      </c>
      <c r="B3" s="179" t="s">
        <v>1867</v>
      </c>
      <c r="C3" s="180" t="s">
        <v>1868</v>
      </c>
      <c r="D3" s="179" t="s">
        <v>2371</v>
      </c>
      <c r="E3" s="180" t="s">
        <v>2369</v>
      </c>
      <c r="F3" s="179" t="s">
        <v>164</v>
      </c>
      <c r="G3" s="180" t="s">
        <v>2372</v>
      </c>
    </row>
    <row r="4" spans="1:11" ht="15" customHeight="1">
      <c r="A4" s="274"/>
      <c r="B4" s="182"/>
      <c r="C4" s="183"/>
      <c r="D4" s="182"/>
      <c r="E4" s="245"/>
      <c r="F4" s="182"/>
      <c r="G4" s="183" t="s">
        <v>2373</v>
      </c>
    </row>
    <row r="5" spans="1:11" ht="15" customHeight="1">
      <c r="A5" s="274"/>
      <c r="B5" s="182"/>
      <c r="C5" s="183"/>
      <c r="D5" s="182"/>
      <c r="E5" s="245"/>
      <c r="F5" s="182"/>
      <c r="G5" s="183" t="s">
        <v>2377</v>
      </c>
    </row>
    <row r="6" spans="1:11" ht="24" customHeight="1">
      <c r="A6" s="275"/>
      <c r="B6" s="188"/>
      <c r="C6" s="187"/>
      <c r="D6" s="188"/>
      <c r="E6" s="248"/>
      <c r="F6" s="188"/>
      <c r="G6" s="187"/>
    </row>
    <row r="7" spans="1:11" ht="1.5" customHeight="1" thickBot="1">
      <c r="A7" s="276">
        <v>1996</v>
      </c>
      <c r="B7" s="211">
        <v>2792349</v>
      </c>
      <c r="C7" s="257">
        <v>2968829</v>
      </c>
      <c r="D7" s="211">
        <v>5761178</v>
      </c>
      <c r="E7" s="257">
        <v>1471489</v>
      </c>
      <c r="F7" s="211">
        <v>7232667</v>
      </c>
      <c r="G7" s="212">
        <v>1.8350297937143788E-2</v>
      </c>
    </row>
    <row r="8" spans="1:11" ht="0.75" customHeight="1" thickBot="1">
      <c r="A8" s="278">
        <v>1997</v>
      </c>
      <c r="B8" s="213">
        <v>2750986</v>
      </c>
      <c r="C8" s="263">
        <v>2929423</v>
      </c>
      <c r="D8" s="213">
        <v>5680409</v>
      </c>
      <c r="E8" s="263">
        <v>1556062</v>
      </c>
      <c r="F8" s="213">
        <v>7236471</v>
      </c>
      <c r="G8" s="214">
        <v>5.2594706765844463E-4</v>
      </c>
      <c r="I8" s="8"/>
      <c r="J8" s="8"/>
      <c r="K8" s="8"/>
    </row>
    <row r="9" spans="1:11" ht="20" customHeight="1" thickBot="1">
      <c r="A9" s="278">
        <v>1998</v>
      </c>
      <c r="B9" s="213">
        <v>2746839</v>
      </c>
      <c r="C9" s="263">
        <v>2927739</v>
      </c>
      <c r="D9" s="213">
        <v>5674578</v>
      </c>
      <c r="E9" s="263">
        <v>1572038</v>
      </c>
      <c r="F9" s="213">
        <v>7246616</v>
      </c>
      <c r="G9" s="214">
        <v>1.401926436242196E-3</v>
      </c>
    </row>
    <row r="10" spans="1:11" ht="20" customHeight="1" thickBot="1">
      <c r="A10" s="278">
        <v>1999</v>
      </c>
      <c r="B10" s="213">
        <v>2760031</v>
      </c>
      <c r="C10" s="263">
        <v>2940891</v>
      </c>
      <c r="D10" s="213">
        <v>5700922</v>
      </c>
      <c r="E10" s="263">
        <v>1569600</v>
      </c>
      <c r="F10" s="213">
        <v>7270522</v>
      </c>
      <c r="G10" s="214">
        <v>3.298919109278041E-3</v>
      </c>
    </row>
    <row r="11" spans="1:11" ht="20" customHeight="1" thickBot="1">
      <c r="A11" s="278">
        <v>2000</v>
      </c>
      <c r="B11" s="213">
        <v>2758998</v>
      </c>
      <c r="C11" s="263">
        <v>2947662</v>
      </c>
      <c r="D11" s="213">
        <v>5706660</v>
      </c>
      <c r="E11" s="263">
        <v>1558453</v>
      </c>
      <c r="F11" s="213">
        <v>7265113</v>
      </c>
      <c r="G11" s="214">
        <v>-7.4396308820742166E-4</v>
      </c>
    </row>
    <row r="12" spans="1:11" ht="20" customHeight="1" thickBot="1">
      <c r="A12" s="278">
        <v>2001</v>
      </c>
      <c r="B12" s="213">
        <v>2778660</v>
      </c>
      <c r="C12" s="263">
        <v>2968477</v>
      </c>
      <c r="D12" s="213">
        <v>5747137</v>
      </c>
      <c r="E12" s="263">
        <v>1553913</v>
      </c>
      <c r="F12" s="213">
        <v>7301050</v>
      </c>
      <c r="G12" s="214">
        <v>4.9465163170896312E-3</v>
      </c>
    </row>
    <row r="13" spans="1:11" ht="20" customHeight="1" thickBot="1">
      <c r="A13" s="278">
        <v>2002</v>
      </c>
      <c r="B13" s="213">
        <v>2803463</v>
      </c>
      <c r="C13" s="263">
        <v>2992002</v>
      </c>
      <c r="D13" s="213">
        <v>5795465</v>
      </c>
      <c r="E13" s="263">
        <v>1549167</v>
      </c>
      <c r="F13" s="213">
        <v>7344632</v>
      </c>
      <c r="G13" s="214">
        <v>5.9692783914642418E-3</v>
      </c>
    </row>
    <row r="14" spans="1:11" ht="20" customHeight="1" thickBot="1">
      <c r="A14" s="278">
        <v>2003</v>
      </c>
      <c r="B14" s="213">
        <v>2880411</v>
      </c>
      <c r="C14" s="263">
        <v>2950352</v>
      </c>
      <c r="D14" s="213">
        <v>5830763</v>
      </c>
      <c r="E14" s="263">
        <v>1541742</v>
      </c>
      <c r="F14" s="213">
        <v>7372505</v>
      </c>
      <c r="G14" s="214">
        <v>3.7950165508632699E-3</v>
      </c>
    </row>
    <row r="15" spans="1:11" ht="20" customHeight="1" thickBot="1">
      <c r="A15" s="278">
        <v>2004</v>
      </c>
      <c r="B15" s="213">
        <v>2832331</v>
      </c>
      <c r="C15" s="263">
        <v>3021580</v>
      </c>
      <c r="D15" s="213">
        <v>5853911</v>
      </c>
      <c r="E15" s="263">
        <v>1529663</v>
      </c>
      <c r="F15" s="213">
        <v>7383574</v>
      </c>
      <c r="G15" s="214">
        <v>1.5013892835610148E-3</v>
      </c>
    </row>
    <row r="16" spans="1:11" ht="20" customHeight="1" thickBot="1">
      <c r="A16" s="278">
        <v>2005</v>
      </c>
      <c r="B16" s="213">
        <v>2861206</v>
      </c>
      <c r="C16" s="263">
        <v>3049366</v>
      </c>
      <c r="D16" s="213">
        <v>5910572</v>
      </c>
      <c r="E16" s="263">
        <v>1525293</v>
      </c>
      <c r="F16" s="213">
        <v>7435865</v>
      </c>
      <c r="G16" s="214">
        <v>7.0820716363104719E-3</v>
      </c>
    </row>
    <row r="17" spans="1:7" ht="20" customHeight="1" thickBot="1">
      <c r="A17" s="278">
        <v>2006</v>
      </c>
      <c r="B17" s="1075">
        <v>2886537.34</v>
      </c>
      <c r="C17" s="1076">
        <v>3073653.46</v>
      </c>
      <c r="D17" s="1075">
        <v>5960190.7999999998</v>
      </c>
      <c r="E17" s="1076">
        <v>1518236.03</v>
      </c>
      <c r="F17" s="1075">
        <v>7478426.8300000001</v>
      </c>
      <c r="G17" s="1187">
        <v>5.7238572782050134E-3</v>
      </c>
    </row>
    <row r="18" spans="1:7" ht="20" customHeight="1" thickBot="1">
      <c r="A18" s="278">
        <v>2007</v>
      </c>
      <c r="B18" s="1075">
        <v>2922195.75</v>
      </c>
      <c r="C18" s="1076">
        <v>3104949.1</v>
      </c>
      <c r="D18" s="1075">
        <v>6027144.8499999996</v>
      </c>
      <c r="E18" s="1076">
        <v>1510442.56</v>
      </c>
      <c r="F18" s="1075">
        <v>7537587.4100000001</v>
      </c>
      <c r="G18" s="1187">
        <v>7.9108322304732859E-3</v>
      </c>
    </row>
    <row r="19" spans="1:7" ht="30" customHeight="1" thickBot="1">
      <c r="A19" s="429">
        <v>2008</v>
      </c>
      <c r="B19" s="430">
        <v>2966175.79</v>
      </c>
      <c r="C19" s="431">
        <v>3141735.96</v>
      </c>
      <c r="D19" s="430">
        <v>6107911.75</v>
      </c>
      <c r="E19" s="431">
        <v>1507651.61</v>
      </c>
      <c r="F19" s="430">
        <v>7615563.3600000003</v>
      </c>
      <c r="G19" s="1080">
        <v>1.0344948026280942E-2</v>
      </c>
    </row>
    <row r="20" spans="1:7" ht="20" customHeight="1">
      <c r="A20" s="201" t="s">
        <v>764</v>
      </c>
      <c r="B20" s="585"/>
      <c r="C20" s="585"/>
      <c r="D20" s="585"/>
      <c r="E20" s="585"/>
      <c r="F20" s="585"/>
      <c r="G20" s="650"/>
    </row>
    <row r="21" spans="1:7" ht="20" customHeight="1">
      <c r="A21" s="202"/>
      <c r="B21" s="586"/>
      <c r="C21" s="586"/>
      <c r="D21" s="586"/>
      <c r="E21" s="586"/>
      <c r="F21" s="586"/>
      <c r="G21" s="651"/>
    </row>
    <row r="22" spans="1:7" ht="12.75" customHeight="1">
      <c r="A22" s="748" t="s">
        <v>2328</v>
      </c>
      <c r="B22" s="586"/>
      <c r="C22" s="586"/>
      <c r="D22" s="586"/>
      <c r="E22" s="586"/>
      <c r="F22" s="586"/>
      <c r="G22" s="651"/>
    </row>
    <row r="23" spans="1:7" ht="12.75" customHeight="1">
      <c r="A23" s="390" t="s">
        <v>2329</v>
      </c>
    </row>
    <row r="25" spans="1:7">
      <c r="A25" s="2" t="s">
        <v>2330</v>
      </c>
    </row>
    <row r="28" spans="1:7">
      <c r="A28" s="2" t="s">
        <v>711</v>
      </c>
    </row>
  </sheetData>
  <phoneticPr fontId="0" type="noConversion"/>
  <pageMargins left="0.5" right="0.49" top="1.03" bottom="0.49" header="0.56000000000000005" footer="0.4921259845"/>
  <pageSetup paperSize="9" scale="89" orientation="portrait" horizontalDpi="1200" verticalDpi="1200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77EF-4098-E040-A590-E49826A24E35}">
  <sheetPr>
    <pageSetUpPr fitToPage="1"/>
  </sheetPr>
  <dimension ref="A1:K30"/>
  <sheetViews>
    <sheetView zoomScale="75" workbookViewId="0">
      <selection activeCell="A18" sqref="A18:IV18"/>
    </sheetView>
  </sheetViews>
  <sheetFormatPr baseColWidth="10" defaultColWidth="11.3984375" defaultRowHeight="13"/>
  <cols>
    <col min="1" max="1" width="20.796875" style="2" customWidth="1"/>
    <col min="2" max="3" width="14" style="2" customWidth="1"/>
    <col min="4" max="4" width="15.3984375" style="2" customWidth="1"/>
    <col min="5" max="5" width="14" style="2" customWidth="1"/>
    <col min="6" max="6" width="14.796875" style="2" customWidth="1"/>
    <col min="7" max="7" width="13.796875" style="2" customWidth="1"/>
    <col min="8" max="16384" width="11.3984375" style="2"/>
  </cols>
  <sheetData>
    <row r="1" spans="1:11" s="1" customFormat="1" ht="14" customHeight="1"/>
    <row r="2" spans="1:11" s="1" customFormat="1" ht="28" customHeight="1">
      <c r="A2" s="177" t="s">
        <v>2340</v>
      </c>
      <c r="G2" s="428"/>
    </row>
    <row r="3" spans="1:11" ht="24" customHeight="1">
      <c r="A3" s="178" t="s">
        <v>1931</v>
      </c>
      <c r="B3" s="179" t="s">
        <v>1867</v>
      </c>
      <c r="C3" s="180" t="s">
        <v>1868</v>
      </c>
      <c r="D3" s="179" t="s">
        <v>2371</v>
      </c>
      <c r="E3" s="180" t="s">
        <v>877</v>
      </c>
      <c r="F3" s="179" t="s">
        <v>164</v>
      </c>
      <c r="G3" s="180" t="s">
        <v>2372</v>
      </c>
    </row>
    <row r="4" spans="1:11" ht="15" customHeight="1">
      <c r="A4" s="274"/>
      <c r="B4" s="182"/>
      <c r="C4" s="183"/>
      <c r="D4" s="182"/>
      <c r="E4" s="245"/>
      <c r="F4" s="182"/>
      <c r="G4" s="183" t="s">
        <v>2373</v>
      </c>
    </row>
    <row r="5" spans="1:11" ht="15" customHeight="1">
      <c r="A5" s="274"/>
      <c r="B5" s="182"/>
      <c r="C5" s="183"/>
      <c r="D5" s="182"/>
      <c r="E5" s="245"/>
      <c r="F5" s="182"/>
      <c r="G5" s="183" t="s">
        <v>2377</v>
      </c>
    </row>
    <row r="6" spans="1:11" ht="24" customHeight="1">
      <c r="A6" s="275"/>
      <c r="B6" s="188"/>
      <c r="C6" s="187"/>
      <c r="D6" s="188"/>
      <c r="E6" s="248"/>
      <c r="F6" s="188"/>
      <c r="G6" s="187"/>
    </row>
    <row r="7" spans="1:11" ht="1.5" customHeight="1" thickBot="1">
      <c r="A7" s="276">
        <v>1996</v>
      </c>
      <c r="B7" s="211">
        <v>2760146</v>
      </c>
      <c r="C7" s="257">
        <v>2938608</v>
      </c>
      <c r="D7" s="211">
        <v>5698754</v>
      </c>
      <c r="E7" s="257">
        <v>1496000</v>
      </c>
      <c r="F7" s="211">
        <v>7194754</v>
      </c>
      <c r="G7" s="212">
        <v>4.3855246833913626E-3</v>
      </c>
    </row>
    <row r="8" spans="1:11" ht="0.75" hidden="1" customHeight="1" thickBot="1">
      <c r="A8" s="278">
        <v>1997</v>
      </c>
      <c r="B8" s="213">
        <v>2725064</v>
      </c>
      <c r="C8" s="263">
        <v>2902973</v>
      </c>
      <c r="D8" s="213">
        <v>5628037</v>
      </c>
      <c r="E8" s="263">
        <v>1586768</v>
      </c>
      <c r="F8" s="213">
        <v>7214805</v>
      </c>
      <c r="G8" s="214">
        <v>2.7868916713483186E-3</v>
      </c>
      <c r="I8" s="8"/>
      <c r="J8" s="8"/>
      <c r="K8" s="8"/>
    </row>
    <row r="9" spans="1:11" ht="20" customHeight="1" thickBot="1">
      <c r="A9" s="278">
        <v>1998</v>
      </c>
      <c r="B9" s="213">
        <v>2736949</v>
      </c>
      <c r="C9" s="263">
        <v>2915969</v>
      </c>
      <c r="D9" s="213">
        <v>5652918</v>
      </c>
      <c r="E9" s="263">
        <v>1595685</v>
      </c>
      <c r="F9" s="213">
        <v>7248603</v>
      </c>
      <c r="G9" s="214">
        <v>4.6845340934370365E-3</v>
      </c>
    </row>
    <row r="10" spans="1:11" ht="20" customHeight="1" thickBot="1">
      <c r="A10" s="278">
        <v>1999</v>
      </c>
      <c r="B10" s="213">
        <v>2741177</v>
      </c>
      <c r="C10" s="263">
        <v>2926032</v>
      </c>
      <c r="D10" s="213">
        <v>5667209</v>
      </c>
      <c r="E10" s="263">
        <v>1599325</v>
      </c>
      <c r="F10" s="213">
        <v>7266534</v>
      </c>
      <c r="G10" s="214">
        <v>2.4737180391863093E-3</v>
      </c>
    </row>
    <row r="11" spans="1:11" ht="20" customHeight="1" thickBot="1">
      <c r="A11" s="278">
        <v>2000</v>
      </c>
      <c r="B11" s="213">
        <v>2746615</v>
      </c>
      <c r="C11" s="263">
        <v>2936748</v>
      </c>
      <c r="D11" s="213">
        <v>5683363</v>
      </c>
      <c r="E11" s="263">
        <v>1584748</v>
      </c>
      <c r="F11" s="213">
        <v>7268111</v>
      </c>
      <c r="G11" s="214">
        <v>2.1702231077429761E-4</v>
      </c>
    </row>
    <row r="12" spans="1:11" ht="20" customHeight="1" thickBot="1">
      <c r="A12" s="278">
        <v>2001</v>
      </c>
      <c r="B12" s="213">
        <v>2775829</v>
      </c>
      <c r="C12" s="263">
        <v>2962533</v>
      </c>
      <c r="D12" s="213">
        <v>5738362</v>
      </c>
      <c r="E12" s="263">
        <v>1582925</v>
      </c>
      <c r="F12" s="213">
        <v>7321287</v>
      </c>
      <c r="G12" s="214">
        <v>7.3163439578729601E-3</v>
      </c>
    </row>
    <row r="13" spans="1:11" ht="20" customHeight="1" thickBot="1">
      <c r="A13" s="278">
        <v>2002</v>
      </c>
      <c r="B13" s="213">
        <v>2798041</v>
      </c>
      <c r="C13" s="263">
        <v>2982916</v>
      </c>
      <c r="D13" s="213">
        <v>5780957</v>
      </c>
      <c r="E13" s="263">
        <v>1578408</v>
      </c>
      <c r="F13" s="213">
        <v>7359365</v>
      </c>
      <c r="G13" s="214">
        <v>5.2009981305199482E-3</v>
      </c>
    </row>
    <row r="14" spans="1:11" ht="19.5" customHeight="1" thickBot="1">
      <c r="A14" s="278">
        <v>2003</v>
      </c>
      <c r="B14" s="213">
        <v>2818135</v>
      </c>
      <c r="C14" s="263">
        <v>3002978</v>
      </c>
      <c r="D14" s="213">
        <v>5821113</v>
      </c>
      <c r="E14" s="263">
        <v>1572075</v>
      </c>
      <c r="F14" s="213">
        <v>7393188</v>
      </c>
      <c r="G14" s="214">
        <v>4.5959128267180661E-3</v>
      </c>
    </row>
    <row r="15" spans="1:11" ht="19.5" customHeight="1" thickBot="1">
      <c r="A15" s="278">
        <v>2004</v>
      </c>
      <c r="B15" s="213">
        <v>2834642</v>
      </c>
      <c r="C15" s="263">
        <v>3021025</v>
      </c>
      <c r="D15" s="213">
        <v>5855667</v>
      </c>
      <c r="E15" s="263">
        <v>1564307</v>
      </c>
      <c r="F15" s="213">
        <v>7419974</v>
      </c>
      <c r="G15" s="214">
        <v>3.623064907858423E-3</v>
      </c>
    </row>
    <row r="16" spans="1:11" ht="19.5" customHeight="1" thickBot="1">
      <c r="A16" s="278">
        <v>2005</v>
      </c>
      <c r="B16" s="213">
        <v>2858735</v>
      </c>
      <c r="C16" s="263">
        <v>3042765</v>
      </c>
      <c r="D16" s="213">
        <v>5901500</v>
      </c>
      <c r="E16" s="263">
        <v>1556975</v>
      </c>
      <c r="F16" s="213">
        <v>7458475</v>
      </c>
      <c r="G16" s="214">
        <v>5.1888321980642083E-3</v>
      </c>
    </row>
    <row r="17" spans="1:7" ht="19.5" customHeight="1" thickBot="1">
      <c r="A17" s="278">
        <v>2006</v>
      </c>
      <c r="B17" s="213">
        <v>2887156</v>
      </c>
      <c r="C17" s="263">
        <v>3068025</v>
      </c>
      <c r="D17" s="213">
        <v>5955181</v>
      </c>
      <c r="E17" s="263">
        <v>1552364</v>
      </c>
      <c r="F17" s="213">
        <v>7507545</v>
      </c>
      <c r="G17" s="214">
        <v>6.5790929110842722E-3</v>
      </c>
    </row>
    <row r="18" spans="1:7" ht="19.5" customHeight="1" thickBot="1">
      <c r="A18" s="278">
        <v>2007</v>
      </c>
      <c r="B18" s="213">
        <v>2927022</v>
      </c>
      <c r="C18" s="263">
        <v>3102846</v>
      </c>
      <c r="D18" s="213">
        <v>6029868</v>
      </c>
      <c r="E18" s="263">
        <v>1547264</v>
      </c>
      <c r="F18" s="213">
        <v>7577132</v>
      </c>
      <c r="G18" s="214">
        <v>9.2689421109031223E-3</v>
      </c>
    </row>
    <row r="19" spans="1:7" ht="23.25" customHeight="1" thickBot="1">
      <c r="A19" s="429">
        <v>2008</v>
      </c>
      <c r="B19" s="430">
        <v>2977802</v>
      </c>
      <c r="C19" s="431">
        <v>3143748</v>
      </c>
      <c r="D19" s="430">
        <v>6121550</v>
      </c>
      <c r="E19" s="431">
        <v>1548061</v>
      </c>
      <c r="F19" s="430">
        <v>7669611</v>
      </c>
      <c r="G19" s="216">
        <v>1.2205013717591306E-2</v>
      </c>
    </row>
    <row r="20" spans="1:7" ht="20" customHeight="1">
      <c r="A20" s="201" t="s">
        <v>764</v>
      </c>
      <c r="B20" s="585"/>
      <c r="C20" s="585"/>
      <c r="D20" s="585"/>
      <c r="E20" s="585"/>
      <c r="F20" s="585"/>
      <c r="G20" s="650"/>
    </row>
    <row r="21" spans="1:7" ht="13.5" customHeight="1">
      <c r="A21" s="202"/>
      <c r="B21" s="586"/>
      <c r="C21" s="586"/>
      <c r="D21" s="586"/>
      <c r="E21" s="586"/>
      <c r="F21" s="586"/>
      <c r="G21" s="651"/>
    </row>
    <row r="22" spans="1:7" ht="12.75" customHeight="1">
      <c r="A22" s="2" t="s">
        <v>872</v>
      </c>
    </row>
    <row r="23" spans="1:7" ht="12.75" customHeight="1">
      <c r="A23" s="223" t="s">
        <v>873</v>
      </c>
    </row>
    <row r="24" spans="1:7" ht="12.75" customHeight="1">
      <c r="A24" s="587" t="s">
        <v>874</v>
      </c>
    </row>
    <row r="25" spans="1:7">
      <c r="A25" s="587" t="s">
        <v>875</v>
      </c>
    </row>
    <row r="26" spans="1:7">
      <c r="A26" s="624"/>
    </row>
    <row r="27" spans="1:7">
      <c r="A27" s="2" t="s">
        <v>876</v>
      </c>
    </row>
    <row r="30" spans="1:7">
      <c r="A30" s="2" t="s">
        <v>711</v>
      </c>
    </row>
  </sheetData>
  <phoneticPr fontId="0" type="noConversion"/>
  <pageMargins left="0.49" right="0.56000000000000005" top="0.96" bottom="0.49" header="0.53" footer="0.4921259845"/>
  <pageSetup paperSize="9" scale="86" orientation="portrait" horizontalDpi="1200" verticalDpi="1200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5B55-FF59-C84D-83E0-2252EDE621BA}">
  <sheetPr>
    <pageSetUpPr fitToPage="1"/>
  </sheetPr>
  <dimension ref="A1:F43"/>
  <sheetViews>
    <sheetView topLeftCell="A23" zoomScale="75" workbookViewId="0">
      <selection activeCell="A3" sqref="A3"/>
    </sheetView>
  </sheetViews>
  <sheetFormatPr baseColWidth="10" defaultColWidth="11.3984375" defaultRowHeight="13"/>
  <cols>
    <col min="1" max="1" width="16.19921875" style="2" customWidth="1"/>
    <col min="2" max="5" width="17.3984375" style="2" customWidth="1"/>
    <col min="6" max="6" width="17.3984375" style="537" customWidth="1"/>
    <col min="7" max="8" width="11.3984375" style="2"/>
    <col min="9" max="9" width="14.796875" style="2" customWidth="1"/>
    <col min="10" max="16384" width="11.3984375" style="2"/>
  </cols>
  <sheetData>
    <row r="1" spans="1:6" s="1" customFormat="1" ht="14" customHeight="1">
      <c r="F1" s="547"/>
    </row>
    <row r="2" spans="1:6" s="1" customFormat="1" ht="28" customHeight="1">
      <c r="A2" s="177" t="s">
        <v>2332</v>
      </c>
      <c r="F2" s="428">
        <v>2008</v>
      </c>
    </row>
    <row r="3" spans="1:6" ht="27" customHeight="1">
      <c r="A3" s="178" t="s">
        <v>2368</v>
      </c>
      <c r="B3" s="179" t="s">
        <v>1867</v>
      </c>
      <c r="C3" s="180" t="s">
        <v>1868</v>
      </c>
      <c r="D3" s="179" t="s">
        <v>2369</v>
      </c>
      <c r="E3" s="180" t="s">
        <v>164</v>
      </c>
      <c r="F3" s="549" t="s">
        <v>2333</v>
      </c>
    </row>
    <row r="4" spans="1:6" ht="12" customHeight="1">
      <c r="A4" s="181"/>
      <c r="B4" s="184"/>
      <c r="C4" s="181"/>
      <c r="D4" s="184"/>
      <c r="E4" s="181"/>
      <c r="F4" s="551" t="s">
        <v>2334</v>
      </c>
    </row>
    <row r="5" spans="1:6" ht="30.75" customHeight="1">
      <c r="A5" s="185"/>
      <c r="B5" s="186"/>
      <c r="C5" s="185"/>
      <c r="D5" s="186"/>
      <c r="E5" s="185"/>
      <c r="F5" s="552" t="s">
        <v>2377</v>
      </c>
    </row>
    <row r="6" spans="1:6" ht="30" customHeight="1" thickBot="1">
      <c r="A6" s="190" t="s">
        <v>2378</v>
      </c>
      <c r="B6" s="191">
        <v>526057</v>
      </c>
      <c r="C6" s="192">
        <v>552914</v>
      </c>
      <c r="D6" s="191">
        <v>251884</v>
      </c>
      <c r="E6" s="192">
        <v>1330855</v>
      </c>
      <c r="F6" s="664">
        <v>1.7047916505865013E-2</v>
      </c>
    </row>
    <row r="7" spans="1:6" ht="20" customHeight="1" thickBot="1">
      <c r="A7" s="195" t="s">
        <v>2379</v>
      </c>
      <c r="B7" s="235">
        <v>377555</v>
      </c>
      <c r="C7" s="236">
        <v>407831</v>
      </c>
      <c r="D7" s="235">
        <v>185643</v>
      </c>
      <c r="E7" s="236">
        <v>971029</v>
      </c>
      <c r="F7" s="665">
        <v>6.2539248948698667E-3</v>
      </c>
    </row>
    <row r="8" spans="1:6" ht="20" customHeight="1" thickBot="1">
      <c r="A8" s="195" t="s">
        <v>2380</v>
      </c>
      <c r="B8" s="235">
        <v>142660</v>
      </c>
      <c r="C8" s="236">
        <v>148898</v>
      </c>
      <c r="D8" s="235">
        <v>78588</v>
      </c>
      <c r="E8" s="236">
        <v>370146</v>
      </c>
      <c r="F8" s="665">
        <v>1.2019138755980929E-2</v>
      </c>
    </row>
    <row r="9" spans="1:6" ht="20" customHeight="1" thickBot="1">
      <c r="A9" s="195" t="s">
        <v>2381</v>
      </c>
      <c r="B9" s="235">
        <v>13969</v>
      </c>
      <c r="C9" s="236">
        <v>13950</v>
      </c>
      <c r="D9" s="235">
        <v>7461</v>
      </c>
      <c r="E9" s="236">
        <v>35380</v>
      </c>
      <c r="F9" s="665">
        <v>5.8280028429282815E-3</v>
      </c>
    </row>
    <row r="10" spans="1:6" ht="20" customHeight="1" thickBot="1">
      <c r="A10" s="195" t="s">
        <v>2382</v>
      </c>
      <c r="B10" s="235">
        <v>57530</v>
      </c>
      <c r="C10" s="236">
        <v>55927</v>
      </c>
      <c r="D10" s="235">
        <v>30400</v>
      </c>
      <c r="E10" s="236">
        <v>143857</v>
      </c>
      <c r="F10" s="665">
        <v>1.746258522646893E-2</v>
      </c>
    </row>
    <row r="11" spans="1:6" ht="20" customHeight="1" thickBot="1">
      <c r="A11" s="195" t="s">
        <v>2383</v>
      </c>
      <c r="B11" s="235">
        <v>13758</v>
      </c>
      <c r="C11" s="236">
        <v>13706</v>
      </c>
      <c r="D11" s="235">
        <v>7563</v>
      </c>
      <c r="E11" s="236">
        <v>35027</v>
      </c>
      <c r="F11" s="665">
        <v>1.4363904897048974E-2</v>
      </c>
    </row>
    <row r="12" spans="1:6" ht="20" customHeight="1" thickBot="1">
      <c r="A12" s="195" t="s">
        <v>2384</v>
      </c>
      <c r="B12" s="235">
        <v>16360</v>
      </c>
      <c r="C12" s="236">
        <v>16042</v>
      </c>
      <c r="D12" s="235">
        <v>8003</v>
      </c>
      <c r="E12" s="236">
        <v>40405</v>
      </c>
      <c r="F12" s="665">
        <v>8.7128020770921299E-3</v>
      </c>
    </row>
    <row r="13" spans="1:6" ht="20" customHeight="1" thickBot="1">
      <c r="A13" s="195" t="s">
        <v>2385</v>
      </c>
      <c r="B13" s="235">
        <v>15261</v>
      </c>
      <c r="C13" s="236">
        <v>15598</v>
      </c>
      <c r="D13" s="235">
        <v>7810</v>
      </c>
      <c r="E13" s="236">
        <v>38669</v>
      </c>
      <c r="F13" s="665">
        <v>5.5649460408269125E-3</v>
      </c>
    </row>
    <row r="14" spans="1:6" ht="20" customHeight="1" thickBot="1">
      <c r="A14" s="195" t="s">
        <v>2386</v>
      </c>
      <c r="B14" s="235">
        <v>44431</v>
      </c>
      <c r="C14" s="236">
        <v>44047</v>
      </c>
      <c r="D14" s="235">
        <v>22102</v>
      </c>
      <c r="E14" s="236">
        <v>110580</v>
      </c>
      <c r="F14" s="665">
        <v>1.5156661678708216E-2</v>
      </c>
    </row>
    <row r="15" spans="1:6" ht="20" customHeight="1" thickBot="1">
      <c r="A15" s="195" t="s">
        <v>2387</v>
      </c>
      <c r="B15" s="235">
        <v>101557</v>
      </c>
      <c r="C15" s="236">
        <v>104699</v>
      </c>
      <c r="D15" s="235">
        <v>62877</v>
      </c>
      <c r="E15" s="236">
        <v>269133</v>
      </c>
      <c r="F15" s="665">
        <v>2.1718828299394088E-2</v>
      </c>
    </row>
    <row r="16" spans="1:6" ht="20" customHeight="1" thickBot="1">
      <c r="A16" s="195" t="s">
        <v>2388</v>
      </c>
      <c r="B16" s="235">
        <v>100081</v>
      </c>
      <c r="C16" s="236">
        <v>104297</v>
      </c>
      <c r="D16" s="235">
        <v>49942</v>
      </c>
      <c r="E16" s="236">
        <v>254320</v>
      </c>
      <c r="F16" s="665">
        <v>6.9447194000775703E-3</v>
      </c>
    </row>
    <row r="17" spans="1:6" ht="20" customHeight="1" thickBot="1">
      <c r="A17" s="195" t="s">
        <v>2389</v>
      </c>
      <c r="B17" s="235">
        <v>68592</v>
      </c>
      <c r="C17" s="236">
        <v>78998</v>
      </c>
      <c r="D17" s="235">
        <v>28386</v>
      </c>
      <c r="E17" s="236">
        <v>175976</v>
      </c>
      <c r="F17" s="665">
        <v>8.3034749473931413E-4</v>
      </c>
    </row>
    <row r="18" spans="1:6" ht="20" customHeight="1" thickBot="1">
      <c r="A18" s="195" t="s">
        <v>2390</v>
      </c>
      <c r="B18" s="235">
        <v>106231</v>
      </c>
      <c r="C18" s="236">
        <v>113181</v>
      </c>
      <c r="D18" s="235">
        <v>51106</v>
      </c>
      <c r="E18" s="236">
        <v>270518</v>
      </c>
      <c r="F18" s="665">
        <v>7.0844889525900623E-3</v>
      </c>
    </row>
    <row r="19" spans="1:6" ht="20" customHeight="1" thickBot="1">
      <c r="A19" s="195" t="s">
        <v>2391</v>
      </c>
      <c r="B19" s="235">
        <v>29505</v>
      </c>
      <c r="C19" s="236">
        <v>31373</v>
      </c>
      <c r="D19" s="235">
        <v>14235</v>
      </c>
      <c r="E19" s="236">
        <v>75113</v>
      </c>
      <c r="F19" s="665">
        <v>8.187589761486036E-3</v>
      </c>
    </row>
    <row r="20" spans="1:6" ht="20" customHeight="1" thickBot="1">
      <c r="A20" s="195" t="s">
        <v>2392</v>
      </c>
      <c r="B20" s="235">
        <v>20928</v>
      </c>
      <c r="C20" s="236">
        <v>21459</v>
      </c>
      <c r="D20" s="235">
        <v>11318</v>
      </c>
      <c r="E20" s="236">
        <v>53705</v>
      </c>
      <c r="F20" s="665">
        <v>4.3949878436506662E-3</v>
      </c>
    </row>
    <row r="21" spans="1:6" ht="20" customHeight="1" thickBot="1">
      <c r="A21" s="195" t="s">
        <v>2393</v>
      </c>
      <c r="B21" s="235">
        <v>6094</v>
      </c>
      <c r="C21" s="236">
        <v>5784</v>
      </c>
      <c r="D21" s="235">
        <v>3693</v>
      </c>
      <c r="E21" s="236">
        <v>15571</v>
      </c>
      <c r="F21" s="665">
        <v>8.1579799287796462E-3</v>
      </c>
    </row>
    <row r="22" spans="1:6" ht="20" customHeight="1" thickBot="1">
      <c r="A22" s="195" t="s">
        <v>2394</v>
      </c>
      <c r="B22" s="235">
        <v>182956</v>
      </c>
      <c r="C22" s="236">
        <v>188888</v>
      </c>
      <c r="D22" s="235">
        <v>101252</v>
      </c>
      <c r="E22" s="236">
        <v>473096</v>
      </c>
      <c r="F22" s="665">
        <v>1.0318965369962241E-2</v>
      </c>
    </row>
    <row r="23" spans="1:6" ht="20" customHeight="1" thickBot="1">
      <c r="A23" s="195" t="s">
        <v>2395</v>
      </c>
      <c r="B23" s="235">
        <v>79056</v>
      </c>
      <c r="C23" s="236">
        <v>80630</v>
      </c>
      <c r="D23" s="235">
        <v>36491</v>
      </c>
      <c r="E23" s="236">
        <v>196177</v>
      </c>
      <c r="F23" s="665">
        <v>4.5059575927945961E-3</v>
      </c>
    </row>
    <row r="24" spans="1:6" ht="20" customHeight="1" thickBot="1">
      <c r="A24" s="195" t="s">
        <v>2396</v>
      </c>
      <c r="B24" s="235">
        <v>234230</v>
      </c>
      <c r="C24" s="236">
        <v>239233</v>
      </c>
      <c r="D24" s="235">
        <v>122229</v>
      </c>
      <c r="E24" s="236">
        <v>595692</v>
      </c>
      <c r="F24" s="665">
        <v>1.5724589493068653E-2</v>
      </c>
    </row>
    <row r="25" spans="1:6" ht="20" customHeight="1" thickBot="1">
      <c r="A25" s="195" t="s">
        <v>2397</v>
      </c>
      <c r="B25" s="235">
        <v>93978</v>
      </c>
      <c r="C25" s="236">
        <v>95516</v>
      </c>
      <c r="D25" s="235">
        <v>52525</v>
      </c>
      <c r="E25" s="236">
        <v>242019</v>
      </c>
      <c r="F25" s="665">
        <v>1.0745637847364264E-2</v>
      </c>
    </row>
    <row r="26" spans="1:6" ht="20" customHeight="1" thickBot="1">
      <c r="A26" s="195" t="s">
        <v>2398</v>
      </c>
      <c r="B26" s="235">
        <v>126602</v>
      </c>
      <c r="C26" s="236">
        <v>140006</v>
      </c>
      <c r="D26" s="235">
        <v>60005</v>
      </c>
      <c r="E26" s="236">
        <v>326613</v>
      </c>
      <c r="F26" s="665">
        <v>1.2012914580338041E-2</v>
      </c>
    </row>
    <row r="27" spans="1:6" ht="20" customHeight="1" thickBot="1">
      <c r="A27" s="195" t="s">
        <v>2399</v>
      </c>
      <c r="B27" s="235">
        <v>252800</v>
      </c>
      <c r="C27" s="236">
        <v>275961</v>
      </c>
      <c r="D27" s="235">
        <v>149260</v>
      </c>
      <c r="E27" s="236">
        <v>678021</v>
      </c>
      <c r="F27" s="665">
        <v>1.9243257869576924E-2</v>
      </c>
    </row>
    <row r="28" spans="1:6" ht="20" customHeight="1" thickBot="1">
      <c r="A28" s="195" t="s">
        <v>2400</v>
      </c>
      <c r="B28" s="235">
        <v>120970</v>
      </c>
      <c r="C28" s="236">
        <v>125127</v>
      </c>
      <c r="D28" s="235">
        <v>62947</v>
      </c>
      <c r="E28" s="236">
        <v>309044</v>
      </c>
      <c r="F28" s="665">
        <v>1.4562979304548751E-2</v>
      </c>
    </row>
    <row r="29" spans="1:6" ht="20" customHeight="1" thickBot="1">
      <c r="A29" s="195" t="s">
        <v>2401</v>
      </c>
      <c r="B29" s="235">
        <v>64494</v>
      </c>
      <c r="C29" s="236">
        <v>70295</v>
      </c>
      <c r="D29" s="235">
        <v>36784</v>
      </c>
      <c r="E29" s="236">
        <v>171573</v>
      </c>
      <c r="F29" s="665">
        <v>7.3508257936485411E-3</v>
      </c>
    </row>
    <row r="30" spans="1:6" ht="20" customHeight="1" thickBot="1">
      <c r="A30" s="195" t="s">
        <v>2402</v>
      </c>
      <c r="B30" s="235">
        <v>153341</v>
      </c>
      <c r="C30" s="236">
        <v>170264</v>
      </c>
      <c r="D30" s="235">
        <v>89445</v>
      </c>
      <c r="E30" s="236">
        <v>413050</v>
      </c>
      <c r="F30" s="665">
        <v>9.2778794535408604E-3</v>
      </c>
    </row>
    <row r="31" spans="1:6" ht="22" customHeight="1" thickBot="1">
      <c r="A31" s="196" t="s">
        <v>2403</v>
      </c>
      <c r="B31" s="666">
        <v>26502</v>
      </c>
      <c r="C31" s="639">
        <v>28121</v>
      </c>
      <c r="D31" s="666">
        <v>15652</v>
      </c>
      <c r="E31" s="639">
        <v>70275</v>
      </c>
      <c r="F31" s="749">
        <v>5.321660014591556E-3</v>
      </c>
    </row>
    <row r="32" spans="1:6" ht="21.75" customHeight="1" thickBot="1">
      <c r="A32" s="196" t="s">
        <v>2335</v>
      </c>
      <c r="B32" s="666">
        <v>2975499</v>
      </c>
      <c r="C32" s="639">
        <v>3142745</v>
      </c>
      <c r="D32" s="666">
        <v>1547601</v>
      </c>
      <c r="E32" s="639">
        <v>7665845</v>
      </c>
      <c r="F32" s="749">
        <v>1.2235274854635048E-2</v>
      </c>
    </row>
    <row r="33" spans="1:6" ht="18.75" customHeight="1" thickBot="1">
      <c r="A33" s="406" t="s">
        <v>2339</v>
      </c>
      <c r="B33" s="666">
        <v>2303</v>
      </c>
      <c r="C33" s="639">
        <v>1003</v>
      </c>
      <c r="D33" s="666">
        <v>460</v>
      </c>
      <c r="E33" s="639">
        <v>3766</v>
      </c>
      <c r="F33" s="749">
        <v>-4.5857613377248585E-2</v>
      </c>
    </row>
    <row r="34" spans="1:6" ht="22" customHeight="1" thickBot="1">
      <c r="A34" s="196" t="s">
        <v>2336</v>
      </c>
      <c r="B34" s="666">
        <v>1</v>
      </c>
      <c r="C34" s="639">
        <v>0</v>
      </c>
      <c r="D34" s="666">
        <v>0</v>
      </c>
      <c r="E34" s="639">
        <v>1</v>
      </c>
      <c r="F34" s="750">
        <v>0</v>
      </c>
    </row>
    <row r="35" spans="1:6" s="217" customFormat="1" ht="30" customHeight="1" thickBot="1">
      <c r="A35" s="751" t="s">
        <v>979</v>
      </c>
      <c r="B35" s="442">
        <v>2977802</v>
      </c>
      <c r="C35" s="571">
        <v>3143748</v>
      </c>
      <c r="D35" s="442">
        <v>1548061</v>
      </c>
      <c r="E35" s="752">
        <v>7669611</v>
      </c>
      <c r="F35" s="753">
        <v>1.2205013717591306E-2</v>
      </c>
    </row>
    <row r="36" spans="1:6">
      <c r="A36" s="202" t="s">
        <v>764</v>
      </c>
    </row>
    <row r="38" spans="1:6">
      <c r="A38" s="202" t="s">
        <v>2337</v>
      </c>
    </row>
    <row r="40" spans="1:6">
      <c r="A40" s="2" t="s">
        <v>2338</v>
      </c>
    </row>
    <row r="43" spans="1:6">
      <c r="A43" s="266" t="s">
        <v>711</v>
      </c>
    </row>
  </sheetData>
  <phoneticPr fontId="0" type="noConversion"/>
  <pageMargins left="0.62" right="0.52" top="0.74803149606299213" bottom="0.47244094488188981" header="0.43307086614173229" footer="0.31496062992125984"/>
  <pageSetup paperSize="9" scale="89" orientation="portrait" horizontalDpi="1200" verticalDpi="1200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E176-333E-F54C-8A5D-6726E54F2F53}">
  <sheetPr>
    <pageSetUpPr fitToPage="1"/>
  </sheetPr>
  <dimension ref="A1:G41"/>
  <sheetViews>
    <sheetView topLeftCell="A22" zoomScale="75" workbookViewId="0">
      <selection activeCell="C35" sqref="C35"/>
    </sheetView>
  </sheetViews>
  <sheetFormatPr baseColWidth="10" defaultColWidth="11.3984375" defaultRowHeight="13"/>
  <cols>
    <col min="1" max="1" width="18.3984375" style="2" customWidth="1"/>
    <col min="2" max="7" width="14.3984375" style="2" customWidth="1"/>
    <col min="8" max="16384" width="11.3984375" style="2"/>
  </cols>
  <sheetData>
    <row r="1" spans="1:7" ht="14" customHeight="1">
      <c r="A1" s="1"/>
      <c r="B1" s="202"/>
      <c r="C1" s="202"/>
      <c r="D1" s="202"/>
      <c r="E1" s="202"/>
      <c r="F1" s="202"/>
      <c r="G1" s="202"/>
    </row>
    <row r="2" spans="1:7" ht="28" customHeight="1">
      <c r="A2" s="177" t="s">
        <v>893</v>
      </c>
      <c r="G2" s="428">
        <v>2008</v>
      </c>
    </row>
    <row r="3" spans="1:7" ht="36" customHeight="1">
      <c r="A3" s="754" t="s">
        <v>878</v>
      </c>
      <c r="B3" s="755" t="s">
        <v>2224</v>
      </c>
      <c r="C3" s="756"/>
      <c r="D3" s="755" t="s">
        <v>2225</v>
      </c>
      <c r="E3" s="756"/>
      <c r="F3" s="755" t="s">
        <v>164</v>
      </c>
      <c r="G3" s="756"/>
    </row>
    <row r="4" spans="1:7" ht="15" customHeight="1">
      <c r="A4" s="481"/>
      <c r="B4" s="757" t="s">
        <v>879</v>
      </c>
      <c r="C4" s="758" t="s">
        <v>1035</v>
      </c>
      <c r="D4" s="757" t="s">
        <v>879</v>
      </c>
      <c r="E4" s="758" t="s">
        <v>1035</v>
      </c>
      <c r="F4" s="757" t="s">
        <v>879</v>
      </c>
      <c r="G4" s="758" t="s">
        <v>1035</v>
      </c>
    </row>
    <row r="5" spans="1:7" ht="15" customHeight="1">
      <c r="A5" s="274"/>
      <c r="B5" s="182" t="s">
        <v>1785</v>
      </c>
      <c r="C5" s="183" t="s">
        <v>1036</v>
      </c>
      <c r="D5" s="182" t="s">
        <v>1785</v>
      </c>
      <c r="E5" s="183" t="s">
        <v>1036</v>
      </c>
      <c r="F5" s="209" t="s">
        <v>1785</v>
      </c>
      <c r="G5" s="183" t="s">
        <v>1036</v>
      </c>
    </row>
    <row r="6" spans="1:7" ht="21" customHeight="1">
      <c r="A6" s="275"/>
      <c r="B6" s="188"/>
      <c r="C6" s="187" t="s">
        <v>1037</v>
      </c>
      <c r="D6" s="188"/>
      <c r="E6" s="187" t="s">
        <v>1037</v>
      </c>
      <c r="F6" s="188"/>
      <c r="G6" s="187" t="s">
        <v>1037</v>
      </c>
    </row>
    <row r="7" spans="1:7" ht="30" customHeight="1" thickBot="1">
      <c r="A7" s="190" t="s">
        <v>880</v>
      </c>
      <c r="B7" s="191">
        <v>231624</v>
      </c>
      <c r="C7" s="759">
        <v>3.0200227886394759E-2</v>
      </c>
      <c r="D7" s="191">
        <v>219869</v>
      </c>
      <c r="E7" s="759">
        <v>2.866755562961407E-2</v>
      </c>
      <c r="F7" s="191">
        <v>451493</v>
      </c>
      <c r="G7" s="759">
        <v>5.8867783516008833E-2</v>
      </c>
    </row>
    <row r="8" spans="1:7" ht="20" customHeight="1" thickBot="1">
      <c r="A8" s="760" t="s">
        <v>881</v>
      </c>
      <c r="B8" s="235">
        <v>202001</v>
      </c>
      <c r="C8" s="759">
        <v>2.6337841645423739E-2</v>
      </c>
      <c r="D8" s="235">
        <v>191643</v>
      </c>
      <c r="E8" s="759">
        <v>2.4987316827411454E-2</v>
      </c>
      <c r="F8" s="235">
        <v>393644</v>
      </c>
      <c r="G8" s="759">
        <v>5.132515847283519E-2</v>
      </c>
    </row>
    <row r="9" spans="1:7" ht="20" customHeight="1" thickBot="1">
      <c r="A9" s="195" t="s">
        <v>882</v>
      </c>
      <c r="B9" s="235">
        <v>219244</v>
      </c>
      <c r="C9" s="759">
        <v>2.858606518635691E-2</v>
      </c>
      <c r="D9" s="235">
        <v>208277</v>
      </c>
      <c r="E9" s="759">
        <v>2.7156136080434847E-2</v>
      </c>
      <c r="F9" s="235">
        <v>427521</v>
      </c>
      <c r="G9" s="759">
        <v>5.574220126679176E-2</v>
      </c>
    </row>
    <row r="10" spans="1:7" ht="20" customHeight="1" thickBot="1">
      <c r="A10" s="195" t="s">
        <v>883</v>
      </c>
      <c r="B10" s="235">
        <v>141288</v>
      </c>
      <c r="C10" s="759">
        <v>1.8421794795068485E-2</v>
      </c>
      <c r="D10" s="235">
        <v>134115</v>
      </c>
      <c r="E10" s="759">
        <v>1.7486545275894695E-2</v>
      </c>
      <c r="F10" s="235">
        <v>275403</v>
      </c>
      <c r="G10" s="759">
        <v>3.5908340070963184E-2</v>
      </c>
    </row>
    <row r="11" spans="1:7" ht="31" customHeight="1" thickBot="1">
      <c r="A11" s="196" t="s">
        <v>884</v>
      </c>
      <c r="B11" s="666">
        <v>794157</v>
      </c>
      <c r="C11" s="761">
        <v>0.10354592951324389</v>
      </c>
      <c r="D11" s="666">
        <v>753904</v>
      </c>
      <c r="E11" s="761">
        <v>9.8297553813355074E-2</v>
      </c>
      <c r="F11" s="666">
        <v>1548061</v>
      </c>
      <c r="G11" s="761">
        <v>0.20184348332659896</v>
      </c>
    </row>
    <row r="12" spans="1:7" ht="19" customHeight="1" thickBot="1">
      <c r="A12" s="195" t="s">
        <v>885</v>
      </c>
      <c r="B12" s="235">
        <v>93780</v>
      </c>
      <c r="C12" s="759">
        <v>1.2227478029850537E-2</v>
      </c>
      <c r="D12" s="235">
        <v>89696</v>
      </c>
      <c r="E12" s="759">
        <v>1.1694986877430941E-2</v>
      </c>
      <c r="F12" s="235">
        <v>183476</v>
      </c>
      <c r="G12" s="759">
        <v>2.3922464907281477E-2</v>
      </c>
    </row>
    <row r="13" spans="1:7" ht="19" customHeight="1" thickBot="1">
      <c r="A13" s="195" t="s">
        <v>886</v>
      </c>
      <c r="B13" s="235">
        <v>238452</v>
      </c>
      <c r="C13" s="759">
        <v>3.1090494680890594E-2</v>
      </c>
      <c r="D13" s="235">
        <v>231297</v>
      </c>
      <c r="E13" s="759">
        <v>3.0157592086482613E-2</v>
      </c>
      <c r="F13" s="235">
        <v>469749</v>
      </c>
      <c r="G13" s="759">
        <v>6.1248086767373207E-2</v>
      </c>
    </row>
    <row r="14" spans="1:7" ht="19" customHeight="1" thickBot="1">
      <c r="A14" s="195" t="s">
        <v>1851</v>
      </c>
      <c r="B14" s="235">
        <v>256300</v>
      </c>
      <c r="C14" s="759">
        <v>3.3417600970896702E-2</v>
      </c>
      <c r="D14" s="235">
        <v>252362</v>
      </c>
      <c r="E14" s="759">
        <v>3.2904145986021975E-2</v>
      </c>
      <c r="F14" s="235">
        <v>508662</v>
      </c>
      <c r="G14" s="759">
        <v>6.632174695691867E-2</v>
      </c>
    </row>
    <row r="15" spans="1:7" ht="19" customHeight="1" thickBot="1">
      <c r="A15" s="195" t="s">
        <v>1852</v>
      </c>
      <c r="B15" s="235">
        <v>260787</v>
      </c>
      <c r="C15" s="759">
        <v>3.4002637161128509E-2</v>
      </c>
      <c r="D15" s="235">
        <v>260415</v>
      </c>
      <c r="E15" s="759">
        <v>3.3954134049301851E-2</v>
      </c>
      <c r="F15" s="235">
        <v>521202</v>
      </c>
      <c r="G15" s="759">
        <v>6.7956771210430353E-2</v>
      </c>
    </row>
    <row r="16" spans="1:7" ht="19" customHeight="1" thickBot="1">
      <c r="A16" s="195" t="s">
        <v>1853</v>
      </c>
      <c r="B16" s="235">
        <v>296012</v>
      </c>
      <c r="C16" s="759">
        <v>3.8595438543102122E-2</v>
      </c>
      <c r="D16" s="235">
        <v>295656</v>
      </c>
      <c r="E16" s="759">
        <v>3.8549021586622843E-2</v>
      </c>
      <c r="F16" s="235">
        <v>591668</v>
      </c>
      <c r="G16" s="759">
        <v>7.7144460129724965E-2</v>
      </c>
    </row>
    <row r="17" spans="1:7" ht="19" customHeight="1" thickBot="1">
      <c r="A17" s="195" t="s">
        <v>1854</v>
      </c>
      <c r="B17" s="235">
        <v>329001</v>
      </c>
      <c r="C17" s="759">
        <v>4.2896699715278909E-2</v>
      </c>
      <c r="D17" s="235">
        <v>322288</v>
      </c>
      <c r="E17" s="759">
        <v>4.202142716234239E-2</v>
      </c>
      <c r="F17" s="235">
        <v>651289</v>
      </c>
      <c r="G17" s="759">
        <v>8.4918126877621306E-2</v>
      </c>
    </row>
    <row r="18" spans="1:7" ht="19" customHeight="1" thickBot="1">
      <c r="A18" s="195" t="s">
        <v>1855</v>
      </c>
      <c r="B18" s="235">
        <v>299896</v>
      </c>
      <c r="C18" s="759">
        <v>3.9101852753679424E-2</v>
      </c>
      <c r="D18" s="235">
        <v>293684</v>
      </c>
      <c r="E18" s="759">
        <v>3.8291902940057847E-2</v>
      </c>
      <c r="F18" s="235">
        <v>593580</v>
      </c>
      <c r="G18" s="759">
        <v>7.7393755693737271E-2</v>
      </c>
    </row>
    <row r="19" spans="1:7" ht="19" customHeight="1" thickBot="1">
      <c r="A19" s="195" t="s">
        <v>1856</v>
      </c>
      <c r="B19" s="235">
        <v>259737</v>
      </c>
      <c r="C19" s="759">
        <v>3.386573321645648E-2</v>
      </c>
      <c r="D19" s="235">
        <v>255303</v>
      </c>
      <c r="E19" s="759">
        <v>3.3287607415812874E-2</v>
      </c>
      <c r="F19" s="235">
        <v>515040</v>
      </c>
      <c r="G19" s="759">
        <v>6.7153340632269354E-2</v>
      </c>
    </row>
    <row r="20" spans="1:7" ht="19" customHeight="1" thickBot="1">
      <c r="A20" s="195" t="s">
        <v>1857</v>
      </c>
      <c r="B20" s="235">
        <v>234002</v>
      </c>
      <c r="C20" s="759">
        <v>3.0510282724899605E-2</v>
      </c>
      <c r="D20" s="235">
        <v>235839</v>
      </c>
      <c r="E20" s="759">
        <v>3.0749799435721054E-2</v>
      </c>
      <c r="F20" s="235">
        <v>469841</v>
      </c>
      <c r="G20" s="759">
        <v>6.1260082160620663E-2</v>
      </c>
    </row>
    <row r="21" spans="1:7" ht="19" customHeight="1" thickBot="1">
      <c r="A21" s="195" t="s">
        <v>1858</v>
      </c>
      <c r="B21" s="235">
        <v>215253</v>
      </c>
      <c r="C21" s="759">
        <v>2.8065699811893979E-2</v>
      </c>
      <c r="D21" s="235">
        <v>222089</v>
      </c>
      <c r="E21" s="759">
        <v>2.8957009684063506E-2</v>
      </c>
      <c r="F21" s="235">
        <v>437342</v>
      </c>
      <c r="G21" s="759">
        <v>5.7022709495957488E-2</v>
      </c>
    </row>
    <row r="22" spans="1:7" ht="30" customHeight="1" thickBot="1">
      <c r="A22" s="196" t="s">
        <v>887</v>
      </c>
      <c r="B22" s="666">
        <v>2483220</v>
      </c>
      <c r="C22" s="761">
        <v>0.32377391760807689</v>
      </c>
      <c r="D22" s="666">
        <v>2458629</v>
      </c>
      <c r="E22" s="761">
        <v>0.3205676272238579</v>
      </c>
      <c r="F22" s="666">
        <v>4941849</v>
      </c>
      <c r="G22" s="761">
        <v>0.64434154483193473</v>
      </c>
    </row>
    <row r="23" spans="1:7" ht="20" customHeight="1" thickBot="1">
      <c r="A23" s="195" t="s">
        <v>1859</v>
      </c>
      <c r="B23" s="235">
        <v>162096</v>
      </c>
      <c r="C23" s="759">
        <v>2.1134839824340505E-2</v>
      </c>
      <c r="D23" s="235">
        <v>180742</v>
      </c>
      <c r="E23" s="759">
        <v>2.3565993112297352E-2</v>
      </c>
      <c r="F23" s="235">
        <v>342838</v>
      </c>
      <c r="G23" s="759">
        <v>4.4700832936637853E-2</v>
      </c>
    </row>
    <row r="24" spans="1:7" ht="20" customHeight="1" thickBot="1">
      <c r="A24" s="195" t="s">
        <v>1860</v>
      </c>
      <c r="B24" s="235">
        <v>128459</v>
      </c>
      <c r="C24" s="759">
        <v>1.6749089360594691E-2</v>
      </c>
      <c r="D24" s="235">
        <v>157054</v>
      </c>
      <c r="E24" s="759">
        <v>2.0477440120496331E-2</v>
      </c>
      <c r="F24" s="235">
        <v>285513</v>
      </c>
      <c r="G24" s="759">
        <v>3.7226529481091022E-2</v>
      </c>
    </row>
    <row r="25" spans="1:7" ht="20" customHeight="1" thickBot="1">
      <c r="A25" s="195" t="s">
        <v>1861</v>
      </c>
      <c r="B25" s="235">
        <v>98675</v>
      </c>
      <c r="C25" s="759">
        <v>1.2865711181440623E-2</v>
      </c>
      <c r="D25" s="235">
        <v>139486</v>
      </c>
      <c r="E25" s="759">
        <v>1.8186841549069438E-2</v>
      </c>
      <c r="F25" s="235">
        <v>238161</v>
      </c>
      <c r="G25" s="759">
        <v>3.1052552730510063E-2</v>
      </c>
    </row>
    <row r="26" spans="1:7" ht="20" customHeight="1" thickBot="1">
      <c r="A26" s="195" t="s">
        <v>1862</v>
      </c>
      <c r="B26" s="235">
        <v>63716</v>
      </c>
      <c r="C26" s="759">
        <v>8.3075921321172606E-3</v>
      </c>
      <c r="D26" s="235">
        <v>110115</v>
      </c>
      <c r="E26" s="759">
        <v>1.4357312254819704E-2</v>
      </c>
      <c r="F26" s="235">
        <v>173831</v>
      </c>
      <c r="G26" s="759">
        <v>2.2664904386936965E-2</v>
      </c>
    </row>
    <row r="27" spans="1:7" ht="20" customHeight="1" thickBot="1">
      <c r="A27" s="195" t="s">
        <v>1863</v>
      </c>
      <c r="B27" s="235">
        <v>30958</v>
      </c>
      <c r="C27" s="759">
        <v>4.0364498277683184E-3</v>
      </c>
      <c r="D27" s="235">
        <v>65718</v>
      </c>
      <c r="E27" s="759">
        <v>8.568622319958601E-3</v>
      </c>
      <c r="F27" s="235">
        <v>96676</v>
      </c>
      <c r="G27" s="759">
        <v>1.2605072147726919E-2</v>
      </c>
    </row>
    <row r="28" spans="1:7" ht="20" customHeight="1" thickBot="1">
      <c r="A28" s="195" t="s">
        <v>888</v>
      </c>
      <c r="B28" s="235">
        <v>8998</v>
      </c>
      <c r="C28" s="759">
        <v>1.1732016134846995E-3</v>
      </c>
      <c r="D28" s="235">
        <v>25252</v>
      </c>
      <c r="E28" s="759">
        <v>3.2924746770077386E-3</v>
      </c>
      <c r="F28" s="235">
        <v>34250</v>
      </c>
      <c r="G28" s="759">
        <v>4.4656762904924383E-3</v>
      </c>
    </row>
    <row r="29" spans="1:7" ht="20" customHeight="1" thickBot="1">
      <c r="A29" s="195" t="s">
        <v>889</v>
      </c>
      <c r="B29" s="235">
        <v>1573</v>
      </c>
      <c r="C29" s="759">
        <v>2.0509514758962352E-4</v>
      </c>
      <c r="D29" s="235">
        <v>6147</v>
      </c>
      <c r="E29" s="759">
        <v>8.0147480752283261E-4</v>
      </c>
      <c r="F29" s="235">
        <v>7720</v>
      </c>
      <c r="G29" s="759">
        <v>1.0065699551124563E-3</v>
      </c>
    </row>
    <row r="30" spans="1:7" ht="20" customHeight="1" thickBot="1">
      <c r="A30" s="195" t="s">
        <v>890</v>
      </c>
      <c r="B30" s="235">
        <v>106</v>
      </c>
      <c r="C30" s="759">
        <v>1.3820779176414553E-5</v>
      </c>
      <c r="D30" s="235">
        <v>605</v>
      </c>
      <c r="E30" s="759">
        <v>7.8882749072932122E-5</v>
      </c>
      <c r="F30" s="235">
        <v>711</v>
      </c>
      <c r="G30" s="759">
        <v>9.2703528249346673E-5</v>
      </c>
    </row>
    <row r="31" spans="1:7" ht="30" customHeight="1" thickBot="1">
      <c r="A31" s="196" t="s">
        <v>891</v>
      </c>
      <c r="B31" s="666">
        <v>494581</v>
      </c>
      <c r="C31" s="761">
        <v>6.4485799866512136E-2</v>
      </c>
      <c r="D31" s="666">
        <v>685119</v>
      </c>
      <c r="E31" s="761">
        <v>8.9329041590244934E-2</v>
      </c>
      <c r="F31" s="666">
        <v>1179700</v>
      </c>
      <c r="G31" s="761">
        <v>0.15381484145675706</v>
      </c>
    </row>
    <row r="32" spans="1:7" ht="27" customHeight="1" thickBot="1">
      <c r="A32" s="196" t="s">
        <v>2336</v>
      </c>
      <c r="B32" s="666">
        <v>1</v>
      </c>
      <c r="C32" s="761">
        <v>1.3038470921145806E-7</v>
      </c>
      <c r="D32" s="666">
        <v>0</v>
      </c>
      <c r="E32" s="761">
        <v>0</v>
      </c>
      <c r="F32" s="666">
        <v>1</v>
      </c>
      <c r="G32" s="761">
        <v>1.3038470921145806E-7</v>
      </c>
    </row>
    <row r="33" spans="1:7" s="217" customFormat="1" ht="30" customHeight="1" thickBot="1">
      <c r="A33" s="762" t="s">
        <v>164</v>
      </c>
      <c r="B33" s="763">
        <v>3771959</v>
      </c>
      <c r="C33" s="348">
        <v>0.49180577737254211</v>
      </c>
      <c r="D33" s="763">
        <v>3897652</v>
      </c>
      <c r="E33" s="348">
        <v>0.50819422262745795</v>
      </c>
      <c r="F33" s="763">
        <v>7669611</v>
      </c>
      <c r="G33" s="348">
        <v>1</v>
      </c>
    </row>
    <row r="34" spans="1:7" ht="19.5" customHeight="1">
      <c r="A34" s="201" t="s">
        <v>764</v>
      </c>
    </row>
    <row r="35" spans="1:7" ht="10.5" customHeight="1"/>
    <row r="36" spans="1:7">
      <c r="A36" s="390" t="s">
        <v>1668</v>
      </c>
    </row>
    <row r="38" spans="1:7">
      <c r="A38" s="2" t="s">
        <v>892</v>
      </c>
    </row>
    <row r="41" spans="1:7">
      <c r="A41" s="266" t="s">
        <v>711</v>
      </c>
    </row>
  </sheetData>
  <phoneticPr fontId="0" type="noConversion"/>
  <pageMargins left="0.57999999999999996" right="0.65" top="0.74" bottom="0.49" header="0.42" footer="0.4921259845"/>
  <pageSetup paperSize="9" scale="86" orientation="portrait" horizontalDpi="1200" verticalDpi="1200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58F7-5D3C-B449-A7FB-C869B7591F0E}">
  <sheetPr>
    <pageSetUpPr fitToPage="1"/>
  </sheetPr>
  <dimension ref="A1:G27"/>
  <sheetViews>
    <sheetView zoomScale="75" workbookViewId="0">
      <selection activeCell="A18" sqref="A18:IV18"/>
    </sheetView>
  </sheetViews>
  <sheetFormatPr baseColWidth="10" defaultColWidth="11.3984375" defaultRowHeight="13"/>
  <cols>
    <col min="1" max="1" width="18.19921875" style="2" customWidth="1"/>
    <col min="2" max="7" width="14.796875" style="2" customWidth="1"/>
    <col min="8" max="16384" width="11.3984375" style="2"/>
  </cols>
  <sheetData>
    <row r="1" spans="1:7" s="1" customFormat="1" ht="14" customHeight="1"/>
    <row r="2" spans="1:7" s="1" customFormat="1" ht="28" customHeight="1">
      <c r="A2" s="177" t="s">
        <v>2265</v>
      </c>
      <c r="G2" s="428"/>
    </row>
    <row r="3" spans="1:7" ht="24" customHeight="1">
      <c r="A3" s="178" t="s">
        <v>2250</v>
      </c>
      <c r="B3" s="179" t="s">
        <v>2251</v>
      </c>
      <c r="C3" s="180" t="s">
        <v>2252</v>
      </c>
      <c r="D3" s="179" t="s">
        <v>2253</v>
      </c>
      <c r="E3" s="242" t="s">
        <v>2254</v>
      </c>
      <c r="F3" s="179" t="s">
        <v>164</v>
      </c>
      <c r="G3" s="180" t="s">
        <v>2372</v>
      </c>
    </row>
    <row r="4" spans="1:7" ht="15" customHeight="1">
      <c r="A4" s="274"/>
      <c r="B4" s="182" t="s">
        <v>2255</v>
      </c>
      <c r="C4" s="183" t="s">
        <v>2256</v>
      </c>
      <c r="D4" s="182" t="s">
        <v>2257</v>
      </c>
      <c r="E4" s="245" t="s">
        <v>2258</v>
      </c>
      <c r="F4" s="182"/>
      <c r="G4" s="183" t="s">
        <v>2373</v>
      </c>
    </row>
    <row r="5" spans="1:7" ht="15" customHeight="1">
      <c r="A5" s="274"/>
      <c r="B5" s="182" t="s">
        <v>2259</v>
      </c>
      <c r="C5" s="183" t="s">
        <v>2260</v>
      </c>
      <c r="D5" s="182"/>
      <c r="E5" s="245" t="s">
        <v>2261</v>
      </c>
      <c r="F5" s="182"/>
      <c r="G5" s="183" t="s">
        <v>2377</v>
      </c>
    </row>
    <row r="6" spans="1:7" ht="24" customHeight="1">
      <c r="A6" s="275"/>
      <c r="B6" s="188"/>
      <c r="C6" s="187"/>
      <c r="D6" s="188"/>
      <c r="E6" s="248" t="s">
        <v>2262</v>
      </c>
      <c r="F6" s="188"/>
      <c r="G6" s="187"/>
    </row>
    <row r="7" spans="1:7" ht="1.5" customHeight="1" thickBot="1">
      <c r="A7" s="276">
        <v>1996</v>
      </c>
      <c r="B7" s="211">
        <v>4739640</v>
      </c>
      <c r="C7" s="257">
        <v>2305688</v>
      </c>
      <c r="D7" s="211">
        <v>27828</v>
      </c>
      <c r="E7" s="257">
        <v>121598</v>
      </c>
      <c r="F7" s="233">
        <v>7194754</v>
      </c>
      <c r="G7" s="212">
        <v>3.9681470970374319E-3</v>
      </c>
    </row>
    <row r="8" spans="1:7" ht="0.75" customHeight="1" thickBot="1">
      <c r="A8" s="278">
        <v>1997</v>
      </c>
      <c r="B8" s="213">
        <v>4083854</v>
      </c>
      <c r="C8" s="263">
        <v>2736364</v>
      </c>
      <c r="D8" s="213">
        <v>11494</v>
      </c>
      <c r="E8" s="263">
        <v>383093</v>
      </c>
      <c r="F8" s="213">
        <v>7214805</v>
      </c>
      <c r="G8" s="214">
        <v>2.7868916713483186E-3</v>
      </c>
    </row>
    <row r="9" spans="1:7" ht="20" customHeight="1" thickBot="1">
      <c r="A9" s="278">
        <v>1998</v>
      </c>
      <c r="B9" s="213">
        <v>4016267</v>
      </c>
      <c r="C9" s="263">
        <v>2726468</v>
      </c>
      <c r="D9" s="213">
        <v>11828</v>
      </c>
      <c r="E9" s="263">
        <v>494040</v>
      </c>
      <c r="F9" s="213">
        <v>7248603</v>
      </c>
      <c r="G9" s="214">
        <v>4.6845340934370365E-3</v>
      </c>
    </row>
    <row r="10" spans="1:7" ht="20" customHeight="1" thickBot="1">
      <c r="A10" s="278">
        <v>1999</v>
      </c>
      <c r="B10" s="213">
        <v>3998744</v>
      </c>
      <c r="C10" s="263">
        <v>2715642</v>
      </c>
      <c r="D10" s="213">
        <v>10258</v>
      </c>
      <c r="E10" s="263">
        <v>541890</v>
      </c>
      <c r="F10" s="213">
        <v>7266534</v>
      </c>
      <c r="G10" s="214">
        <v>2.4737180391863093E-3</v>
      </c>
    </row>
    <row r="11" spans="1:7" ht="20" customHeight="1" thickBot="1">
      <c r="A11" s="278">
        <v>2000</v>
      </c>
      <c r="B11" s="213">
        <v>3921920</v>
      </c>
      <c r="C11" s="263">
        <v>2758539</v>
      </c>
      <c r="D11" s="213">
        <v>9811</v>
      </c>
      <c r="E11" s="263">
        <v>577841</v>
      </c>
      <c r="F11" s="213">
        <v>7268111</v>
      </c>
      <c r="G11" s="214">
        <v>2.1702231077429761E-4</v>
      </c>
    </row>
    <row r="12" spans="1:7" ht="20" customHeight="1" thickBot="1">
      <c r="A12" s="278">
        <v>2001</v>
      </c>
      <c r="B12" s="213">
        <v>3882191</v>
      </c>
      <c r="C12" s="263">
        <v>2833816</v>
      </c>
      <c r="D12" s="213">
        <v>9341</v>
      </c>
      <c r="E12" s="263">
        <v>595939</v>
      </c>
      <c r="F12" s="213">
        <v>7321287</v>
      </c>
      <c r="G12" s="214">
        <v>7.3163439578729601E-3</v>
      </c>
    </row>
    <row r="13" spans="1:7" ht="20" customHeight="1" thickBot="1">
      <c r="A13" s="278">
        <v>2002</v>
      </c>
      <c r="B13" s="213">
        <v>3812675</v>
      </c>
      <c r="C13" s="263">
        <v>2980820</v>
      </c>
      <c r="D13" s="213">
        <v>8835</v>
      </c>
      <c r="E13" s="263">
        <v>557035</v>
      </c>
      <c r="F13" s="213">
        <v>7359365</v>
      </c>
      <c r="G13" s="214">
        <v>5.2009981305199482E-3</v>
      </c>
    </row>
    <row r="14" spans="1:7" ht="20" customHeight="1" thickBot="1">
      <c r="A14" s="278">
        <v>2003</v>
      </c>
      <c r="B14" s="213">
        <v>3674270</v>
      </c>
      <c r="C14" s="263">
        <v>3107097</v>
      </c>
      <c r="D14" s="213">
        <v>8317</v>
      </c>
      <c r="E14" s="263">
        <v>603504</v>
      </c>
      <c r="F14" s="213">
        <v>7393188</v>
      </c>
      <c r="G14" s="214">
        <v>4.5959128267180661E-3</v>
      </c>
    </row>
    <row r="15" spans="1:7" ht="20" customHeight="1" thickBot="1">
      <c r="A15" s="278">
        <v>2004</v>
      </c>
      <c r="B15" s="213">
        <v>3639287</v>
      </c>
      <c r="C15" s="263">
        <v>3024823</v>
      </c>
      <c r="D15" s="213">
        <v>8098</v>
      </c>
      <c r="E15" s="263">
        <v>747766</v>
      </c>
      <c r="F15" s="213">
        <v>7419974</v>
      </c>
      <c r="G15" s="214">
        <v>3.623064907858423E-3</v>
      </c>
    </row>
    <row r="16" spans="1:7" ht="20" customHeight="1" thickBot="1">
      <c r="A16" s="278">
        <v>2005</v>
      </c>
      <c r="B16" s="213">
        <v>3605578</v>
      </c>
      <c r="C16" s="263">
        <v>2939073</v>
      </c>
      <c r="D16" s="213">
        <v>7711</v>
      </c>
      <c r="E16" s="263">
        <v>906113</v>
      </c>
      <c r="F16" s="213">
        <v>7458475</v>
      </c>
      <c r="G16" s="214">
        <v>5.1888321980643063E-3</v>
      </c>
    </row>
    <row r="17" spans="1:7" ht="20" customHeight="1" thickBot="1">
      <c r="A17" s="278">
        <v>2006</v>
      </c>
      <c r="B17" s="213">
        <v>3356090</v>
      </c>
      <c r="C17" s="263">
        <v>2787429</v>
      </c>
      <c r="D17" s="213">
        <v>7220</v>
      </c>
      <c r="E17" s="263">
        <v>1356806</v>
      </c>
      <c r="F17" s="213">
        <v>7507545</v>
      </c>
      <c r="G17" s="214">
        <v>6.5790929110843702E-3</v>
      </c>
    </row>
    <row r="18" spans="1:7" ht="20" customHeight="1" thickBot="1">
      <c r="A18" s="278">
        <v>2007</v>
      </c>
      <c r="B18" s="213">
        <v>3149431</v>
      </c>
      <c r="C18" s="263">
        <v>2579751</v>
      </c>
      <c r="D18" s="213">
        <v>6903</v>
      </c>
      <c r="E18" s="263">
        <v>1841047</v>
      </c>
      <c r="F18" s="213">
        <v>7577132</v>
      </c>
      <c r="G18" s="214">
        <v>9.268942110903098E-3</v>
      </c>
    </row>
    <row r="19" spans="1:7" ht="30" customHeight="1" thickBot="1">
      <c r="A19" s="429">
        <v>2008</v>
      </c>
      <c r="B19" s="430">
        <v>2968164</v>
      </c>
      <c r="C19" s="431">
        <v>2394419</v>
      </c>
      <c r="D19" s="430">
        <v>6557</v>
      </c>
      <c r="E19" s="431">
        <v>2300471</v>
      </c>
      <c r="F19" s="430">
        <v>7669611</v>
      </c>
      <c r="G19" s="216">
        <v>1.22050137175913E-2</v>
      </c>
    </row>
    <row r="20" spans="1:7" ht="19.5" customHeight="1">
      <c r="A20" s="201" t="s">
        <v>764</v>
      </c>
      <c r="B20" s="201"/>
      <c r="C20" s="201"/>
      <c r="D20" s="201"/>
      <c r="E20" s="201"/>
      <c r="F20" s="201"/>
      <c r="G20" s="201"/>
    </row>
    <row r="22" spans="1:7">
      <c r="A22" s="202" t="s">
        <v>2263</v>
      </c>
    </row>
    <row r="24" spans="1:7">
      <c r="A24" s="2" t="s">
        <v>2264</v>
      </c>
    </row>
    <row r="27" spans="1:7">
      <c r="A27" s="2" t="s">
        <v>711</v>
      </c>
    </row>
  </sheetData>
  <phoneticPr fontId="0" type="noConversion"/>
  <pageMargins left="0.56000000000000005" right="0.54" top="0.96" bottom="0.49" header="0.57999999999999996" footer="0.4921259845"/>
  <pageSetup paperSize="9" scale="86" orientation="portrait" horizontalDpi="4294967292" verticalDpi="4294967292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3BE6-4997-A244-ABBE-A5CAA4C0D8AE}">
  <sheetPr>
    <pageSetUpPr fitToPage="1"/>
  </sheetPr>
  <dimension ref="A1:G22"/>
  <sheetViews>
    <sheetView topLeftCell="A7" zoomScale="75" workbookViewId="0">
      <selection activeCell="F21" sqref="F21"/>
    </sheetView>
  </sheetViews>
  <sheetFormatPr baseColWidth="10" defaultColWidth="11.3984375" defaultRowHeight="13"/>
  <cols>
    <col min="1" max="1" width="36.19921875" style="2" customWidth="1"/>
    <col min="2" max="7" width="14.3984375" style="2" customWidth="1"/>
    <col min="8" max="16384" width="11.3984375" style="2"/>
  </cols>
  <sheetData>
    <row r="1" spans="1:7" ht="14" customHeight="1">
      <c r="A1" s="364"/>
      <c r="B1" s="202"/>
      <c r="C1" s="202"/>
      <c r="D1" s="202"/>
      <c r="E1" s="202"/>
      <c r="F1" s="202"/>
      <c r="G1" s="202"/>
    </row>
    <row r="2" spans="1:7" ht="30" customHeight="1">
      <c r="A2" s="2017" t="s">
        <v>2249</v>
      </c>
      <c r="B2" s="2021"/>
      <c r="C2" s="2021"/>
      <c r="D2" s="2021"/>
      <c r="E2" s="2021"/>
      <c r="F2" s="2021"/>
      <c r="G2" s="298">
        <v>2008</v>
      </c>
    </row>
    <row r="3" spans="1:7" ht="24" customHeight="1">
      <c r="A3" s="178" t="s">
        <v>1034</v>
      </c>
      <c r="B3" s="179" t="s">
        <v>1867</v>
      </c>
      <c r="C3" s="180" t="s">
        <v>1868</v>
      </c>
      <c r="D3" s="179" t="s">
        <v>2369</v>
      </c>
      <c r="E3" s="180" t="s">
        <v>164</v>
      </c>
      <c r="F3" s="179" t="s">
        <v>1035</v>
      </c>
      <c r="G3" s="180" t="s">
        <v>2372</v>
      </c>
    </row>
    <row r="4" spans="1:7" ht="15" customHeight="1">
      <c r="A4" s="274"/>
      <c r="B4" s="182"/>
      <c r="C4" s="183"/>
      <c r="D4" s="182"/>
      <c r="E4" s="245"/>
      <c r="F4" s="182" t="s">
        <v>1036</v>
      </c>
      <c r="G4" s="183" t="s">
        <v>2373</v>
      </c>
    </row>
    <row r="5" spans="1:7" ht="15" customHeight="1">
      <c r="A5" s="181"/>
      <c r="B5" s="182"/>
      <c r="C5" s="183"/>
      <c r="D5" s="182"/>
      <c r="E5" s="183"/>
      <c r="F5" s="182" t="s">
        <v>1037</v>
      </c>
      <c r="G5" s="183" t="s">
        <v>2377</v>
      </c>
    </row>
    <row r="6" spans="1:7" ht="24" customHeight="1">
      <c r="A6" s="379"/>
      <c r="B6" s="412"/>
      <c r="C6" s="413"/>
      <c r="D6" s="412"/>
      <c r="E6" s="413"/>
      <c r="F6" s="412"/>
      <c r="G6" s="187"/>
    </row>
    <row r="7" spans="1:7" ht="37.5" customHeight="1" thickBot="1">
      <c r="A7" s="414" t="s">
        <v>1038</v>
      </c>
      <c r="B7" s="233">
        <v>886783</v>
      </c>
      <c r="C7" s="234">
        <v>1154417</v>
      </c>
      <c r="D7" s="233">
        <v>926964</v>
      </c>
      <c r="E7" s="234">
        <v>2968164</v>
      </c>
      <c r="F7" s="415">
        <v>0.38700320003191818</v>
      </c>
      <c r="G7" s="416">
        <v>-5.7555475893899567E-2</v>
      </c>
    </row>
    <row r="8" spans="1:7" ht="34.5" customHeight="1" thickBot="1">
      <c r="A8" s="414" t="s">
        <v>2242</v>
      </c>
      <c r="B8" s="233">
        <v>1195162</v>
      </c>
      <c r="C8" s="234">
        <v>1077729</v>
      </c>
      <c r="D8" s="233">
        <v>121528</v>
      </c>
      <c r="E8" s="234">
        <v>2394419</v>
      </c>
      <c r="F8" s="415">
        <v>0.31219562504539017</v>
      </c>
      <c r="G8" s="416">
        <v>-7.184104202304796E-2</v>
      </c>
    </row>
    <row r="9" spans="1:7" ht="31.5" customHeight="1" thickBot="1">
      <c r="A9" s="414" t="s">
        <v>2243</v>
      </c>
      <c r="B9" s="233">
        <v>4227</v>
      </c>
      <c r="C9" s="234">
        <v>2251</v>
      </c>
      <c r="D9" s="233">
        <v>79</v>
      </c>
      <c r="E9" s="234">
        <v>6557</v>
      </c>
      <c r="F9" s="415">
        <v>8.5493253829953047E-4</v>
      </c>
      <c r="G9" s="416">
        <v>-5.0123134868897579E-2</v>
      </c>
    </row>
    <row r="10" spans="1:7" ht="33" customHeight="1" thickBot="1">
      <c r="A10" s="414" t="s">
        <v>2244</v>
      </c>
      <c r="B10" s="233">
        <v>891630</v>
      </c>
      <c r="C10" s="234">
        <v>909351</v>
      </c>
      <c r="D10" s="233">
        <v>499490</v>
      </c>
      <c r="E10" s="234">
        <v>2300471</v>
      </c>
      <c r="F10" s="415">
        <v>0.2999462423843921</v>
      </c>
      <c r="G10" s="416">
        <v>0.24954496001460039</v>
      </c>
    </row>
    <row r="11" spans="1:7" ht="34.5" customHeight="1" thickBot="1">
      <c r="A11" s="417" t="s">
        <v>2245</v>
      </c>
      <c r="B11" s="418" t="s">
        <v>1060</v>
      </c>
      <c r="C11" s="419" t="s">
        <v>1060</v>
      </c>
      <c r="D11" s="418" t="s">
        <v>1060</v>
      </c>
      <c r="E11" s="420">
        <v>1152697</v>
      </c>
      <c r="F11" s="421">
        <v>0.15029406315392005</v>
      </c>
      <c r="G11" s="422" t="s">
        <v>1060</v>
      </c>
    </row>
    <row r="12" spans="1:7" ht="33" customHeight="1" thickBot="1">
      <c r="A12" s="423" t="s">
        <v>164</v>
      </c>
      <c r="B12" s="424">
        <v>2977802</v>
      </c>
      <c r="C12" s="425">
        <v>3143748</v>
      </c>
      <c r="D12" s="424">
        <v>1548061</v>
      </c>
      <c r="E12" s="425">
        <v>7669611</v>
      </c>
      <c r="F12" s="426">
        <v>1</v>
      </c>
      <c r="G12" s="427">
        <v>1.22050137175913E-2</v>
      </c>
    </row>
    <row r="13" spans="1:7" ht="19.5" customHeight="1">
      <c r="A13" s="201" t="s">
        <v>764</v>
      </c>
      <c r="B13" s="201"/>
      <c r="C13" s="201"/>
      <c r="D13" s="201"/>
      <c r="E13" s="201"/>
      <c r="F13" s="201"/>
      <c r="G13" s="201"/>
    </row>
    <row r="15" spans="1:7">
      <c r="A15" s="2" t="s">
        <v>2246</v>
      </c>
    </row>
    <row r="16" spans="1:7">
      <c r="A16" s="2" t="s">
        <v>705</v>
      </c>
    </row>
    <row r="17" spans="1:1">
      <c r="A17" s="2" t="s">
        <v>2247</v>
      </c>
    </row>
    <row r="19" spans="1:1">
      <c r="A19" s="2" t="s">
        <v>2248</v>
      </c>
    </row>
    <row r="22" spans="1:1">
      <c r="A22" s="2" t="s">
        <v>711</v>
      </c>
    </row>
  </sheetData>
  <mergeCells count="1">
    <mergeCell ref="A2:F2"/>
  </mergeCells>
  <phoneticPr fontId="0" type="noConversion"/>
  <pageMargins left="0.53" right="0.54" top="0.79" bottom="0.49" header="0.42" footer="0.4921259845"/>
  <pageSetup paperSize="9" scale="75" orientation="portrait" horizontalDpi="1200" verticalDpi="1200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2C9F-1342-5B43-ABDC-09F73FF6E939}">
  <sheetPr>
    <pageSetUpPr fitToPage="1"/>
  </sheetPr>
  <dimension ref="A1:F25"/>
  <sheetViews>
    <sheetView zoomScale="75" workbookViewId="0">
      <selection activeCell="F2" sqref="F2"/>
    </sheetView>
  </sheetViews>
  <sheetFormatPr baseColWidth="10" defaultColWidth="11.3984375" defaultRowHeight="13"/>
  <cols>
    <col min="1" max="1" width="18.19921875" style="2" customWidth="1"/>
    <col min="2" max="6" width="14.796875" style="2" customWidth="1"/>
    <col min="7" max="7" width="17.796875" style="2" customWidth="1"/>
    <col min="8" max="16384" width="11.3984375" style="2"/>
  </cols>
  <sheetData>
    <row r="1" spans="1:6" s="1" customFormat="1" ht="14" customHeight="1"/>
    <row r="2" spans="1:6" s="1" customFormat="1" ht="39.75" customHeight="1">
      <c r="A2" s="2017" t="s">
        <v>894</v>
      </c>
      <c r="B2" s="2021"/>
      <c r="C2" s="2021"/>
      <c r="D2" s="2021"/>
      <c r="E2" s="2021"/>
      <c r="F2" s="53"/>
    </row>
    <row r="3" spans="1:6" ht="24" customHeight="1">
      <c r="A3" s="178" t="s">
        <v>2250</v>
      </c>
      <c r="B3" s="179" t="s">
        <v>2251</v>
      </c>
      <c r="C3" s="180" t="s">
        <v>2252</v>
      </c>
      <c r="D3" s="179" t="s">
        <v>2253</v>
      </c>
      <c r="E3" s="242" t="s">
        <v>2254</v>
      </c>
      <c r="F3" s="179" t="s">
        <v>164</v>
      </c>
    </row>
    <row r="4" spans="1:6" ht="15" customHeight="1">
      <c r="A4" s="274"/>
      <c r="B4" s="182" t="s">
        <v>2255</v>
      </c>
      <c r="C4" s="183" t="s">
        <v>2256</v>
      </c>
      <c r="D4" s="182" t="s">
        <v>2257</v>
      </c>
      <c r="E4" s="245" t="s">
        <v>2258</v>
      </c>
      <c r="F4" s="182"/>
    </row>
    <row r="5" spans="1:6" ht="15" customHeight="1">
      <c r="A5" s="274"/>
      <c r="B5" s="182" t="s">
        <v>2259</v>
      </c>
      <c r="C5" s="183" t="s">
        <v>2260</v>
      </c>
      <c r="D5" s="182"/>
      <c r="E5" s="245" t="s">
        <v>2261</v>
      </c>
      <c r="F5" s="182"/>
    </row>
    <row r="6" spans="1:6" ht="24" customHeight="1">
      <c r="A6" s="275"/>
      <c r="B6" s="188"/>
      <c r="C6" s="187"/>
      <c r="D6" s="188"/>
      <c r="E6" s="248" t="s">
        <v>2262</v>
      </c>
      <c r="F6" s="188"/>
    </row>
    <row r="7" spans="1:6" ht="2.25" customHeight="1" thickBot="1">
      <c r="A7" s="276">
        <v>1996</v>
      </c>
      <c r="B7" s="554">
        <v>0.65876331560467527</v>
      </c>
      <c r="C7" s="212">
        <v>0.32046794094697328</v>
      </c>
      <c r="D7" s="554">
        <v>3.8678181352691143E-3</v>
      </c>
      <c r="E7" s="212">
        <v>1.6900925313082283E-2</v>
      </c>
      <c r="F7" s="415">
        <v>1</v>
      </c>
    </row>
    <row r="8" spans="1:6" ht="19.5" hidden="1" customHeight="1" thickBot="1">
      <c r="A8" s="278">
        <v>1997</v>
      </c>
      <c r="B8" s="556">
        <v>0.56603802874783171</v>
      </c>
      <c r="C8" s="214">
        <v>0.37927068021935451</v>
      </c>
      <c r="D8" s="556">
        <v>1.5931130501794573E-3</v>
      </c>
      <c r="E8" s="214">
        <v>5.3098177982634318E-2</v>
      </c>
      <c r="F8" s="556">
        <v>1</v>
      </c>
    </row>
    <row r="9" spans="1:6" ht="20" customHeight="1" thickBot="1">
      <c r="A9" s="278">
        <v>1998</v>
      </c>
      <c r="B9" s="556">
        <v>0.55407462651768902</v>
      </c>
      <c r="C9" s="214">
        <v>0.37613702943863803</v>
      </c>
      <c r="D9" s="556">
        <v>1.6317626996539885E-3</v>
      </c>
      <c r="E9" s="214">
        <v>6.8156581344018974E-2</v>
      </c>
      <c r="F9" s="556">
        <v>1</v>
      </c>
    </row>
    <row r="10" spans="1:6" ht="20" customHeight="1" thickBot="1">
      <c r="A10" s="278">
        <v>1999</v>
      </c>
      <c r="B10" s="556">
        <v>0.55029591824658086</v>
      </c>
      <c r="C10" s="214">
        <v>0.37371902477852575</v>
      </c>
      <c r="D10" s="556">
        <v>1.4116771489681326E-3</v>
      </c>
      <c r="E10" s="214">
        <v>7.4573379825925268E-2</v>
      </c>
      <c r="F10" s="556">
        <v>1</v>
      </c>
    </row>
    <row r="11" spans="1:6" ht="20" customHeight="1" thickBot="1">
      <c r="A11" s="278">
        <v>2000</v>
      </c>
      <c r="B11" s="556">
        <v>0.53960650848618019</v>
      </c>
      <c r="C11" s="214">
        <v>0.37954002078394233</v>
      </c>
      <c r="D11" s="556">
        <v>1.3498693126728527E-3</v>
      </c>
      <c r="E11" s="214">
        <v>7.9503601417204556E-2</v>
      </c>
      <c r="F11" s="556">
        <v>1</v>
      </c>
    </row>
    <row r="12" spans="1:6" ht="20" customHeight="1" thickBot="1">
      <c r="A12" s="278">
        <v>2001</v>
      </c>
      <c r="B12" s="556">
        <v>0.53026073148068087</v>
      </c>
      <c r="C12" s="214">
        <v>0.38706527964277321</v>
      </c>
      <c r="D12" s="556">
        <v>1.2758685733806091E-3</v>
      </c>
      <c r="E12" s="214">
        <v>8.1398120303165275E-2</v>
      </c>
      <c r="F12" s="556">
        <v>1</v>
      </c>
    </row>
    <row r="13" spans="1:6" ht="20" customHeight="1" thickBot="1">
      <c r="A13" s="278">
        <v>2002</v>
      </c>
      <c r="B13" s="556">
        <v>0.51807119228357335</v>
      </c>
      <c r="C13" s="214">
        <v>0.40503766289618737</v>
      </c>
      <c r="D13" s="556">
        <v>1.2005111854079802E-3</v>
      </c>
      <c r="E13" s="214">
        <v>7.5690633634831264E-2</v>
      </c>
      <c r="F13" s="556">
        <v>1</v>
      </c>
    </row>
    <row r="14" spans="1:6" ht="20" customHeight="1" thickBot="1">
      <c r="A14" s="278">
        <v>2003</v>
      </c>
      <c r="B14" s="556">
        <v>0.49698046363760801</v>
      </c>
      <c r="C14" s="214">
        <v>0.42026484379945434</v>
      </c>
      <c r="D14" s="556">
        <v>1.1249544851287428E-3</v>
      </c>
      <c r="E14" s="214">
        <v>8.1629738077808919E-2</v>
      </c>
      <c r="F14" s="556">
        <v>1</v>
      </c>
    </row>
    <row r="15" spans="1:6" ht="20" customHeight="1" thickBot="1">
      <c r="A15" s="278">
        <v>2004</v>
      </c>
      <c r="B15" s="556">
        <v>0.49047166472550979</v>
      </c>
      <c r="C15" s="214">
        <v>0.40765951470988981</v>
      </c>
      <c r="D15" s="556">
        <v>1.0913784873100634E-3</v>
      </c>
      <c r="E15" s="214">
        <v>0.10077744207729029</v>
      </c>
      <c r="F15" s="556">
        <v>1</v>
      </c>
    </row>
    <row r="16" spans="1:6" ht="20" customHeight="1" thickBot="1">
      <c r="A16" s="278">
        <v>2005</v>
      </c>
      <c r="B16" s="556">
        <v>0.48342027022950401</v>
      </c>
      <c r="C16" s="214">
        <v>0.39405816872752136</v>
      </c>
      <c r="D16" s="556">
        <v>1.0338574574561153E-3</v>
      </c>
      <c r="E16" s="214">
        <v>0.12148770358551848</v>
      </c>
      <c r="F16" s="556">
        <v>1</v>
      </c>
    </row>
    <row r="17" spans="1:6" ht="20" customHeight="1" thickBot="1">
      <c r="A17" s="278">
        <v>2006</v>
      </c>
      <c r="B17" s="556">
        <v>0.44702895553739602</v>
      </c>
      <c r="C17" s="214">
        <v>0.37128368860925909</v>
      </c>
      <c r="D17" s="556">
        <v>9.6169919727420879E-4</v>
      </c>
      <c r="E17" s="214">
        <v>0.18072565665607065</v>
      </c>
      <c r="F17" s="556">
        <v>1</v>
      </c>
    </row>
    <row r="18" spans="1:6" ht="20" customHeight="1" thickBot="1">
      <c r="A18" s="278">
        <v>2007</v>
      </c>
      <c r="B18" s="556">
        <v>0.41564948320815842</v>
      </c>
      <c r="C18" s="214">
        <v>0.34046536341190836</v>
      </c>
      <c r="D18" s="556">
        <v>9.1103071716316941E-4</v>
      </c>
      <c r="E18" s="214">
        <v>0.24297412266277002</v>
      </c>
      <c r="F18" s="556">
        <v>1</v>
      </c>
    </row>
    <row r="19" spans="1:6" ht="30" customHeight="1" thickBot="1">
      <c r="A19" s="429">
        <v>2008</v>
      </c>
      <c r="B19" s="557">
        <v>0.38700320003191818</v>
      </c>
      <c r="C19" s="764">
        <v>0.31219562504539017</v>
      </c>
      <c r="D19" s="557">
        <v>8.5493253829953047E-4</v>
      </c>
      <c r="E19" s="764">
        <v>0.2999462423843921</v>
      </c>
      <c r="F19" s="557">
        <v>1</v>
      </c>
    </row>
    <row r="20" spans="1:6" ht="19.5" customHeight="1">
      <c r="A20" s="201" t="s">
        <v>764</v>
      </c>
      <c r="B20" s="201"/>
      <c r="C20" s="201"/>
      <c r="D20" s="201"/>
      <c r="E20" s="201"/>
      <c r="F20" s="201"/>
    </row>
    <row r="22" spans="1:6">
      <c r="A22" s="2" t="s">
        <v>895</v>
      </c>
    </row>
    <row r="25" spans="1:6">
      <c r="A25" s="2" t="s">
        <v>711</v>
      </c>
    </row>
  </sheetData>
  <mergeCells count="1">
    <mergeCell ref="A2:E2"/>
  </mergeCells>
  <phoneticPr fontId="0" type="noConversion"/>
  <pageMargins left="0.65" right="0.72" top="1.05" bottom="0.49" header="0.6" footer="0.4921259845"/>
  <pageSetup paperSize="9" scale="80" orientation="portrait" horizontalDpi="4294967292" verticalDpi="4294967292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7442-DBDE-D946-9F2F-BA945A5A55D9}">
  <sheetPr>
    <pageSetUpPr fitToPage="1"/>
  </sheetPr>
  <dimension ref="A1:L41"/>
  <sheetViews>
    <sheetView topLeftCell="A20" zoomScale="75" workbookViewId="0">
      <selection activeCell="A39" sqref="A39"/>
    </sheetView>
  </sheetViews>
  <sheetFormatPr baseColWidth="10" defaultColWidth="11.3984375" defaultRowHeight="13"/>
  <cols>
    <col min="1" max="1" width="11.19921875" style="2" customWidth="1"/>
    <col min="2" max="2" width="14.796875" style="217" customWidth="1"/>
    <col min="3" max="3" width="12.3984375" style="2" customWidth="1"/>
    <col min="4" max="4" width="13.19921875" style="2" customWidth="1"/>
    <col min="5" max="5" width="12.796875" style="2" customWidth="1"/>
    <col min="6" max="6" width="13.59765625" style="2" customWidth="1"/>
    <col min="7" max="7" width="12.796875" style="2" customWidth="1"/>
    <col min="8" max="8" width="14.796875" style="256" customWidth="1"/>
    <col min="9" max="9" width="15.19921875" style="217" customWidth="1"/>
    <col min="10" max="10" width="12.19921875" style="2" customWidth="1"/>
    <col min="11" max="16384" width="11.3984375" style="2"/>
  </cols>
  <sheetData>
    <row r="1" spans="1:10" s="1" customFormat="1" ht="14" customHeight="1">
      <c r="B1" s="16"/>
      <c r="H1" s="862"/>
      <c r="I1" s="16"/>
    </row>
    <row r="2" spans="1:10" s="1" customFormat="1" ht="28" customHeight="1">
      <c r="A2" s="177" t="s">
        <v>1704</v>
      </c>
      <c r="B2" s="16"/>
      <c r="H2" s="862"/>
      <c r="I2" s="16"/>
      <c r="J2" s="177">
        <v>2008</v>
      </c>
    </row>
    <row r="3" spans="1:10" ht="27" customHeight="1">
      <c r="A3" s="178" t="s">
        <v>2368</v>
      </c>
      <c r="B3" s="513" t="s">
        <v>832</v>
      </c>
      <c r="C3" s="2040" t="s">
        <v>2242</v>
      </c>
      <c r="D3" s="2041"/>
      <c r="E3" s="2041"/>
      <c r="F3" s="2041"/>
      <c r="G3" s="2041"/>
      <c r="H3" s="2041"/>
      <c r="I3" s="514" t="s">
        <v>833</v>
      </c>
      <c r="J3" s="179" t="s">
        <v>164</v>
      </c>
    </row>
    <row r="4" spans="1:10" ht="15" customHeight="1">
      <c r="A4" s="181"/>
      <c r="B4" s="302" t="s">
        <v>2255</v>
      </c>
      <c r="C4" s="181"/>
      <c r="D4" s="184"/>
      <c r="E4" s="183"/>
      <c r="F4" s="182"/>
      <c r="G4" s="183"/>
      <c r="H4" s="302" t="s">
        <v>164</v>
      </c>
      <c r="I4" s="303" t="s">
        <v>822</v>
      </c>
      <c r="J4" s="184"/>
    </row>
    <row r="5" spans="1:10" ht="15" customHeight="1">
      <c r="A5" s="181"/>
      <c r="B5" s="302" t="s">
        <v>2259</v>
      </c>
      <c r="C5" s="181" t="s">
        <v>834</v>
      </c>
      <c r="D5" s="184" t="s">
        <v>835</v>
      </c>
      <c r="E5" s="183" t="s">
        <v>836</v>
      </c>
      <c r="F5" s="182" t="s">
        <v>837</v>
      </c>
      <c r="G5" s="183" t="s">
        <v>838</v>
      </c>
      <c r="H5" s="863"/>
      <c r="I5" s="303" t="s">
        <v>839</v>
      </c>
      <c r="J5" s="184"/>
    </row>
    <row r="6" spans="1:10" ht="24" customHeight="1">
      <c r="A6" s="185"/>
      <c r="B6" s="313" t="s">
        <v>840</v>
      </c>
      <c r="C6" s="185"/>
      <c r="D6" s="186"/>
      <c r="E6" s="187"/>
      <c r="F6" s="188"/>
      <c r="G6" s="187"/>
      <c r="H6" s="864"/>
      <c r="I6" s="315"/>
      <c r="J6" s="186"/>
    </row>
    <row r="7" spans="1:10" ht="30" customHeight="1" thickBot="1">
      <c r="A7" s="190" t="s">
        <v>2378</v>
      </c>
      <c r="B7" s="865">
        <v>0.36789012041348779</v>
      </c>
      <c r="C7" s="439">
        <v>0.15121532754069528</v>
      </c>
      <c r="D7" s="566">
        <v>2.8117703824202641E-2</v>
      </c>
      <c r="E7" s="439">
        <v>0.1119006478140817</v>
      </c>
      <c r="F7" s="566">
        <v>1.7357472374050328E-2</v>
      </c>
      <c r="G7" s="439">
        <v>9.9914652263854056E-2</v>
      </c>
      <c r="H7" s="865">
        <v>0.40850580381688401</v>
      </c>
      <c r="I7" s="866">
        <v>0.22360407576962824</v>
      </c>
      <c r="J7" s="566">
        <v>1</v>
      </c>
    </row>
    <row r="8" spans="1:10" ht="20" customHeight="1" thickBot="1">
      <c r="A8" s="195" t="s">
        <v>2379</v>
      </c>
      <c r="B8" s="865">
        <v>0.28359549320812422</v>
      </c>
      <c r="C8" s="439">
        <v>0.20483294521481035</v>
      </c>
      <c r="D8" s="566">
        <v>3.2086672716797209E-2</v>
      </c>
      <c r="E8" s="439">
        <v>0.10797858331931617</v>
      </c>
      <c r="F8" s="566">
        <v>1.7472654170182827E-2</v>
      </c>
      <c r="G8" s="439">
        <v>8.1047711099304545E-2</v>
      </c>
      <c r="H8" s="865">
        <v>0.44341856652041112</v>
      </c>
      <c r="I8" s="866">
        <v>0.27298594027146467</v>
      </c>
      <c r="J8" s="566">
        <v>1</v>
      </c>
    </row>
    <row r="9" spans="1:10" ht="20" customHeight="1" thickBot="1">
      <c r="A9" s="195" t="s">
        <v>2380</v>
      </c>
      <c r="B9" s="865">
        <v>0.37142826767216786</v>
      </c>
      <c r="C9" s="439">
        <v>9.2691557248303261E-2</v>
      </c>
      <c r="D9" s="566">
        <v>1.8780016894500227E-2</v>
      </c>
      <c r="E9" s="439">
        <v>8.8601702653803668E-2</v>
      </c>
      <c r="F9" s="566">
        <v>9.6221449082030796E-3</v>
      </c>
      <c r="G9" s="439">
        <v>4.8309192354959916E-2</v>
      </c>
      <c r="H9" s="865">
        <v>0.25800461405977015</v>
      </c>
      <c r="I9" s="866">
        <v>0.37056357444335375</v>
      </c>
      <c r="J9" s="566">
        <v>1</v>
      </c>
    </row>
    <row r="10" spans="1:10" ht="20" customHeight="1" thickBot="1">
      <c r="A10" s="195" t="s">
        <v>2381</v>
      </c>
      <c r="B10" s="865">
        <v>0.34637093856284823</v>
      </c>
      <c r="C10" s="439">
        <v>0.15768145307185757</v>
      </c>
      <c r="D10" s="566">
        <v>3.0103480714957668E-2</v>
      </c>
      <c r="E10" s="439">
        <v>0.10691801143353354</v>
      </c>
      <c r="F10" s="566">
        <v>1.0601345972935812E-2</v>
      </c>
      <c r="G10" s="439">
        <v>4.3707938345755835E-2</v>
      </c>
      <c r="H10" s="865">
        <v>0.34901222953904043</v>
      </c>
      <c r="I10" s="866">
        <v>0.30461683189811128</v>
      </c>
      <c r="J10" s="566">
        <v>1</v>
      </c>
    </row>
    <row r="11" spans="1:10" ht="20" customHeight="1" thickBot="1">
      <c r="A11" s="195" t="s">
        <v>2382</v>
      </c>
      <c r="B11" s="865">
        <v>0.39855098615948176</v>
      </c>
      <c r="C11" s="439">
        <v>0.13827111913140466</v>
      </c>
      <c r="D11" s="566">
        <v>2.6614550637589739E-2</v>
      </c>
      <c r="E11" s="439">
        <v>0.12148472910566138</v>
      </c>
      <c r="F11" s="566">
        <v>1.4503079984607226E-2</v>
      </c>
      <c r="G11" s="439">
        <v>6.6405514951300537E-2</v>
      </c>
      <c r="H11" s="865">
        <v>0.36727899381056356</v>
      </c>
      <c r="I11" s="866">
        <v>0.23417002002995471</v>
      </c>
      <c r="J11" s="566">
        <v>1</v>
      </c>
    </row>
    <row r="12" spans="1:10" ht="20" customHeight="1" thickBot="1">
      <c r="A12" s="195" t="s">
        <v>2383</v>
      </c>
      <c r="B12" s="865">
        <v>0.3467864701295808</v>
      </c>
      <c r="C12" s="439">
        <v>0.13812052129358035</v>
      </c>
      <c r="D12" s="566">
        <v>2.4690899639847025E-2</v>
      </c>
      <c r="E12" s="439">
        <v>8.7996138566071358E-2</v>
      </c>
      <c r="F12" s="566">
        <v>8.2426762707459248E-3</v>
      </c>
      <c r="G12" s="439">
        <v>4.2364385697842788E-2</v>
      </c>
      <c r="H12" s="865">
        <v>0.30141462146808745</v>
      </c>
      <c r="I12" s="866">
        <v>0.35179890840233169</v>
      </c>
      <c r="J12" s="566">
        <v>1</v>
      </c>
    </row>
    <row r="13" spans="1:10" ht="20" customHeight="1" thickBot="1">
      <c r="A13" s="195" t="s">
        <v>2384</v>
      </c>
      <c r="B13" s="865">
        <v>0.41578163142377073</v>
      </c>
      <c r="C13" s="439">
        <v>0.12700123640744382</v>
      </c>
      <c r="D13" s="566">
        <v>3.1258916399835149E-2</v>
      </c>
      <c r="E13" s="439">
        <v>0.11235456361157785</v>
      </c>
      <c r="F13" s="566">
        <v>9.7327457756079001E-3</v>
      </c>
      <c r="G13" s="439">
        <v>5.5162793646767912E-2</v>
      </c>
      <c r="H13" s="865">
        <v>0.33551025584123262</v>
      </c>
      <c r="I13" s="866">
        <v>0.24870811273499668</v>
      </c>
      <c r="J13" s="566">
        <v>1</v>
      </c>
    </row>
    <row r="14" spans="1:10" ht="20" customHeight="1" thickBot="1">
      <c r="A14" s="195" t="s">
        <v>2385</v>
      </c>
      <c r="B14" s="865">
        <v>0.45770633079217765</v>
      </c>
      <c r="C14" s="439">
        <v>0.14216108717268811</v>
      </c>
      <c r="D14" s="566">
        <v>3.3742127941663903E-2</v>
      </c>
      <c r="E14" s="439">
        <v>0.13244945309910508</v>
      </c>
      <c r="F14" s="566">
        <v>2.4693404043752074E-2</v>
      </c>
      <c r="G14" s="439">
        <v>4.9022207490884984E-2</v>
      </c>
      <c r="H14" s="865">
        <v>0.38206827974809415</v>
      </c>
      <c r="I14" s="866">
        <v>0.1602253894597282</v>
      </c>
      <c r="J14" s="566">
        <v>1</v>
      </c>
    </row>
    <row r="15" spans="1:10" ht="20" customHeight="1" thickBot="1">
      <c r="A15" s="195" t="s">
        <v>2386</v>
      </c>
      <c r="B15" s="865">
        <v>0.39075246132208158</v>
      </c>
      <c r="C15" s="439">
        <v>0.14332528523466126</v>
      </c>
      <c r="D15" s="566">
        <v>2.9223025770018039E-2</v>
      </c>
      <c r="E15" s="439">
        <v>0.11997499749544109</v>
      </c>
      <c r="F15" s="566">
        <v>1.5648912716796665E-2</v>
      </c>
      <c r="G15" s="439">
        <v>7.0660408881535797E-2</v>
      </c>
      <c r="H15" s="865">
        <v>0.37883263009845286</v>
      </c>
      <c r="I15" s="866">
        <v>0.23041490857946553</v>
      </c>
      <c r="J15" s="566">
        <v>1</v>
      </c>
    </row>
    <row r="16" spans="1:10" ht="20" customHeight="1" thickBot="1">
      <c r="A16" s="195" t="s">
        <v>2387</v>
      </c>
      <c r="B16" s="865">
        <v>0.33741237087864451</v>
      </c>
      <c r="C16" s="439">
        <v>0.24939693039655197</v>
      </c>
      <c r="D16" s="566">
        <v>3.2114084563270022E-2</v>
      </c>
      <c r="E16" s="439">
        <v>0.12241698788550433</v>
      </c>
      <c r="F16" s="566">
        <v>2.5118545007062489E-2</v>
      </c>
      <c r="G16" s="439">
        <v>4.7432928973888802E-2</v>
      </c>
      <c r="H16" s="865">
        <v>0.47647947682627761</v>
      </c>
      <c r="I16" s="866">
        <v>0.18610815229507791</v>
      </c>
      <c r="J16" s="566">
        <v>1</v>
      </c>
    </row>
    <row r="17" spans="1:10" ht="20" customHeight="1" thickBot="1">
      <c r="A17" s="195" t="s">
        <v>2388</v>
      </c>
      <c r="B17" s="865">
        <v>0.38126281073250418</v>
      </c>
      <c r="C17" s="439">
        <v>0.2087726928236302</v>
      </c>
      <c r="D17" s="566">
        <v>2.9211839737066255E-2</v>
      </c>
      <c r="E17" s="439">
        <v>0.11693469649232589</v>
      </c>
      <c r="F17" s="566">
        <v>2.142338580787307E-2</v>
      </c>
      <c r="G17" s="439">
        <v>5.5428515463103734E-2</v>
      </c>
      <c r="H17" s="865">
        <v>0.43177113032399916</v>
      </c>
      <c r="I17" s="866">
        <v>0.18696605894349663</v>
      </c>
      <c r="J17" s="566">
        <v>1</v>
      </c>
    </row>
    <row r="18" spans="1:10" ht="20" customHeight="1" thickBot="1">
      <c r="A18" s="195" t="s">
        <v>2389</v>
      </c>
      <c r="B18" s="865">
        <v>0.39897008337420303</v>
      </c>
      <c r="C18" s="439">
        <v>0.12716802245027645</v>
      </c>
      <c r="D18" s="566">
        <v>2.2341248721848249E-2</v>
      </c>
      <c r="E18" s="439">
        <v>0.10979906384030297</v>
      </c>
      <c r="F18" s="566">
        <v>8.38477962701073E-3</v>
      </c>
      <c r="G18" s="439">
        <v>8.7049133739396531E-2</v>
      </c>
      <c r="H18" s="865">
        <v>0.35474224837883495</v>
      </c>
      <c r="I18" s="866">
        <v>0.24628085662906654</v>
      </c>
      <c r="J18" s="566">
        <v>1</v>
      </c>
    </row>
    <row r="19" spans="1:10" ht="20" customHeight="1" thickBot="1">
      <c r="A19" s="195" t="s">
        <v>2390</v>
      </c>
      <c r="B19" s="865">
        <v>0.34448419993511653</v>
      </c>
      <c r="C19" s="439">
        <v>0.1699748785043009</v>
      </c>
      <c r="D19" s="566">
        <v>2.7950672218296377E-2</v>
      </c>
      <c r="E19" s="439">
        <v>0.1194050836548483</v>
      </c>
      <c r="F19" s="566">
        <v>1.6431892246080038E-2</v>
      </c>
      <c r="G19" s="439">
        <v>8.659771767683784E-2</v>
      </c>
      <c r="H19" s="865">
        <v>0.42036024430036345</v>
      </c>
      <c r="I19" s="866">
        <v>0.23516025746512514</v>
      </c>
      <c r="J19" s="566">
        <v>1</v>
      </c>
    </row>
    <row r="20" spans="1:10" ht="20" customHeight="1" thickBot="1">
      <c r="A20" s="195" t="s">
        <v>2391</v>
      </c>
      <c r="B20" s="865">
        <v>0.32154827732879626</v>
      </c>
      <c r="C20" s="439">
        <v>0.14288744500680217</v>
      </c>
      <c r="D20" s="566">
        <v>2.7321971268118139E-2</v>
      </c>
      <c r="E20" s="439">
        <v>9.9965070467909228E-2</v>
      </c>
      <c r="F20" s="566">
        <v>2.1384631310102431E-2</v>
      </c>
      <c r="G20" s="439">
        <v>6.9989159275864285E-2</v>
      </c>
      <c r="H20" s="865">
        <v>0.36154827732879624</v>
      </c>
      <c r="I20" s="866">
        <v>0.3169034453424075</v>
      </c>
      <c r="J20" s="566">
        <v>1</v>
      </c>
    </row>
    <row r="21" spans="1:10" ht="20" customHeight="1" thickBot="1">
      <c r="A21" s="195" t="s">
        <v>2392</v>
      </c>
      <c r="B21" s="865">
        <v>0.40870467345124001</v>
      </c>
      <c r="C21" s="439">
        <v>0.11565669434925124</v>
      </c>
      <c r="D21" s="566">
        <v>3.0226203724408342E-2</v>
      </c>
      <c r="E21" s="439">
        <v>9.3426447875443963E-2</v>
      </c>
      <c r="F21" s="566">
        <v>1.3392609512616635E-2</v>
      </c>
      <c r="G21" s="439">
        <v>5.2085120914131977E-2</v>
      </c>
      <c r="H21" s="865">
        <v>0.30478707637585217</v>
      </c>
      <c r="I21" s="866">
        <v>0.28650825017290782</v>
      </c>
      <c r="J21" s="566">
        <v>1</v>
      </c>
    </row>
    <row r="22" spans="1:10" ht="20" customHeight="1" thickBot="1">
      <c r="A22" s="195" t="s">
        <v>2393</v>
      </c>
      <c r="B22" s="865">
        <v>0.41893867721682293</v>
      </c>
      <c r="C22" s="439">
        <v>0.10492852938055242</v>
      </c>
      <c r="D22" s="566">
        <v>2.7590081677713041E-2</v>
      </c>
      <c r="E22" s="439">
        <v>9.3892496709467199E-2</v>
      </c>
      <c r="F22" s="566">
        <v>1.1725784713028042E-2</v>
      </c>
      <c r="G22" s="439">
        <v>4.1298903511326708E-2</v>
      </c>
      <c r="H22" s="865">
        <v>0.2794357959920874</v>
      </c>
      <c r="I22" s="866">
        <v>0.30162552679108973</v>
      </c>
      <c r="J22" s="566">
        <v>1</v>
      </c>
    </row>
    <row r="23" spans="1:10" ht="20" customHeight="1" thickBot="1">
      <c r="A23" s="195" t="s">
        <v>2394</v>
      </c>
      <c r="B23" s="865">
        <v>0.34783405874570889</v>
      </c>
      <c r="C23" s="439">
        <v>0.10025152685252063</v>
      </c>
      <c r="D23" s="566">
        <v>2.2278117078337916E-2</v>
      </c>
      <c r="E23" s="439">
        <v>8.7250763540969584E-2</v>
      </c>
      <c r="F23" s="566">
        <v>1.1286408079753233E-2</v>
      </c>
      <c r="G23" s="439">
        <v>4.8103957710743384E-2</v>
      </c>
      <c r="H23" s="865">
        <v>0.26917077326232475</v>
      </c>
      <c r="I23" s="866">
        <v>0.38299516799196642</v>
      </c>
      <c r="J23" s="566">
        <v>1</v>
      </c>
    </row>
    <row r="24" spans="1:10" ht="20" customHeight="1" thickBot="1">
      <c r="A24" s="195" t="s">
        <v>2395</v>
      </c>
      <c r="B24" s="865">
        <v>0.49801764683017841</v>
      </c>
      <c r="C24" s="439">
        <v>8.4172518374859298E-2</v>
      </c>
      <c r="D24" s="566">
        <v>2.4888500376415587E-2</v>
      </c>
      <c r="E24" s="439">
        <v>9.9969892895764342E-2</v>
      </c>
      <c r="F24" s="566">
        <v>1.1761928376321727E-2</v>
      </c>
      <c r="G24" s="439">
        <v>5.2506288000375448E-2</v>
      </c>
      <c r="H24" s="865">
        <v>0.2732991280237364</v>
      </c>
      <c r="I24" s="866">
        <v>0.22867674686775244</v>
      </c>
      <c r="J24" s="566">
        <v>1</v>
      </c>
    </row>
    <row r="25" spans="1:10" ht="20" customHeight="1" thickBot="1">
      <c r="A25" s="195" t="s">
        <v>2396</v>
      </c>
      <c r="B25" s="865">
        <v>0.37547593564121912</v>
      </c>
      <c r="C25" s="439">
        <v>0.12090473118728053</v>
      </c>
      <c r="D25" s="566">
        <v>2.5924140086371276E-2</v>
      </c>
      <c r="E25" s="439">
        <v>0.10353641291159284</v>
      </c>
      <c r="F25" s="566">
        <v>1.4327710832198597E-2</v>
      </c>
      <c r="G25" s="439">
        <v>5.978325645203552E-2</v>
      </c>
      <c r="H25" s="865">
        <v>0.32447625146947873</v>
      </c>
      <c r="I25" s="866">
        <v>0.30004561963749932</v>
      </c>
      <c r="J25" s="566">
        <v>1</v>
      </c>
    </row>
    <row r="26" spans="1:10" ht="20" customHeight="1" thickBot="1">
      <c r="A26" s="195" t="s">
        <v>2397</v>
      </c>
      <c r="B26" s="865">
        <v>0.30494353500178994</v>
      </c>
      <c r="C26" s="439">
        <v>9.4388017881479075E-2</v>
      </c>
      <c r="D26" s="566">
        <v>2.3906277695205612E-2</v>
      </c>
      <c r="E26" s="439">
        <v>0.10535907859407684</v>
      </c>
      <c r="F26" s="566">
        <v>1.5159813863006008E-2</v>
      </c>
      <c r="G26" s="439">
        <v>6.6553427646253299E-2</v>
      </c>
      <c r="H26" s="865">
        <v>0.30536661568002083</v>
      </c>
      <c r="I26" s="866">
        <v>0.38968984931818923</v>
      </c>
      <c r="J26" s="566">
        <v>1</v>
      </c>
    </row>
    <row r="27" spans="1:10" ht="20" customHeight="1" thickBot="1">
      <c r="A27" s="195" t="s">
        <v>2398</v>
      </c>
      <c r="B27" s="865">
        <v>0.37017820454011047</v>
      </c>
      <c r="C27" s="439">
        <v>0.21115503827314444</v>
      </c>
      <c r="D27" s="566">
        <v>2.0733519849423048E-2</v>
      </c>
      <c r="E27" s="439">
        <v>0.12204985545865986</v>
      </c>
      <c r="F27" s="566">
        <v>8.3450586491914652E-3</v>
      </c>
      <c r="G27" s="439">
        <v>0.13896353552916893</v>
      </c>
      <c r="H27" s="865">
        <v>0.50124700775958775</v>
      </c>
      <c r="I27" s="866">
        <v>0.12857478770030181</v>
      </c>
      <c r="J27" s="566">
        <v>1</v>
      </c>
    </row>
    <row r="28" spans="1:10" ht="20" customHeight="1" thickBot="1">
      <c r="A28" s="195" t="s">
        <v>2399</v>
      </c>
      <c r="B28" s="865">
        <v>0.27433575148412953</v>
      </c>
      <c r="C28" s="439">
        <v>0.23708558185622763</v>
      </c>
      <c r="D28" s="566">
        <v>3.6803444189035091E-2</v>
      </c>
      <c r="E28" s="439">
        <v>0.1325962836773209</v>
      </c>
      <c r="F28" s="566">
        <v>1.180524401260797E-2</v>
      </c>
      <c r="G28" s="439">
        <v>0.12087244177414153</v>
      </c>
      <c r="H28" s="865">
        <v>0.53916299550933311</v>
      </c>
      <c r="I28" s="866">
        <v>0.18650125300653733</v>
      </c>
      <c r="J28" s="566">
        <v>1</v>
      </c>
    </row>
    <row r="29" spans="1:10" ht="20" customHeight="1" thickBot="1">
      <c r="A29" s="195" t="s">
        <v>2400</v>
      </c>
      <c r="B29" s="865">
        <v>0.48931075477959862</v>
      </c>
      <c r="C29" s="439">
        <v>0.22609007472705461</v>
      </c>
      <c r="D29" s="566">
        <v>2.651258801149135E-2</v>
      </c>
      <c r="E29" s="439">
        <v>7.963438731513707E-2</v>
      </c>
      <c r="F29" s="566">
        <v>1.4514497160466268E-2</v>
      </c>
      <c r="G29" s="439">
        <v>4.3173802407557693E-2</v>
      </c>
      <c r="H29" s="865">
        <v>0.389925349621707</v>
      </c>
      <c r="I29" s="866">
        <v>0.12076389559869435</v>
      </c>
      <c r="J29" s="566">
        <v>1</v>
      </c>
    </row>
    <row r="30" spans="1:10" ht="20" customHeight="1" thickBot="1">
      <c r="A30" s="195" t="s">
        <v>2401</v>
      </c>
      <c r="B30" s="865">
        <v>0.34038863976083705</v>
      </c>
      <c r="C30" s="439">
        <v>0.21733431841712411</v>
      </c>
      <c r="D30" s="566">
        <v>2.6200884408583903E-2</v>
      </c>
      <c r="E30" s="439">
        <v>0.10700811860995804</v>
      </c>
      <c r="F30" s="566">
        <v>1.085849544942168E-2</v>
      </c>
      <c r="G30" s="439">
        <v>0.12732015620908269</v>
      </c>
      <c r="H30" s="865">
        <v>0.48872197309417043</v>
      </c>
      <c r="I30" s="866">
        <v>0.17088938714499252</v>
      </c>
      <c r="J30" s="566">
        <v>1</v>
      </c>
    </row>
    <row r="31" spans="1:10" ht="20" customHeight="1" thickBot="1">
      <c r="A31" s="195" t="s">
        <v>2402</v>
      </c>
      <c r="B31" s="865">
        <v>0.33827756377531287</v>
      </c>
      <c r="C31" s="439">
        <v>0.24975170557386181</v>
      </c>
      <c r="D31" s="566">
        <v>2.7994616419919249E-2</v>
      </c>
      <c r="E31" s="439">
        <v>0.10711158552621401</v>
      </c>
      <c r="F31" s="566">
        <v>6.2622793583020069E-3</v>
      </c>
      <c r="G31" s="439">
        <v>9.506659859841278E-2</v>
      </c>
      <c r="H31" s="865">
        <v>0.48618678547670985</v>
      </c>
      <c r="I31" s="866">
        <v>0.17553255673643664</v>
      </c>
      <c r="J31" s="566">
        <v>1</v>
      </c>
    </row>
    <row r="32" spans="1:10" ht="20" customHeight="1" thickBot="1">
      <c r="A32" s="196" t="s">
        <v>2403</v>
      </c>
      <c r="B32" s="865">
        <v>0.28147312309099043</v>
      </c>
      <c r="C32" s="439">
        <v>0.22550144938814423</v>
      </c>
      <c r="D32" s="566">
        <v>2.5913892725822459E-2</v>
      </c>
      <c r="E32" s="439">
        <v>0.16030816521079358</v>
      </c>
      <c r="F32" s="566">
        <v>1.5583354409447289E-2</v>
      </c>
      <c r="G32" s="439">
        <v>9.7177097721834221E-2</v>
      </c>
      <c r="H32" s="865">
        <v>0.52448395945604176</v>
      </c>
      <c r="I32" s="866">
        <v>0.19404291745296784</v>
      </c>
      <c r="J32" s="566">
        <v>1</v>
      </c>
    </row>
    <row r="33" spans="1:12" ht="30" customHeight="1" thickBot="1">
      <c r="A33" s="751" t="s">
        <v>2404</v>
      </c>
      <c r="B33" s="867">
        <v>0.35259431339605057</v>
      </c>
      <c r="C33" s="441">
        <v>0.17134743317556644</v>
      </c>
      <c r="D33" s="867">
        <v>2.7802378035423576E-2</v>
      </c>
      <c r="E33" s="441">
        <v>0.10938249294927942</v>
      </c>
      <c r="F33" s="867">
        <v>1.4427889661281583E-2</v>
      </c>
      <c r="G33" s="441">
        <v>8.1338759610946415E-2</v>
      </c>
      <c r="H33" s="867">
        <v>0.40429895343249744</v>
      </c>
      <c r="I33" s="868">
        <v>0.24310707014340852</v>
      </c>
      <c r="J33" s="753">
        <v>1</v>
      </c>
    </row>
    <row r="34" spans="1:12" ht="20" customHeight="1">
      <c r="A34" s="587" t="s">
        <v>399</v>
      </c>
      <c r="B34" s="632"/>
      <c r="C34" s="201"/>
      <c r="D34" s="201"/>
      <c r="E34" s="201"/>
      <c r="F34" s="201"/>
      <c r="G34" s="201"/>
      <c r="H34" s="869"/>
      <c r="J34" s="189"/>
      <c r="L34" s="870" t="s">
        <v>841</v>
      </c>
    </row>
    <row r="35" spans="1:12" ht="11.25" customHeight="1">
      <c r="B35" s="359"/>
      <c r="C35" s="202"/>
      <c r="D35" s="202"/>
      <c r="E35" s="202"/>
      <c r="F35" s="202"/>
      <c r="G35" s="202"/>
      <c r="H35" s="743"/>
      <c r="J35" s="189"/>
      <c r="L35" s="871"/>
    </row>
    <row r="36" spans="1:12" ht="12" customHeight="1">
      <c r="A36" s="202" t="s">
        <v>384</v>
      </c>
      <c r="L36" s="871"/>
    </row>
    <row r="37" spans="1:12" ht="12" customHeight="1">
      <c r="A37" s="202"/>
      <c r="L37" s="871"/>
    </row>
    <row r="38" spans="1:12" ht="12" customHeight="1">
      <c r="A38" s="2" t="s">
        <v>1703</v>
      </c>
      <c r="L38" s="871"/>
    </row>
    <row r="39" spans="1:12" ht="12" customHeight="1">
      <c r="L39" s="871"/>
    </row>
    <row r="40" spans="1:12" ht="12" customHeight="1"/>
    <row r="41" spans="1:12" ht="12" customHeight="1">
      <c r="A41" s="2" t="s">
        <v>711</v>
      </c>
    </row>
  </sheetData>
  <mergeCells count="1">
    <mergeCell ref="C3:H3"/>
  </mergeCells>
  <phoneticPr fontId="0" type="noConversion"/>
  <pageMargins left="0.49" right="0.48" top="0.65" bottom="0.49" header="0.35" footer="0.4921259845"/>
  <pageSetup paperSize="9" scale="70" orientation="portrait" horizontalDpi="4294967292" verticalDpi="4294967292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31D9-D4DA-AB4B-A11B-9820472AE41D}">
  <sheetPr>
    <pageSetUpPr fitToPage="1"/>
  </sheetPr>
  <dimension ref="A1:J30"/>
  <sheetViews>
    <sheetView topLeftCell="A7" zoomScale="75" workbookViewId="0">
      <selection activeCell="A26" sqref="A26"/>
    </sheetView>
  </sheetViews>
  <sheetFormatPr baseColWidth="10" defaultColWidth="11.3984375" defaultRowHeight="13"/>
  <cols>
    <col min="1" max="1" width="14.796875" style="2" customWidth="1"/>
    <col min="2" max="2" width="14.796875" style="217" customWidth="1"/>
    <col min="3" max="3" width="12.3984375" style="2" customWidth="1"/>
    <col min="4" max="4" width="13.19921875" style="2" customWidth="1"/>
    <col min="5" max="5" width="12.796875" style="2" customWidth="1"/>
    <col min="6" max="6" width="13.59765625" style="2" customWidth="1"/>
    <col min="7" max="7" width="12.796875" style="2" customWidth="1"/>
    <col min="8" max="8" width="14.796875" style="256" customWidth="1"/>
    <col min="9" max="9" width="15.19921875" style="217" customWidth="1"/>
    <col min="10" max="10" width="11.59765625" style="2" customWidth="1"/>
    <col min="11" max="16384" width="11.3984375" style="2"/>
  </cols>
  <sheetData>
    <row r="1" spans="1:10" s="1" customFormat="1" ht="14" customHeight="1">
      <c r="B1" s="16"/>
      <c r="H1" s="862"/>
      <c r="I1" s="16"/>
    </row>
    <row r="2" spans="1:10" s="1" customFormat="1" ht="28" customHeight="1">
      <c r="A2" s="177" t="s">
        <v>2477</v>
      </c>
      <c r="B2" s="16"/>
      <c r="H2" s="862"/>
      <c r="I2" s="16"/>
      <c r="J2" s="177"/>
    </row>
    <row r="3" spans="1:10" ht="27" customHeight="1">
      <c r="A3" s="178" t="s">
        <v>2208</v>
      </c>
      <c r="B3" s="513" t="s">
        <v>2251</v>
      </c>
      <c r="C3" s="2042" t="s">
        <v>2242</v>
      </c>
      <c r="D3" s="2027"/>
      <c r="E3" s="2027"/>
      <c r="F3" s="2027"/>
      <c r="G3" s="2027"/>
      <c r="H3" s="2027"/>
      <c r="I3" s="514" t="s">
        <v>833</v>
      </c>
      <c r="J3" s="179" t="s">
        <v>164</v>
      </c>
    </row>
    <row r="4" spans="1:10" ht="15" customHeight="1">
      <c r="A4" s="181"/>
      <c r="B4" s="302" t="s">
        <v>2255</v>
      </c>
      <c r="C4" s="181"/>
      <c r="D4" s="184"/>
      <c r="E4" s="183"/>
      <c r="F4" s="182"/>
      <c r="G4" s="183"/>
      <c r="H4" s="302" t="s">
        <v>164</v>
      </c>
      <c r="I4" s="303" t="s">
        <v>822</v>
      </c>
      <c r="J4" s="184"/>
    </row>
    <row r="5" spans="1:10" ht="15" customHeight="1">
      <c r="A5" s="181"/>
      <c r="B5" s="302" t="s">
        <v>2259</v>
      </c>
      <c r="C5" s="183" t="s">
        <v>842</v>
      </c>
      <c r="D5" s="182" t="s">
        <v>843</v>
      </c>
      <c r="E5" s="183" t="s">
        <v>844</v>
      </c>
      <c r="F5" s="182" t="s">
        <v>845</v>
      </c>
      <c r="G5" s="183" t="s">
        <v>846</v>
      </c>
      <c r="H5" s="863"/>
      <c r="I5" s="303" t="s">
        <v>839</v>
      </c>
      <c r="J5" s="184"/>
    </row>
    <row r="6" spans="1:10" ht="24" customHeight="1">
      <c r="A6" s="185"/>
      <c r="B6" s="313"/>
      <c r="C6" s="185"/>
      <c r="D6" s="186"/>
      <c r="E6" s="187"/>
      <c r="F6" s="188"/>
      <c r="G6" s="187"/>
      <c r="H6" s="864"/>
      <c r="I6" s="315"/>
      <c r="J6" s="186"/>
    </row>
    <row r="7" spans="1:10" ht="1.5" customHeight="1" thickBot="1">
      <c r="A7" s="396">
        <v>1996</v>
      </c>
      <c r="B7" s="865">
        <v>0.60572223331626529</v>
      </c>
      <c r="C7" s="439" t="s">
        <v>1060</v>
      </c>
      <c r="D7" s="566" t="s">
        <v>1060</v>
      </c>
      <c r="E7" s="439" t="s">
        <v>1060</v>
      </c>
      <c r="F7" s="566" t="s">
        <v>1060</v>
      </c>
      <c r="G7" s="439" t="s">
        <v>1060</v>
      </c>
      <c r="H7" s="865">
        <v>0.37321719800503761</v>
      </c>
      <c r="I7" s="866">
        <v>2.1060568678697135E-2</v>
      </c>
      <c r="J7" s="566">
        <v>1</v>
      </c>
    </row>
    <row r="8" spans="1:10" ht="0.75" customHeight="1" thickBot="1">
      <c r="A8" s="396">
        <v>1997</v>
      </c>
      <c r="B8" s="865">
        <v>0.47310000000000002</v>
      </c>
      <c r="C8" s="439">
        <v>0.2923</v>
      </c>
      <c r="D8" s="566">
        <v>8.3000000000000004E-2</v>
      </c>
      <c r="E8" s="439">
        <v>2.1299999999999999E-2</v>
      </c>
      <c r="F8" s="566">
        <v>5.2400000000000002E-2</v>
      </c>
      <c r="G8" s="439" t="s">
        <v>1060</v>
      </c>
      <c r="H8" s="865">
        <v>0.44900000000000001</v>
      </c>
      <c r="I8" s="866">
        <v>7.7799999999999994E-2</v>
      </c>
      <c r="J8" s="566">
        <v>1</v>
      </c>
    </row>
    <row r="9" spans="1:10" ht="20" customHeight="1" thickBot="1">
      <c r="A9" s="195">
        <v>1998</v>
      </c>
      <c r="B9" s="865">
        <v>0.47549999999999998</v>
      </c>
      <c r="C9" s="439">
        <v>0.30769999999999997</v>
      </c>
      <c r="D9" s="566">
        <v>7.5800000000000006E-2</v>
      </c>
      <c r="E9" s="439">
        <v>3.1699999999999999E-2</v>
      </c>
      <c r="F9" s="566">
        <v>3.9199999999999999E-2</v>
      </c>
      <c r="G9" s="439" t="s">
        <v>1060</v>
      </c>
      <c r="H9" s="865">
        <v>0.45440000000000003</v>
      </c>
      <c r="I9" s="866">
        <v>7.0099999999999996E-2</v>
      </c>
      <c r="J9" s="566">
        <v>1</v>
      </c>
    </row>
    <row r="10" spans="1:10" ht="20" customHeight="1" thickBot="1">
      <c r="A10" s="195">
        <v>1999</v>
      </c>
      <c r="B10" s="865">
        <v>0.47310000000000002</v>
      </c>
      <c r="C10" s="439">
        <v>0.2923</v>
      </c>
      <c r="D10" s="566">
        <v>8.3000000000000004E-2</v>
      </c>
      <c r="E10" s="439">
        <v>2.1299999999999999E-2</v>
      </c>
      <c r="F10" s="566">
        <v>5.2400000000000002E-2</v>
      </c>
      <c r="G10" s="439" t="s">
        <v>1060</v>
      </c>
      <c r="H10" s="865">
        <v>0.44900000000000001</v>
      </c>
      <c r="I10" s="866">
        <v>7.7799999999999994E-2</v>
      </c>
      <c r="J10" s="566">
        <v>1</v>
      </c>
    </row>
    <row r="11" spans="1:10" ht="20" customHeight="1" thickBot="1">
      <c r="A11" s="195">
        <v>2000</v>
      </c>
      <c r="B11" s="865">
        <v>0.45929999999999999</v>
      </c>
      <c r="C11" s="439">
        <v>0.27900000000000003</v>
      </c>
      <c r="D11" s="566">
        <v>8.9399999999999993E-2</v>
      </c>
      <c r="E11" s="439">
        <v>2.23E-2</v>
      </c>
      <c r="F11" s="566">
        <v>6.8099999999999994E-2</v>
      </c>
      <c r="G11" s="439" t="s">
        <v>1060</v>
      </c>
      <c r="H11" s="865">
        <v>0.4587</v>
      </c>
      <c r="I11" s="866">
        <v>8.2000000000000003E-2</v>
      </c>
      <c r="J11" s="566">
        <v>1</v>
      </c>
    </row>
    <row r="12" spans="1:10" ht="20" customHeight="1" thickBot="1">
      <c r="A12" s="195">
        <v>2001</v>
      </c>
      <c r="B12" s="865">
        <v>0.45299999999999996</v>
      </c>
      <c r="C12" s="439">
        <v>0.26100000000000001</v>
      </c>
      <c r="D12" s="566">
        <v>9.1999999999999998E-2</v>
      </c>
      <c r="E12" s="439">
        <v>2.3E-2</v>
      </c>
      <c r="F12" s="566">
        <v>8.8000000000000009E-2</v>
      </c>
      <c r="G12" s="439" t="s">
        <v>1060</v>
      </c>
      <c r="H12" s="865">
        <v>0.46299999999999997</v>
      </c>
      <c r="I12" s="866">
        <v>8.4000000000000005E-2</v>
      </c>
      <c r="J12" s="566">
        <v>1</v>
      </c>
    </row>
    <row r="13" spans="1:10" ht="20" customHeight="1" thickBot="1">
      <c r="A13" s="195">
        <v>2002</v>
      </c>
      <c r="B13" s="865">
        <v>0.436</v>
      </c>
      <c r="C13" s="439">
        <v>0.24199999999999999</v>
      </c>
      <c r="D13" s="566">
        <v>9.9000000000000005E-2</v>
      </c>
      <c r="E13" s="439">
        <v>2.5000000000000001E-2</v>
      </c>
      <c r="F13" s="566">
        <v>0.114</v>
      </c>
      <c r="G13" s="439" t="s">
        <v>1060</v>
      </c>
      <c r="H13" s="865">
        <v>0.47899999999999998</v>
      </c>
      <c r="I13" s="866">
        <v>8.4000000000000005E-2</v>
      </c>
      <c r="J13" s="566">
        <v>1</v>
      </c>
    </row>
    <row r="14" spans="1:10" ht="20" customHeight="1" thickBot="1">
      <c r="A14" s="195">
        <v>2003</v>
      </c>
      <c r="B14" s="865">
        <v>0.41799999999999998</v>
      </c>
      <c r="C14" s="439">
        <v>0.221</v>
      </c>
      <c r="D14" s="566">
        <v>0.10199999999999999</v>
      </c>
      <c r="E14" s="439">
        <v>2.6000000000000002E-2</v>
      </c>
      <c r="F14" s="566">
        <v>0.15</v>
      </c>
      <c r="G14" s="439" t="s">
        <v>1060</v>
      </c>
      <c r="H14" s="865">
        <v>0.5</v>
      </c>
      <c r="I14" s="866">
        <v>8.3000000000000004E-2</v>
      </c>
      <c r="J14" s="566">
        <v>1</v>
      </c>
    </row>
    <row r="15" spans="1:10" ht="20" customHeight="1" thickBot="1">
      <c r="A15" s="195">
        <v>2004</v>
      </c>
      <c r="B15" s="865">
        <v>0.42599999999999999</v>
      </c>
      <c r="C15" s="439">
        <v>0.19</v>
      </c>
      <c r="D15" s="566">
        <v>9.9000000000000005E-2</v>
      </c>
      <c r="E15" s="439">
        <v>2.4E-2</v>
      </c>
      <c r="F15" s="566">
        <v>0.17</v>
      </c>
      <c r="G15" s="439" t="s">
        <v>1060</v>
      </c>
      <c r="H15" s="865">
        <v>0.48399999999999999</v>
      </c>
      <c r="I15" s="866">
        <v>0.09</v>
      </c>
      <c r="J15" s="566">
        <v>1</v>
      </c>
    </row>
    <row r="16" spans="1:10" ht="20" customHeight="1" thickBot="1">
      <c r="A16" s="195">
        <v>2005</v>
      </c>
      <c r="B16" s="865">
        <v>0.43010910660017726</v>
      </c>
      <c r="C16" s="439">
        <v>0.24137084865070785</v>
      </c>
      <c r="D16" s="566">
        <v>2.7927552911429284E-2</v>
      </c>
      <c r="E16" s="439">
        <v>0.14970772549575295</v>
      </c>
      <c r="F16" s="566">
        <v>7.737346283222017E-3</v>
      </c>
      <c r="G16" s="439">
        <v>4.3513188407514357E-2</v>
      </c>
      <c r="H16" s="865">
        <v>0.47025666174862646</v>
      </c>
      <c r="I16" s="866">
        <v>9.963405737620637E-2</v>
      </c>
      <c r="J16" s="566">
        <v>1</v>
      </c>
    </row>
    <row r="17" spans="1:10" ht="20" customHeight="1" thickBot="1">
      <c r="A17" s="195">
        <v>2006</v>
      </c>
      <c r="B17" s="865">
        <v>0.41037998146431881</v>
      </c>
      <c r="C17" s="439">
        <v>0.21169194562327648</v>
      </c>
      <c r="D17" s="566">
        <v>2.9641721677945529E-2</v>
      </c>
      <c r="E17" s="439">
        <v>0.13468351468595566</v>
      </c>
      <c r="F17" s="566">
        <v>1.2271783803364918E-2</v>
      </c>
      <c r="G17" s="439">
        <v>6.8287663028127055E-2</v>
      </c>
      <c r="H17" s="865">
        <v>0.45657662881866962</v>
      </c>
      <c r="I17" s="866">
        <v>0.13304408005895521</v>
      </c>
      <c r="J17" s="566">
        <v>1</v>
      </c>
    </row>
    <row r="18" spans="1:10" ht="20" customHeight="1" thickBot="1">
      <c r="A18" s="195">
        <v>2007</v>
      </c>
      <c r="B18" s="865">
        <v>0.40158587595093198</v>
      </c>
      <c r="C18" s="439">
        <v>0.19001671278345905</v>
      </c>
      <c r="D18" s="566">
        <v>2.874555570096738E-2</v>
      </c>
      <c r="E18" s="439">
        <v>0.12056451893381588</v>
      </c>
      <c r="F18" s="566">
        <v>1.3297661974256279E-2</v>
      </c>
      <c r="G18" s="439">
        <v>7.7126199182153146E-2</v>
      </c>
      <c r="H18" s="865">
        <v>0.42975064857465173</v>
      </c>
      <c r="I18" s="866">
        <v>0.1686653491061329</v>
      </c>
      <c r="J18" s="566">
        <v>1</v>
      </c>
    </row>
    <row r="19" spans="1:10" ht="30" customHeight="1" thickBot="1">
      <c r="A19" s="751">
        <v>2008</v>
      </c>
      <c r="B19" s="867">
        <v>0.35259431339605057</v>
      </c>
      <c r="C19" s="441">
        <v>0.17134743317556644</v>
      </c>
      <c r="D19" s="867">
        <v>2.7802378035423576E-2</v>
      </c>
      <c r="E19" s="441">
        <v>0.10938249294927942</v>
      </c>
      <c r="F19" s="867">
        <v>1.4427889661281583E-2</v>
      </c>
      <c r="G19" s="441">
        <v>8.1338759610946415E-2</v>
      </c>
      <c r="H19" s="867">
        <v>0.40429895343249744</v>
      </c>
      <c r="I19" s="868">
        <v>0.24310707014340852</v>
      </c>
      <c r="J19" s="753">
        <v>1</v>
      </c>
    </row>
    <row r="20" spans="1:10" ht="20" customHeight="1">
      <c r="A20" s="587" t="s">
        <v>399</v>
      </c>
      <c r="B20" s="632"/>
      <c r="C20" s="201"/>
      <c r="D20" s="201"/>
      <c r="E20" s="201"/>
      <c r="F20" s="201"/>
      <c r="G20" s="201"/>
      <c r="H20" s="869"/>
      <c r="J20" s="189"/>
    </row>
    <row r="21" spans="1:10" ht="17.25" customHeight="1">
      <c r="A21" s="202"/>
    </row>
    <row r="22" spans="1:10" ht="12" customHeight="1">
      <c r="A22" s="2" t="s">
        <v>847</v>
      </c>
    </row>
    <row r="23" spans="1:10" ht="12" customHeight="1">
      <c r="A23" s="2" t="s">
        <v>848</v>
      </c>
    </row>
    <row r="24" spans="1:10" ht="12" customHeight="1">
      <c r="A24" s="2" t="s">
        <v>849</v>
      </c>
    </row>
    <row r="25" spans="1:10" ht="12" customHeight="1">
      <c r="A25" s="2" t="s">
        <v>2475</v>
      </c>
    </row>
    <row r="26" spans="1:10" ht="12" customHeight="1"/>
    <row r="27" spans="1:10" ht="12" customHeight="1">
      <c r="A27" s="2" t="s">
        <v>2476</v>
      </c>
    </row>
    <row r="30" spans="1:10">
      <c r="A30" s="2" t="s">
        <v>711</v>
      </c>
    </row>
  </sheetData>
  <mergeCells count="1">
    <mergeCell ref="C3:H3"/>
  </mergeCells>
  <phoneticPr fontId="0" type="noConversion"/>
  <pageMargins left="0.51" right="0.57999999999999996" top="0.85" bottom="0.49" header="0.4" footer="0.4921259845"/>
  <pageSetup paperSize="9" scale="67" orientation="portrait" horizontalDpi="4294967292" verticalDpi="4294967292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4A06-D7B9-EB4C-BAC8-EEB5889EF88E}">
  <sheetPr>
    <pageSetUpPr fitToPage="1"/>
  </sheetPr>
  <dimension ref="A1:G19"/>
  <sheetViews>
    <sheetView zoomScale="75" workbookViewId="0">
      <selection activeCell="A2" sqref="A2"/>
    </sheetView>
  </sheetViews>
  <sheetFormatPr baseColWidth="10" defaultColWidth="11.3984375" defaultRowHeight="13"/>
  <cols>
    <col min="1" max="1" width="21.3984375" style="2" customWidth="1"/>
    <col min="2" max="2" width="17.3984375" style="2" customWidth="1"/>
    <col min="3" max="3" width="16.3984375" style="2" customWidth="1"/>
    <col min="4" max="4" width="17.796875" style="2" customWidth="1"/>
    <col min="5" max="5" width="18.796875" style="537" customWidth="1"/>
    <col min="6" max="6" width="20.3984375" style="537" customWidth="1"/>
    <col min="7" max="7" width="12" style="2" customWidth="1"/>
    <col min="8" max="16384" width="11.3984375" style="2"/>
  </cols>
  <sheetData>
    <row r="1" spans="1:7" ht="19.5" customHeight="1">
      <c r="A1" s="53" t="s">
        <v>1013</v>
      </c>
      <c r="B1" s="393"/>
      <c r="C1" s="393"/>
      <c r="D1" s="393"/>
      <c r="E1" s="393"/>
      <c r="F1" s="428">
        <v>2008</v>
      </c>
    </row>
    <row r="2" spans="1:7" ht="18.75" customHeight="1">
      <c r="A2" s="511"/>
      <c r="B2" s="287"/>
      <c r="C2" s="287"/>
      <c r="D2" s="287"/>
      <c r="E2" s="287"/>
      <c r="F2" s="512"/>
    </row>
    <row r="3" spans="1:7" ht="24" customHeight="1">
      <c r="A3" s="394" t="s">
        <v>1287</v>
      </c>
      <c r="B3" s="513" t="s">
        <v>2224</v>
      </c>
      <c r="C3" s="514" t="s">
        <v>2225</v>
      </c>
      <c r="D3" s="513" t="s">
        <v>164</v>
      </c>
      <c r="E3" s="515" t="s">
        <v>2226</v>
      </c>
      <c r="F3" s="549" t="s">
        <v>1014</v>
      </c>
    </row>
    <row r="4" spans="1:7" ht="15" customHeight="1">
      <c r="A4" s="274"/>
      <c r="B4" s="182"/>
      <c r="C4" s="183"/>
      <c r="D4" s="209"/>
      <c r="E4" s="516" t="s">
        <v>1305</v>
      </c>
      <c r="F4" s="551" t="s">
        <v>1015</v>
      </c>
    </row>
    <row r="5" spans="1:7" ht="15" customHeight="1">
      <c r="A5" s="181"/>
      <c r="B5" s="182"/>
      <c r="C5" s="183"/>
      <c r="D5" s="182"/>
      <c r="E5" s="516"/>
      <c r="F5" s="551" t="s">
        <v>1016</v>
      </c>
    </row>
    <row r="6" spans="1:7" ht="24" customHeight="1">
      <c r="A6" s="379"/>
      <c r="B6" s="412"/>
      <c r="C6" s="413"/>
      <c r="D6" s="412"/>
      <c r="E6" s="517"/>
      <c r="F6" s="552"/>
    </row>
    <row r="7" spans="1:7" ht="45" customHeight="1" thickBot="1">
      <c r="A7" s="518" t="s">
        <v>2369</v>
      </c>
      <c r="B7" s="519">
        <v>119458</v>
      </c>
      <c r="C7" s="520">
        <v>114127</v>
      </c>
      <c r="D7" s="519">
        <v>233586</v>
      </c>
      <c r="E7" s="521">
        <v>0.2690692364933201</v>
      </c>
      <c r="F7" s="543">
        <v>0.15493383742911154</v>
      </c>
    </row>
    <row r="8" spans="1:7" ht="34.5" customHeight="1" thickBot="1">
      <c r="A8" s="518" t="s">
        <v>2227</v>
      </c>
      <c r="B8" s="519">
        <v>57514</v>
      </c>
      <c r="C8" s="520">
        <v>52905</v>
      </c>
      <c r="D8" s="519">
        <v>110419</v>
      </c>
      <c r="E8" s="521">
        <v>0.12719236608510745</v>
      </c>
      <c r="F8" s="543">
        <v>0.17316824540493067</v>
      </c>
    </row>
    <row r="9" spans="1:7" ht="32.25" customHeight="1" thickBot="1">
      <c r="A9" s="518" t="s">
        <v>2371</v>
      </c>
      <c r="B9" s="519">
        <v>267562</v>
      </c>
      <c r="C9" s="520">
        <v>256560</v>
      </c>
      <c r="D9" s="519">
        <v>524121</v>
      </c>
      <c r="E9" s="521">
        <v>0.60373839742157243</v>
      </c>
      <c r="F9" s="543">
        <v>9.5812620617881636E-2</v>
      </c>
    </row>
    <row r="10" spans="1:7" s="251" customFormat="1" ht="36" customHeight="1" thickBot="1">
      <c r="A10" s="522" t="s">
        <v>164</v>
      </c>
      <c r="B10" s="424">
        <v>444534</v>
      </c>
      <c r="C10" s="425">
        <v>423592</v>
      </c>
      <c r="D10" s="424">
        <v>868126</v>
      </c>
      <c r="E10" s="523">
        <v>1</v>
      </c>
      <c r="F10" s="349">
        <v>0.11399370315594609</v>
      </c>
    </row>
    <row r="11" spans="1:7" ht="16.5" customHeight="1">
      <c r="B11" s="201"/>
      <c r="C11" s="201"/>
      <c r="D11" s="201"/>
      <c r="E11" s="524"/>
      <c r="F11" s="525"/>
    </row>
    <row r="12" spans="1:7" s="159" customFormat="1" ht="24" customHeight="1" thickBot="1">
      <c r="A12" s="530" t="s">
        <v>1017</v>
      </c>
      <c r="B12" s="531">
        <v>36767</v>
      </c>
      <c r="C12" s="532">
        <v>34572</v>
      </c>
      <c r="D12" s="531">
        <v>71339</v>
      </c>
      <c r="E12" s="533">
        <v>8.2175859264668957E-2</v>
      </c>
      <c r="F12" s="765">
        <v>9.3675305076014754E-3</v>
      </c>
    </row>
    <row r="13" spans="1:7" ht="9.75" customHeight="1">
      <c r="D13"/>
      <c r="E13"/>
      <c r="F13"/>
      <c r="G13"/>
    </row>
    <row r="14" spans="1:7">
      <c r="A14" s="202" t="s">
        <v>764</v>
      </c>
      <c r="D14"/>
      <c r="E14"/>
      <c r="F14"/>
      <c r="G14"/>
    </row>
    <row r="15" spans="1:7">
      <c r="D15"/>
      <c r="E15"/>
      <c r="F15"/>
      <c r="G15"/>
    </row>
    <row r="16" spans="1:7">
      <c r="A16" s="2" t="s">
        <v>581</v>
      </c>
      <c r="D16"/>
      <c r="E16"/>
      <c r="F16"/>
      <c r="G16"/>
    </row>
    <row r="19" spans="1:1">
      <c r="A19" s="266" t="s">
        <v>711</v>
      </c>
    </row>
  </sheetData>
  <phoneticPr fontId="0" type="noConversion"/>
  <pageMargins left="0.53" right="0.68" top="0.96" bottom="0.49" header="0.56000000000000005" footer="0.4921259845"/>
  <pageSetup paperSize="9" scale="72" orientation="portrait" horizontalDpi="1200" verticalDpi="1200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3127-50F3-A043-8399-90422A005A85}">
  <sheetPr>
    <pageSetUpPr fitToPage="1"/>
  </sheetPr>
  <dimension ref="A1:D20"/>
  <sheetViews>
    <sheetView zoomScale="75" workbookViewId="0">
      <selection activeCell="E7" sqref="E7"/>
    </sheetView>
  </sheetViews>
  <sheetFormatPr baseColWidth="10" defaultColWidth="11.3984375" defaultRowHeight="13"/>
  <cols>
    <col min="1" max="1" width="41.796875" style="2" customWidth="1"/>
    <col min="2" max="2" width="35.59765625" style="2" customWidth="1"/>
    <col min="3" max="3" width="36.796875" style="2" customWidth="1"/>
    <col min="4" max="4" width="12.796875" style="2" customWidth="1"/>
    <col min="5" max="16384" width="11.3984375" style="2"/>
  </cols>
  <sheetData>
    <row r="1" spans="1:4" ht="19.5" customHeight="1">
      <c r="A1" s="53" t="s">
        <v>582</v>
      </c>
      <c r="B1" s="393"/>
      <c r="C1" s="428">
        <v>2008</v>
      </c>
    </row>
    <row r="2" spans="1:4" ht="15.75" customHeight="1">
      <c r="A2" s="511"/>
      <c r="B2" s="287"/>
      <c r="C2" s="287"/>
    </row>
    <row r="3" spans="1:4" ht="44.25" customHeight="1">
      <c r="A3" s="766"/>
      <c r="B3" s="767" t="s">
        <v>583</v>
      </c>
      <c r="C3" s="768" t="s">
        <v>584</v>
      </c>
    </row>
    <row r="4" spans="1:4" ht="17.25" customHeight="1">
      <c r="A4" s="379"/>
      <c r="B4" s="412"/>
      <c r="C4" s="413"/>
    </row>
    <row r="5" spans="1:4" ht="45" customHeight="1" thickBot="1">
      <c r="A5" s="518" t="s">
        <v>382</v>
      </c>
      <c r="B5" s="519">
        <v>366771.18</v>
      </c>
      <c r="C5" s="520">
        <v>575246929.61000001</v>
      </c>
    </row>
    <row r="6" spans="1:4" ht="48" customHeight="1" thickBot="1">
      <c r="A6" s="769" t="s">
        <v>383</v>
      </c>
      <c r="B6" s="873">
        <v>93001</v>
      </c>
      <c r="C6" s="874">
        <v>148916843.90000001</v>
      </c>
    </row>
    <row r="7" spans="1:4" ht="20.25" customHeight="1">
      <c r="A7" s="202" t="s">
        <v>1643</v>
      </c>
      <c r="D7"/>
    </row>
    <row r="8" spans="1:4">
      <c r="D8"/>
    </row>
    <row r="9" spans="1:4">
      <c r="A9" s="2" t="s">
        <v>585</v>
      </c>
      <c r="D9"/>
    </row>
    <row r="11" spans="1:4">
      <c r="A11" s="223" t="s">
        <v>380</v>
      </c>
    </row>
    <row r="12" spans="1:4" s="770" customFormat="1">
      <c r="A12" s="223" t="s">
        <v>1479</v>
      </c>
    </row>
    <row r="13" spans="1:4">
      <c r="A13" s="223" t="s">
        <v>381</v>
      </c>
    </row>
    <row r="14" spans="1:4">
      <c r="A14" s="223" t="s">
        <v>1480</v>
      </c>
    </row>
    <row r="15" spans="1:4">
      <c r="A15" s="223" t="s">
        <v>1481</v>
      </c>
    </row>
    <row r="18" spans="1:1">
      <c r="A18" s="266" t="s">
        <v>711</v>
      </c>
    </row>
    <row r="19" spans="1:1">
      <c r="A19" s="3"/>
    </row>
    <row r="20" spans="1:1">
      <c r="A20" s="202"/>
    </row>
  </sheetData>
  <phoneticPr fontId="0" type="noConversion"/>
  <pageMargins left="0.61" right="0.72" top="0.96" bottom="0.49" header="0.56000000000000005" footer="0.4921259845"/>
  <pageSetup paperSize="9" scale="70" orientation="portrait" horizontalDpi="1200" verticalDpi="1200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CC16-2343-3643-A683-3F8C6FADFA74}">
  <sheetPr>
    <pageSetUpPr fitToPage="1"/>
  </sheetPr>
  <dimension ref="A1:G19"/>
  <sheetViews>
    <sheetView zoomScale="75" workbookViewId="0">
      <selection activeCell="F10" sqref="F10"/>
    </sheetView>
  </sheetViews>
  <sheetFormatPr baseColWidth="10" defaultColWidth="11.3984375" defaultRowHeight="13"/>
  <cols>
    <col min="1" max="1" width="19.3984375" style="2" customWidth="1"/>
    <col min="2" max="2" width="17.3984375" style="2" customWidth="1"/>
    <col min="3" max="3" width="16.3984375" style="2" customWidth="1"/>
    <col min="4" max="4" width="17.796875" style="2" customWidth="1"/>
    <col min="5" max="5" width="18.796875" style="537" customWidth="1"/>
    <col min="6" max="6" width="25.19921875" style="537" customWidth="1"/>
    <col min="7" max="7" width="18.19921875" style="2" customWidth="1"/>
    <col min="8" max="16384" width="11.3984375" style="2"/>
  </cols>
  <sheetData>
    <row r="1" spans="1:7" ht="19.5" customHeight="1">
      <c r="A1" s="53" t="s">
        <v>1485</v>
      </c>
      <c r="B1" s="393"/>
      <c r="C1" s="393"/>
      <c r="D1" s="393"/>
      <c r="E1" s="393"/>
      <c r="F1" s="393"/>
    </row>
    <row r="2" spans="1:7" ht="10.5" customHeight="1">
      <c r="A2" s="392"/>
      <c r="B2" s="393"/>
      <c r="C2" s="393"/>
      <c r="D2" s="393"/>
      <c r="E2" s="393"/>
      <c r="F2" s="393"/>
    </row>
    <row r="3" spans="1:7" ht="39" customHeight="1">
      <c r="A3" s="2043" t="s">
        <v>896</v>
      </c>
      <c r="B3" s="2020"/>
      <c r="C3" s="2020"/>
      <c r="D3" s="2020"/>
      <c r="E3" s="2020"/>
      <c r="F3" s="510"/>
    </row>
    <row r="4" spans="1:7" ht="12.75" customHeight="1">
      <c r="A4" s="511"/>
      <c r="B4" s="287"/>
      <c r="C4" s="287"/>
      <c r="D4" s="287"/>
      <c r="E4" s="287"/>
      <c r="F4" s="512"/>
    </row>
    <row r="5" spans="1:7" ht="24" customHeight="1">
      <c r="A5" s="394" t="s">
        <v>1287</v>
      </c>
      <c r="B5" s="513" t="s">
        <v>2224</v>
      </c>
      <c r="C5" s="514" t="s">
        <v>2225</v>
      </c>
      <c r="D5" s="513" t="s">
        <v>164</v>
      </c>
      <c r="E5" s="515" t="s">
        <v>2226</v>
      </c>
      <c r="F5" s="265"/>
    </row>
    <row r="6" spans="1:7" ht="15" customHeight="1">
      <c r="A6" s="274"/>
      <c r="B6" s="182"/>
      <c r="C6" s="183"/>
      <c r="D6" s="209"/>
      <c r="E6" s="516" t="s">
        <v>1305</v>
      </c>
      <c r="F6" s="265"/>
    </row>
    <row r="7" spans="1:7" ht="15" customHeight="1">
      <c r="A7" s="181"/>
      <c r="B7" s="182"/>
      <c r="C7" s="183"/>
      <c r="D7" s="182"/>
      <c r="E7" s="516"/>
      <c r="F7" s="265"/>
    </row>
    <row r="8" spans="1:7" ht="24" customHeight="1">
      <c r="A8" s="379"/>
      <c r="B8" s="412"/>
      <c r="C8" s="413"/>
      <c r="D8" s="412"/>
      <c r="E8" s="517"/>
      <c r="F8" s="265"/>
    </row>
    <row r="9" spans="1:7" ht="45" customHeight="1" thickBot="1">
      <c r="A9" s="518" t="s">
        <v>2369</v>
      </c>
      <c r="B9" s="519">
        <v>756581</v>
      </c>
      <c r="C9" s="520">
        <v>718127</v>
      </c>
      <c r="D9" s="519">
        <v>1474708</v>
      </c>
      <c r="E9" s="521">
        <v>0.1910909123657191</v>
      </c>
      <c r="F9" s="265"/>
    </row>
    <row r="10" spans="1:7" ht="34.5" customHeight="1" thickBot="1">
      <c r="A10" s="518" t="s">
        <v>2227</v>
      </c>
      <c r="B10" s="519">
        <v>334404</v>
      </c>
      <c r="C10" s="520">
        <v>321850</v>
      </c>
      <c r="D10" s="519">
        <v>656254</v>
      </c>
      <c r="E10" s="521">
        <v>8.5036614437334457E-2</v>
      </c>
      <c r="F10" s="265"/>
    </row>
    <row r="11" spans="1:7" ht="32.25" customHeight="1" thickBot="1">
      <c r="A11" s="518" t="s">
        <v>2371</v>
      </c>
      <c r="B11" s="519">
        <v>2705303</v>
      </c>
      <c r="C11" s="520">
        <v>2881047</v>
      </c>
      <c r="D11" s="519">
        <v>5586349</v>
      </c>
      <c r="E11" s="521">
        <v>0.72387247319694648</v>
      </c>
      <c r="F11" s="265"/>
    </row>
    <row r="12" spans="1:7" s="251" customFormat="1" ht="36" customHeight="1" thickBot="1">
      <c r="A12" s="522" t="s">
        <v>164</v>
      </c>
      <c r="B12" s="424">
        <v>3796288</v>
      </c>
      <c r="C12" s="425">
        <v>3921024</v>
      </c>
      <c r="D12" s="424">
        <v>7717311</v>
      </c>
      <c r="E12" s="523">
        <v>1</v>
      </c>
      <c r="F12" s="265"/>
    </row>
    <row r="13" spans="1:7" ht="19.5" customHeight="1">
      <c r="B13" s="201"/>
      <c r="C13" s="201"/>
      <c r="D13" s="201"/>
      <c r="E13" s="524"/>
      <c r="F13" s="525"/>
    </row>
    <row r="14" spans="1:7">
      <c r="A14" s="202" t="s">
        <v>764</v>
      </c>
      <c r="D14"/>
      <c r="E14"/>
      <c r="F14"/>
      <c r="G14"/>
    </row>
    <row r="15" spans="1:7">
      <c r="D15"/>
      <c r="E15"/>
      <c r="F15"/>
      <c r="G15"/>
    </row>
    <row r="16" spans="1:7">
      <c r="A16" s="2" t="s">
        <v>897</v>
      </c>
      <c r="D16"/>
      <c r="E16"/>
      <c r="F16"/>
      <c r="G16"/>
    </row>
    <row r="19" spans="1:1">
      <c r="A19" s="266" t="s">
        <v>711</v>
      </c>
    </row>
  </sheetData>
  <mergeCells count="1">
    <mergeCell ref="A3:E3"/>
  </mergeCells>
  <phoneticPr fontId="0" type="noConversion"/>
  <pageMargins left="0.67" right="0.67" top="0.87" bottom="0.49" header="0.56000000000000005" footer="0.4921259845"/>
  <pageSetup paperSize="9" scale="77" orientation="portrait" horizontalDpi="1200" verticalDpi="1200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2DEB-7CFE-0944-9C48-32919A1C1ECE}">
  <sheetPr>
    <pageSetUpPr fitToPage="1"/>
  </sheetPr>
  <dimension ref="A1:G38"/>
  <sheetViews>
    <sheetView topLeftCell="A21" zoomScale="75" workbookViewId="0">
      <selection activeCell="A2" sqref="A2"/>
    </sheetView>
  </sheetViews>
  <sheetFormatPr baseColWidth="10" defaultColWidth="11.3984375" defaultRowHeight="13"/>
  <cols>
    <col min="1" max="1" width="19.3984375" style="2" customWidth="1"/>
    <col min="2" max="2" width="17.3984375" style="2" customWidth="1"/>
    <col min="3" max="3" width="16.3984375" style="2" customWidth="1"/>
    <col min="4" max="4" width="17.796875" style="2" customWidth="1"/>
    <col min="5" max="5" width="18.796875" style="537" customWidth="1"/>
    <col min="6" max="6" width="19.796875" style="537" customWidth="1"/>
    <col min="7" max="7" width="18.19921875" style="2" customWidth="1"/>
    <col min="8" max="16384" width="11.3984375" style="2"/>
  </cols>
  <sheetData>
    <row r="1" spans="1:6" ht="54.75" customHeight="1">
      <c r="A1" s="2019" t="s">
        <v>2223</v>
      </c>
      <c r="B1" s="2032"/>
      <c r="C1" s="2032"/>
      <c r="D1" s="2032"/>
      <c r="E1" s="428">
        <v>2008</v>
      </c>
      <c r="F1" s="393"/>
    </row>
    <row r="2" spans="1:6" ht="19.5" customHeight="1">
      <c r="A2" s="392"/>
      <c r="B2" s="393"/>
      <c r="C2" s="393"/>
      <c r="D2" s="393"/>
      <c r="E2" s="393"/>
      <c r="F2" s="393"/>
    </row>
    <row r="3" spans="1:6" ht="39.75" customHeight="1">
      <c r="A3" s="2044" t="s">
        <v>88</v>
      </c>
      <c r="B3" s="2020"/>
      <c r="C3" s="2020"/>
      <c r="D3" s="2020"/>
      <c r="E3" s="2020"/>
      <c r="F3" s="510"/>
    </row>
    <row r="4" spans="1:6" ht="12.75" customHeight="1">
      <c r="A4" s="511"/>
      <c r="B4" s="287"/>
      <c r="C4" s="287"/>
      <c r="D4" s="287"/>
      <c r="E4" s="287"/>
      <c r="F4" s="512"/>
    </row>
    <row r="5" spans="1:6" ht="24" customHeight="1">
      <c r="A5" s="394" t="s">
        <v>1287</v>
      </c>
      <c r="B5" s="513" t="s">
        <v>2224</v>
      </c>
      <c r="C5" s="514" t="s">
        <v>2225</v>
      </c>
      <c r="D5" s="513" t="s">
        <v>164</v>
      </c>
      <c r="E5" s="515" t="s">
        <v>2226</v>
      </c>
      <c r="F5" s="265"/>
    </row>
    <row r="6" spans="1:6" ht="15" customHeight="1">
      <c r="A6" s="274"/>
      <c r="B6" s="182"/>
      <c r="C6" s="183"/>
      <c r="D6" s="209"/>
      <c r="E6" s="516" t="s">
        <v>1305</v>
      </c>
      <c r="F6" s="265"/>
    </row>
    <row r="7" spans="1:6" ht="15" customHeight="1">
      <c r="A7" s="181"/>
      <c r="B7" s="182"/>
      <c r="C7" s="183"/>
      <c r="D7" s="182"/>
      <c r="E7" s="516"/>
      <c r="F7" s="265"/>
    </row>
    <row r="8" spans="1:6" ht="24" customHeight="1">
      <c r="A8" s="379"/>
      <c r="B8" s="412"/>
      <c r="C8" s="413"/>
      <c r="D8" s="412"/>
      <c r="E8" s="517"/>
      <c r="F8" s="265"/>
    </row>
    <row r="9" spans="1:6" ht="45" customHeight="1" thickBot="1">
      <c r="A9" s="518" t="s">
        <v>2369</v>
      </c>
      <c r="B9" s="519">
        <v>773255</v>
      </c>
      <c r="C9" s="520">
        <v>734395</v>
      </c>
      <c r="D9" s="519">
        <v>1507650</v>
      </c>
      <c r="E9" s="521">
        <v>0.19796965712703241</v>
      </c>
      <c r="F9" s="265"/>
    </row>
    <row r="10" spans="1:6" ht="34.5" customHeight="1" thickBot="1">
      <c r="A10" s="518" t="s">
        <v>2227</v>
      </c>
      <c r="B10" s="519">
        <v>321124</v>
      </c>
      <c r="C10" s="520">
        <v>316516</v>
      </c>
      <c r="D10" s="519">
        <v>637640</v>
      </c>
      <c r="E10" s="521">
        <v>8.3728565761603119E-2</v>
      </c>
      <c r="F10" s="265"/>
    </row>
    <row r="11" spans="1:6" ht="32.25" customHeight="1" thickBot="1">
      <c r="A11" s="518" t="s">
        <v>2371</v>
      </c>
      <c r="B11" s="519">
        <v>2645051</v>
      </c>
      <c r="C11" s="520">
        <v>2825220</v>
      </c>
      <c r="D11" s="519">
        <v>5470271</v>
      </c>
      <c r="E11" s="521">
        <v>0.71830177711136445</v>
      </c>
      <c r="F11" s="265"/>
    </row>
    <row r="12" spans="1:6" s="251" customFormat="1" ht="36" customHeight="1" thickBot="1">
      <c r="A12" s="522" t="s">
        <v>164</v>
      </c>
      <c r="B12" s="424">
        <v>3739430</v>
      </c>
      <c r="C12" s="425">
        <v>3876131</v>
      </c>
      <c r="D12" s="424">
        <v>7615561</v>
      </c>
      <c r="E12" s="523">
        <v>1</v>
      </c>
      <c r="F12" s="265"/>
    </row>
    <row r="13" spans="1:6" ht="17.25" customHeight="1">
      <c r="B13" s="201"/>
      <c r="C13" s="201"/>
      <c r="D13" s="201"/>
      <c r="E13" s="524"/>
      <c r="F13" s="525"/>
    </row>
    <row r="14" spans="1:6" ht="19.5" customHeight="1" thickBot="1">
      <c r="A14" s="526" t="s">
        <v>2228</v>
      </c>
      <c r="B14" s="527">
        <v>39.71</v>
      </c>
      <c r="C14" s="528">
        <v>41.77</v>
      </c>
      <c r="D14" s="527">
        <v>40.56</v>
      </c>
      <c r="E14" s="529" t="s">
        <v>1060</v>
      </c>
      <c r="F14" s="525"/>
    </row>
    <row r="15" spans="1:6" ht="17.25" customHeight="1">
      <c r="B15" s="201"/>
      <c r="C15" s="201"/>
      <c r="D15" s="201"/>
      <c r="E15" s="524"/>
      <c r="F15" s="525"/>
    </row>
    <row r="16" spans="1:6" ht="19.5" customHeight="1" thickBot="1">
      <c r="A16" s="530" t="s">
        <v>2229</v>
      </c>
      <c r="B16" s="531">
        <v>29950</v>
      </c>
      <c r="C16" s="532">
        <v>34923</v>
      </c>
      <c r="D16" s="531">
        <v>64873</v>
      </c>
      <c r="E16" s="533">
        <v>8.5184794659250978E-3</v>
      </c>
      <c r="F16" s="525"/>
    </row>
    <row r="17" spans="1:7" ht="46.5" customHeight="1">
      <c r="B17" s="202"/>
      <c r="C17" s="202"/>
      <c r="D17" s="202"/>
      <c r="E17" s="525"/>
      <c r="F17" s="525"/>
    </row>
    <row r="18" spans="1:7" ht="38.25" customHeight="1">
      <c r="A18" s="2016" t="s">
        <v>89</v>
      </c>
      <c r="B18" s="2020"/>
      <c r="C18" s="2020"/>
      <c r="D18" s="2020"/>
      <c r="E18" s="2020"/>
      <c r="F18" s="510"/>
    </row>
    <row r="19" spans="1:7" ht="15" customHeight="1">
      <c r="A19" s="509"/>
      <c r="B19" s="393"/>
      <c r="C19" s="393"/>
      <c r="D19" s="393"/>
      <c r="E19" s="393"/>
      <c r="F19" s="393"/>
    </row>
    <row r="20" spans="1:7" ht="38.25" customHeight="1">
      <c r="A20" s="534"/>
      <c r="B20" s="535" t="s">
        <v>1867</v>
      </c>
      <c r="C20" s="536" t="s">
        <v>1868</v>
      </c>
      <c r="D20" s="535" t="s">
        <v>2369</v>
      </c>
      <c r="E20" s="536" t="s">
        <v>164</v>
      </c>
    </row>
    <row r="21" spans="1:7" ht="39" customHeight="1" thickBot="1">
      <c r="A21" s="538" t="s">
        <v>164</v>
      </c>
      <c r="B21" s="539">
        <v>13525</v>
      </c>
      <c r="C21" s="540">
        <v>8823</v>
      </c>
      <c r="D21" s="539">
        <v>3085</v>
      </c>
      <c r="E21" s="541">
        <v>25432</v>
      </c>
      <c r="F21" s="542"/>
      <c r="G21" s="542"/>
    </row>
    <row r="22" spans="1:7" ht="39.75" customHeight="1">
      <c r="D22"/>
      <c r="E22"/>
      <c r="F22"/>
      <c r="G22"/>
    </row>
    <row r="23" spans="1:7" ht="42" customHeight="1">
      <c r="A23" s="2016" t="s">
        <v>90</v>
      </c>
      <c r="B23" s="2020"/>
      <c r="C23" s="2020"/>
      <c r="D23" s="2020"/>
      <c r="E23" s="2020"/>
      <c r="F23" s="510"/>
    </row>
    <row r="24" spans="1:7" ht="15" customHeight="1">
      <c r="A24" s="509"/>
      <c r="B24" s="393"/>
      <c r="C24" s="393"/>
      <c r="D24" s="393"/>
      <c r="E24" s="393"/>
      <c r="F24" s="393"/>
    </row>
    <row r="25" spans="1:7" ht="38.25" customHeight="1">
      <c r="A25" s="534"/>
      <c r="B25" s="535" t="s">
        <v>1867</v>
      </c>
      <c r="C25" s="536" t="s">
        <v>1868</v>
      </c>
      <c r="D25" s="535" t="s">
        <v>2369</v>
      </c>
      <c r="E25" s="536" t="s">
        <v>164</v>
      </c>
    </row>
    <row r="26" spans="1:7" ht="39" customHeight="1" thickBot="1">
      <c r="A26" s="538" t="s">
        <v>164</v>
      </c>
      <c r="B26" s="539">
        <v>10654</v>
      </c>
      <c r="C26" s="540">
        <v>6045</v>
      </c>
      <c r="D26" s="539">
        <v>2788</v>
      </c>
      <c r="E26" s="541">
        <v>19487</v>
      </c>
      <c r="F26" s="542"/>
      <c r="G26" s="542"/>
    </row>
    <row r="27" spans="1:7">
      <c r="D27"/>
      <c r="E27"/>
      <c r="F27"/>
      <c r="G27"/>
    </row>
    <row r="28" spans="1:7">
      <c r="A28" s="202" t="s">
        <v>764</v>
      </c>
      <c r="D28"/>
      <c r="E28"/>
      <c r="F28"/>
      <c r="G28"/>
    </row>
    <row r="29" spans="1:7">
      <c r="D29"/>
      <c r="E29"/>
      <c r="F29"/>
      <c r="G29"/>
    </row>
    <row r="30" spans="1:7">
      <c r="A30" s="2" t="s">
        <v>616</v>
      </c>
      <c r="D30"/>
      <c r="E30"/>
      <c r="F30"/>
      <c r="G30"/>
    </row>
    <row r="31" spans="1:7">
      <c r="A31" s="2" t="s">
        <v>84</v>
      </c>
      <c r="D31"/>
      <c r="E31"/>
      <c r="F31"/>
      <c r="G31"/>
    </row>
    <row r="32" spans="1:7">
      <c r="A32" s="2" t="s">
        <v>85</v>
      </c>
      <c r="D32"/>
      <c r="E32"/>
      <c r="F32"/>
      <c r="G32"/>
    </row>
    <row r="33" spans="1:7">
      <c r="A33" s="2" t="s">
        <v>86</v>
      </c>
      <c r="D33"/>
      <c r="E33"/>
      <c r="F33"/>
      <c r="G33"/>
    </row>
    <row r="34" spans="1:7">
      <c r="D34"/>
      <c r="E34"/>
      <c r="F34"/>
      <c r="G34"/>
    </row>
    <row r="35" spans="1:7">
      <c r="A35" s="2" t="s">
        <v>87</v>
      </c>
      <c r="D35"/>
      <c r="E35"/>
      <c r="F35"/>
      <c r="G35"/>
    </row>
    <row r="38" spans="1:7">
      <c r="A38" s="266" t="s">
        <v>711</v>
      </c>
    </row>
  </sheetData>
  <mergeCells count="4">
    <mergeCell ref="A1:D1"/>
    <mergeCell ref="A18:E18"/>
    <mergeCell ref="A23:E23"/>
    <mergeCell ref="A3:E3"/>
  </mergeCells>
  <phoneticPr fontId="0" type="noConversion"/>
  <pageMargins left="0.57999999999999996" right="0.63" top="0.96" bottom="0.49" header="0.49" footer="0.4921259845"/>
  <pageSetup paperSize="9" scale="81" orientation="portrait" horizontalDpi="1200" verticalDpi="1200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BE7D-1159-594B-BD19-076D836F4E46}">
  <sheetPr>
    <pageSetUpPr fitToPage="1"/>
  </sheetPr>
  <dimension ref="A1:H58"/>
  <sheetViews>
    <sheetView zoomScale="75" workbookViewId="0"/>
  </sheetViews>
  <sheetFormatPr baseColWidth="10" defaultColWidth="11.3984375" defaultRowHeight="13"/>
  <cols>
    <col min="1" max="1" width="14.796875" style="2" customWidth="1"/>
    <col min="2" max="6" width="21" style="2" customWidth="1"/>
    <col min="7" max="7" width="20.19921875" style="2" customWidth="1"/>
    <col min="8" max="8" width="12.19921875" style="2" customWidth="1"/>
    <col min="9" max="16384" width="11.3984375" style="2"/>
  </cols>
  <sheetData>
    <row r="1" spans="1:8" s="1" customFormat="1" ht="14" customHeight="1"/>
    <row r="2" spans="1:8" s="1" customFormat="1" ht="39" customHeight="1">
      <c r="A2" s="2017" t="s">
        <v>551</v>
      </c>
      <c r="B2" s="2021"/>
      <c r="C2" s="2021"/>
      <c r="D2" s="2021"/>
      <c r="E2" s="2021"/>
      <c r="F2" s="177">
        <v>2008</v>
      </c>
    </row>
    <row r="3" spans="1:8" ht="27" customHeight="1">
      <c r="A3" s="178" t="s">
        <v>2368</v>
      </c>
      <c r="B3" s="179" t="s">
        <v>2369</v>
      </c>
      <c r="C3" s="180" t="s">
        <v>2370</v>
      </c>
      <c r="D3" s="179" t="s">
        <v>2371</v>
      </c>
      <c r="E3" s="180" t="s">
        <v>164</v>
      </c>
      <c r="F3" s="179" t="s">
        <v>2372</v>
      </c>
    </row>
    <row r="4" spans="1:8" ht="15" customHeight="1">
      <c r="A4" s="181"/>
      <c r="B4" s="182"/>
      <c r="C4" s="183" t="s">
        <v>2371</v>
      </c>
      <c r="D4" s="184"/>
      <c r="E4" s="183"/>
      <c r="F4" s="182" t="s">
        <v>2373</v>
      </c>
    </row>
    <row r="5" spans="1:8" ht="15" customHeight="1">
      <c r="A5" s="181"/>
      <c r="B5" s="182" t="s">
        <v>2374</v>
      </c>
      <c r="C5" s="183" t="s">
        <v>2375</v>
      </c>
      <c r="D5" s="182" t="s">
        <v>2376</v>
      </c>
      <c r="E5" s="183"/>
      <c r="F5" s="182" t="s">
        <v>2377</v>
      </c>
    </row>
    <row r="6" spans="1:8" ht="24" customHeight="1">
      <c r="A6" s="185"/>
      <c r="B6" s="186"/>
      <c r="C6" s="185"/>
      <c r="D6" s="186"/>
      <c r="E6" s="187"/>
      <c r="F6" s="188"/>
      <c r="H6" s="189"/>
    </row>
    <row r="7" spans="1:8" ht="30" customHeight="1" thickBot="1">
      <c r="A7" s="190" t="s">
        <v>2378</v>
      </c>
      <c r="B7" s="191">
        <v>243196</v>
      </c>
      <c r="C7" s="192">
        <v>101568</v>
      </c>
      <c r="D7" s="191">
        <v>971593</v>
      </c>
      <c r="E7" s="192">
        <v>1316357</v>
      </c>
      <c r="F7" s="193">
        <v>1.7121800528203567E-2</v>
      </c>
      <c r="H7" s="194"/>
    </row>
    <row r="8" spans="1:8" ht="20" customHeight="1" thickBot="1">
      <c r="A8" s="195" t="s">
        <v>2379</v>
      </c>
      <c r="B8" s="191">
        <v>179850</v>
      </c>
      <c r="C8" s="192">
        <v>78596</v>
      </c>
      <c r="D8" s="191">
        <v>703664</v>
      </c>
      <c r="E8" s="192">
        <v>962110</v>
      </c>
      <c r="F8" s="193">
        <v>4.3698665029793596E-3</v>
      </c>
      <c r="H8" s="194"/>
    </row>
    <row r="9" spans="1:8" ht="20" customHeight="1" thickBot="1">
      <c r="A9" s="195" t="s">
        <v>2380</v>
      </c>
      <c r="B9" s="191">
        <v>76502</v>
      </c>
      <c r="C9" s="192">
        <v>33503</v>
      </c>
      <c r="D9" s="191">
        <v>257196</v>
      </c>
      <c r="E9" s="192">
        <v>367201</v>
      </c>
      <c r="F9" s="193">
        <v>1.2390166167181775E-2</v>
      </c>
      <c r="H9" s="194"/>
    </row>
    <row r="10" spans="1:8" ht="20" customHeight="1" thickBot="1">
      <c r="A10" s="195" t="s">
        <v>2381</v>
      </c>
      <c r="B10" s="191">
        <v>7273</v>
      </c>
      <c r="C10" s="192">
        <v>3147</v>
      </c>
      <c r="D10" s="191">
        <v>24719</v>
      </c>
      <c r="E10" s="192">
        <v>35139</v>
      </c>
      <c r="F10" s="193">
        <v>4.0574906420550337E-3</v>
      </c>
      <c r="H10" s="194"/>
    </row>
    <row r="11" spans="1:8" ht="20" customHeight="1" thickBot="1">
      <c r="A11" s="195" t="s">
        <v>2382</v>
      </c>
      <c r="B11" s="191">
        <v>29565</v>
      </c>
      <c r="C11" s="192">
        <v>12313</v>
      </c>
      <c r="D11" s="191">
        <v>100579</v>
      </c>
      <c r="E11" s="192">
        <v>142457</v>
      </c>
      <c r="F11" s="193">
        <v>1.7869901969190315E-2</v>
      </c>
      <c r="H11" s="194"/>
    </row>
    <row r="12" spans="1:8" ht="20" customHeight="1" thickBot="1">
      <c r="A12" s="195" t="s">
        <v>2383</v>
      </c>
      <c r="B12" s="191">
        <v>7387</v>
      </c>
      <c r="C12" s="192">
        <v>3305</v>
      </c>
      <c r="D12" s="191">
        <v>24069</v>
      </c>
      <c r="E12" s="192">
        <v>34761</v>
      </c>
      <c r="F12" s="193">
        <v>1.1229090909090909E-2</v>
      </c>
      <c r="H12" s="194"/>
    </row>
    <row r="13" spans="1:8" ht="20" customHeight="1" thickBot="1">
      <c r="A13" s="195" t="s">
        <v>2384</v>
      </c>
      <c r="B13" s="191">
        <v>7804</v>
      </c>
      <c r="C13" s="192">
        <v>3334</v>
      </c>
      <c r="D13" s="191">
        <v>28869</v>
      </c>
      <c r="E13" s="192">
        <v>40007</v>
      </c>
      <c r="F13" s="193">
        <v>6.4907293265239379E-3</v>
      </c>
      <c r="H13" s="194"/>
    </row>
    <row r="14" spans="1:8" ht="20" customHeight="1" thickBot="1">
      <c r="A14" s="195" t="s">
        <v>2385</v>
      </c>
      <c r="B14" s="191">
        <v>7594</v>
      </c>
      <c r="C14" s="192">
        <v>3665</v>
      </c>
      <c r="D14" s="191">
        <v>27057</v>
      </c>
      <c r="E14" s="192">
        <v>38316</v>
      </c>
      <c r="F14" s="193">
        <v>4.0880503144654088E-3</v>
      </c>
      <c r="H14" s="194"/>
    </row>
    <row r="15" spans="1:8" ht="20" customHeight="1" thickBot="1">
      <c r="A15" s="195" t="s">
        <v>2386</v>
      </c>
      <c r="B15" s="191">
        <v>21469</v>
      </c>
      <c r="C15" s="192">
        <v>8463</v>
      </c>
      <c r="D15" s="191">
        <v>79488</v>
      </c>
      <c r="E15" s="192">
        <v>109420</v>
      </c>
      <c r="F15" s="193">
        <v>1.4820723043534715E-2</v>
      </c>
      <c r="H15" s="194"/>
    </row>
    <row r="16" spans="1:8" ht="20" customHeight="1" thickBot="1">
      <c r="A16" s="195" t="s">
        <v>2387</v>
      </c>
      <c r="B16" s="191">
        <v>60940</v>
      </c>
      <c r="C16" s="192">
        <v>23063</v>
      </c>
      <c r="D16" s="191">
        <v>183503</v>
      </c>
      <c r="E16" s="192">
        <v>267506</v>
      </c>
      <c r="F16" s="193">
        <v>1.9975826161888456E-2</v>
      </c>
      <c r="H16" s="194"/>
    </row>
    <row r="17" spans="1:8" ht="20" customHeight="1" thickBot="1">
      <c r="A17" s="195" t="s">
        <v>2388</v>
      </c>
      <c r="B17" s="191">
        <v>48602</v>
      </c>
      <c r="C17" s="192">
        <v>21991</v>
      </c>
      <c r="D17" s="191">
        <v>181767</v>
      </c>
      <c r="E17" s="192">
        <v>252360</v>
      </c>
      <c r="F17" s="193">
        <v>7.0311814140575739E-3</v>
      </c>
      <c r="H17" s="194"/>
    </row>
    <row r="18" spans="1:8" ht="20" customHeight="1" thickBot="1">
      <c r="A18" s="195" t="s">
        <v>2389</v>
      </c>
      <c r="B18" s="191">
        <v>27997</v>
      </c>
      <c r="C18" s="192">
        <v>13021</v>
      </c>
      <c r="D18" s="191">
        <v>138004</v>
      </c>
      <c r="E18" s="192">
        <v>179022</v>
      </c>
      <c r="F18" s="193">
        <v>3.2953360906553685E-3</v>
      </c>
      <c r="H18" s="194"/>
    </row>
    <row r="19" spans="1:8" ht="20" customHeight="1" thickBot="1">
      <c r="A19" s="195" t="s">
        <v>2390</v>
      </c>
      <c r="B19" s="191">
        <v>49722</v>
      </c>
      <c r="C19" s="192">
        <v>21061</v>
      </c>
      <c r="D19" s="191">
        <v>199115</v>
      </c>
      <c r="E19" s="192">
        <v>269898</v>
      </c>
      <c r="F19" s="193">
        <v>8.7721593266330538E-3</v>
      </c>
      <c r="H19" s="194"/>
    </row>
    <row r="20" spans="1:8" ht="20" customHeight="1" thickBot="1">
      <c r="A20" s="195" t="s">
        <v>2391</v>
      </c>
      <c r="B20" s="191">
        <v>13949</v>
      </c>
      <c r="C20" s="192">
        <v>6642</v>
      </c>
      <c r="D20" s="191">
        <v>55451</v>
      </c>
      <c r="E20" s="192">
        <v>76042</v>
      </c>
      <c r="F20" s="193">
        <v>7.1788079470198676E-3</v>
      </c>
      <c r="H20" s="194"/>
    </row>
    <row r="21" spans="1:8" ht="20" customHeight="1" thickBot="1">
      <c r="A21" s="195" t="s">
        <v>2392</v>
      </c>
      <c r="B21" s="191">
        <v>11013</v>
      </c>
      <c r="C21" s="192">
        <v>4728</v>
      </c>
      <c r="D21" s="191">
        <v>37649</v>
      </c>
      <c r="E21" s="192">
        <v>53390</v>
      </c>
      <c r="F21" s="193">
        <v>3.25084089670594E-3</v>
      </c>
      <c r="H21" s="194"/>
    </row>
    <row r="22" spans="1:8" ht="20" customHeight="1" thickBot="1">
      <c r="A22" s="195" t="s">
        <v>2393</v>
      </c>
      <c r="B22" s="191">
        <v>3606</v>
      </c>
      <c r="C22" s="192">
        <v>1531</v>
      </c>
      <c r="D22" s="191">
        <v>10310</v>
      </c>
      <c r="E22" s="192">
        <v>15447</v>
      </c>
      <c r="F22" s="193">
        <v>6.581519614231722E-3</v>
      </c>
      <c r="H22" s="194"/>
    </row>
    <row r="23" spans="1:8" ht="20" customHeight="1" thickBot="1">
      <c r="A23" s="195" t="s">
        <v>2394</v>
      </c>
      <c r="B23" s="191">
        <v>98647</v>
      </c>
      <c r="C23" s="192">
        <v>44820</v>
      </c>
      <c r="D23" s="191">
        <v>326067</v>
      </c>
      <c r="E23" s="192">
        <v>469534</v>
      </c>
      <c r="F23" s="193">
        <v>8.0487778696179575E-3</v>
      </c>
      <c r="H23" s="194"/>
    </row>
    <row r="24" spans="1:8" ht="20" customHeight="1" thickBot="1">
      <c r="A24" s="195" t="s">
        <v>2395</v>
      </c>
      <c r="B24" s="191">
        <v>35623</v>
      </c>
      <c r="C24" s="192">
        <v>18328</v>
      </c>
      <c r="D24" s="191">
        <v>140324</v>
      </c>
      <c r="E24" s="192">
        <v>194275</v>
      </c>
      <c r="F24" s="193">
        <v>4.4827514890800795E-3</v>
      </c>
      <c r="H24" s="194"/>
    </row>
    <row r="25" spans="1:8" ht="20" customHeight="1" thickBot="1">
      <c r="A25" s="195" t="s">
        <v>2396</v>
      </c>
      <c r="B25" s="191">
        <v>118817</v>
      </c>
      <c r="C25" s="192">
        <v>51203</v>
      </c>
      <c r="D25" s="191">
        <v>421758</v>
      </c>
      <c r="E25" s="192">
        <v>591778</v>
      </c>
      <c r="F25" s="193">
        <v>1.4832052598996106E-2</v>
      </c>
      <c r="H25" s="194"/>
    </row>
    <row r="26" spans="1:8" ht="20" customHeight="1" thickBot="1">
      <c r="A26" s="195" t="s">
        <v>2397</v>
      </c>
      <c r="B26" s="191">
        <v>51313</v>
      </c>
      <c r="C26" s="192">
        <v>22412</v>
      </c>
      <c r="D26" s="191">
        <v>168058</v>
      </c>
      <c r="E26" s="192">
        <v>241783</v>
      </c>
      <c r="F26" s="193">
        <v>1.1272000267683865E-2</v>
      </c>
      <c r="H26" s="194"/>
    </row>
    <row r="27" spans="1:8" ht="20" customHeight="1" thickBot="1">
      <c r="A27" s="195" t="s">
        <v>2398</v>
      </c>
      <c r="B27" s="191">
        <v>57892</v>
      </c>
      <c r="C27" s="192">
        <v>22504</v>
      </c>
      <c r="D27" s="191">
        <v>243414</v>
      </c>
      <c r="E27" s="192">
        <v>323810</v>
      </c>
      <c r="F27" s="193">
        <v>1.0286634239484825E-2</v>
      </c>
      <c r="H27" s="194"/>
    </row>
    <row r="28" spans="1:8" ht="20" customHeight="1" thickBot="1">
      <c r="A28" s="195" t="s">
        <v>2399</v>
      </c>
      <c r="B28" s="191">
        <v>143411</v>
      </c>
      <c r="C28" s="192">
        <v>53077</v>
      </c>
      <c r="D28" s="191">
        <v>471306</v>
      </c>
      <c r="E28" s="192">
        <v>667794</v>
      </c>
      <c r="F28" s="193">
        <v>1.8099713075640091E-2</v>
      </c>
      <c r="H28" s="194"/>
    </row>
    <row r="29" spans="1:8" ht="20" customHeight="1" thickBot="1">
      <c r="A29" s="195" t="s">
        <v>2400</v>
      </c>
      <c r="B29" s="191">
        <v>60754</v>
      </c>
      <c r="C29" s="192">
        <v>27020</v>
      </c>
      <c r="D29" s="191">
        <v>217011</v>
      </c>
      <c r="E29" s="192">
        <v>304785</v>
      </c>
      <c r="F29" s="193">
        <v>1.1902390438247012E-2</v>
      </c>
      <c r="H29" s="194"/>
    </row>
    <row r="30" spans="1:8" ht="20" customHeight="1" thickBot="1">
      <c r="A30" s="195" t="s">
        <v>2401</v>
      </c>
      <c r="B30" s="191">
        <v>35557</v>
      </c>
      <c r="C30" s="192">
        <v>13856</v>
      </c>
      <c r="D30" s="191">
        <v>120396</v>
      </c>
      <c r="E30" s="192">
        <v>169809</v>
      </c>
      <c r="F30" s="193">
        <v>6.3292264476327628E-3</v>
      </c>
      <c r="H30" s="194"/>
    </row>
    <row r="31" spans="1:8" ht="20" customHeight="1" thickBot="1">
      <c r="A31" s="195" t="s">
        <v>2402</v>
      </c>
      <c r="B31" s="191">
        <v>87241</v>
      </c>
      <c r="C31" s="192">
        <v>30976</v>
      </c>
      <c r="D31" s="191">
        <v>291871</v>
      </c>
      <c r="E31" s="192">
        <v>410088</v>
      </c>
      <c r="F31" s="193">
        <v>7.6045533952672408E-3</v>
      </c>
      <c r="H31" s="194"/>
    </row>
    <row r="32" spans="1:8" ht="20" customHeight="1" thickBot="1">
      <c r="A32" s="196" t="s">
        <v>2403</v>
      </c>
      <c r="B32" s="191">
        <v>15196</v>
      </c>
      <c r="C32" s="192">
        <v>5981</v>
      </c>
      <c r="D32" s="191">
        <v>48602</v>
      </c>
      <c r="E32" s="192">
        <v>69779</v>
      </c>
      <c r="F32" s="193">
        <v>4.2022248765956225E-3</v>
      </c>
      <c r="H32" s="194"/>
    </row>
    <row r="33" spans="1:8" ht="30" customHeight="1" thickBot="1">
      <c r="A33" s="197" t="s">
        <v>2404</v>
      </c>
      <c r="B33" s="198">
        <v>1500920</v>
      </c>
      <c r="C33" s="199">
        <v>630108</v>
      </c>
      <c r="D33" s="198">
        <v>5471840</v>
      </c>
      <c r="E33" s="199">
        <v>7602868</v>
      </c>
      <c r="F33" s="200">
        <v>1.1414159272492848E-2</v>
      </c>
      <c r="H33" s="194"/>
    </row>
    <row r="34" spans="1:8" ht="20" customHeight="1">
      <c r="A34" s="201" t="s">
        <v>974</v>
      </c>
      <c r="B34" s="201"/>
      <c r="C34" s="201"/>
      <c r="D34" s="201"/>
      <c r="E34" s="201"/>
      <c r="F34" s="201"/>
      <c r="H34" s="189"/>
    </row>
    <row r="35" spans="1:8" ht="11.25" customHeight="1">
      <c r="A35" s="202"/>
      <c r="B35" s="202"/>
      <c r="C35" s="202"/>
      <c r="D35" s="202"/>
      <c r="E35" s="202"/>
      <c r="F35" s="202"/>
      <c r="H35" s="189"/>
    </row>
    <row r="36" spans="1:8" ht="14.25" customHeight="1">
      <c r="A36" s="202" t="s">
        <v>2405</v>
      </c>
      <c r="B36" s="202"/>
      <c r="C36" s="202"/>
      <c r="D36" s="202"/>
      <c r="E36" s="202"/>
      <c r="F36" s="202"/>
      <c r="H36" s="189"/>
    </row>
    <row r="37" spans="1:8" ht="13.5" customHeight="1">
      <c r="A37" s="202"/>
      <c r="B37" s="202"/>
      <c r="C37" s="202"/>
      <c r="D37" s="202"/>
      <c r="E37" s="202"/>
      <c r="F37" s="202"/>
      <c r="H37" s="189"/>
    </row>
    <row r="38" spans="1:8" ht="12" customHeight="1">
      <c r="A38" s="202" t="s">
        <v>2406</v>
      </c>
    </row>
    <row r="39" spans="1:8" ht="12" customHeight="1">
      <c r="A39" s="1899" t="s">
        <v>2266</v>
      </c>
    </row>
    <row r="40" spans="1:8" ht="12" customHeight="1">
      <c r="A40" s="1902" t="s">
        <v>2273</v>
      </c>
    </row>
    <row r="41" spans="1:8" ht="12" customHeight="1">
      <c r="A41" s="202" t="s">
        <v>2274</v>
      </c>
    </row>
    <row r="42" spans="1:8" ht="12" customHeight="1">
      <c r="A42" s="2" t="s">
        <v>2267</v>
      </c>
    </row>
    <row r="43" spans="1:8" ht="12" customHeight="1">
      <c r="A43" s="2" t="s">
        <v>2407</v>
      </c>
    </row>
    <row r="44" spans="1:8" ht="12" customHeight="1">
      <c r="A44" s="2" t="s">
        <v>2408</v>
      </c>
    </row>
    <row r="45" spans="1:8" ht="12" customHeight="1">
      <c r="A45" s="2" t="s">
        <v>2409</v>
      </c>
    </row>
    <row r="46" spans="1:8" ht="12" customHeight="1">
      <c r="A46" s="2" t="s">
        <v>546</v>
      </c>
    </row>
    <row r="47" spans="1:8" ht="12" customHeight="1">
      <c r="A47" s="2" t="s">
        <v>547</v>
      </c>
    </row>
    <row r="48" spans="1:8" ht="12" customHeight="1">
      <c r="A48" s="2" t="s">
        <v>548</v>
      </c>
    </row>
    <row r="49" spans="1:1" ht="12" customHeight="1">
      <c r="A49" s="2" t="s">
        <v>549</v>
      </c>
    </row>
    <row r="50" spans="1:1" ht="12" customHeight="1">
      <c r="A50" s="2" t="s">
        <v>550</v>
      </c>
    </row>
    <row r="51" spans="1:1" ht="12" customHeight="1">
      <c r="A51" s="1899" t="s">
        <v>2268</v>
      </c>
    </row>
    <row r="52" spans="1:1" ht="12" customHeight="1">
      <c r="A52" s="1900" t="s">
        <v>2269</v>
      </c>
    </row>
    <row r="53" spans="1:1" ht="12" customHeight="1">
      <c r="A53" s="1901" t="s">
        <v>2270</v>
      </c>
    </row>
    <row r="54" spans="1:1" ht="12" customHeight="1">
      <c r="A54" s="1901" t="s">
        <v>2271</v>
      </c>
    </row>
    <row r="55" spans="1:1" ht="12" customHeight="1">
      <c r="A55" s="1901" t="s">
        <v>2272</v>
      </c>
    </row>
    <row r="56" spans="1:1" ht="12" customHeight="1">
      <c r="A56" s="93"/>
    </row>
    <row r="57" spans="1:1" ht="12" customHeight="1"/>
    <row r="58" spans="1:1" ht="12" customHeight="1">
      <c r="A58" s="202" t="s">
        <v>711</v>
      </c>
    </row>
  </sheetData>
  <mergeCells count="1">
    <mergeCell ref="A2:E2"/>
  </mergeCells>
  <phoneticPr fontId="0" type="noConversion"/>
  <pageMargins left="0.5" right="0.36" top="0.87" bottom="0.49" header="0.51" footer="0.4921259845"/>
  <pageSetup paperSize="9" scale="67" orientation="portrait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9C8A-F8D3-964F-B2E5-89ED49006B53}">
  <dimension ref="A1:K41"/>
  <sheetViews>
    <sheetView zoomScale="75" workbookViewId="0">
      <selection activeCell="G5" sqref="G5"/>
    </sheetView>
  </sheetViews>
  <sheetFormatPr baseColWidth="10" defaultColWidth="11.3984375" defaultRowHeight="13"/>
  <cols>
    <col min="1" max="1" width="13.796875" style="2" customWidth="1"/>
    <col min="2" max="2" width="14.796875" style="224" customWidth="1"/>
    <col min="3" max="3" width="14.796875" style="225" customWidth="1"/>
    <col min="4" max="4" width="14.796875" style="224" customWidth="1"/>
    <col min="5" max="5" width="14.796875" style="225" customWidth="1"/>
    <col min="6" max="6" width="14.796875" style="224" customWidth="1"/>
    <col min="7" max="7" width="14.796875" style="225" customWidth="1"/>
    <col min="8" max="8" width="7.3984375" style="2" customWidth="1"/>
    <col min="9" max="9" width="8" style="2" customWidth="1"/>
    <col min="10" max="10" width="7.796875" style="2" customWidth="1"/>
    <col min="11" max="11" width="9" style="2" customWidth="1"/>
    <col min="12" max="16384" width="11.3984375" style="2"/>
  </cols>
  <sheetData>
    <row r="1" spans="1:11" s="1" customFormat="1" ht="18.75" customHeight="1">
      <c r="A1" s="203"/>
      <c r="B1" s="204"/>
      <c r="C1" s="205"/>
      <c r="D1" s="206"/>
      <c r="E1" s="205"/>
      <c r="F1" s="206"/>
      <c r="G1" s="205"/>
    </row>
    <row r="2" spans="1:11" s="1" customFormat="1" ht="42" customHeight="1">
      <c r="A2" s="2045" t="s">
        <v>1866</v>
      </c>
      <c r="B2" s="2021"/>
      <c r="C2" s="2021"/>
      <c r="D2" s="2021"/>
      <c r="E2" s="2021"/>
      <c r="F2" s="2021"/>
      <c r="G2" s="207">
        <v>2008</v>
      </c>
    </row>
    <row r="3" spans="1:11" ht="27" customHeight="1">
      <c r="A3" s="178" t="s">
        <v>1843</v>
      </c>
      <c r="B3" s="208" t="s">
        <v>1844</v>
      </c>
      <c r="C3" s="180" t="s">
        <v>1845</v>
      </c>
      <c r="D3" s="208" t="s">
        <v>1846</v>
      </c>
      <c r="E3" s="180" t="s">
        <v>1845</v>
      </c>
      <c r="F3" s="208" t="s">
        <v>164</v>
      </c>
      <c r="G3" s="180" t="s">
        <v>2372</v>
      </c>
    </row>
    <row r="4" spans="1:11" ht="15" customHeight="1">
      <c r="A4" s="181"/>
      <c r="B4" s="209"/>
      <c r="C4" s="183" t="s">
        <v>1847</v>
      </c>
      <c r="D4" s="209"/>
      <c r="E4" s="183" t="s">
        <v>1847</v>
      </c>
      <c r="F4" s="209"/>
      <c r="G4" s="183" t="s">
        <v>1848</v>
      </c>
    </row>
    <row r="5" spans="1:11" ht="15" customHeight="1">
      <c r="A5" s="181"/>
      <c r="B5" s="209"/>
      <c r="C5" s="183" t="s">
        <v>1844</v>
      </c>
      <c r="D5" s="209"/>
      <c r="E5" s="183" t="s">
        <v>1846</v>
      </c>
      <c r="F5" s="209"/>
      <c r="G5" s="183" t="s">
        <v>2377</v>
      </c>
    </row>
    <row r="6" spans="1:11" ht="19.5" customHeight="1">
      <c r="A6" s="185"/>
      <c r="B6" s="210"/>
      <c r="C6" s="187"/>
      <c r="D6" s="210"/>
      <c r="E6" s="187"/>
      <c r="F6" s="210"/>
      <c r="G6" s="187"/>
    </row>
    <row r="7" spans="1:11" ht="30" customHeight="1" thickBot="1">
      <c r="A7" s="190" t="s">
        <v>1849</v>
      </c>
      <c r="B7" s="211">
        <v>769510</v>
      </c>
      <c r="C7" s="212">
        <v>0.20623151444593454</v>
      </c>
      <c r="D7" s="211">
        <v>731412</v>
      </c>
      <c r="E7" s="212">
        <v>0.18891841461978273</v>
      </c>
      <c r="F7" s="211">
        <v>1500922</v>
      </c>
      <c r="G7" s="212">
        <v>-5.1874507641667684E-4</v>
      </c>
      <c r="I7" s="95"/>
      <c r="J7" s="95"/>
      <c r="K7" s="95"/>
    </row>
    <row r="8" spans="1:11" ht="20" customHeight="1" thickBot="1">
      <c r="A8" s="195" t="s">
        <v>1850</v>
      </c>
      <c r="B8" s="213">
        <v>314652</v>
      </c>
      <c r="C8" s="214">
        <v>8.4327895002588915E-2</v>
      </c>
      <c r="D8" s="213">
        <v>315456</v>
      </c>
      <c r="E8" s="214">
        <v>8.1479996776506525E-2</v>
      </c>
      <c r="F8" s="213">
        <v>630108</v>
      </c>
      <c r="G8" s="214">
        <v>1.4413471677761589E-2</v>
      </c>
      <c r="I8" s="95"/>
      <c r="J8" s="95"/>
      <c r="K8" s="95"/>
    </row>
    <row r="9" spans="1:11" ht="20" customHeight="1" thickBot="1">
      <c r="A9" s="195" t="s">
        <v>1851</v>
      </c>
      <c r="B9" s="213">
        <v>249679</v>
      </c>
      <c r="C9" s="214">
        <v>6.6914891678271221E-2</v>
      </c>
      <c r="D9" s="213">
        <v>247692</v>
      </c>
      <c r="E9" s="214">
        <v>6.397704707333654E-2</v>
      </c>
      <c r="F9" s="213">
        <v>497371</v>
      </c>
      <c r="G9" s="214">
        <v>2.7687609381553853E-2</v>
      </c>
      <c r="I9" s="95"/>
      <c r="J9" s="95"/>
      <c r="K9" s="95"/>
    </row>
    <row r="10" spans="1:11" ht="20" customHeight="1" thickBot="1">
      <c r="A10" s="195" t="s">
        <v>1852</v>
      </c>
      <c r="B10" s="213">
        <v>257166</v>
      </c>
      <c r="C10" s="214">
        <v>6.8921435256206157E-2</v>
      </c>
      <c r="D10" s="213">
        <v>257172</v>
      </c>
      <c r="E10" s="214">
        <v>6.6425662314261683E-2</v>
      </c>
      <c r="F10" s="213">
        <v>514338</v>
      </c>
      <c r="G10" s="214">
        <v>5.8556096156502351E-4</v>
      </c>
      <c r="I10" s="95"/>
      <c r="J10" s="95"/>
      <c r="K10" s="95"/>
    </row>
    <row r="11" spans="1:11" ht="20" customHeight="1" thickBot="1">
      <c r="A11" s="195" t="s">
        <v>1853</v>
      </c>
      <c r="B11" s="213">
        <v>294153</v>
      </c>
      <c r="C11" s="214">
        <v>7.8834087495698535E-2</v>
      </c>
      <c r="D11" s="213">
        <v>293617</v>
      </c>
      <c r="E11" s="214">
        <v>7.5839141476236036E-2</v>
      </c>
      <c r="F11" s="213">
        <v>587770</v>
      </c>
      <c r="G11" s="214">
        <v>-1.4782371113111372E-2</v>
      </c>
      <c r="I11" s="95"/>
      <c r="J11" s="95"/>
      <c r="K11" s="95"/>
    </row>
    <row r="12" spans="1:11" ht="20" customHeight="1" thickBot="1">
      <c r="A12" s="195" t="s">
        <v>1854</v>
      </c>
      <c r="B12" s="213">
        <v>328730</v>
      </c>
      <c r="C12" s="214">
        <v>8.8100850858094187E-2</v>
      </c>
      <c r="D12" s="213">
        <v>321345</v>
      </c>
      <c r="E12" s="214">
        <v>8.300108276319515E-2</v>
      </c>
      <c r="F12" s="213">
        <v>650075</v>
      </c>
      <c r="G12" s="214">
        <v>8.460785484804249E-3</v>
      </c>
      <c r="I12" s="95"/>
      <c r="J12" s="95"/>
      <c r="K12" s="95"/>
    </row>
    <row r="13" spans="1:11" ht="20" customHeight="1" thickBot="1">
      <c r="A13" s="195" t="s">
        <v>1855</v>
      </c>
      <c r="B13" s="213">
        <v>300494</v>
      </c>
      <c r="C13" s="214">
        <v>8.0533498852408222E-2</v>
      </c>
      <c r="D13" s="213">
        <v>293358</v>
      </c>
      <c r="E13" s="214">
        <v>7.5772243654780386E-2</v>
      </c>
      <c r="F13" s="213">
        <v>593852</v>
      </c>
      <c r="G13" s="214">
        <v>3.1095091007269815E-2</v>
      </c>
      <c r="I13" s="95"/>
      <c r="J13" s="95"/>
      <c r="K13" s="95"/>
    </row>
    <row r="14" spans="1:11" ht="20" customHeight="1" thickBot="1">
      <c r="A14" s="195" t="s">
        <v>1856</v>
      </c>
      <c r="B14" s="213">
        <v>260660</v>
      </c>
      <c r="C14" s="214">
        <v>6.9857840126154688E-2</v>
      </c>
      <c r="D14" s="213">
        <v>255695</v>
      </c>
      <c r="E14" s="214">
        <v>6.6044163927041599E-2</v>
      </c>
      <c r="F14" s="213">
        <v>516355</v>
      </c>
      <c r="G14" s="214">
        <v>2.4314716582886663E-2</v>
      </c>
      <c r="I14" s="95"/>
      <c r="J14" s="95"/>
      <c r="K14" s="95"/>
    </row>
    <row r="15" spans="1:11" ht="20" customHeight="1" thickBot="1">
      <c r="A15" s="195" t="s">
        <v>1857</v>
      </c>
      <c r="B15" s="213">
        <v>235257</v>
      </c>
      <c r="C15" s="214">
        <v>6.3049742555661689E-2</v>
      </c>
      <c r="D15" s="213">
        <v>236507</v>
      </c>
      <c r="E15" s="214">
        <v>6.1088042698890579E-2</v>
      </c>
      <c r="F15" s="213">
        <v>471764</v>
      </c>
      <c r="G15" s="214">
        <v>2.309439381996571E-3</v>
      </c>
      <c r="I15" s="95"/>
      <c r="J15" s="95"/>
      <c r="K15" s="95"/>
    </row>
    <row r="16" spans="1:11" ht="20" customHeight="1" thickBot="1">
      <c r="A16" s="195" t="s">
        <v>1858</v>
      </c>
      <c r="B16" s="213">
        <v>216670</v>
      </c>
      <c r="C16" s="214">
        <v>5.806835809151361E-2</v>
      </c>
      <c r="D16" s="213">
        <v>222687</v>
      </c>
      <c r="E16" s="214">
        <v>5.7518436936276077E-2</v>
      </c>
      <c r="F16" s="213">
        <v>439357</v>
      </c>
      <c r="G16" s="214">
        <v>2.124984019618098E-2</v>
      </c>
      <c r="I16" s="95"/>
      <c r="J16" s="95"/>
      <c r="K16" s="95"/>
    </row>
    <row r="17" spans="1:11" ht="20" customHeight="1" thickBot="1">
      <c r="A17" s="195" t="s">
        <v>1859</v>
      </c>
      <c r="B17" s="213">
        <v>163234</v>
      </c>
      <c r="C17" s="214">
        <v>4.374731326307349E-2</v>
      </c>
      <c r="D17" s="213">
        <v>181258</v>
      </c>
      <c r="E17" s="214">
        <v>4.6817626723587503E-2</v>
      </c>
      <c r="F17" s="213">
        <v>344492</v>
      </c>
      <c r="G17" s="214">
        <v>4.3361853562504729E-2</v>
      </c>
      <c r="I17" s="95"/>
      <c r="J17" s="95"/>
      <c r="K17" s="95"/>
    </row>
    <row r="18" spans="1:11" ht="20" customHeight="1" thickBot="1">
      <c r="A18" s="195" t="s">
        <v>1860</v>
      </c>
      <c r="B18" s="213">
        <v>129793</v>
      </c>
      <c r="C18" s="214">
        <v>3.4785002085068656E-2</v>
      </c>
      <c r="D18" s="213">
        <v>157849</v>
      </c>
      <c r="E18" s="214">
        <v>4.0771251810632153E-2</v>
      </c>
      <c r="F18" s="213">
        <v>287642</v>
      </c>
      <c r="G18" s="214">
        <v>4.2173764287759133E-3</v>
      </c>
      <c r="I18" s="95"/>
      <c r="J18" s="95"/>
      <c r="K18" s="95"/>
    </row>
    <row r="19" spans="1:11" ht="20" customHeight="1" thickBot="1">
      <c r="A19" s="195" t="s">
        <v>1861</v>
      </c>
      <c r="B19" s="213">
        <v>100419</v>
      </c>
      <c r="C19" s="214">
        <v>2.6912661887624985E-2</v>
      </c>
      <c r="D19" s="213">
        <v>140855</v>
      </c>
      <c r="E19" s="214">
        <v>3.6381824869252212E-2</v>
      </c>
      <c r="F19" s="213">
        <v>241274</v>
      </c>
      <c r="G19" s="214">
        <v>1.8098191868683673E-2</v>
      </c>
      <c r="I19" s="95"/>
      <c r="J19" s="95"/>
      <c r="K19" s="95"/>
    </row>
    <row r="20" spans="1:11" ht="20" customHeight="1" thickBot="1">
      <c r="A20" s="195" t="s">
        <v>1862</v>
      </c>
      <c r="B20" s="213">
        <v>65905</v>
      </c>
      <c r="C20" s="214">
        <v>1.7662782757286215E-2</v>
      </c>
      <c r="D20" s="213">
        <v>112573</v>
      </c>
      <c r="E20" s="214">
        <v>2.9076789400492204E-2</v>
      </c>
      <c r="F20" s="213">
        <v>178478</v>
      </c>
      <c r="G20" s="214">
        <v>1.2411367632877644E-2</v>
      </c>
      <c r="I20" s="95"/>
      <c r="J20" s="95"/>
      <c r="K20" s="95"/>
    </row>
    <row r="21" spans="1:11" ht="20" customHeight="1" thickBot="1">
      <c r="A21" s="195" t="s">
        <v>1863</v>
      </c>
      <c r="B21" s="213">
        <v>32964</v>
      </c>
      <c r="C21" s="214">
        <v>8.8344734210026987E-3</v>
      </c>
      <c r="D21" s="213">
        <v>68632</v>
      </c>
      <c r="E21" s="214">
        <v>1.7727147807507847E-2</v>
      </c>
      <c r="F21" s="213">
        <v>101596</v>
      </c>
      <c r="G21" s="214">
        <v>4.8267607668338181E-2</v>
      </c>
      <c r="I21" s="95"/>
      <c r="J21" s="95"/>
      <c r="K21" s="95"/>
    </row>
    <row r="22" spans="1:11" ht="20" customHeight="1" thickBot="1">
      <c r="A22" s="195" t="s">
        <v>1864</v>
      </c>
      <c r="B22" s="213">
        <v>12006</v>
      </c>
      <c r="C22" s="214">
        <v>3.2176522234121587E-3</v>
      </c>
      <c r="D22" s="213">
        <v>35468</v>
      </c>
      <c r="E22" s="214">
        <v>9.1611271482207757E-3</v>
      </c>
      <c r="F22" s="213">
        <v>47474</v>
      </c>
      <c r="G22" s="214">
        <v>4.6131708142881324E-3</v>
      </c>
      <c r="I22" s="95"/>
      <c r="J22" s="95"/>
      <c r="K22" s="95"/>
    </row>
    <row r="23" spans="1:11" s="217" customFormat="1" ht="21" customHeight="1" thickBot="1">
      <c r="A23" s="197" t="s">
        <v>164</v>
      </c>
      <c r="B23" s="215">
        <v>3731292</v>
      </c>
      <c r="C23" s="216">
        <v>1</v>
      </c>
      <c r="D23" s="215">
        <v>3871576</v>
      </c>
      <c r="E23" s="216">
        <v>1</v>
      </c>
      <c r="F23" s="215">
        <v>7602868</v>
      </c>
      <c r="G23" s="216">
        <v>1.1414428370647321E-2</v>
      </c>
      <c r="I23" s="218"/>
      <c r="J23" s="218"/>
      <c r="K23" s="218"/>
    </row>
    <row r="24" spans="1:11" ht="20" customHeight="1">
      <c r="A24" s="201" t="s">
        <v>974</v>
      </c>
      <c r="B24" s="219"/>
      <c r="C24" s="220"/>
      <c r="D24" s="219"/>
      <c r="E24" s="220"/>
      <c r="F24" s="219"/>
      <c r="G24" s="220"/>
    </row>
    <row r="25" spans="1:11" ht="12.75" customHeight="1">
      <c r="A25" s="202"/>
      <c r="B25" s="221"/>
      <c r="C25" s="222"/>
      <c r="D25" s="221"/>
      <c r="E25" s="222"/>
      <c r="F25" s="221"/>
      <c r="G25" s="222"/>
    </row>
    <row r="26" spans="1:11" ht="16.5" customHeight="1">
      <c r="A26" s="202" t="s">
        <v>2405</v>
      </c>
      <c r="B26" s="221"/>
      <c r="C26" s="222"/>
      <c r="D26" s="221"/>
      <c r="E26" s="222"/>
      <c r="F26" s="221"/>
      <c r="G26" s="222"/>
    </row>
    <row r="27" spans="1:11" ht="11.25" customHeight="1">
      <c r="A27" s="202"/>
      <c r="B27" s="221"/>
      <c r="C27" s="222"/>
      <c r="D27" s="221"/>
      <c r="E27" s="222"/>
      <c r="F27" s="221"/>
      <c r="G27" s="222"/>
    </row>
    <row r="28" spans="1:11" ht="17.25" customHeight="1">
      <c r="A28" s="202" t="s">
        <v>2406</v>
      </c>
      <c r="B28" s="221"/>
      <c r="C28" s="222"/>
      <c r="D28" s="221"/>
      <c r="E28" s="222"/>
      <c r="F28" s="221"/>
      <c r="G28" s="222"/>
    </row>
    <row r="29" spans="1:11" ht="12" customHeight="1">
      <c r="A29" s="223" t="s">
        <v>1865</v>
      </c>
      <c r="B29" s="2"/>
      <c r="C29" s="2"/>
      <c r="D29" s="2"/>
      <c r="E29" s="2"/>
      <c r="F29" s="2"/>
      <c r="G29" s="92"/>
    </row>
    <row r="30" spans="1:11" ht="12" customHeight="1">
      <c r="A30" s="202"/>
      <c r="B30" s="221"/>
      <c r="C30" s="222"/>
      <c r="D30" s="221"/>
      <c r="E30" s="222"/>
      <c r="F30" s="221"/>
      <c r="G30" s="222"/>
    </row>
    <row r="31" spans="1:11" ht="14.25" customHeight="1">
      <c r="A31" s="202"/>
      <c r="B31" s="221"/>
      <c r="C31" s="222"/>
      <c r="D31" s="221"/>
      <c r="E31" s="222"/>
      <c r="F31" s="221"/>
      <c r="G31" s="222"/>
    </row>
    <row r="32" spans="1:11" ht="15.75" customHeight="1">
      <c r="A32" s="202" t="s">
        <v>711</v>
      </c>
      <c r="B32" s="221"/>
      <c r="C32" s="222"/>
      <c r="D32" s="221"/>
      <c r="E32" s="222"/>
      <c r="F32" s="221"/>
      <c r="G32" s="222"/>
    </row>
    <row r="33" spans="1:9" ht="18" customHeight="1">
      <c r="A33"/>
    </row>
    <row r="34" spans="1:9" ht="30" customHeight="1"/>
    <row r="35" spans="1:9" ht="30" customHeight="1">
      <c r="I35" s="226"/>
    </row>
    <row r="36" spans="1:9" ht="30" customHeight="1"/>
    <row r="37" spans="1:9" ht="30" customHeight="1"/>
    <row r="38" spans="1:9" ht="30" customHeight="1"/>
    <row r="39" spans="1:9" ht="30" customHeight="1"/>
    <row r="40" spans="1:9" ht="30" customHeight="1"/>
    <row r="41" spans="1:9" ht="30" customHeight="1"/>
  </sheetData>
  <mergeCells count="1">
    <mergeCell ref="A2:F2"/>
  </mergeCells>
  <phoneticPr fontId="0" type="noConversion"/>
  <pageMargins left="0.65" right="0.54" top="0.85" bottom="0.49" header="0.44" footer="0.4921259845"/>
  <pageSetup paperSize="9" scale="80" orientation="portrait"/>
  <headerFooter alignWithMargins="0"/>
  <rowBreaks count="1" manualBreakCount="1">
    <brk id="32" max="16383" man="1"/>
  </rowBreak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F521-320E-5D4A-A264-FCAFDEBB5AB7}">
  <dimension ref="A1:H42"/>
  <sheetViews>
    <sheetView zoomScale="75" workbookViewId="0">
      <selection activeCell="J7" sqref="J7"/>
    </sheetView>
  </sheetViews>
  <sheetFormatPr baseColWidth="10" defaultColWidth="11.3984375" defaultRowHeight="13"/>
  <cols>
    <col min="1" max="5" width="14.796875" style="2" customWidth="1"/>
    <col min="6" max="6" width="15.59765625" style="2" customWidth="1"/>
    <col min="7" max="7" width="15" style="159" customWidth="1"/>
    <col min="8" max="8" width="12.19921875" style="2" customWidth="1"/>
    <col min="9" max="16384" width="11.3984375" style="2"/>
  </cols>
  <sheetData>
    <row r="1" spans="1:8" s="1" customFormat="1" ht="14" customHeight="1">
      <c r="G1" s="564"/>
    </row>
    <row r="2" spans="1:8" s="1" customFormat="1" ht="28" customHeight="1">
      <c r="A2" s="177" t="s">
        <v>1645</v>
      </c>
      <c r="F2" s="177"/>
      <c r="G2" s="177">
        <v>2008</v>
      </c>
    </row>
    <row r="3" spans="1:8" ht="27" customHeight="1">
      <c r="A3" s="178" t="s">
        <v>2368</v>
      </c>
      <c r="B3" s="179" t="s">
        <v>2369</v>
      </c>
      <c r="C3" s="180" t="s">
        <v>1867</v>
      </c>
      <c r="D3" s="179" t="s">
        <v>1868</v>
      </c>
      <c r="E3" s="180" t="s">
        <v>164</v>
      </c>
      <c r="F3" s="179" t="s">
        <v>164</v>
      </c>
      <c r="G3" s="860" t="s">
        <v>554</v>
      </c>
    </row>
    <row r="4" spans="1:8" ht="15" customHeight="1">
      <c r="A4" s="181"/>
      <c r="B4" s="182"/>
      <c r="C4" s="181"/>
      <c r="D4" s="184"/>
      <c r="E4" s="183" t="s">
        <v>2371</v>
      </c>
      <c r="F4" s="182" t="s">
        <v>1869</v>
      </c>
      <c r="G4" s="861" t="s">
        <v>2369</v>
      </c>
    </row>
    <row r="5" spans="1:8" ht="15" customHeight="1">
      <c r="A5" s="181"/>
      <c r="B5" s="182"/>
      <c r="C5" s="181"/>
      <c r="D5" s="184"/>
      <c r="E5" s="183"/>
      <c r="F5" s="182" t="s">
        <v>2371</v>
      </c>
      <c r="G5" s="861" t="s">
        <v>2224</v>
      </c>
    </row>
    <row r="6" spans="1:8" ht="24" customHeight="1">
      <c r="A6" s="185"/>
      <c r="B6" s="186"/>
      <c r="C6" s="185"/>
      <c r="D6" s="186"/>
      <c r="E6" s="187"/>
      <c r="F6" s="188"/>
      <c r="G6" s="857"/>
      <c r="H6" s="189"/>
    </row>
    <row r="7" spans="1:8" ht="30" customHeight="1" thickBot="1">
      <c r="A7" s="190" t="s">
        <v>2378</v>
      </c>
      <c r="B7" s="191">
        <v>243196</v>
      </c>
      <c r="C7" s="192">
        <v>522369</v>
      </c>
      <c r="D7" s="191">
        <v>550790</v>
      </c>
      <c r="E7" s="192">
        <v>1073160</v>
      </c>
      <c r="F7" s="191">
        <v>1316357</v>
      </c>
      <c r="G7" s="858">
        <v>125096</v>
      </c>
      <c r="H7" s="194"/>
    </row>
    <row r="8" spans="1:8" ht="20" customHeight="1" thickBot="1">
      <c r="A8" s="195" t="s">
        <v>2379</v>
      </c>
      <c r="B8" s="191">
        <v>179850</v>
      </c>
      <c r="C8" s="192">
        <v>374810</v>
      </c>
      <c r="D8" s="191">
        <v>407448</v>
      </c>
      <c r="E8" s="192">
        <v>782261</v>
      </c>
      <c r="F8" s="191">
        <v>962110</v>
      </c>
      <c r="G8" s="858">
        <v>91878</v>
      </c>
      <c r="H8" s="194"/>
    </row>
    <row r="9" spans="1:8" ht="20" customHeight="1" thickBot="1">
      <c r="A9" s="195" t="s">
        <v>2380</v>
      </c>
      <c r="B9" s="191">
        <v>76502</v>
      </c>
      <c r="C9" s="192">
        <v>141754</v>
      </c>
      <c r="D9" s="191">
        <v>148946</v>
      </c>
      <c r="E9" s="192">
        <v>290699</v>
      </c>
      <c r="F9" s="191">
        <v>367201</v>
      </c>
      <c r="G9" s="858">
        <v>39084</v>
      </c>
      <c r="H9" s="194"/>
    </row>
    <row r="10" spans="1:8" ht="20" customHeight="1" thickBot="1">
      <c r="A10" s="195" t="s">
        <v>2381</v>
      </c>
      <c r="B10" s="191">
        <v>7273</v>
      </c>
      <c r="C10" s="192">
        <v>13893</v>
      </c>
      <c r="D10" s="191">
        <v>13971</v>
      </c>
      <c r="E10" s="192">
        <v>27865</v>
      </c>
      <c r="F10" s="191">
        <v>35139</v>
      </c>
      <c r="G10" s="858">
        <v>3736</v>
      </c>
      <c r="H10" s="194"/>
    </row>
    <row r="11" spans="1:8" ht="20" customHeight="1" thickBot="1">
      <c r="A11" s="195" t="s">
        <v>2382</v>
      </c>
      <c r="B11" s="191">
        <v>29565</v>
      </c>
      <c r="C11" s="192">
        <v>57118</v>
      </c>
      <c r="D11" s="191">
        <v>55772</v>
      </c>
      <c r="E11" s="192">
        <v>112892</v>
      </c>
      <c r="F11" s="191">
        <v>142457</v>
      </c>
      <c r="G11" s="858">
        <v>15106</v>
      </c>
      <c r="H11" s="194"/>
    </row>
    <row r="12" spans="1:8" ht="20" customHeight="1" thickBot="1">
      <c r="A12" s="195" t="s">
        <v>2383</v>
      </c>
      <c r="B12" s="191">
        <v>7387</v>
      </c>
      <c r="C12" s="192">
        <v>13660</v>
      </c>
      <c r="D12" s="191">
        <v>13717</v>
      </c>
      <c r="E12" s="192">
        <v>27374</v>
      </c>
      <c r="F12" s="191">
        <v>34761</v>
      </c>
      <c r="G12" s="858">
        <v>3700</v>
      </c>
      <c r="H12" s="194"/>
    </row>
    <row r="13" spans="1:8" ht="20" customHeight="1" thickBot="1">
      <c r="A13" s="195" t="s">
        <v>2384</v>
      </c>
      <c r="B13" s="191">
        <v>7804</v>
      </c>
      <c r="C13" s="192">
        <v>16184</v>
      </c>
      <c r="D13" s="191">
        <v>16017</v>
      </c>
      <c r="E13" s="192">
        <v>32202</v>
      </c>
      <c r="F13" s="191">
        <v>40007</v>
      </c>
      <c r="G13" s="858">
        <v>4048</v>
      </c>
      <c r="H13" s="194"/>
    </row>
    <row r="14" spans="1:8" ht="20" customHeight="1" thickBot="1">
      <c r="A14" s="195" t="s">
        <v>2385</v>
      </c>
      <c r="B14" s="191">
        <v>7594</v>
      </c>
      <c r="C14" s="192">
        <v>15105</v>
      </c>
      <c r="D14" s="191">
        <v>15617</v>
      </c>
      <c r="E14" s="192">
        <v>30722</v>
      </c>
      <c r="F14" s="191">
        <v>38316</v>
      </c>
      <c r="G14" s="858">
        <v>3960</v>
      </c>
      <c r="H14" s="194"/>
    </row>
    <row r="15" spans="1:8" ht="20" customHeight="1" thickBot="1">
      <c r="A15" s="195" t="s">
        <v>2386</v>
      </c>
      <c r="B15" s="191">
        <v>21469</v>
      </c>
      <c r="C15" s="192">
        <v>44078</v>
      </c>
      <c r="D15" s="191">
        <v>43873</v>
      </c>
      <c r="E15" s="192">
        <v>87951</v>
      </c>
      <c r="F15" s="191">
        <v>109420</v>
      </c>
      <c r="G15" s="858">
        <v>10901</v>
      </c>
      <c r="H15" s="194"/>
    </row>
    <row r="16" spans="1:8" ht="20" customHeight="1" thickBot="1">
      <c r="A16" s="195" t="s">
        <v>2387</v>
      </c>
      <c r="B16" s="191">
        <v>60940</v>
      </c>
      <c r="C16" s="192">
        <v>101940</v>
      </c>
      <c r="D16" s="191">
        <v>104626</v>
      </c>
      <c r="E16" s="192">
        <v>206566</v>
      </c>
      <c r="F16" s="191">
        <v>267506</v>
      </c>
      <c r="G16" s="858">
        <v>31149</v>
      </c>
      <c r="H16" s="194"/>
    </row>
    <row r="17" spans="1:8" ht="20" customHeight="1" thickBot="1">
      <c r="A17" s="195" t="s">
        <v>2388</v>
      </c>
      <c r="B17" s="191">
        <v>48602</v>
      </c>
      <c r="C17" s="192">
        <v>99445</v>
      </c>
      <c r="D17" s="191">
        <v>104311</v>
      </c>
      <c r="E17" s="192">
        <v>203758</v>
      </c>
      <c r="F17" s="191">
        <v>252360</v>
      </c>
      <c r="G17" s="858">
        <v>24984</v>
      </c>
      <c r="H17" s="194"/>
    </row>
    <row r="18" spans="1:8" ht="20" customHeight="1" thickBot="1">
      <c r="A18" s="195" t="s">
        <v>2389</v>
      </c>
      <c r="B18" s="191">
        <v>27997</v>
      </c>
      <c r="C18" s="192">
        <v>70600</v>
      </c>
      <c r="D18" s="191">
        <v>80426</v>
      </c>
      <c r="E18" s="192">
        <v>151025</v>
      </c>
      <c r="F18" s="191">
        <v>179022</v>
      </c>
      <c r="G18" s="858">
        <v>14423</v>
      </c>
      <c r="H18" s="194"/>
    </row>
    <row r="19" spans="1:8" ht="20" customHeight="1" thickBot="1">
      <c r="A19" s="195" t="s">
        <v>2390</v>
      </c>
      <c r="B19" s="191">
        <v>49722</v>
      </c>
      <c r="C19" s="192">
        <v>106577</v>
      </c>
      <c r="D19" s="191">
        <v>113600</v>
      </c>
      <c r="E19" s="192">
        <v>220176</v>
      </c>
      <c r="F19" s="191">
        <v>269898</v>
      </c>
      <c r="G19" s="858">
        <v>25394</v>
      </c>
      <c r="H19" s="194"/>
    </row>
    <row r="20" spans="1:8" ht="20" customHeight="1" thickBot="1">
      <c r="A20" s="195" t="s">
        <v>2391</v>
      </c>
      <c r="B20" s="191">
        <v>13949</v>
      </c>
      <c r="C20" s="192">
        <v>30199</v>
      </c>
      <c r="D20" s="191">
        <v>31895</v>
      </c>
      <c r="E20" s="192">
        <v>62093</v>
      </c>
      <c r="F20" s="191">
        <v>76042</v>
      </c>
      <c r="G20" s="858">
        <v>7208</v>
      </c>
      <c r="H20" s="194"/>
    </row>
    <row r="21" spans="1:8" ht="20" customHeight="1" thickBot="1">
      <c r="A21" s="195" t="s">
        <v>2392</v>
      </c>
      <c r="B21" s="191">
        <v>11013</v>
      </c>
      <c r="C21" s="192">
        <v>20829</v>
      </c>
      <c r="D21" s="191">
        <v>21550</v>
      </c>
      <c r="E21" s="192">
        <v>42376</v>
      </c>
      <c r="F21" s="191">
        <v>53390</v>
      </c>
      <c r="G21" s="858">
        <v>5827</v>
      </c>
      <c r="H21" s="194"/>
    </row>
    <row r="22" spans="1:8" ht="20" customHeight="1" thickBot="1">
      <c r="A22" s="195" t="s">
        <v>2393</v>
      </c>
      <c r="B22" s="191">
        <v>3606</v>
      </c>
      <c r="C22" s="192">
        <v>6037</v>
      </c>
      <c r="D22" s="191">
        <v>5803</v>
      </c>
      <c r="E22" s="192">
        <v>11841</v>
      </c>
      <c r="F22" s="191">
        <v>15447</v>
      </c>
      <c r="G22" s="858">
        <v>1846</v>
      </c>
      <c r="H22" s="194"/>
    </row>
    <row r="23" spans="1:8" ht="20" customHeight="1" thickBot="1">
      <c r="A23" s="195" t="s">
        <v>2394</v>
      </c>
      <c r="B23" s="191">
        <v>98647</v>
      </c>
      <c r="C23" s="192">
        <v>181943</v>
      </c>
      <c r="D23" s="191">
        <v>188944</v>
      </c>
      <c r="E23" s="192">
        <v>370886</v>
      </c>
      <c r="F23" s="191">
        <v>469534</v>
      </c>
      <c r="G23" s="858">
        <v>50272</v>
      </c>
      <c r="H23" s="194"/>
    </row>
    <row r="24" spans="1:8" ht="20" customHeight="1" thickBot="1">
      <c r="A24" s="195" t="s">
        <v>2395</v>
      </c>
      <c r="B24" s="191">
        <v>35623</v>
      </c>
      <c r="C24" s="192">
        <v>78431</v>
      </c>
      <c r="D24" s="191">
        <v>80221</v>
      </c>
      <c r="E24" s="192">
        <v>158652</v>
      </c>
      <c r="F24" s="191">
        <v>194275</v>
      </c>
      <c r="G24" s="858">
        <v>18143</v>
      </c>
      <c r="H24" s="194"/>
    </row>
    <row r="25" spans="1:8" ht="20" customHeight="1" thickBot="1">
      <c r="A25" s="195" t="s">
        <v>2396</v>
      </c>
      <c r="B25" s="191">
        <v>118817</v>
      </c>
      <c r="C25" s="192">
        <v>233926</v>
      </c>
      <c r="D25" s="191">
        <v>239036</v>
      </c>
      <c r="E25" s="192">
        <v>472961</v>
      </c>
      <c r="F25" s="191">
        <v>591778</v>
      </c>
      <c r="G25" s="858">
        <v>61242</v>
      </c>
      <c r="H25" s="194"/>
    </row>
    <row r="26" spans="1:8" ht="20" customHeight="1" thickBot="1">
      <c r="A26" s="195" t="s">
        <v>2397</v>
      </c>
      <c r="B26" s="191">
        <v>51313</v>
      </c>
      <c r="C26" s="192">
        <v>94424</v>
      </c>
      <c r="D26" s="191">
        <v>96047</v>
      </c>
      <c r="E26" s="192">
        <v>190470</v>
      </c>
      <c r="F26" s="191">
        <v>241783</v>
      </c>
      <c r="G26" s="858">
        <v>26357</v>
      </c>
      <c r="H26" s="194"/>
    </row>
    <row r="27" spans="1:8" ht="20" customHeight="1" thickBot="1">
      <c r="A27" s="195" t="s">
        <v>2398</v>
      </c>
      <c r="B27" s="191">
        <v>57892</v>
      </c>
      <c r="C27" s="192">
        <v>125888</v>
      </c>
      <c r="D27" s="191">
        <v>140032</v>
      </c>
      <c r="E27" s="192">
        <v>265918</v>
      </c>
      <c r="F27" s="191">
        <v>323810</v>
      </c>
      <c r="G27" s="858">
        <v>29634</v>
      </c>
      <c r="H27" s="194"/>
    </row>
    <row r="28" spans="1:8" ht="20" customHeight="1" thickBot="1">
      <c r="A28" s="195" t="s">
        <v>2399</v>
      </c>
      <c r="B28" s="191">
        <v>143411</v>
      </c>
      <c r="C28" s="192">
        <v>250064</v>
      </c>
      <c r="D28" s="191">
        <v>274319</v>
      </c>
      <c r="E28" s="192">
        <v>524382</v>
      </c>
      <c r="F28" s="191">
        <v>667794</v>
      </c>
      <c r="G28" s="858">
        <v>73430</v>
      </c>
      <c r="H28" s="194"/>
    </row>
    <row r="29" spans="1:8" ht="20" customHeight="1" thickBot="1">
      <c r="A29" s="195" t="s">
        <v>2400</v>
      </c>
      <c r="B29" s="191">
        <v>60754</v>
      </c>
      <c r="C29" s="192">
        <v>119644</v>
      </c>
      <c r="D29" s="191">
        <v>124387</v>
      </c>
      <c r="E29" s="192">
        <v>244030</v>
      </c>
      <c r="F29" s="191">
        <v>304785</v>
      </c>
      <c r="G29" s="858">
        <v>31258</v>
      </c>
      <c r="H29" s="194"/>
    </row>
    <row r="30" spans="1:8" ht="20" customHeight="1" thickBot="1">
      <c r="A30" s="195" t="s">
        <v>2401</v>
      </c>
      <c r="B30" s="191">
        <v>35557</v>
      </c>
      <c r="C30" s="192">
        <v>64032</v>
      </c>
      <c r="D30" s="191">
        <v>70219</v>
      </c>
      <c r="E30" s="192">
        <v>134252</v>
      </c>
      <c r="F30" s="191">
        <v>169809</v>
      </c>
      <c r="G30" s="858">
        <v>18289</v>
      </c>
      <c r="H30" s="194"/>
    </row>
    <row r="31" spans="1:8" ht="20" customHeight="1" thickBot="1">
      <c r="A31" s="195" t="s">
        <v>2402</v>
      </c>
      <c r="B31" s="191">
        <v>87241</v>
      </c>
      <c r="C31" s="192">
        <v>152414</v>
      </c>
      <c r="D31" s="191">
        <v>170433</v>
      </c>
      <c r="E31" s="192">
        <v>322846</v>
      </c>
      <c r="F31" s="191">
        <v>410088</v>
      </c>
      <c r="G31" s="858">
        <v>44692</v>
      </c>
      <c r="H31" s="194"/>
    </row>
    <row r="32" spans="1:8" ht="20" customHeight="1" thickBot="1">
      <c r="A32" s="196" t="s">
        <v>2403</v>
      </c>
      <c r="B32" s="191">
        <v>15196</v>
      </c>
      <c r="C32" s="192">
        <v>26418</v>
      </c>
      <c r="D32" s="191">
        <v>28164</v>
      </c>
      <c r="E32" s="192">
        <v>54584</v>
      </c>
      <c r="F32" s="191">
        <v>69779</v>
      </c>
      <c r="G32" s="858">
        <v>7853</v>
      </c>
      <c r="H32" s="194"/>
    </row>
    <row r="33" spans="1:8" ht="30" customHeight="1" thickBot="1">
      <c r="A33" s="197" t="s">
        <v>2404</v>
      </c>
      <c r="B33" s="198">
        <v>1500920</v>
      </c>
      <c r="C33" s="199">
        <v>2961782</v>
      </c>
      <c r="D33" s="198">
        <v>3140164</v>
      </c>
      <c r="E33" s="199">
        <v>6101942</v>
      </c>
      <c r="F33" s="198">
        <v>7602868</v>
      </c>
      <c r="G33" s="859">
        <v>769510</v>
      </c>
      <c r="H33" s="194"/>
    </row>
    <row r="34" spans="1:8" ht="20" customHeight="1">
      <c r="A34" s="201" t="s">
        <v>974</v>
      </c>
      <c r="B34" s="201"/>
      <c r="C34" s="201"/>
      <c r="D34" s="201"/>
      <c r="E34" s="201"/>
      <c r="F34" s="201"/>
      <c r="H34" s="189"/>
    </row>
    <row r="35" spans="1:8" ht="11.25" customHeight="1">
      <c r="A35" s="202"/>
      <c r="B35" s="202"/>
      <c r="C35" s="202"/>
      <c r="D35" s="202"/>
      <c r="E35" s="202"/>
      <c r="F35" s="202"/>
      <c r="H35" s="189"/>
    </row>
    <row r="36" spans="1:8" ht="14.25" customHeight="1">
      <c r="A36" s="202" t="s">
        <v>2405</v>
      </c>
      <c r="B36" s="202"/>
      <c r="C36" s="202"/>
      <c r="D36" s="202"/>
      <c r="E36" s="202"/>
      <c r="F36" s="202"/>
      <c r="H36" s="189"/>
    </row>
    <row r="37" spans="1:8" ht="13.5" customHeight="1">
      <c r="A37" s="202"/>
      <c r="B37" s="202"/>
      <c r="C37" s="202"/>
      <c r="D37" s="202"/>
      <c r="E37" s="202"/>
      <c r="F37" s="202"/>
      <c r="H37" s="189"/>
    </row>
    <row r="38" spans="1:8" ht="12" customHeight="1">
      <c r="A38" s="202" t="s">
        <v>2406</v>
      </c>
    </row>
    <row r="39" spans="1:8" ht="12" customHeight="1">
      <c r="A39" s="223" t="s">
        <v>1865</v>
      </c>
    </row>
    <row r="40" spans="1:8" ht="12" customHeight="1"/>
    <row r="41" spans="1:8" ht="12" customHeight="1"/>
    <row r="42" spans="1:8" ht="12" customHeight="1">
      <c r="A42" s="202" t="s">
        <v>711</v>
      </c>
    </row>
  </sheetData>
  <phoneticPr fontId="0" type="noConversion"/>
  <pageMargins left="0.65" right="0.61" top="0.87" bottom="0.49" header="0.51" footer="0.4921259845"/>
  <pageSetup paperSize="9" scale="80" orientation="portrait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A93E-5722-1649-8164-5C1C60462A03}">
  <sheetPr>
    <pageSetUpPr fitToPage="1"/>
  </sheetPr>
  <dimension ref="A1:M25"/>
  <sheetViews>
    <sheetView topLeftCell="A3" zoomScale="75" workbookViewId="0">
      <selection activeCell="L12" sqref="L12"/>
    </sheetView>
  </sheetViews>
  <sheetFormatPr baseColWidth="10" defaultColWidth="11.3984375" defaultRowHeight="13"/>
  <cols>
    <col min="1" max="1" width="12.796875" style="2" customWidth="1"/>
    <col min="2" max="8" width="11.796875" style="2" customWidth="1"/>
    <col min="9" max="9" width="17.19921875" style="2" customWidth="1"/>
    <col min="10" max="16384" width="11.3984375" style="2"/>
  </cols>
  <sheetData>
    <row r="1" spans="1:13" s="1" customFormat="1" ht="14" customHeight="1"/>
    <row r="2" spans="1:13" s="1" customFormat="1" ht="28" customHeight="1">
      <c r="A2" s="177" t="s">
        <v>829</v>
      </c>
      <c r="I2" s="428"/>
      <c r="K2" s="364"/>
    </row>
    <row r="3" spans="1:13" ht="24" customHeight="1">
      <c r="A3" s="690" t="s">
        <v>821</v>
      </c>
      <c r="B3" s="691" t="s">
        <v>410</v>
      </c>
      <c r="C3" s="692" t="s">
        <v>411</v>
      </c>
      <c r="D3" s="179" t="s">
        <v>412</v>
      </c>
      <c r="E3" s="692" t="s">
        <v>413</v>
      </c>
      <c r="F3" s="179" t="s">
        <v>414</v>
      </c>
      <c r="G3" s="692" t="s">
        <v>415</v>
      </c>
      <c r="H3" s="179" t="s">
        <v>164</v>
      </c>
      <c r="I3" s="692" t="s">
        <v>164</v>
      </c>
      <c r="K3" s="771"/>
    </row>
    <row r="4" spans="1:13" ht="15" customHeight="1">
      <c r="A4" s="693"/>
      <c r="B4" s="694"/>
      <c r="C4" s="695">
        <v>10000</v>
      </c>
      <c r="D4" s="209">
        <v>50000</v>
      </c>
      <c r="E4" s="695">
        <v>100000</v>
      </c>
      <c r="F4" s="209">
        <v>500000</v>
      </c>
      <c r="G4" s="695">
        <v>500000</v>
      </c>
      <c r="H4" s="772" t="s">
        <v>1482</v>
      </c>
      <c r="I4" s="773" t="s">
        <v>1483</v>
      </c>
      <c r="K4" s="771"/>
    </row>
    <row r="5" spans="1:13" ht="15" customHeight="1">
      <c r="A5" s="693"/>
      <c r="B5" s="694"/>
      <c r="C5" s="696"/>
      <c r="D5" s="182"/>
      <c r="E5" s="696"/>
      <c r="F5" s="182"/>
      <c r="G5" s="696"/>
      <c r="H5" s="182"/>
      <c r="I5" s="773" t="s">
        <v>1484</v>
      </c>
      <c r="K5" s="3"/>
    </row>
    <row r="6" spans="1:13" ht="24" customHeight="1">
      <c r="A6" s="697"/>
      <c r="B6" s="698"/>
      <c r="C6" s="699"/>
      <c r="D6" s="188"/>
      <c r="E6" s="699"/>
      <c r="F6" s="188"/>
      <c r="G6" s="699"/>
      <c r="H6" s="188"/>
      <c r="I6" s="699"/>
      <c r="K6" s="774"/>
    </row>
    <row r="7" spans="1:13" ht="2.25" customHeight="1" thickBot="1">
      <c r="A7" s="928">
        <v>1996</v>
      </c>
      <c r="B7" s="929">
        <v>2.0177619127218216E-2</v>
      </c>
      <c r="C7" s="930">
        <v>1.2597566015413125E-2</v>
      </c>
      <c r="D7" s="931">
        <v>7.1120514742348845E-2</v>
      </c>
      <c r="E7" s="930">
        <v>5.3778502452829641E-2</v>
      </c>
      <c r="F7" s="931">
        <v>0.36511082288179453</v>
      </c>
      <c r="G7" s="930">
        <v>0.47721497478039565</v>
      </c>
      <c r="H7" s="931">
        <v>1</v>
      </c>
      <c r="I7" s="915">
        <v>7232667</v>
      </c>
    </row>
    <row r="8" spans="1:13" ht="19.5" hidden="1" customHeight="1" thickBot="1">
      <c r="A8" s="916">
        <v>1997</v>
      </c>
      <c r="B8" s="917">
        <v>1.7402128744798396E-2</v>
      </c>
      <c r="C8" s="918">
        <v>1.4513151507136559E-2</v>
      </c>
      <c r="D8" s="919">
        <v>8.0494622309686584E-2</v>
      </c>
      <c r="E8" s="918">
        <v>3.5460102030395756E-2</v>
      </c>
      <c r="F8" s="919">
        <v>0.34210501223593653</v>
      </c>
      <c r="G8" s="918">
        <v>0.51002498317204614</v>
      </c>
      <c r="H8" s="919">
        <v>1</v>
      </c>
      <c r="I8" s="932">
        <v>7236471</v>
      </c>
      <c r="K8" s="8"/>
      <c r="L8" s="8"/>
      <c r="M8" s="8"/>
    </row>
    <row r="9" spans="1:13" ht="20" customHeight="1" thickBot="1">
      <c r="A9" s="916">
        <v>1998</v>
      </c>
      <c r="B9" s="917">
        <v>1.490840183853178E-2</v>
      </c>
      <c r="C9" s="918">
        <v>1.032214600618327E-2</v>
      </c>
      <c r="D9" s="919">
        <v>7.6140816476353498E-2</v>
      </c>
      <c r="E9" s="918">
        <v>5.6174768706983583E-2</v>
      </c>
      <c r="F9" s="919">
        <v>0.34220161255156173</v>
      </c>
      <c r="G9" s="918">
        <v>0.50025225442038612</v>
      </c>
      <c r="H9" s="919">
        <v>1</v>
      </c>
      <c r="I9" s="932">
        <v>7246652</v>
      </c>
    </row>
    <row r="10" spans="1:13" ht="20" customHeight="1" thickBot="1">
      <c r="A10" s="916">
        <v>1999</v>
      </c>
      <c r="B10" s="917">
        <v>1.1856091803011722E-2</v>
      </c>
      <c r="C10" s="918">
        <v>1.2297050391416079E-2</v>
      </c>
      <c r="D10" s="919">
        <v>6.9524424924530884E-2</v>
      </c>
      <c r="E10" s="918">
        <v>7.5584785910891711E-2</v>
      </c>
      <c r="F10" s="919">
        <v>0.360776059607258</v>
      </c>
      <c r="G10" s="918">
        <v>0.46996158736289156</v>
      </c>
      <c r="H10" s="919">
        <v>1</v>
      </c>
      <c r="I10" s="932">
        <v>7270524</v>
      </c>
    </row>
    <row r="11" spans="1:13" ht="20" customHeight="1" thickBot="1">
      <c r="A11" s="916">
        <v>2000</v>
      </c>
      <c r="B11" s="917">
        <v>1.0957985099474708E-2</v>
      </c>
      <c r="C11" s="918">
        <v>1.2166775657859692E-2</v>
      </c>
      <c r="D11" s="919">
        <v>6.756095879031751E-2</v>
      </c>
      <c r="E11" s="918">
        <v>8.7049575140813365E-2</v>
      </c>
      <c r="F11" s="919">
        <v>0.3644487016237738</v>
      </c>
      <c r="G11" s="918">
        <v>0.45781600368776093</v>
      </c>
      <c r="H11" s="919">
        <v>1</v>
      </c>
      <c r="I11" s="932">
        <v>7265113</v>
      </c>
    </row>
    <row r="12" spans="1:13" ht="20" customHeight="1" thickBot="1">
      <c r="A12" s="916">
        <v>2001</v>
      </c>
      <c r="B12" s="917">
        <v>9.7170954862656738E-3</v>
      </c>
      <c r="C12" s="918">
        <v>8.4238568425089536E-3</v>
      </c>
      <c r="D12" s="919">
        <v>7.0587792166880103E-2</v>
      </c>
      <c r="E12" s="918">
        <v>8.5394018668547678E-2</v>
      </c>
      <c r="F12" s="919">
        <v>0.38803350203052983</v>
      </c>
      <c r="G12" s="918">
        <v>0.43784373480526773</v>
      </c>
      <c r="H12" s="919">
        <v>1</v>
      </c>
      <c r="I12" s="932">
        <v>7301050</v>
      </c>
    </row>
    <row r="13" spans="1:13" ht="20" customHeight="1" thickBot="1">
      <c r="A13" s="916">
        <v>2002</v>
      </c>
      <c r="B13" s="917">
        <v>7.1399045507496896E-3</v>
      </c>
      <c r="C13" s="918">
        <v>8.4501124357966827E-3</v>
      </c>
      <c r="D13" s="919">
        <v>8.2630643642516793E-2</v>
      </c>
      <c r="E13" s="918">
        <v>8.6587817285975782E-2</v>
      </c>
      <c r="F13" s="919">
        <v>0.46525750220977596</v>
      </c>
      <c r="G13" s="918">
        <v>0.34993401987518508</v>
      </c>
      <c r="H13" s="919">
        <v>1</v>
      </c>
      <c r="I13" s="932">
        <v>7344636</v>
      </c>
    </row>
    <row r="14" spans="1:13" ht="20" customHeight="1" thickBot="1">
      <c r="A14" s="916">
        <v>2003</v>
      </c>
      <c r="B14" s="917">
        <v>7.150880180844566E-3</v>
      </c>
      <c r="C14" s="918">
        <v>8.7914320736236836E-3</v>
      </c>
      <c r="D14" s="919">
        <v>9.1365786917605774E-2</v>
      </c>
      <c r="E14" s="918">
        <v>9.1794541322986076E-2</v>
      </c>
      <c r="F14" s="919">
        <v>0.39422862118090168</v>
      </c>
      <c r="G14" s="918">
        <v>0.40666873832403821</v>
      </c>
      <c r="H14" s="919">
        <v>1</v>
      </c>
      <c r="I14" s="932">
        <v>7372519</v>
      </c>
    </row>
    <row r="15" spans="1:13" ht="20" customHeight="1" thickBot="1">
      <c r="A15" s="916">
        <v>2004</v>
      </c>
      <c r="B15" s="917">
        <v>7.7472964436898599E-3</v>
      </c>
      <c r="C15" s="918">
        <v>9.9496072922614521E-3</v>
      </c>
      <c r="D15" s="919">
        <v>8.4360383162269723E-2</v>
      </c>
      <c r="E15" s="918">
        <v>8.7130573562410135E-2</v>
      </c>
      <c r="F15" s="919">
        <v>0.4055192258310571</v>
      </c>
      <c r="G15" s="918">
        <v>0.40529291370831172</v>
      </c>
      <c r="H15" s="919">
        <v>1</v>
      </c>
      <c r="I15" s="932">
        <v>7383608</v>
      </c>
    </row>
    <row r="16" spans="1:13" ht="20" customHeight="1" thickBot="1">
      <c r="A16" s="916">
        <v>2005</v>
      </c>
      <c r="B16" s="917">
        <v>6.7133654607136909E-3</v>
      </c>
      <c r="C16" s="918">
        <v>1.2687692501726945E-2</v>
      </c>
      <c r="D16" s="919">
        <v>6.1558517163579914E-2</v>
      </c>
      <c r="E16" s="918">
        <v>7.6843120678933355E-2</v>
      </c>
      <c r="F16" s="919">
        <v>0.44768226437071562</v>
      </c>
      <c r="G16" s="918">
        <v>0.39451503982433056</v>
      </c>
      <c r="H16" s="919">
        <v>1</v>
      </c>
      <c r="I16" s="932">
        <v>7435865.1099999994</v>
      </c>
    </row>
    <row r="17" spans="1:9" ht="20" customHeight="1" thickBot="1">
      <c r="A17" s="916">
        <v>2006</v>
      </c>
      <c r="B17" s="917">
        <v>7.1853695026195359E-3</v>
      </c>
      <c r="C17" s="918">
        <v>1.372064238505178E-2</v>
      </c>
      <c r="D17" s="919">
        <v>6.1945155197761226E-2</v>
      </c>
      <c r="E17" s="918">
        <v>6.457386448023035E-2</v>
      </c>
      <c r="F17" s="919">
        <v>0.46584421080154392</v>
      </c>
      <c r="G17" s="918">
        <v>0.38673075763279313</v>
      </c>
      <c r="H17" s="919">
        <v>1</v>
      </c>
      <c r="I17" s="932">
        <v>7478426.8200000003</v>
      </c>
    </row>
    <row r="18" spans="1:9" ht="20" customHeight="1" thickBot="1">
      <c r="A18" s="916">
        <v>2007</v>
      </c>
      <c r="B18" s="917">
        <v>7.1980711154289783E-3</v>
      </c>
      <c r="C18" s="918">
        <v>1.2343838327748843E-2</v>
      </c>
      <c r="D18" s="919">
        <v>6.7439082875348361E-2</v>
      </c>
      <c r="E18" s="918">
        <v>7.4639267399113043E-2</v>
      </c>
      <c r="F18" s="919">
        <v>0.46148331085748551</v>
      </c>
      <c r="G18" s="918">
        <v>0.37689642942487517</v>
      </c>
      <c r="H18" s="919">
        <v>1</v>
      </c>
      <c r="I18" s="932">
        <v>7537587.3800000008</v>
      </c>
    </row>
    <row r="19" spans="1:9" ht="26.25" customHeight="1" thickBot="1">
      <c r="A19" s="933">
        <v>2008</v>
      </c>
      <c r="B19" s="934">
        <v>6.9627679229906266E-3</v>
      </c>
      <c r="C19" s="935">
        <v>1.2572266289028763E-2</v>
      </c>
      <c r="D19" s="936">
        <v>5.983244585510189E-2</v>
      </c>
      <c r="E19" s="935">
        <v>8.6450164267034141E-2</v>
      </c>
      <c r="F19" s="936">
        <v>0.47186244785894577</v>
      </c>
      <c r="G19" s="935">
        <v>0.36231990780689871</v>
      </c>
      <c r="H19" s="936">
        <v>1</v>
      </c>
      <c r="I19" s="937">
        <v>7615563.3200000012</v>
      </c>
    </row>
    <row r="20" spans="1:9" ht="20" customHeight="1">
      <c r="A20" s="201" t="s">
        <v>764</v>
      </c>
      <c r="B20" s="585"/>
      <c r="C20" s="585"/>
      <c r="D20" s="585"/>
      <c r="E20" s="585"/>
      <c r="F20" s="585"/>
      <c r="G20" s="585"/>
      <c r="H20" s="585"/>
      <c r="I20" s="650"/>
    </row>
    <row r="21" spans="1:9" ht="13.5" customHeight="1">
      <c r="A21" s="202"/>
      <c r="B21" s="586"/>
      <c r="C21" s="586"/>
      <c r="D21" s="586"/>
      <c r="E21" s="586"/>
      <c r="F21" s="586"/>
      <c r="G21" s="586"/>
      <c r="H21" s="586"/>
      <c r="I21" s="651"/>
    </row>
    <row r="22" spans="1:9">
      <c r="A22" s="2" t="s">
        <v>416</v>
      </c>
    </row>
    <row r="25" spans="1:9">
      <c r="A25" s="2" t="s">
        <v>711</v>
      </c>
    </row>
  </sheetData>
  <phoneticPr fontId="0" type="noConversion"/>
  <pageMargins left="0.53" right="0.61" top="1.03" bottom="0.49" header="0.56000000000000005" footer="0.4921259845"/>
  <pageSetup paperSize="9" scale="8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153</vt:i4>
      </vt:variant>
      <vt:variant>
        <vt:lpstr>Benannte Bereiche</vt:lpstr>
      </vt:variant>
      <vt:variant>
        <vt:i4>139</vt:i4>
      </vt:variant>
    </vt:vector>
  </HeadingPairs>
  <TitlesOfParts>
    <vt:vector size="292" baseType="lpstr">
      <vt:lpstr>Info</vt:lpstr>
      <vt:lpstr>Bd</vt:lpstr>
      <vt:lpstr>B1d</vt:lpstr>
      <vt:lpstr>F1d</vt:lpstr>
      <vt:lpstr>F2d</vt:lpstr>
      <vt:lpstr>F3d</vt:lpstr>
      <vt:lpstr>I1 d</vt:lpstr>
      <vt:lpstr>I2 d</vt:lpstr>
      <vt:lpstr>I3 d</vt:lpstr>
      <vt:lpstr>I4_d</vt:lpstr>
      <vt:lpstr>J1_d</vt:lpstr>
      <vt:lpstr>J2_d</vt:lpstr>
      <vt:lpstr>T1d</vt:lpstr>
      <vt:lpstr>101d</vt:lpstr>
      <vt:lpstr>102d</vt:lpstr>
      <vt:lpstr>103d</vt:lpstr>
      <vt:lpstr>104d</vt:lpstr>
      <vt:lpstr>105d</vt:lpstr>
      <vt:lpstr>106d</vt:lpstr>
      <vt:lpstr>107d</vt:lpstr>
      <vt:lpstr>108d</vt:lpstr>
      <vt:lpstr>109d</vt:lpstr>
      <vt:lpstr>110d</vt:lpstr>
      <vt:lpstr>111d</vt:lpstr>
      <vt:lpstr>112d</vt:lpstr>
      <vt:lpstr>113d</vt:lpstr>
      <vt:lpstr>114d</vt:lpstr>
      <vt:lpstr>115d</vt:lpstr>
      <vt:lpstr>T2d</vt:lpstr>
      <vt:lpstr>201d</vt:lpstr>
      <vt:lpstr>202d</vt:lpstr>
      <vt:lpstr>203d</vt:lpstr>
      <vt:lpstr>204d</vt:lpstr>
      <vt:lpstr>205d</vt:lpstr>
      <vt:lpstr>206d</vt:lpstr>
      <vt:lpstr>207d</vt:lpstr>
      <vt:lpstr>208d</vt:lpstr>
      <vt:lpstr>209d</vt:lpstr>
      <vt:lpstr>210d</vt:lpstr>
      <vt:lpstr>211d</vt:lpstr>
      <vt:lpstr>212d</vt:lpstr>
      <vt:lpstr>213d</vt:lpstr>
      <vt:lpstr>214d</vt:lpstr>
      <vt:lpstr>215d</vt:lpstr>
      <vt:lpstr>216d</vt:lpstr>
      <vt:lpstr>217d</vt:lpstr>
      <vt:lpstr>218d</vt:lpstr>
      <vt:lpstr>219d</vt:lpstr>
      <vt:lpstr>220d</vt:lpstr>
      <vt:lpstr>221d</vt:lpstr>
      <vt:lpstr>222d</vt:lpstr>
      <vt:lpstr>223d</vt:lpstr>
      <vt:lpstr>T3d</vt:lpstr>
      <vt:lpstr>301d</vt:lpstr>
      <vt:lpstr>302d</vt:lpstr>
      <vt:lpstr>303d</vt:lpstr>
      <vt:lpstr>304d</vt:lpstr>
      <vt:lpstr>305d</vt:lpstr>
      <vt:lpstr>306d</vt:lpstr>
      <vt:lpstr>307d</vt:lpstr>
      <vt:lpstr>308d</vt:lpstr>
      <vt:lpstr>309d</vt:lpstr>
      <vt:lpstr>310d</vt:lpstr>
      <vt:lpstr>311d</vt:lpstr>
      <vt:lpstr>312d</vt:lpstr>
      <vt:lpstr>313d</vt:lpstr>
      <vt:lpstr>T4d</vt:lpstr>
      <vt:lpstr>401d</vt:lpstr>
      <vt:lpstr>402d</vt:lpstr>
      <vt:lpstr>403d</vt:lpstr>
      <vt:lpstr>404d</vt:lpstr>
      <vt:lpstr>405d</vt:lpstr>
      <vt:lpstr>406d</vt:lpstr>
      <vt:lpstr>407d</vt:lpstr>
      <vt:lpstr>408d</vt:lpstr>
      <vt:lpstr>409d</vt:lpstr>
      <vt:lpstr>410d</vt:lpstr>
      <vt:lpstr>T5d</vt:lpstr>
      <vt:lpstr>501d</vt:lpstr>
      <vt:lpstr>502d</vt:lpstr>
      <vt:lpstr>503d</vt:lpstr>
      <vt:lpstr>504d</vt:lpstr>
      <vt:lpstr>T6d</vt:lpstr>
      <vt:lpstr>601d</vt:lpstr>
      <vt:lpstr>602d</vt:lpstr>
      <vt:lpstr>603d</vt:lpstr>
      <vt:lpstr>604d</vt:lpstr>
      <vt:lpstr>605d</vt:lpstr>
      <vt:lpstr>606d</vt:lpstr>
      <vt:lpstr>T7d</vt:lpstr>
      <vt:lpstr>701d</vt:lpstr>
      <vt:lpstr>702d</vt:lpstr>
      <vt:lpstr>703d</vt:lpstr>
      <vt:lpstr>704d</vt:lpstr>
      <vt:lpstr>705d</vt:lpstr>
      <vt:lpstr>T8d</vt:lpstr>
      <vt:lpstr>801d</vt:lpstr>
      <vt:lpstr>802d</vt:lpstr>
      <vt:lpstr>803d</vt:lpstr>
      <vt:lpstr>804d</vt:lpstr>
      <vt:lpstr>805d</vt:lpstr>
      <vt:lpstr>806d</vt:lpstr>
      <vt:lpstr>807d</vt:lpstr>
      <vt:lpstr>808d</vt:lpstr>
      <vt:lpstr>809d</vt:lpstr>
      <vt:lpstr>810d</vt:lpstr>
      <vt:lpstr>811d</vt:lpstr>
      <vt:lpstr>812d</vt:lpstr>
      <vt:lpstr>813d</vt:lpstr>
      <vt:lpstr>T9d</vt:lpstr>
      <vt:lpstr>901d</vt:lpstr>
      <vt:lpstr>902d</vt:lpstr>
      <vt:lpstr>903d</vt:lpstr>
      <vt:lpstr>904d</vt:lpstr>
      <vt:lpstr>905d</vt:lpstr>
      <vt:lpstr>906d</vt:lpstr>
      <vt:lpstr>907d</vt:lpstr>
      <vt:lpstr>908d</vt:lpstr>
      <vt:lpstr>909d</vt:lpstr>
      <vt:lpstr>910d</vt:lpstr>
      <vt:lpstr>911d</vt:lpstr>
      <vt:lpstr>912d</vt:lpstr>
      <vt:lpstr>913d</vt:lpstr>
      <vt:lpstr>914d</vt:lpstr>
      <vt:lpstr>915d</vt:lpstr>
      <vt:lpstr>916d</vt:lpstr>
      <vt:lpstr>917d</vt:lpstr>
      <vt:lpstr>918d</vt:lpstr>
      <vt:lpstr>919d</vt:lpstr>
      <vt:lpstr>920d</vt:lpstr>
      <vt:lpstr>921d</vt:lpstr>
      <vt:lpstr>T10d</vt:lpstr>
      <vt:lpstr>1001d</vt:lpstr>
      <vt:lpstr>1002d</vt:lpstr>
      <vt:lpstr>1003d</vt:lpstr>
      <vt:lpstr>T11d</vt:lpstr>
      <vt:lpstr>1101d</vt:lpstr>
      <vt:lpstr>1102d</vt:lpstr>
      <vt:lpstr>1103d</vt:lpstr>
      <vt:lpstr>1104d</vt:lpstr>
      <vt:lpstr>1105d</vt:lpstr>
      <vt:lpstr>1106d</vt:lpstr>
      <vt:lpstr>1107d</vt:lpstr>
      <vt:lpstr>1108d</vt:lpstr>
      <vt:lpstr>1109d</vt:lpstr>
      <vt:lpstr>1110d</vt:lpstr>
      <vt:lpstr>1111d</vt:lpstr>
      <vt:lpstr>1112d</vt:lpstr>
      <vt:lpstr>1113d</vt:lpstr>
      <vt:lpstr>1114d</vt:lpstr>
      <vt:lpstr>1115d</vt:lpstr>
      <vt:lpstr>1116d</vt:lpstr>
      <vt:lpstr>1117d</vt:lpstr>
      <vt:lpstr>'1001d'!Druckbereich</vt:lpstr>
      <vt:lpstr>'1002d'!Druckbereich</vt:lpstr>
      <vt:lpstr>'1003d'!Druckbereich</vt:lpstr>
      <vt:lpstr>'101d'!Druckbereich</vt:lpstr>
      <vt:lpstr>'102d'!Druckbereich</vt:lpstr>
      <vt:lpstr>'103d'!Druckbereich</vt:lpstr>
      <vt:lpstr>'104d'!Druckbereich</vt:lpstr>
      <vt:lpstr>'105d'!Druckbereich</vt:lpstr>
      <vt:lpstr>'106d'!Druckbereich</vt:lpstr>
      <vt:lpstr>'107d'!Druckbereich</vt:lpstr>
      <vt:lpstr>'108d'!Druckbereich</vt:lpstr>
      <vt:lpstr>'109d'!Druckbereich</vt:lpstr>
      <vt:lpstr>'1101d'!Druckbereich</vt:lpstr>
      <vt:lpstr>'1102d'!Druckbereich</vt:lpstr>
      <vt:lpstr>'1103d'!Druckbereich</vt:lpstr>
      <vt:lpstr>'1104d'!Druckbereich</vt:lpstr>
      <vt:lpstr>'1105d'!Druckbereich</vt:lpstr>
      <vt:lpstr>'1106d'!Druckbereich</vt:lpstr>
      <vt:lpstr>'1107d'!Druckbereich</vt:lpstr>
      <vt:lpstr>'1108d'!Druckbereich</vt:lpstr>
      <vt:lpstr>'1109d'!Druckbereich</vt:lpstr>
      <vt:lpstr>'110d'!Druckbereich</vt:lpstr>
      <vt:lpstr>'1110d'!Druckbereich</vt:lpstr>
      <vt:lpstr>'1111d'!Druckbereich</vt:lpstr>
      <vt:lpstr>'1112d'!Druckbereich</vt:lpstr>
      <vt:lpstr>'1113d'!Druckbereich</vt:lpstr>
      <vt:lpstr>'1114d'!Druckbereich</vt:lpstr>
      <vt:lpstr>'1115d'!Druckbereich</vt:lpstr>
      <vt:lpstr>'1116d'!Druckbereich</vt:lpstr>
      <vt:lpstr>'1117d'!Druckbereich</vt:lpstr>
      <vt:lpstr>'111d'!Druckbereich</vt:lpstr>
      <vt:lpstr>'112d'!Druckbereich</vt:lpstr>
      <vt:lpstr>'113d'!Druckbereich</vt:lpstr>
      <vt:lpstr>'114d'!Druckbereich</vt:lpstr>
      <vt:lpstr>'115d'!Druckbereich</vt:lpstr>
      <vt:lpstr>'201d'!Druckbereich</vt:lpstr>
      <vt:lpstr>'202d'!Druckbereich</vt:lpstr>
      <vt:lpstr>'203d'!Druckbereich</vt:lpstr>
      <vt:lpstr>'204d'!Druckbereich</vt:lpstr>
      <vt:lpstr>'205d'!Druckbereich</vt:lpstr>
      <vt:lpstr>'206d'!Druckbereich</vt:lpstr>
      <vt:lpstr>'207d'!Druckbereich</vt:lpstr>
      <vt:lpstr>'208d'!Druckbereich</vt:lpstr>
      <vt:lpstr>'209d'!Druckbereich</vt:lpstr>
      <vt:lpstr>'210d'!Druckbereich</vt:lpstr>
      <vt:lpstr>'211d'!Druckbereich</vt:lpstr>
      <vt:lpstr>'212d'!Druckbereich</vt:lpstr>
      <vt:lpstr>'213d'!Druckbereich</vt:lpstr>
      <vt:lpstr>'214d'!Druckbereich</vt:lpstr>
      <vt:lpstr>'215d'!Druckbereich</vt:lpstr>
      <vt:lpstr>'216d'!Druckbereich</vt:lpstr>
      <vt:lpstr>'217d'!Druckbereich</vt:lpstr>
      <vt:lpstr>'218d'!Druckbereich</vt:lpstr>
      <vt:lpstr>'219d'!Druckbereich</vt:lpstr>
      <vt:lpstr>'220d'!Druckbereich</vt:lpstr>
      <vt:lpstr>'221d'!Druckbereich</vt:lpstr>
      <vt:lpstr>'222d'!Druckbereich</vt:lpstr>
      <vt:lpstr>'223d'!Druckbereich</vt:lpstr>
      <vt:lpstr>'301d'!Druckbereich</vt:lpstr>
      <vt:lpstr>'302d'!Druckbereich</vt:lpstr>
      <vt:lpstr>'303d'!Druckbereich</vt:lpstr>
      <vt:lpstr>'304d'!Druckbereich</vt:lpstr>
      <vt:lpstr>'305d'!Druckbereich</vt:lpstr>
      <vt:lpstr>'306d'!Druckbereich</vt:lpstr>
      <vt:lpstr>'307d'!Druckbereich</vt:lpstr>
      <vt:lpstr>'308d'!Druckbereich</vt:lpstr>
      <vt:lpstr>'309d'!Druckbereich</vt:lpstr>
      <vt:lpstr>'310d'!Druckbereich</vt:lpstr>
      <vt:lpstr>'311d'!Druckbereich</vt:lpstr>
      <vt:lpstr>'312d'!Druckbereich</vt:lpstr>
      <vt:lpstr>'313d'!Druckbereich</vt:lpstr>
      <vt:lpstr>'402d'!Druckbereich</vt:lpstr>
      <vt:lpstr>'403d'!Druckbereich</vt:lpstr>
      <vt:lpstr>'404d'!Druckbereich</vt:lpstr>
      <vt:lpstr>'405d'!Druckbereich</vt:lpstr>
      <vt:lpstr>'406d'!Druckbereich</vt:lpstr>
      <vt:lpstr>'407d'!Druckbereich</vt:lpstr>
      <vt:lpstr>'408d'!Druckbereich</vt:lpstr>
      <vt:lpstr>'409d'!Druckbereich</vt:lpstr>
      <vt:lpstr>'410d'!Druckbereich</vt:lpstr>
      <vt:lpstr>'501d'!Druckbereich</vt:lpstr>
      <vt:lpstr>'502d'!Druckbereich</vt:lpstr>
      <vt:lpstr>'503d'!Druckbereich</vt:lpstr>
      <vt:lpstr>'504d'!Druckbereich</vt:lpstr>
      <vt:lpstr>'601d'!Druckbereich</vt:lpstr>
      <vt:lpstr>'602d'!Druckbereich</vt:lpstr>
      <vt:lpstr>'603d'!Druckbereich</vt:lpstr>
      <vt:lpstr>'604d'!Druckbereich</vt:lpstr>
      <vt:lpstr>'605d'!Druckbereich</vt:lpstr>
      <vt:lpstr>'606d'!Druckbereich</vt:lpstr>
      <vt:lpstr>'701d'!Druckbereich</vt:lpstr>
      <vt:lpstr>'702d'!Druckbereich</vt:lpstr>
      <vt:lpstr>'703d'!Druckbereich</vt:lpstr>
      <vt:lpstr>'704d'!Druckbereich</vt:lpstr>
      <vt:lpstr>'705d'!Druckbereich</vt:lpstr>
      <vt:lpstr>'801d'!Druckbereich</vt:lpstr>
      <vt:lpstr>'802d'!Druckbereich</vt:lpstr>
      <vt:lpstr>'803d'!Druckbereich</vt:lpstr>
      <vt:lpstr>'804d'!Druckbereich</vt:lpstr>
      <vt:lpstr>'805d'!Druckbereich</vt:lpstr>
      <vt:lpstr>'806d'!Druckbereich</vt:lpstr>
      <vt:lpstr>'807d'!Druckbereich</vt:lpstr>
      <vt:lpstr>'808d'!Druckbereich</vt:lpstr>
      <vt:lpstr>'809d'!Druckbereich</vt:lpstr>
      <vt:lpstr>'810d'!Druckbereich</vt:lpstr>
      <vt:lpstr>'811d'!Druckbereich</vt:lpstr>
      <vt:lpstr>'813d'!Druckbereich</vt:lpstr>
      <vt:lpstr>'901d'!Druckbereich</vt:lpstr>
      <vt:lpstr>'902d'!Druckbereich</vt:lpstr>
      <vt:lpstr>'903d'!Druckbereich</vt:lpstr>
      <vt:lpstr>'904d'!Druckbereich</vt:lpstr>
      <vt:lpstr>'905d'!Druckbereich</vt:lpstr>
      <vt:lpstr>'906d'!Druckbereich</vt:lpstr>
      <vt:lpstr>'907d'!Druckbereich</vt:lpstr>
      <vt:lpstr>'908d'!Druckbereich</vt:lpstr>
      <vt:lpstr>'909d'!Druckbereich</vt:lpstr>
      <vt:lpstr>'910d'!Druckbereich</vt:lpstr>
      <vt:lpstr>'911d'!Druckbereich</vt:lpstr>
      <vt:lpstr>'912d'!Druckbereich</vt:lpstr>
      <vt:lpstr>'913d'!Druckbereich</vt:lpstr>
      <vt:lpstr>'914d'!Druckbereich</vt:lpstr>
      <vt:lpstr>'915d'!Druckbereich</vt:lpstr>
      <vt:lpstr>'916d'!Druckbereich</vt:lpstr>
      <vt:lpstr>'917d'!Druckbereich</vt:lpstr>
      <vt:lpstr>'918d'!Druckbereich</vt:lpstr>
      <vt:lpstr>'919d'!Druckbereich</vt:lpstr>
      <vt:lpstr>'920d'!Druckbereich</vt:lpstr>
      <vt:lpstr>'921d'!Druckbereich</vt:lpstr>
      <vt:lpstr>F1d!Druckbereich</vt:lpstr>
      <vt:lpstr>F2d!Druckbereich</vt:lpstr>
      <vt:lpstr>F3d!Druckbereich</vt:lpstr>
      <vt:lpstr>'I2 d'!Druckbereich</vt:lpstr>
      <vt:lpstr>J1_d!Druckbereich</vt:lpstr>
      <vt:lpstr>J2_d!Druckbereich</vt:lpstr>
      <vt:lpstr>'501d'!Drucktitel</vt:lpstr>
      <vt:lpstr>'503d'!Drucktitel</vt:lpstr>
      <vt:lpstr>'504d'!Drucktitel</vt:lpstr>
      <vt:lpstr>'907d'!Drucktitel</vt:lpstr>
      <vt:lpstr>B1d!Drucktitel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Informatikdienst</dc:creator>
  <cp:lastModifiedBy>Smaili Kenan (smailken)</cp:lastModifiedBy>
  <cp:lastPrinted>2010-04-27T13:27:45Z</cp:lastPrinted>
  <dcterms:created xsi:type="dcterms:W3CDTF">1999-10-15T08:29:27Z</dcterms:created>
  <dcterms:modified xsi:type="dcterms:W3CDTF">2026-05-02T10:25:58Z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-2021548164</vt:i4>
  </property>
  <property fmtid="{D5CDD505-2E9C-101B-9397-08002B2CF9AE}" pid="3" name="_EmailSubject">
    <vt:lpwstr>enlever liaisons</vt:lpwstr>
  </property>
  <property fmtid="{D5CDD505-2E9C-101B-9397-08002B2CF9AE}" pid="4" name="_AuthorEmail">
    <vt:lpwstr>Yves-Alain.Gerber@bfs.admin.ch</vt:lpwstr>
  </property>
  <property fmtid="{D5CDD505-2E9C-101B-9397-08002B2CF9AE}" pid="5" name="_AuthorEmailDisplayName">
    <vt:lpwstr>Gerber Yves-Alain BFS</vt:lpwstr>
  </property>
  <property fmtid="{D5CDD505-2E9C-101B-9397-08002B2CF9AE}" pid="6" name="_PreviousAdHocReviewCycleID">
    <vt:i4>1897203600</vt:i4>
  </property>
  <property fmtid="{D5CDD505-2E9C-101B-9397-08002B2CF9AE}" pid="7" name="_ReviewingToolsShownOnce">
    <vt:lpwstr/>
  </property>
</Properties>
</file>