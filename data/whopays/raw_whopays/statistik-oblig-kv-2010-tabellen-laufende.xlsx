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backupFile="1" codeName="ThisWorkbook" defaultThemeVersion="124226"/>
  <mc:AlternateContent xmlns:mc="http://schemas.openxmlformats.org/markup-compatibility/2006">
    <mc:Choice Requires="x15">
      <x15ac:absPath xmlns:x15ac="http://schemas.microsoft.com/office/spreadsheetml/2010/11/ac" url="/Users/K.Smaili_ZHAW/Desktop/ZHAW/4. Semester/PoDSV_Project Orientated Digital Storytelling and Visualization/PODSV_Visualisierungsprojekt/data/whopays/raw_whopays/"/>
    </mc:Choice>
  </mc:AlternateContent>
  <xr:revisionPtr revIDLastSave="0" documentId="8_{D55C02CC-E85A-D24D-B0F7-C772B564FD6D}" xr6:coauthVersionLast="47" xr6:coauthVersionMax="47" xr10:uidLastSave="{00000000-0000-0000-0000-000000000000}"/>
  <bookViews>
    <workbookView xWindow="0" yWindow="500" windowWidth="38400" windowHeight="20000" tabRatio="601" xr2:uid="{7577EED4-7325-0A4C-830C-BE9B6D73F8E1}"/>
  </bookViews>
  <sheets>
    <sheet name="Info" sheetId="150" r:id="rId1"/>
    <sheet name="Ad" sheetId="960" r:id="rId2"/>
    <sheet name="Bd" sheetId="1118" r:id="rId3"/>
    <sheet name="B1d" sheetId="1119" r:id="rId4"/>
    <sheet name="F1d" sheetId="1115" r:id="rId5"/>
    <sheet name="F2d" sheetId="1116" r:id="rId6"/>
    <sheet name="F3d" sheetId="1117" r:id="rId7"/>
    <sheet name="Jd" sheetId="1054" r:id="rId8"/>
    <sheet name="T1d" sheetId="962" r:id="rId9"/>
    <sheet name="101d" sheetId="963" r:id="rId10"/>
    <sheet name="102d" sheetId="964" r:id="rId11"/>
    <sheet name="103d" sheetId="965" r:id="rId12"/>
    <sheet name="104d" sheetId="966" r:id="rId13"/>
    <sheet name="105d" sheetId="967" r:id="rId14"/>
    <sheet name="106d" sheetId="968" r:id="rId15"/>
    <sheet name="107d" sheetId="969" r:id="rId16"/>
    <sheet name="108d" sheetId="996" r:id="rId17"/>
    <sheet name="109d" sheetId="997" r:id="rId18"/>
    <sheet name="110d" sheetId="998" r:id="rId19"/>
    <sheet name="111d" sheetId="999" r:id="rId20"/>
    <sheet name="112d" sheetId="1000" r:id="rId21"/>
    <sheet name="113d" sheetId="1001" r:id="rId22"/>
    <sheet name="T2d" sheetId="1110" r:id="rId23"/>
    <sheet name="201d" sheetId="1002" r:id="rId24"/>
    <sheet name="202d" sheetId="1043" r:id="rId25"/>
    <sheet name="203d" sheetId="1111" r:id="rId26"/>
    <sheet name="204d" sheetId="971" r:id="rId27"/>
    <sheet name="205d" sheetId="972" r:id="rId28"/>
    <sheet name="206d" sheetId="1104" r:id="rId29"/>
    <sheet name="207d" sheetId="974" r:id="rId30"/>
    <sheet name="208d" sheetId="985" r:id="rId31"/>
    <sheet name="209d" sheetId="1103" r:id="rId32"/>
    <sheet name="210d" sheetId="976" r:id="rId33"/>
    <sheet name="211d" sheetId="1102" r:id="rId34"/>
    <sheet name="212d" sheetId="977" r:id="rId35"/>
    <sheet name="213d" sheetId="978" r:id="rId36"/>
    <sheet name="214d" sheetId="1003" r:id="rId37"/>
    <sheet name="215d" sheetId="1044" r:id="rId38"/>
    <sheet name="216d" sheetId="1045" r:id="rId39"/>
    <sheet name="217d" sheetId="980" r:id="rId40"/>
    <sheet name="218d" sheetId="1046" r:id="rId41"/>
    <sheet name="219d" sheetId="981" r:id="rId42"/>
    <sheet name="220d" sheetId="1004" r:id="rId43"/>
    <sheet name="221d" sheetId="1047" r:id="rId44"/>
    <sheet name="222d" sheetId="982" r:id="rId45"/>
    <sheet name="223d" sheetId="983" r:id="rId46"/>
    <sheet name="224d" sheetId="984" r:id="rId47"/>
    <sheet name="225d" sheetId="1112" r:id="rId48"/>
    <sheet name="226d" sheetId="1113" r:id="rId49"/>
    <sheet name="T3d" sheetId="986" r:id="rId50"/>
    <sheet name="301d" sheetId="1053" r:id="rId51"/>
    <sheet name="302d" sheetId="1052" r:id="rId52"/>
    <sheet name="303d" sheetId="1051" r:id="rId53"/>
    <sheet name="304d" sheetId="1050" r:id="rId54"/>
    <sheet name="305d" sheetId="1075" r:id="rId55"/>
    <sheet name="306d" sheetId="1074" r:id="rId56"/>
    <sheet name="307d" sheetId="1073" r:id="rId57"/>
    <sheet name="308d" sheetId="1114" r:id="rId58"/>
    <sheet name="309d" sheetId="1049" r:id="rId59"/>
    <sheet name="310d" sheetId="987" r:id="rId60"/>
    <sheet name="311d" sheetId="988" r:id="rId61"/>
    <sheet name="312d" sheetId="1048" r:id="rId62"/>
    <sheet name="313d" sheetId="989" r:id="rId63"/>
    <sheet name="314d" sheetId="990" r:id="rId64"/>
    <sheet name="315d" sheetId="991" r:id="rId65"/>
    <sheet name="T4d" sheetId="1041" r:id="rId66"/>
    <sheet name="401d" sheetId="1063" r:id="rId67"/>
    <sheet name="402d" sheetId="1065" r:id="rId68"/>
    <sheet name="403d" sheetId="1066" r:id="rId69"/>
    <sheet name="404d" sheetId="1067" r:id="rId70"/>
    <sheet name="405d" sheetId="1068" r:id="rId71"/>
    <sheet name="406d" sheetId="1069" r:id="rId72"/>
    <sheet name="407d" sheetId="1070" r:id="rId73"/>
    <sheet name="408d" sheetId="1071" r:id="rId74"/>
    <sheet name="409d" sheetId="1072" r:id="rId75"/>
    <sheet name="T5d" sheetId="1005" r:id="rId76"/>
    <sheet name="501d" sheetId="1006" r:id="rId77"/>
    <sheet name="502d" sheetId="1007" r:id="rId78"/>
    <sheet name="503d" sheetId="1008" r:id="rId79"/>
    <sheet name="504d" sheetId="1009" r:id="rId80"/>
    <sheet name="505d" sheetId="1010" r:id="rId81"/>
    <sheet name="T6d" sheetId="1011" r:id="rId82"/>
    <sheet name="601d" sheetId="1012" r:id="rId83"/>
    <sheet name="602d" sheetId="1013" r:id="rId84"/>
    <sheet name="603d" sheetId="1014" r:id="rId85"/>
    <sheet name="604d" sheetId="1015" r:id="rId86"/>
    <sheet name="605d" sheetId="1016" r:id="rId87"/>
    <sheet name="606d" sheetId="1017" r:id="rId88"/>
    <sheet name="T7d" sheetId="1018" r:id="rId89"/>
    <sheet name="701d" sheetId="1019" r:id="rId90"/>
    <sheet name="702d" sheetId="1020" r:id="rId91"/>
    <sheet name="703d" sheetId="1021" r:id="rId92"/>
    <sheet name="704d" sheetId="1022" r:id="rId93"/>
    <sheet name="705d" sheetId="1023" r:id="rId94"/>
    <sheet name="T8d" sheetId="1024" r:id="rId95"/>
    <sheet name="801d" sheetId="1025" r:id="rId96"/>
    <sheet name="802d" sheetId="1026" r:id="rId97"/>
    <sheet name="803d" sheetId="1027" r:id="rId98"/>
    <sheet name="804d" sheetId="1028" r:id="rId99"/>
    <sheet name="805d" sheetId="1029" r:id="rId100"/>
    <sheet name="806d" sheetId="1030" r:id="rId101"/>
    <sheet name="807d" sheetId="1031" r:id="rId102"/>
    <sheet name="808d" sheetId="1032" r:id="rId103"/>
    <sheet name="809d" sheetId="1033" r:id="rId104"/>
    <sheet name="810d" sheetId="1034" r:id="rId105"/>
    <sheet name="811d" sheetId="1035" r:id="rId106"/>
    <sheet name="812d" sheetId="1036" r:id="rId107"/>
    <sheet name="T9d" sheetId="1056" r:id="rId108"/>
    <sheet name="901d" sheetId="1082" r:id="rId109"/>
    <sheet name="902d" sheetId="1083" r:id="rId110"/>
    <sheet name="903d" sheetId="1084" r:id="rId111"/>
    <sheet name="904d" sheetId="1085" r:id="rId112"/>
    <sheet name="905d" sheetId="1099" r:id="rId113"/>
    <sheet name="906d" sheetId="1086" r:id="rId114"/>
    <sheet name="907d" sheetId="1087" r:id="rId115"/>
    <sheet name="908d" sheetId="1088" r:id="rId116"/>
    <sheet name="909d" sheetId="1101" r:id="rId117"/>
    <sheet name="910d" sheetId="1100" r:id="rId118"/>
    <sheet name="911d" sheetId="1089" r:id="rId119"/>
    <sheet name="912d" sheetId="1090" r:id="rId120"/>
    <sheet name="913d" sheetId="1091" r:id="rId121"/>
    <sheet name="914d" sheetId="1098" r:id="rId122"/>
    <sheet name="915d" sheetId="1092" r:id="rId123"/>
    <sheet name="916d" sheetId="1093" r:id="rId124"/>
    <sheet name="917d" sheetId="1094" r:id="rId125"/>
    <sheet name="918d" sheetId="1095" r:id="rId126"/>
    <sheet name="919d" sheetId="1096" r:id="rId127"/>
    <sheet name="920d" sheetId="1055" r:id="rId128"/>
    <sheet name="T10d" sheetId="1076" r:id="rId129"/>
    <sheet name="1001d" sheetId="1077" r:id="rId130"/>
    <sheet name="1002d" sheetId="1078" r:id="rId131"/>
    <sheet name="1003d" sheetId="1079" r:id="rId132"/>
    <sheet name="1004d" sheetId="1080" r:id="rId133"/>
    <sheet name="1005d" sheetId="1081" r:id="rId134"/>
    <sheet name="T11d" sheetId="1105" r:id="rId135"/>
    <sheet name="1101d" sheetId="1057" r:id="rId136"/>
    <sheet name="1102d" sheetId="1058" r:id="rId137"/>
    <sheet name="1103d" sheetId="1059" r:id="rId138"/>
    <sheet name="1104d" sheetId="1097" r:id="rId139"/>
    <sheet name="1105d" sheetId="1037" r:id="rId140"/>
    <sheet name="1106d" sheetId="1038" r:id="rId141"/>
    <sheet name="1107d" sheetId="1039" r:id="rId142"/>
    <sheet name="1108d" sheetId="1060" r:id="rId143"/>
    <sheet name="1109d" sheetId="1061" r:id="rId144"/>
    <sheet name="1110d" sheetId="1106" r:id="rId145"/>
    <sheet name="1111d" sheetId="1108" r:id="rId146"/>
    <sheet name="1112d" sheetId="1107" r:id="rId147"/>
    <sheet name="1113d" sheetId="1109" r:id="rId148"/>
    <sheet name="1114d" sheetId="993" r:id="rId149"/>
    <sheet name="1115d" sheetId="994" r:id="rId150"/>
    <sheet name="1116d" sheetId="995" r:id="rId151"/>
    <sheet name="1117d" sheetId="1062" r:id="rId152"/>
  </sheets>
  <definedNames>
    <definedName name="_xlnm.Print_Area" localSheetId="129">'1001d'!$A$1:$G$30</definedName>
    <definedName name="_xlnm.Print_Area" localSheetId="130">'1002d'!$A$1:$G$31</definedName>
    <definedName name="_xlnm.Print_Area" localSheetId="131">'1003d'!$A$1:$H$35</definedName>
    <definedName name="_xlnm.Print_Area" localSheetId="132">'1004d'!$A$1:$H$55</definedName>
    <definedName name="_xlnm.Print_Area" localSheetId="133">'1005d'!$A$1:$G$42</definedName>
    <definedName name="_xlnm.Print_Area" localSheetId="9">'101d'!$A$1:$U$56</definedName>
    <definedName name="_xlnm.Print_Area" localSheetId="10">'102d'!$A$1:$E$39</definedName>
    <definedName name="_xlnm.Print_Area" localSheetId="11">'103d'!$A$1:$E$39</definedName>
    <definedName name="_xlnm.Print_Area" localSheetId="12">'104d'!$A$1:$E$39</definedName>
    <definedName name="_xlnm.Print_Area" localSheetId="13">'105d'!$A$1:$E$39</definedName>
    <definedName name="_xlnm.Print_Area" localSheetId="14">'106d'!$A$1:$E$39</definedName>
    <definedName name="_xlnm.Print_Area" localSheetId="15">'107d'!$A$1:$E$48</definedName>
    <definedName name="_xlnm.Print_Area" localSheetId="16">'108d'!$A$1:$G$27</definedName>
    <definedName name="_xlnm.Print_Area" localSheetId="17">'109d'!$A$1:$G$27</definedName>
    <definedName name="_xlnm.Print_Area" localSheetId="135">'1101d'!$A$1:$G$30</definedName>
    <definedName name="_xlnm.Print_Area" localSheetId="136">'1102d'!$A$1:$H$31</definedName>
    <definedName name="_xlnm.Print_Area" localSheetId="137">'1103d'!$A$1:$F$46</definedName>
    <definedName name="_xlnm.Print_Area" localSheetId="138">'1104d'!$A$1:$G$48</definedName>
    <definedName name="_xlnm.Print_Area" localSheetId="139">'1105d'!$A$1:$G$29</definedName>
    <definedName name="_xlnm.Print_Area" localSheetId="140">'1106d'!$A$1:$G$22</definedName>
    <definedName name="_xlnm.Print_Area" localSheetId="141">'1107d'!$A$1:$G$27</definedName>
    <definedName name="_xlnm.Print_Area" localSheetId="142">'1108d'!$A$2:$P$45</definedName>
    <definedName name="_xlnm.Print_Area" localSheetId="143">'1109d'!$A$2:$P$45</definedName>
    <definedName name="_xlnm.Print_Area" localSheetId="18">'110d'!$A$1:$H$27</definedName>
    <definedName name="_xlnm.Print_Area" localSheetId="144">'1110d'!$A$1:$G$40</definedName>
    <definedName name="_xlnm.Print_Area" localSheetId="145">'1111d'!$A$1:$F$38</definedName>
    <definedName name="_xlnm.Print_Area" localSheetId="146">'1112d'!$A$1:$F$52</definedName>
    <definedName name="_xlnm.Print_Area" localSheetId="147">'1113d'!$A$1:$F$36</definedName>
    <definedName name="_xlnm.Print_Area" localSheetId="148">'1114d'!$A$1:$G$43</definedName>
    <definedName name="_xlnm.Print_Area" localSheetId="149">'1115d'!$A$1:$G$39</definedName>
    <definedName name="_xlnm.Print_Area" localSheetId="150">'1116d'!$A$1:$H$44</definedName>
    <definedName name="_xlnm.Print_Area" localSheetId="151">'1117d'!$A$1:$I$27</definedName>
    <definedName name="_xlnm.Print_Area" localSheetId="19">'111d'!$A$1:$H$27</definedName>
    <definedName name="_xlnm.Print_Area" localSheetId="20">'112d'!$A$1:$G$31</definedName>
    <definedName name="_xlnm.Print_Area" localSheetId="21">'113d'!$A$1:$G$30</definedName>
    <definedName name="_xlnm.Print_Area" localSheetId="23">'201d'!$A$1:$H$27</definedName>
    <definedName name="_xlnm.Print_Area" localSheetId="24">'202d'!$A$1:$H$57</definedName>
    <definedName name="_xlnm.Print_Area" localSheetId="25">'203d'!$A$1:$P$43</definedName>
    <definedName name="_xlnm.Print_Area" localSheetId="26">'204d'!$A$1:$E$44</definedName>
    <definedName name="_xlnm.Print_Area" localSheetId="27">'205d'!$A$1:$F$44</definedName>
    <definedName name="_xlnm.Print_Area" localSheetId="28">'206d'!$A$1:$H$41</definedName>
    <definedName name="_xlnm.Print_Area" localSheetId="29">'207d'!$A$1:$E$44</definedName>
    <definedName name="_xlnm.Print_Area" localSheetId="30">'208d'!$A$1:$G$45</definedName>
    <definedName name="_xlnm.Print_Area" localSheetId="31">'209d'!$A$1:$I$41</definedName>
    <definedName name="_xlnm.Print_Area" localSheetId="32">'210d'!$A$1:$F$44</definedName>
    <definedName name="_xlnm.Print_Area" localSheetId="33">'211d'!$A$1:$H$41</definedName>
    <definedName name="_xlnm.Print_Area" localSheetId="34">'212d'!$A$1:$G$44</definedName>
    <definedName name="_xlnm.Print_Area" localSheetId="35">'213d'!$A$1:$G$44</definedName>
    <definedName name="_xlnm.Print_Area" localSheetId="36">'214d'!$A$1:$G$30</definedName>
    <definedName name="_xlnm.Print_Area" localSheetId="37">'215d'!$A$1:$H$57</definedName>
    <definedName name="_xlnm.Print_Area" localSheetId="38">'216d'!$A$1:$N$58</definedName>
    <definedName name="_xlnm.Print_Area" localSheetId="39">'217d'!$A$1:$H$41</definedName>
    <definedName name="_xlnm.Print_Area" localSheetId="40">'218d'!$A$1:$N$57</definedName>
    <definedName name="_xlnm.Print_Area" localSheetId="41">'219d'!$A$1:$H$41</definedName>
    <definedName name="_xlnm.Print_Area" localSheetId="42">'220d'!$A$1:$G$29</definedName>
    <definedName name="_xlnm.Print_Area" localSheetId="43">'221d'!$A$1:$H$57</definedName>
    <definedName name="_xlnm.Print_Area" localSheetId="44">'222d'!$A$1:$G$19</definedName>
    <definedName name="_xlnm.Print_Area" localSheetId="45">'223d'!$A$1:$G$45</definedName>
    <definedName name="_xlnm.Print_Area" localSheetId="46">'224d'!$A$1:$G$45</definedName>
    <definedName name="_xlnm.Print_Area" localSheetId="47">'225d'!$A$1:$P$42</definedName>
    <definedName name="_xlnm.Print_Area" localSheetId="48">'226d'!$A$1:$P$41</definedName>
    <definedName name="_xlnm.Print_Area" localSheetId="50">'301d'!$A$1:$H$43</definedName>
    <definedName name="_xlnm.Print_Area" localSheetId="51">'302d'!$A$1:$H$45</definedName>
    <definedName name="_xlnm.Print_Area" localSheetId="52">'303d'!$A$1:$H$45</definedName>
    <definedName name="_xlnm.Print_Area" localSheetId="53">'304d'!$A$1:$H$45</definedName>
    <definedName name="_xlnm.Print_Area" localSheetId="54">'305d'!$A$1:$G$46</definedName>
    <definedName name="_xlnm.Print_Area" localSheetId="55">'306d'!$A$1:$G$46</definedName>
    <definedName name="_xlnm.Print_Area" localSheetId="56">'307d'!$A$1:$G$46</definedName>
    <definedName name="_xlnm.Print_Area" localSheetId="57">'308d'!$A$1:$P$41</definedName>
    <definedName name="_xlnm.Print_Area" localSheetId="58">'309d'!$A$2:$G$29</definedName>
    <definedName name="_xlnm.Print_Area" localSheetId="59">'310d'!$A$1:$G$17</definedName>
    <definedName name="_xlnm.Print_Area" localSheetId="60">'311d'!$A$1:$G$44</definedName>
    <definedName name="_xlnm.Print_Area" localSheetId="61">'312d'!$A$1:$H$56</definedName>
    <definedName name="_xlnm.Print_Area" localSheetId="62">'313d'!$A$1:$F$44</definedName>
    <definedName name="_xlnm.Print_Area" localSheetId="63">'314d'!$A$1:$E$44</definedName>
    <definedName name="_xlnm.Print_Area" localSheetId="64">'315d'!$A$1:$G$39</definedName>
    <definedName name="_xlnm.Print_Area" localSheetId="66" xml:space="preserve">  '401d'!$A$1:$H$31</definedName>
    <definedName name="_xlnm.Print_Area" localSheetId="67">'402d'!$A$1:$H$44</definedName>
    <definedName name="_xlnm.Print_Area" localSheetId="68">'403d'!$A$1:$F$33</definedName>
    <definedName name="_xlnm.Print_Area" localSheetId="69">'404d'!$A$1:$L$47</definedName>
    <definedName name="_xlnm.Print_Area" localSheetId="70">'405d'!$A$1:$K$40</definedName>
    <definedName name="_xlnm.Print_Area" localSheetId="71">'406d'!$A$1:$I$42</definedName>
    <definedName name="_xlnm.Print_Area" localSheetId="72">'407d'!$A$1:$H$46</definedName>
    <definedName name="_xlnm.Print_Area" localSheetId="73">'408d'!$A$1:$H$44</definedName>
    <definedName name="_xlnm.Print_Area" localSheetId="74">'409d'!$A$2:$H$45</definedName>
    <definedName name="_xlnm.Print_Area" localSheetId="76">'501d'!$A$1:$AD$109</definedName>
    <definedName name="_xlnm.Print_Area" localSheetId="77">'502d'!$A$1:$K$96</definedName>
    <definedName name="_xlnm.Print_Area" localSheetId="78">'503d'!$A$1:$I$121</definedName>
    <definedName name="_xlnm.Print_Area" localSheetId="79">'504d'!$A$1:$I$38</definedName>
    <definedName name="_xlnm.Print_Area" localSheetId="80">'505d'!$A$1:$AE$111</definedName>
    <definedName name="_xlnm.Print_Area" localSheetId="82">'601d'!$A$1:$G$30</definedName>
    <definedName name="_xlnm.Print_Area" localSheetId="83">'602d'!$A$1:$G$27</definedName>
    <definedName name="_xlnm.Print_Area" localSheetId="84">'603d'!$A$1:$E$39</definedName>
    <definedName name="_xlnm.Print_Area" localSheetId="85">'604d'!$A$1:$E$37</definedName>
    <definedName name="_xlnm.Print_Area" localSheetId="86">'605d'!$A$1:$E$40</definedName>
    <definedName name="_xlnm.Print_Area" localSheetId="87">'606d'!$A$1:$E$40</definedName>
    <definedName name="_xlnm.Print_Area" localSheetId="89">'701d'!$A$1:$G$33</definedName>
    <definedName name="_xlnm.Print_Area" localSheetId="90">'702d'!$A$2:$F$23</definedName>
    <definedName name="_xlnm.Print_Area" localSheetId="91">'703d'!$A$1:$E$43</definedName>
    <definedName name="_xlnm.Print_Area" localSheetId="92">'704d'!$A$1:$E$37</definedName>
    <definedName name="_xlnm.Print_Area" localSheetId="93">'705d'!$A$1:$E$39</definedName>
    <definedName name="_xlnm.Print_Area" localSheetId="95">'801d'!$A$1:$H$32</definedName>
    <definedName name="_xlnm.Print_Area" localSheetId="96">'802d'!$A$1:$I$27</definedName>
    <definedName name="_xlnm.Print_Area" localSheetId="97">'803d'!$A$1:$N$32</definedName>
    <definedName name="_xlnm.Print_Area" localSheetId="98">'804d'!$A$1:$H$32</definedName>
    <definedName name="_xlnm.Print_Area" localSheetId="99">'805d'!$A$1:$D$48</definedName>
    <definedName name="_xlnm.Print_Area" localSheetId="100">'806d'!$A$1:$D$41</definedName>
    <definedName name="_xlnm.Print_Area" localSheetId="101">'807d'!$A$1:$G$31</definedName>
    <definedName name="_xlnm.Print_Area" localSheetId="102">'808d'!$A$1:$H$29</definedName>
    <definedName name="_xlnm.Print_Area" localSheetId="103">'809d'!$A$1:$D$33</definedName>
    <definedName name="_xlnm.Print_Area" localSheetId="104">'810d'!$A$1:$D$44</definedName>
    <definedName name="_xlnm.Print_Area" localSheetId="105">'811d'!$A$1:$D$31</definedName>
    <definedName name="_xlnm.Print_Area" localSheetId="106" xml:space="preserve">  '812d'!$A$1:$D$27</definedName>
    <definedName name="_xlnm.Print_Area" localSheetId="108">'901d'!$A$1:$H$37</definedName>
    <definedName name="_xlnm.Print_Area" localSheetId="109">'902d'!$A$1:$H$36</definedName>
    <definedName name="_xlnm.Print_Area" localSheetId="110">'903d'!$A$1:$I$36</definedName>
    <definedName name="_xlnm.Print_Area" localSheetId="111">'904d'!$A$1:$I$34</definedName>
    <definedName name="_xlnm.Print_Area" localSheetId="112">'905d'!$A$1:$I$37</definedName>
    <definedName name="_xlnm.Print_Area" localSheetId="113">'906d'!$A$1:$U$44</definedName>
    <definedName name="_xlnm.Print_Area" localSheetId="114">'907d'!$A$1:$U$39</definedName>
    <definedName name="_xlnm.Print_Area" localSheetId="115">'908d'!$A$1:$V$110</definedName>
    <definedName name="_xlnm.Print_Area" localSheetId="116">'909d'!$A$1:$J$51</definedName>
    <definedName name="_xlnm.Print_Area" localSheetId="117">'910d'!$A$1:$I$31</definedName>
    <definedName name="_xlnm.Print_Area" localSheetId="118">'911d'!$A$1:$K$44</definedName>
    <definedName name="_xlnm.Print_Area" localSheetId="119">'912d'!$A$1:$I$58</definedName>
    <definedName name="_xlnm.Print_Area" localSheetId="120">'913d'!$A$1:$K$55</definedName>
    <definedName name="_xlnm.Print_Area" localSheetId="121">'914d'!$A$1:$M$32</definedName>
    <definedName name="_xlnm.Print_Area" localSheetId="122">'915d'!$A$1:$G$55</definedName>
    <definedName name="_xlnm.Print_Area" localSheetId="123">'916d'!$A$1:$G$30</definedName>
    <definedName name="_xlnm.Print_Area" localSheetId="124">'917d'!$A$1:$K$40</definedName>
    <definedName name="_xlnm.Print_Area" localSheetId="125">'918d'!$A$1:$J$40</definedName>
    <definedName name="_xlnm.Print_Area" localSheetId="126">'919d'!$A$1:$P$60</definedName>
    <definedName name="_xlnm.Print_Area" localSheetId="127">'920d'!$A$1:$G$35</definedName>
    <definedName name="_xlnm.Print_Area" localSheetId="1">Ad!$A$5:$L$44</definedName>
    <definedName name="_xlnm.Print_Area" localSheetId="3">B1d!$A$1:$O$206</definedName>
    <definedName name="_xlnm.Print_Area" localSheetId="4">F1d!$A$1:$E$84</definedName>
    <definedName name="_xlnm.Print_Area" localSheetId="5">F2d!$A$1:$E$82</definedName>
    <definedName name="_xlnm.Print_Area" localSheetId="6">F3d!$A$1:$I$54</definedName>
    <definedName name="_xlnm.Print_Area" localSheetId="0">Info!$A$1:$K$75</definedName>
    <definedName name="_xlnm.Print_Area" localSheetId="7">Jd!$A$1:$P$68</definedName>
    <definedName name="_xlnm.Print_Area" localSheetId="128">T10d!$A$1:$H$11</definedName>
    <definedName name="_xlnm.Print_Area" localSheetId="134">T11d!$A$1:$H$23</definedName>
    <definedName name="_xlnm.Print_Area" localSheetId="8">T1d!$A$1:$I$19</definedName>
    <definedName name="_xlnm.Print_Area" localSheetId="22">T2d!$A$1:$H$32</definedName>
    <definedName name="_xlnm.Print_Area" localSheetId="49">T3d!$A$1:$H$21</definedName>
    <definedName name="_xlnm.Print_Area" localSheetId="65">T4d!$A$1:$H$15</definedName>
    <definedName name="_xlnm.Print_Area" localSheetId="75">T5d!$A$1:$G$11</definedName>
    <definedName name="_xlnm.Print_Area" localSheetId="94">T8d!$A$1:$H$18</definedName>
    <definedName name="_xlnm.Print_Titles" localSheetId="76">'501d'!$A:$B,'501d'!$1:$10</definedName>
    <definedName name="_xlnm.Print_Titles" localSheetId="78">'503d'!$1:$11</definedName>
    <definedName name="_xlnm.Print_Titles" localSheetId="79">'504d'!$A:$A,'504d'!$1:$7</definedName>
    <definedName name="_xlnm.Print_Titles" localSheetId="80">'505d'!$A:$B,'505d'!$1:$8</definedName>
    <definedName name="_xlnm.Print_Titles" localSheetId="114">'907d'!$1:$7</definedName>
    <definedName name="_xlnm.Print_Titles" localSheetId="3">B1d!$5:$5</definedName>
    <definedName name="Z_E58FEA52_E3A2_4787_9824_12DA55A527FE_.wvu.Cols" localSheetId="73" hidden="1">'408d'!$I:$I</definedName>
    <definedName name="Z_E58FEA52_E3A2_4787_9824_12DA55A527FE_.wvu.PrintArea" localSheetId="73" hidden="1">'408d'!$A$1:$E$43</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04" i="1119" l="1"/>
  <c r="N204" i="1119"/>
  <c r="M204" i="1119"/>
  <c r="L204" i="1119"/>
  <c r="K204" i="1119"/>
  <c r="J204" i="1119"/>
  <c r="I204" i="1119"/>
  <c r="H204" i="1119"/>
  <c r="F204" i="1119"/>
  <c r="E204" i="1119"/>
  <c r="D204" i="1119"/>
  <c r="C204" i="1119"/>
  <c r="B204" i="1119"/>
  <c r="A204" i="1119"/>
  <c r="D3" i="1118"/>
  <c r="I3" i="1118" s="1"/>
  <c r="M3" i="1118" s="1"/>
  <c r="E3" i="1118"/>
  <c r="G3" i="1118"/>
  <c r="K3" i="1118"/>
  <c r="C75" i="1115"/>
  <c r="C74" i="1115"/>
  <c r="C73" i="1115"/>
  <c r="C72" i="1115"/>
  <c r="C71" i="1115"/>
  <c r="A50" i="1092"/>
  <c r="B44" i="1054"/>
  <c r="B43" i="1054"/>
  <c r="B42" i="1054"/>
  <c r="B39" i="1054"/>
  <c r="B38" i="1054"/>
  <c r="B37" i="1054"/>
  <c r="B34" i="1054"/>
  <c r="B33" i="1054"/>
  <c r="B32" i="1054"/>
  <c r="B29" i="1054"/>
  <c r="B28" i="1054"/>
  <c r="B27" i="1054"/>
  <c r="B24" i="1054"/>
  <c r="B23" i="1054"/>
  <c r="B22" i="1054"/>
  <c r="B19" i="1054"/>
  <c r="B18" i="1054"/>
  <c r="B17" i="1054"/>
  <c r="B14" i="1054"/>
  <c r="B13" i="1054"/>
  <c r="B12" i="105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Informatik</author>
  </authors>
  <commentList>
    <comment ref="H6" authorId="0" shapeId="0" xr:uid="{93699634-0030-784F-B241-D22D595AFD10}">
      <text>
        <r>
          <rPr>
            <b/>
            <sz val="8"/>
            <color indexed="81"/>
            <rFont val="Tahoma"/>
            <family val="2"/>
          </rPr>
          <t>Cap / 22.10.01</t>
        </r>
        <r>
          <rPr>
            <sz val="8"/>
            <color indexed="81"/>
            <rFont val="Tahoma"/>
            <family val="2"/>
          </rPr>
          <t xml:space="preserve">
gemäss Auswertung 1999 vom 22.10.01</t>
        </r>
      </text>
    </comment>
  </commentList>
</comments>
</file>

<file path=xl/sharedStrings.xml><?xml version="1.0" encoding="utf-8"?>
<sst xmlns="http://schemas.openxmlformats.org/spreadsheetml/2006/main" count="10386" uniqueCount="2579">
  <si>
    <t>CH</t>
  </si>
  <si>
    <t>Publikation 2007</t>
  </si>
  <si>
    <t>Beilage B2</t>
  </si>
  <si>
    <t>Übergangsschlüssel Tabellen  2009 -&gt; 1996</t>
  </si>
  <si>
    <t>Statistik der obligatorischen Krankenversicherung 2009, Bundesamt für Gesundheit</t>
  </si>
  <si>
    <t xml:space="preserve">Beilage B1: </t>
  </si>
  <si>
    <t>laufende Aufdatierung</t>
  </si>
  <si>
    <t>(0 - 100%)</t>
  </si>
  <si>
    <t>Gesamtgeschäft der vom BAG anerkannten Krankenversicherer</t>
  </si>
  <si>
    <r>
      <t>B</t>
    </r>
    <r>
      <rPr>
        <b/>
        <i/>
        <sz val="12"/>
        <rFont val="55 Helvetica Roman"/>
      </rPr>
      <t xml:space="preserve">     Bundesamt für Gesundheit</t>
    </r>
  </si>
  <si>
    <t>Teil 10</t>
  </si>
  <si>
    <t>In der XLS Version sind die Daten</t>
  </si>
  <si>
    <t>meistens ab 1996 verfügbar</t>
  </si>
  <si>
    <t>Publikation 2008</t>
  </si>
  <si>
    <t>1.10</t>
  </si>
  <si>
    <t>9.16</t>
  </si>
  <si>
    <t>4.09</t>
  </si>
  <si>
    <t>1101-1117</t>
  </si>
  <si>
    <t>Risikoausgleich in der OKP</t>
  </si>
  <si>
    <t>H 04 A</t>
  </si>
  <si>
    <t>G 04 B</t>
  </si>
  <si>
    <t>H 04 B</t>
  </si>
  <si>
    <t>G 05</t>
  </si>
  <si>
    <t>H 05</t>
  </si>
  <si>
    <t>G 07</t>
  </si>
  <si>
    <t>G 08</t>
  </si>
  <si>
    <t>H 08</t>
  </si>
  <si>
    <t>9.10</t>
  </si>
  <si>
    <t>G 09</t>
  </si>
  <si>
    <t>H 09</t>
  </si>
  <si>
    <t>G 01 A</t>
  </si>
  <si>
    <t>G 03 A</t>
  </si>
  <si>
    <t>Eidgenössisches Departement des Innern EDI</t>
  </si>
  <si>
    <r>
      <t xml:space="preserve">Teil  Tabellen </t>
    </r>
    <r>
      <rPr>
        <b/>
        <sz val="14"/>
        <rFont val="55 Helvetica Roman"/>
      </rPr>
      <t>(XLS)</t>
    </r>
  </si>
  <si>
    <t>G 06 + G 07</t>
  </si>
  <si>
    <t>-</t>
  </si>
  <si>
    <t>1.50</t>
  </si>
  <si>
    <t>701-705</t>
  </si>
  <si>
    <t>10.01</t>
  </si>
  <si>
    <t>10.02</t>
  </si>
  <si>
    <t>10.03</t>
  </si>
  <si>
    <t>Beilage B1</t>
  </si>
  <si>
    <t>Teil 11</t>
  </si>
  <si>
    <t>Versicherte in der OKP</t>
  </si>
  <si>
    <t>Publikation 2005</t>
  </si>
  <si>
    <t>4.10</t>
  </si>
  <si>
    <t>2.20</t>
  </si>
  <si>
    <t>8.10</t>
  </si>
  <si>
    <t>8.11</t>
  </si>
  <si>
    <t>11.10</t>
  </si>
  <si>
    <t>9.22</t>
  </si>
  <si>
    <t>G 10</t>
  </si>
  <si>
    <t>G 11</t>
  </si>
  <si>
    <t>G 12</t>
  </si>
  <si>
    <t>2.10</t>
  </si>
  <si>
    <t xml:space="preserve">* : Teil Tabellen </t>
  </si>
  <si>
    <t xml:space="preserve">Publikation 2000 </t>
  </si>
  <si>
    <t>F 02 -&gt; F 05</t>
  </si>
  <si>
    <t>F 01 -&gt; F 03</t>
  </si>
  <si>
    <t>3.11</t>
  </si>
  <si>
    <t>3.12</t>
  </si>
  <si>
    <t>3.13</t>
  </si>
  <si>
    <t>5.01 -&gt; 5.03</t>
  </si>
  <si>
    <t>5.00</t>
  </si>
  <si>
    <t>H 06 + H 07</t>
  </si>
  <si>
    <t>C 02 A</t>
  </si>
  <si>
    <t>C 02 B</t>
  </si>
  <si>
    <t>C 03</t>
  </si>
  <si>
    <t>C 04</t>
  </si>
  <si>
    <t>C 05</t>
  </si>
  <si>
    <t>D 01 A</t>
  </si>
  <si>
    <t>D 01 B</t>
  </si>
  <si>
    <t>D 02</t>
  </si>
  <si>
    <t>D 03</t>
  </si>
  <si>
    <t>D 04</t>
  </si>
  <si>
    <t>E 01 A</t>
  </si>
  <si>
    <t>E 01 B</t>
  </si>
  <si>
    <t xml:space="preserve">E 01 </t>
  </si>
  <si>
    <t>E 02</t>
  </si>
  <si>
    <t>9.21</t>
  </si>
  <si>
    <t>Verfügbar am:</t>
  </si>
  <si>
    <t>Vom Bund anerkannte Versicherungsträger</t>
  </si>
  <si>
    <t xml:space="preserve">Tabellen </t>
  </si>
  <si>
    <t>Teil 1</t>
  </si>
  <si>
    <t>Teil 2</t>
  </si>
  <si>
    <t>Leistungen und Kostenbeteiligung in der OKP</t>
  </si>
  <si>
    <t>Teil 3</t>
  </si>
  <si>
    <t>Prämien in der OKP</t>
  </si>
  <si>
    <t>Teil 4</t>
  </si>
  <si>
    <t>Prämienverbilligung in der OKP</t>
  </si>
  <si>
    <t>Teil 5</t>
  </si>
  <si>
    <t>Aufsichtsdaten OKP</t>
  </si>
  <si>
    <t>Teil 6</t>
  </si>
  <si>
    <t>601-606</t>
  </si>
  <si>
    <t>Freiwillige Taggeldversicherung KVG</t>
  </si>
  <si>
    <t>Teil 7</t>
  </si>
  <si>
    <t>Teil 8</t>
  </si>
  <si>
    <t>Teil 9</t>
  </si>
  <si>
    <t>Zusatzinformationen zum Gesundheitswesen</t>
  </si>
  <si>
    <t>Zusatzversicherungen VVG der vom BAG anerkannten Krankenversicherer</t>
  </si>
  <si>
    <t>Beilage B</t>
  </si>
  <si>
    <t>3.10</t>
  </si>
  <si>
    <t>Finanzen und obligatorische Krankenpflegeversicherung (OKP)</t>
  </si>
  <si>
    <t>E 03</t>
  </si>
  <si>
    <t>E 04</t>
  </si>
  <si>
    <t>E 05</t>
  </si>
  <si>
    <t>E 06</t>
  </si>
  <si>
    <t>E 07</t>
  </si>
  <si>
    <t>E 08</t>
  </si>
  <si>
    <t>E 09</t>
  </si>
  <si>
    <t>E 10</t>
  </si>
  <si>
    <t>E 11</t>
  </si>
  <si>
    <t>F 01</t>
  </si>
  <si>
    <t>F 02</t>
  </si>
  <si>
    <t>F 03</t>
  </si>
  <si>
    <t>F 04</t>
  </si>
  <si>
    <t>G 01</t>
  </si>
  <si>
    <t>H 01</t>
  </si>
  <si>
    <t>G 02 A</t>
  </si>
  <si>
    <t>H 02 A</t>
  </si>
  <si>
    <t>G 02 B</t>
  </si>
  <si>
    <t>H 02 B</t>
  </si>
  <si>
    <t>G 03</t>
  </si>
  <si>
    <t>H 03</t>
  </si>
  <si>
    <t>G 04 A</t>
  </si>
  <si>
    <r>
      <t xml:space="preserve">Korrigierte Tabellen :      </t>
    </r>
    <r>
      <rPr>
        <sz val="11"/>
        <color indexed="10"/>
        <rFont val="55 Helvetica Roman"/>
      </rPr>
      <t>(Korrekturen in roter Farbe)</t>
    </r>
    <r>
      <rPr>
        <sz val="11"/>
        <rFont val="55 Helvetica Roman"/>
      </rPr>
      <t xml:space="preserve">  </t>
    </r>
    <r>
      <rPr>
        <b/>
        <sz val="11"/>
        <rFont val="55 Helvetica Roman"/>
      </rPr>
      <t xml:space="preserve">   </t>
    </r>
    <r>
      <rPr>
        <b/>
        <sz val="11"/>
        <color indexed="9"/>
        <rFont val="55 Helvetica Roman"/>
      </rPr>
      <t xml:space="preserve">     (gegenüber PDF Version und der gedruckten Version) :</t>
    </r>
  </si>
  <si>
    <t>9.20</t>
  </si>
  <si>
    <t>Publikation 1996</t>
  </si>
  <si>
    <t>Publikation 1997</t>
  </si>
  <si>
    <t>Publikation 1998</t>
  </si>
  <si>
    <t>Publikation 1999</t>
  </si>
  <si>
    <t>Publikation 2001</t>
  </si>
  <si>
    <t>Publikation 2002</t>
  </si>
  <si>
    <t>Publikation 2003</t>
  </si>
  <si>
    <t>Publikation 2004</t>
  </si>
  <si>
    <t>A 01</t>
  </si>
  <si>
    <t>A 02 A</t>
  </si>
  <si>
    <t>A 02 B</t>
  </si>
  <si>
    <t>A 03 A</t>
  </si>
  <si>
    <t>A 03 B</t>
  </si>
  <si>
    <t>A 04 A</t>
  </si>
  <si>
    <t>A 04 B</t>
  </si>
  <si>
    <t>A 05 A</t>
  </si>
  <si>
    <t>A 05 B</t>
  </si>
  <si>
    <t>A 06</t>
  </si>
  <si>
    <t>A 07</t>
  </si>
  <si>
    <t>A 08 A</t>
  </si>
  <si>
    <t>A 08 B</t>
  </si>
  <si>
    <t>A 09 A</t>
  </si>
  <si>
    <t>A 09 B</t>
  </si>
  <si>
    <t>A 10</t>
  </si>
  <si>
    <t>A 11</t>
  </si>
  <si>
    <t>A 12 A</t>
  </si>
  <si>
    <t>A 12 B</t>
  </si>
  <si>
    <t>A 13 B</t>
  </si>
  <si>
    <t>A 13 A</t>
  </si>
  <si>
    <t>B 01</t>
  </si>
  <si>
    <t>B 02</t>
  </si>
  <si>
    <t>B 03 A</t>
  </si>
  <si>
    <t>B 03 B</t>
  </si>
  <si>
    <t>B 04 A</t>
  </si>
  <si>
    <t>B 04 B</t>
  </si>
  <si>
    <t>B 05 A</t>
  </si>
  <si>
    <t>B 05 B</t>
  </si>
  <si>
    <t>B 06 A</t>
  </si>
  <si>
    <t>B 06 B</t>
  </si>
  <si>
    <t>B 07 A</t>
  </si>
  <si>
    <t>B 07 B</t>
  </si>
  <si>
    <t>B 08 A</t>
  </si>
  <si>
    <t>B 08 B</t>
  </si>
  <si>
    <t>B 09 A</t>
  </si>
  <si>
    <t>B 09 B</t>
  </si>
  <si>
    <t>B 10 A</t>
  </si>
  <si>
    <t>B 10 B</t>
  </si>
  <si>
    <t>B 11 A</t>
  </si>
  <si>
    <t>B 11 B</t>
  </si>
  <si>
    <t>B 12 A</t>
  </si>
  <si>
    <t>B 12 B</t>
  </si>
  <si>
    <t>B 13 A</t>
  </si>
  <si>
    <t>B 13 B</t>
  </si>
  <si>
    <t>B 14</t>
  </si>
  <si>
    <t>B 15</t>
  </si>
  <si>
    <t>B 16</t>
  </si>
  <si>
    <t>B 17</t>
  </si>
  <si>
    <t>B 18</t>
  </si>
  <si>
    <t>C 01 A</t>
  </si>
  <si>
    <t>C 01 B</t>
  </si>
  <si>
    <t>Publikation 2006</t>
  </si>
  <si>
    <t>Sektion Statistik und Mathematik</t>
  </si>
  <si>
    <t>© Bundesamt für Gesundheit (BAG)</t>
  </si>
  <si>
    <t>Total</t>
  </si>
  <si>
    <t xml:space="preserve"> www.bag.admin.ch/pyramiden            </t>
  </si>
  <si>
    <t>G 03 B</t>
  </si>
  <si>
    <t>G 04</t>
  </si>
  <si>
    <t>G 06</t>
  </si>
  <si>
    <t>Beilagen F1-&gt;F3</t>
  </si>
  <si>
    <t>Entwicklung der Franchisen, Prämienrabatte und Selbstbehalte und Zunahme der Gesamtausgaben ab 1996</t>
  </si>
  <si>
    <t>Auszugsweiser Abdruck unter Quellenangabe (Name der Publikation, Jahr, Nummer der Tabelle) gestattet.</t>
  </si>
  <si>
    <t>11: Versicherte in der OKP</t>
  </si>
  <si>
    <t>Versichertenbestand nach Wohnkanton per 31.12.</t>
  </si>
  <si>
    <t>Versichertenbestand nach Versicherungsform per 31.12.</t>
  </si>
  <si>
    <t>Verteilung der Versicherungsformen in % nach Kanton - Versicherte ab 19 Jahren</t>
  </si>
  <si>
    <t>2: Leistungen und Kostenbeteiligung in der OKP</t>
  </si>
  <si>
    <t>Kanton</t>
  </si>
  <si>
    <t>Kinder</t>
  </si>
  <si>
    <t>Junge</t>
  </si>
  <si>
    <t>Erwachsene</t>
  </si>
  <si>
    <t>(0-18 Jahre)</t>
  </si>
  <si>
    <t>(19-25 Jahre)</t>
  </si>
  <si>
    <t>(26 J. und älter)</t>
  </si>
  <si>
    <t>Vorjahr</t>
  </si>
  <si>
    <t>ZH</t>
  </si>
  <si>
    <t>BE</t>
  </si>
  <si>
    <t>LU</t>
  </si>
  <si>
    <t>UR</t>
  </si>
  <si>
    <t>SZ</t>
  </si>
  <si>
    <t>OW</t>
  </si>
  <si>
    <t>NW</t>
  </si>
  <si>
    <t>GL</t>
  </si>
  <si>
    <t>ZG</t>
  </si>
  <si>
    <t>FR</t>
  </si>
  <si>
    <t>SO</t>
  </si>
  <si>
    <t>BS</t>
  </si>
  <si>
    <t>BL</t>
  </si>
  <si>
    <t>SH</t>
  </si>
  <si>
    <t>AR</t>
  </si>
  <si>
    <t>AI</t>
  </si>
  <si>
    <t>SG</t>
  </si>
  <si>
    <t>GR</t>
  </si>
  <si>
    <t>AG</t>
  </si>
  <si>
    <t>TG</t>
  </si>
  <si>
    <t>TI</t>
  </si>
  <si>
    <t>VD</t>
  </si>
  <si>
    <t>VS</t>
  </si>
  <si>
    <t>NE</t>
  </si>
  <si>
    <t>GE</t>
  </si>
  <si>
    <t>JU</t>
  </si>
  <si>
    <t>Männer</t>
  </si>
  <si>
    <t>Frauen</t>
  </si>
  <si>
    <t>Statistik der obligatorischen Krankenversicherung 2010</t>
  </si>
  <si>
    <t>STAT KV: Berichte: PDF 1996-2009, Tabellen: XLS 1996-2009, Grafiken: XLS 2005-2009 auf der Internet-Adresse</t>
  </si>
  <si>
    <t>Beilage A: Überblick über die statistischen Tabellen in der KV-Statistik</t>
  </si>
  <si>
    <t>Übersicht der Tabellen zu Prämien, Leistungen, Kostenbeteiligung sowie Versichertenbestand (OKP)</t>
  </si>
  <si>
    <t>Angaben zum Berichtsjahr</t>
  </si>
  <si>
    <t>Kriterien</t>
  </si>
  <si>
    <t>Altersgruppe</t>
  </si>
  <si>
    <t xml:space="preserve">Form </t>
  </si>
  <si>
    <t>Kostengruppe</t>
  </si>
  <si>
    <t>Bruttoleistungen</t>
  </si>
  <si>
    <t>Mio. Fr.</t>
  </si>
  <si>
    <t>2.22</t>
  </si>
  <si>
    <t>2.17</t>
  </si>
  <si>
    <t>2.14</t>
  </si>
  <si>
    <t>Fr. pro Person</t>
  </si>
  <si>
    <t>2.24</t>
  </si>
  <si>
    <t>2.19</t>
  </si>
  <si>
    <t>2.15</t>
  </si>
  <si>
    <t>Kostenbeteiligung</t>
  </si>
  <si>
    <t>2.01</t>
  </si>
  <si>
    <t>2.13</t>
  </si>
  <si>
    <t>2.23</t>
  </si>
  <si>
    <t>2.02</t>
  </si>
  <si>
    <t>Bezahlte Leistungen</t>
  </si>
  <si>
    <t>2.07</t>
  </si>
  <si>
    <t>2.12</t>
  </si>
  <si>
    <t>2.08</t>
  </si>
  <si>
    <t>2.21</t>
  </si>
  <si>
    <t>Prämiensoll</t>
  </si>
  <si>
    <t>3.15</t>
  </si>
  <si>
    <t>3.14</t>
  </si>
  <si>
    <t>3.09</t>
  </si>
  <si>
    <t>Durchschnittsprämien</t>
  </si>
  <si>
    <t>Fr. pro Monat</t>
  </si>
  <si>
    <t>3.02-3.04</t>
  </si>
  <si>
    <t>3.01</t>
  </si>
  <si>
    <t>Versichertenbestand</t>
  </si>
  <si>
    <t>Durchschnitt</t>
  </si>
  <si>
    <t>11.15</t>
  </si>
  <si>
    <t>11.14</t>
  </si>
  <si>
    <t>11.16</t>
  </si>
  <si>
    <t>11.08/09</t>
  </si>
  <si>
    <t>per 31.12.</t>
  </si>
  <si>
    <t>11.03</t>
  </si>
  <si>
    <t>11.06</t>
  </si>
  <si>
    <t>11.05/07</t>
  </si>
  <si>
    <t>Erklärung zu den Statistiken:</t>
  </si>
  <si>
    <t>Bezahlte Leistungen (vom Versicherer bezahlte Leistungen) plus Kostenbeteiligung</t>
  </si>
  <si>
    <t xml:space="preserve">Beitrag der Versicherten an die Kosten (Franchise, Selbstbehalt, Beitrag an Spitalaufenthalt), sofern statistisch erfasst. </t>
  </si>
  <si>
    <t>Nicht erfasst sind nicht eingereichte Belege im System Tier garant.</t>
  </si>
  <si>
    <t>Prämie, die die Versicherten dem Versicherer zahlen müssen (= geschuldete Prämien)</t>
  </si>
  <si>
    <t>Prämie für das Standardmodell mit ord. Franchise (inkl. Unfalldeckung).</t>
  </si>
  <si>
    <t>Erklärung zu den Kriterien:</t>
  </si>
  <si>
    <t>Form</t>
  </si>
  <si>
    <t>Versicherungsform Ordentliche Franchise, Wahlfranchisen, BONUS, Eingeschränkte Wahl</t>
  </si>
  <si>
    <t>nach Leistungsprinzip</t>
  </si>
  <si>
    <t>Weitere wichtige Tabellen</t>
  </si>
  <si>
    <t>Wichtige Indikatoren OKP (ab 1996)</t>
  </si>
  <si>
    <t>Detaillierte Betriebsrechnung für das Berichtsjahr (OKP: 1.03-1.07; Taggeld: 6.04-6.06; Gesamtbetriebsrechnung: 8.05/06)</t>
  </si>
  <si>
    <t>1.08-11</t>
  </si>
  <si>
    <t>Gesamtbetriebsergebnis sowie Verwaltungsaufwand (Mio. Fr./pro Kopf) nach Form (grob) ab 1999</t>
  </si>
  <si>
    <t>4.01-03</t>
  </si>
  <si>
    <t>Prämienverbilligung: Bezüger, Haushalte und ausbezahlter Betrag ab 1999; Anzahl Bezüger nach Kanton, Alter und Geschlecht</t>
  </si>
  <si>
    <t>5.01/03/05</t>
  </si>
  <si>
    <t>Indikatoren nach einzelnem Versicherer (Aufsichtsdaten OKP; kantonale Versichertenbestände)</t>
  </si>
  <si>
    <t>Stellen, Personal und Löhne OKP</t>
  </si>
  <si>
    <t>8.09/8.10</t>
  </si>
  <si>
    <t>Bilanz (aggregiert): Aktiven/Passiven</t>
  </si>
  <si>
    <t>Eintritte (nach Geschlecht )</t>
  </si>
  <si>
    <t>Publikation 2009</t>
  </si>
  <si>
    <t>101-113</t>
  </si>
  <si>
    <t>301-315</t>
  </si>
  <si>
    <t>401-409</t>
  </si>
  <si>
    <t>501-505</t>
  </si>
  <si>
    <t>801-812</t>
  </si>
  <si>
    <t>901-920</t>
  </si>
  <si>
    <t>1001-1005</t>
  </si>
  <si>
    <t>Beilage A</t>
  </si>
  <si>
    <t xml:space="preserve">Überblick über die statistischen Tabellen in der KV-Statistik             </t>
  </si>
  <si>
    <t>Beilage J</t>
  </si>
  <si>
    <t>Schätzungen aus dem Prämiengenehmigungsverfahren: Eckwerte 2002-2012</t>
  </si>
  <si>
    <t>Übergangsschlüssel Tabellen  2010 -&gt; 1996</t>
  </si>
  <si>
    <t xml:space="preserve">Übergangsschlüssel Tabellen 2009 -&gt; 2010 / 2010 -&gt; 2009           </t>
  </si>
  <si>
    <t>1: Finanzen und obligatorische Krankenpflegeversicherung (OKP)</t>
  </si>
  <si>
    <t>Obligatorische Krankenpflegeversicherung ab 2000 : wichtigste Indikatoren</t>
  </si>
  <si>
    <t xml:space="preserve">Betriebsrechnung der obligatorischen Krankenpflegeversicherung insgesamt </t>
  </si>
  <si>
    <t>Betriebsrechnung der Versicherung mit ordentlicher Franchise</t>
  </si>
  <si>
    <t xml:space="preserve">Betriebsrechnung der Versicherungen mit wählbarer Franchise </t>
  </si>
  <si>
    <t xml:space="preserve">Betriebsrechnung der BONUS-Versicherung </t>
  </si>
  <si>
    <t xml:space="preserve">Betriebsrechnung der Versicherungen mit eingeschränkter Wahl des Leistungserbringers </t>
  </si>
  <si>
    <t>Betriebsrechnung der obligatorischen Krankenpflegeversicherung Personen mit Wohnsitz in einem EG-Staat</t>
  </si>
  <si>
    <t>Gesamtbetriebsergebnis  nach Versicherungsform ab 2000</t>
  </si>
  <si>
    <t>Gesamtbetriebsergebnis  je versicherte Person nach Versicherungsform ab 2000</t>
  </si>
  <si>
    <t>Verwaltungsaufwand / Abschreibungen  nach Versicherungsform ab 2000</t>
  </si>
  <si>
    <t xml:space="preserve">Verwaltungsaufwand / Abschreibungen  je versicherte Person nach Versicherungsform ab 2000 </t>
  </si>
  <si>
    <t>Stand der Reserven per 31.12. ab 2000</t>
  </si>
  <si>
    <t xml:space="preserve">Stand der Rückstellungen per 31.12. für unerledigte Versicherungsfälle ab 2000 </t>
  </si>
  <si>
    <t>T 1.01 Obligatorische Krankenpflegeversicherung ab 2000: wichtigste Indikatoren</t>
  </si>
  <si>
    <t>Merkmale</t>
  </si>
  <si>
    <t>Veränderung 2009 - 2010 in %</t>
  </si>
  <si>
    <t>Jahresdurch-schnittliche Veränderung 2000 - 2010 in %</t>
  </si>
  <si>
    <t>– Anzahl Versicherer OKP</t>
  </si>
  <si>
    <t>– Durchschnittlicher Versichertenbestand in 1'000</t>
  </si>
  <si>
    <t>3A</t>
  </si>
  <si>
    <t>– Anzahl Erkrankte in 1'000</t>
  </si>
  <si>
    <t>3B</t>
  </si>
  <si>
    <t>– Anzahl Erkrankte je 100 Versicherte</t>
  </si>
  <si>
    <t>– Anzahl Spitaleinweisungen in 1'000</t>
  </si>
  <si>
    <t>– Anzahl Spitaltage in 1'000</t>
  </si>
  <si>
    <t>6B</t>
  </si>
  <si>
    <t>– Prämiensoll pro Versicherten in Fr.</t>
  </si>
  <si>
    <t>7B</t>
  </si>
  <si>
    <r>
      <t xml:space="preserve">– Bruttoleistungen </t>
    </r>
    <r>
      <rPr>
        <vertAlign val="superscript"/>
        <sz val="11"/>
        <rFont val="Arial"/>
        <family val="2"/>
      </rPr>
      <t>1</t>
    </r>
    <r>
      <rPr>
        <sz val="11"/>
        <rFont val="Arial"/>
        <family val="2"/>
      </rPr>
      <t xml:space="preserve"> pro Versicherten in Fr.</t>
    </r>
  </si>
  <si>
    <t>7C</t>
  </si>
  <si>
    <t>–– davon ambulante Leistungen in Fr.</t>
  </si>
  <si>
    <t>7D</t>
  </si>
  <si>
    <t>–– davon stationäre Leistungen in Fr.</t>
  </si>
  <si>
    <t>8B</t>
  </si>
  <si>
    <t>– Kostenbeteiligung pro Versicherten in Fr.</t>
  </si>
  <si>
    <t>9B</t>
  </si>
  <si>
    <r>
      <t xml:space="preserve">– Bezahlte Leistungen </t>
    </r>
    <r>
      <rPr>
        <vertAlign val="superscript"/>
        <sz val="11"/>
        <rFont val="Arial"/>
        <family val="2"/>
      </rPr>
      <t>2</t>
    </r>
    <r>
      <rPr>
        <sz val="11"/>
        <rFont val="Arial"/>
        <family val="2"/>
      </rPr>
      <t xml:space="preserve"> pro Versicherten in  Fr.</t>
    </r>
  </si>
  <si>
    <t>10B</t>
  </si>
  <si>
    <t>– Verwaltungsaufwand / Abschreibungen pro Versicherten in Fr.</t>
  </si>
  <si>
    <t>12B</t>
  </si>
  <si>
    <t>– Rückstellungen per 31.12. pro Versicherten in Fr.</t>
  </si>
  <si>
    <t>13B</t>
  </si>
  <si>
    <t>– Reserven per 31.12. pro Versicherten in Fr.</t>
  </si>
  <si>
    <t>6A</t>
  </si>
  <si>
    <t>– Prämiensoll in Mio. Fr.</t>
  </si>
  <si>
    <t>7A</t>
  </si>
  <si>
    <r>
      <t xml:space="preserve">– Bruttoleistungen </t>
    </r>
    <r>
      <rPr>
        <vertAlign val="superscript"/>
        <sz val="11"/>
        <rFont val="Arial"/>
        <family val="2"/>
      </rPr>
      <t>1</t>
    </r>
    <r>
      <rPr>
        <sz val="11"/>
        <rFont val="Arial"/>
        <family val="2"/>
      </rPr>
      <t xml:space="preserve"> in Mio. Fr.</t>
    </r>
  </si>
  <si>
    <t>8A</t>
  </si>
  <si>
    <t>– Kostenbeteiligung in Mio. Fr.</t>
  </si>
  <si>
    <t>9A</t>
  </si>
  <si>
    <r>
      <t xml:space="preserve">– Bezahlte Leistungen </t>
    </r>
    <r>
      <rPr>
        <vertAlign val="superscript"/>
        <sz val="11"/>
        <rFont val="Arial"/>
        <family val="2"/>
      </rPr>
      <t xml:space="preserve">2  </t>
    </r>
    <r>
      <rPr>
        <sz val="11"/>
        <rFont val="Arial"/>
        <family val="2"/>
      </rPr>
      <t>in Mio. Fr.</t>
    </r>
  </si>
  <si>
    <t>10A</t>
  </si>
  <si>
    <t>– Verwaltungsaufwand / Abschreibungen in Mio. Fr.</t>
  </si>
  <si>
    <t>– Gesamtbetriebsergebnis in Mio. Fr.</t>
  </si>
  <si>
    <t>12A</t>
  </si>
  <si>
    <t>– Rückstellungen: Stand per 31.12. in Mio. Fr.</t>
  </si>
  <si>
    <t>12C</t>
  </si>
  <si>
    <r>
      <t xml:space="preserve">– Rückstellungsquote </t>
    </r>
    <r>
      <rPr>
        <vertAlign val="superscript"/>
        <sz val="11"/>
        <rFont val="Arial"/>
        <family val="2"/>
      </rPr>
      <t>3</t>
    </r>
    <r>
      <rPr>
        <sz val="11"/>
        <rFont val="Arial"/>
        <family val="2"/>
      </rPr>
      <t xml:space="preserve"> per 31.12. in %</t>
    </r>
  </si>
  <si>
    <t>13A</t>
  </si>
  <si>
    <t>– Reserven: Stand per 31.12. in Mio. Fr.</t>
  </si>
  <si>
    <t>13C</t>
  </si>
  <si>
    <r>
      <t xml:space="preserve">– Reservequote </t>
    </r>
    <r>
      <rPr>
        <vertAlign val="superscript"/>
        <sz val="11"/>
        <rFont val="Arial"/>
        <family val="2"/>
      </rPr>
      <t>4</t>
    </r>
    <r>
      <rPr>
        <sz val="11"/>
        <rFont val="Arial"/>
        <family val="2"/>
      </rPr>
      <t xml:space="preserve"> per 31.12. in %</t>
    </r>
  </si>
  <si>
    <t>1) Leistungen brutto = Leistungen inkl. Kostenbeteiligung der Versicherten.</t>
  </si>
  <si>
    <t>2) Bezahlte Leistungen = Nettoleistungen = Leistungen der Versicherer abzüglich Kostenbeteiligung der Versicherten.</t>
  </si>
  <si>
    <t>3) Rückstellungen in Prozent der bezahlten Leistungen.</t>
  </si>
  <si>
    <t>4) Reserven in Prozent des Prämiensolls.</t>
  </si>
  <si>
    <t xml:space="preserve">Quelle: </t>
  </si>
  <si>
    <t>Formular EF123 :</t>
  </si>
  <si>
    <t>Tabelle T :</t>
  </si>
  <si>
    <t>Anzahl Versicherer mit EF 1.12 A Total &gt; 0</t>
  </si>
  <si>
    <t>= [ 8A ] / [ 2 ]</t>
  </si>
  <si>
    <t xml:space="preserve">Durchschnittlicher Versichertenbestand EF 1.12 A Total  </t>
  </si>
  <si>
    <t>= [ 7A ] - [ 8A ]</t>
  </si>
  <si>
    <t>EF3  T 3.7.1</t>
  </si>
  <si>
    <t>= [ 7B ] - [ 8B ]</t>
  </si>
  <si>
    <t>= [ 3A ] / [ 2 ] * 100</t>
  </si>
  <si>
    <t>EF2 Konten 40-47 + 48 K+U Seiten 2.2 -&gt; 2.7</t>
  </si>
  <si>
    <t>EF3  T 3.7.2</t>
  </si>
  <si>
    <t>= [ 10A ] / [ 2 ]</t>
  </si>
  <si>
    <t xml:space="preserve">EF2 Konto Gesamtbetriebsergebnis Krankheit + Unfall Seiten 2.2 -&gt; 2.7 </t>
  </si>
  <si>
    <t>EF3  T 3.4</t>
  </si>
  <si>
    <t>EF 1.4 Konto 270</t>
  </si>
  <si>
    <t>= [ 6A ] / [ 2 ]</t>
  </si>
  <si>
    <t>= [ 12A ] / [ 2 ]</t>
  </si>
  <si>
    <t>EF3  T 3.6</t>
  </si>
  <si>
    <t>= [ 12A ] / [ 9A ] * 100 in %</t>
  </si>
  <si>
    <t>= [ 7A ] / [ 2 ]</t>
  </si>
  <si>
    <t>EF 1.5 Konten 290 + 290.9</t>
  </si>
  <si>
    <t>EF3  T 3.6 / [ 2 ]</t>
  </si>
  <si>
    <t>= [ 13A ] / [ 2 ]</t>
  </si>
  <si>
    <t>EF3 T 3.6 / [ 2 ]</t>
  </si>
  <si>
    <t>= [ 13A ] / [ 6A ] * 100 in %</t>
  </si>
  <si>
    <t>EF2 Konto 32 K+U Seiten 2.2 -&gt; 2.7</t>
  </si>
  <si>
    <r>
      <t xml:space="preserve">T 1.02  Betriebsrechnung der obligatorischen Krankenpflegeversicherung insgesamt </t>
    </r>
    <r>
      <rPr>
        <b/>
        <vertAlign val="superscript"/>
        <sz val="12"/>
        <rFont val="Arial"/>
        <family val="2"/>
      </rPr>
      <t>1</t>
    </r>
  </si>
  <si>
    <t>Kontengruppe</t>
  </si>
  <si>
    <t>Krankheit</t>
  </si>
  <si>
    <t>Unfall</t>
  </si>
  <si>
    <t>in Fr.</t>
  </si>
  <si>
    <t>Prämien</t>
  </si>
  <si>
    <t>Erlösminderungen für Prämien (-)</t>
  </si>
  <si>
    <t>Andere Beitragsanteile</t>
  </si>
  <si>
    <t>60-65</t>
  </si>
  <si>
    <t>Brutto-Prämien</t>
  </si>
  <si>
    <t>Prämienanteile der Rückversicherer (-)</t>
  </si>
  <si>
    <t>60-66</t>
  </si>
  <si>
    <t>Eigene Versicherungsprämien</t>
  </si>
  <si>
    <t>Prämienverbilligung / sonstige Beiträge</t>
  </si>
  <si>
    <t>Prämienermässigung an Versicherte (-)</t>
  </si>
  <si>
    <t>Sonstige Betriebserträge</t>
  </si>
  <si>
    <t>Total Versicherungsertrag</t>
  </si>
  <si>
    <t>Leistungen</t>
  </si>
  <si>
    <t>Kostenbeteiligung der Versicherten (-)</t>
  </si>
  <si>
    <t>30-33</t>
  </si>
  <si>
    <t>Sonstige Aufwendungen für Leistungen</t>
  </si>
  <si>
    <t>Rückstellungen für unerledigte Versicherungsfälle</t>
  </si>
  <si>
    <t>30-35</t>
  </si>
  <si>
    <t>Leistungsanteile der Rückversicherer (-)</t>
  </si>
  <si>
    <t>Risikoausgleich</t>
  </si>
  <si>
    <t>Total Versicherungsaufwand</t>
  </si>
  <si>
    <t>40-47</t>
  </si>
  <si>
    <t>Verwaltungsaufwand</t>
  </si>
  <si>
    <t>Abschreibungen</t>
  </si>
  <si>
    <t>Sonstige Betriebsaufwendungen</t>
  </si>
  <si>
    <t>Total Betriebsaufwand</t>
  </si>
  <si>
    <t>3/4</t>
  </si>
  <si>
    <t>Total Versicherungs- und Betriebsaufwand</t>
  </si>
  <si>
    <t>Versicherungsbetriebsergebnis</t>
  </si>
  <si>
    <t>Neutraler Aufwand / Ertrag</t>
  </si>
  <si>
    <t>Gesamtbetriebsergebnis</t>
  </si>
  <si>
    <t>1) Vgl. Fussnote 2) von Tabelle 11.02.</t>
  </si>
  <si>
    <t>Quelle: Formular EF2 [Summe 2.2 bis 2.7]</t>
  </si>
  <si>
    <r>
      <t xml:space="preserve">T 1.03  Betriebsrechnung der Versicherung </t>
    </r>
    <r>
      <rPr>
        <b/>
        <vertAlign val="superscript"/>
        <sz val="12"/>
        <rFont val="Arial"/>
        <family val="2"/>
      </rPr>
      <t>1</t>
    </r>
    <r>
      <rPr>
        <b/>
        <sz val="12"/>
        <rFont val="Arial"/>
        <family val="2"/>
      </rPr>
      <t xml:space="preserve">  mit ordentlicher Franchise </t>
    </r>
  </si>
  <si>
    <t>Quelle: Formular EF 2.2</t>
  </si>
  <si>
    <r>
      <t xml:space="preserve">T 1.04  Betriebsrechnung der Versicherungen </t>
    </r>
    <r>
      <rPr>
        <b/>
        <vertAlign val="superscript"/>
        <sz val="12"/>
        <rFont val="Arial"/>
        <family val="2"/>
      </rPr>
      <t>1</t>
    </r>
    <r>
      <rPr>
        <b/>
        <sz val="12"/>
        <rFont val="Arial"/>
        <family val="2"/>
      </rPr>
      <t xml:space="preserve">  mit wählbarer Franchise </t>
    </r>
  </si>
  <si>
    <t>Quelle: Formular EF 2.3</t>
  </si>
  <si>
    <r>
      <t xml:space="preserve">T 1.05  Betriebsrechnung der BONUS-Versicherung </t>
    </r>
    <r>
      <rPr>
        <b/>
        <vertAlign val="superscript"/>
        <sz val="12"/>
        <rFont val="Arial"/>
        <family val="2"/>
      </rPr>
      <t>1</t>
    </r>
  </si>
  <si>
    <t>Quelle: Formular EF 2.4</t>
  </si>
  <si>
    <r>
      <t xml:space="preserve">T 1.06  Betriebsrechnung der Versicherungen </t>
    </r>
    <r>
      <rPr>
        <b/>
        <vertAlign val="superscript"/>
        <sz val="12"/>
        <rFont val="Arial"/>
        <family val="2"/>
      </rPr>
      <t>1</t>
    </r>
    <r>
      <rPr>
        <b/>
        <sz val="12"/>
        <rFont val="Arial"/>
        <family val="2"/>
      </rPr>
      <t xml:space="preserve">  mit eingeschränkter Wahl des Leistungserbringers </t>
    </r>
  </si>
  <si>
    <t>Quelle: Formular EF2 [Summe 2.5 bis 2.7]</t>
  </si>
  <si>
    <r>
      <t xml:space="preserve">T 1.07  Betriebsrechnung der obligatorischen Krankenpflegeversicherung von Personen mit Wohnsitz in einem EG-Staat, in Island oder in Norwegen, inklusive GrenzgängerInnen </t>
    </r>
    <r>
      <rPr>
        <b/>
        <vertAlign val="superscript"/>
        <sz val="12"/>
        <rFont val="Arial"/>
        <family val="2"/>
      </rPr>
      <t>1</t>
    </r>
  </si>
  <si>
    <t xml:space="preserve">Prämien für Effektivkosten </t>
  </si>
  <si>
    <t xml:space="preserve">Prämien für Pauschalkosten </t>
  </si>
  <si>
    <t>Leistungen (Effektivkosten)</t>
  </si>
  <si>
    <t>Leistungen (Pauschalkosten)</t>
  </si>
  <si>
    <t>Rückstellungen für Pauschalkosten</t>
  </si>
  <si>
    <r>
      <t xml:space="preserve">Nur GrenzgängerInnen </t>
    </r>
    <r>
      <rPr>
        <b/>
        <vertAlign val="superscript"/>
        <sz val="12"/>
        <rFont val="Arial"/>
        <family val="2"/>
      </rPr>
      <t>2</t>
    </r>
  </si>
  <si>
    <t>Leistungen (31.1 + 31.2)</t>
  </si>
  <si>
    <t>Kostenbeteiligung der Versicherten (32)    (-)</t>
  </si>
  <si>
    <t>Bezahlte Leistungen (30-33)</t>
  </si>
  <si>
    <t>1) Ohne Liechstenstein. Versichertenbestand : siehe T 11.13.</t>
  </si>
  <si>
    <t>2) GrenzgängerInnen, sowie ihre nichterwerbstätigen Familienangehörigen (Versicherte gemäss Art. 3 KVV).</t>
  </si>
  <si>
    <t>Quelle: Formular EF2 [T.E] und EF1.12</t>
  </si>
  <si>
    <t xml:space="preserve">Kostenbeteiligung der Versicherten nach Versicherungsform ab 2000 </t>
  </si>
  <si>
    <t xml:space="preserve">Kostenbeteiligung je versicherte Person nach Versicherungsform ab 2000 </t>
  </si>
  <si>
    <t>Bruttoleistungen nach Kanton</t>
  </si>
  <si>
    <t>Nettoleistungen nach Kanton</t>
  </si>
  <si>
    <t>Kostenbeteiligung nach Kanton</t>
  </si>
  <si>
    <t>Kostenbeteiligung nach Altersgruppe und Geschlecht</t>
  </si>
  <si>
    <t>Bruttoleistungen nach Versicherungsform ab 2000</t>
  </si>
  <si>
    <t>Bruttoleistungen je versicherte Person nach Versicherungsform ab 2000</t>
  </si>
  <si>
    <t>Bruttoleistungen nach Kostengruppe ab 2000</t>
  </si>
  <si>
    <t xml:space="preserve">Bruttoleistungen nach Kostengruppe </t>
  </si>
  <si>
    <t xml:space="preserve">Bruttoleistungen je versicherte Person nach Kostengruppe ab 2000 </t>
  </si>
  <si>
    <t>Bruttoleistungen je versicherte Person nach Kostengruppe</t>
  </si>
  <si>
    <t>Nettoleistungen nach Versicherungsform ab 2000</t>
  </si>
  <si>
    <t>Nettoleistungen je versicherte Person nach Versicherungsform ab 2000</t>
  </si>
  <si>
    <t xml:space="preserve">Bruttoleistungen nach Versicherungsform </t>
  </si>
  <si>
    <t xml:space="preserve">Kostenbeteiligung je versicherte Person nach Versicherungsform </t>
  </si>
  <si>
    <t xml:space="preserve">Bruttoleistungen je versicherte Person nach Versicherungsform </t>
  </si>
  <si>
    <t xml:space="preserve">Bruttoleistungen nach Altersklasse und Geschlecht </t>
  </si>
  <si>
    <t xml:space="preserve">Nettoleistungen nach Altersklasse und Geschlecht </t>
  </si>
  <si>
    <r>
      <t xml:space="preserve">Ausland </t>
    </r>
    <r>
      <rPr>
        <vertAlign val="superscript"/>
        <sz val="11"/>
        <rFont val="Arial"/>
        <family val="2"/>
      </rPr>
      <t>2</t>
    </r>
  </si>
  <si>
    <t>Unbekannt</t>
  </si>
  <si>
    <t>Quelle: Formular EF 3.21  (-&gt;2008: Statistik des Risikoausgleiches - Gemeinsame Einrichtung KVG)</t>
  </si>
  <si>
    <r>
      <t xml:space="preserve">1) Bruttoleistungen = Leistungen der Versicherer in der OKP </t>
    </r>
    <r>
      <rPr>
        <b/>
        <sz val="10"/>
        <rFont val="Arial"/>
        <family val="2"/>
      </rPr>
      <t>mit</t>
    </r>
    <r>
      <rPr>
        <sz val="10"/>
        <rFont val="Arial"/>
        <family val="2"/>
      </rPr>
      <t xml:space="preserve"> Kostenbeteiligung durch die Versicherten.</t>
    </r>
  </si>
  <si>
    <t>2) Personen mit Wohnsitz/Aufenthalt im Ausland gemäss Art. 4 und 5 KVV.</t>
  </si>
  <si>
    <r>
      <t xml:space="preserve">T 2.04  Bruttoleistungen </t>
    </r>
    <r>
      <rPr>
        <b/>
        <vertAlign val="superscript"/>
        <sz val="12"/>
        <rFont val="Arial"/>
        <family val="2"/>
      </rPr>
      <t>1</t>
    </r>
    <r>
      <rPr>
        <b/>
        <sz val="12"/>
        <rFont val="Arial"/>
        <family val="2"/>
      </rPr>
      <t xml:space="preserve">  in Fr. nach Kanton</t>
    </r>
  </si>
  <si>
    <t>Alle</t>
  </si>
  <si>
    <t>Versicherte</t>
  </si>
  <si>
    <t>Quelle: T 2.04 / T 11.14  (-&gt;2008: Statistik des Risikoausgleiches - Gemeinsame Einrichtung KVG)</t>
  </si>
  <si>
    <r>
      <t xml:space="preserve">T 2.05  Bruttoleistungen </t>
    </r>
    <r>
      <rPr>
        <b/>
        <vertAlign val="superscript"/>
        <sz val="12"/>
        <rFont val="Arial"/>
        <family val="2"/>
      </rPr>
      <t xml:space="preserve">1 </t>
    </r>
    <r>
      <rPr>
        <b/>
        <sz val="12"/>
        <rFont val="Arial"/>
        <family val="2"/>
      </rPr>
      <t xml:space="preserve"> in Fr. pro Versicherten nach Kanton</t>
    </r>
  </si>
  <si>
    <t>Altersklasse</t>
  </si>
  <si>
    <t>Männlich</t>
  </si>
  <si>
    <t>in %</t>
  </si>
  <si>
    <t>Weiblich</t>
  </si>
  <si>
    <t>0 – 5</t>
  </si>
  <si>
    <t>6 – 10</t>
  </si>
  <si>
    <t>11 – 15</t>
  </si>
  <si>
    <t>16 – 18</t>
  </si>
  <si>
    <t>Total  0 – 18</t>
  </si>
  <si>
    <t>19 – 20</t>
  </si>
  <si>
    <t>21 – 25</t>
  </si>
  <si>
    <t>Total  19 – 25</t>
  </si>
  <si>
    <t>26 – 30</t>
  </si>
  <si>
    <t>31 – 35</t>
  </si>
  <si>
    <t>36 – 40</t>
  </si>
  <si>
    <t>41 – 45</t>
  </si>
  <si>
    <t>46 – 50</t>
  </si>
  <si>
    <t>51 – 55</t>
  </si>
  <si>
    <t>56 – 60</t>
  </si>
  <si>
    <t>61 – 65</t>
  </si>
  <si>
    <t>66 – 70</t>
  </si>
  <si>
    <t>71 – 75</t>
  </si>
  <si>
    <t>76 – 80</t>
  </si>
  <si>
    <t>81 – 85</t>
  </si>
  <si>
    <t>86 – 90</t>
  </si>
  <si>
    <t>91 – 95</t>
  </si>
  <si>
    <t>96 – 100</t>
  </si>
  <si>
    <t>&gt; 100</t>
  </si>
  <si>
    <t>Total  &gt; 25</t>
  </si>
  <si>
    <r>
      <t xml:space="preserve">1) Leistungen (brutto) = Leistungen der Versicherer in der OKP </t>
    </r>
    <r>
      <rPr>
        <b/>
        <sz val="10"/>
        <rFont val="Arial"/>
        <family val="2"/>
      </rPr>
      <t>mit</t>
    </r>
    <r>
      <rPr>
        <sz val="10"/>
        <rFont val="Arial"/>
        <family val="2"/>
      </rPr>
      <t xml:space="preserve"> Kostenbeteiligung durch die Versicherten.</t>
    </r>
  </si>
  <si>
    <r>
      <t xml:space="preserve">T 2.07  Nettoleistungen </t>
    </r>
    <r>
      <rPr>
        <b/>
        <vertAlign val="superscript"/>
        <sz val="12"/>
        <rFont val="Arial"/>
        <family val="2"/>
      </rPr>
      <t xml:space="preserve">1 </t>
    </r>
    <r>
      <rPr>
        <b/>
        <sz val="12"/>
        <rFont val="Arial"/>
        <family val="2"/>
      </rPr>
      <t xml:space="preserve"> in Fr. nach Kanton </t>
    </r>
  </si>
  <si>
    <t>Quelle: T 2.04 - T 2.10  (-&gt;2008: Statistik des Risikoausgleiches - Gemeinsame Einrichtung KVG)</t>
  </si>
  <si>
    <r>
      <t xml:space="preserve">1) Nettoleistungen = bezahlte Leistungen der Versicherer in der OKP </t>
    </r>
    <r>
      <rPr>
        <b/>
        <sz val="10"/>
        <rFont val="Arial"/>
        <family val="2"/>
      </rPr>
      <t>ohne</t>
    </r>
    <r>
      <rPr>
        <sz val="10"/>
        <rFont val="Arial"/>
        <family val="2"/>
      </rPr>
      <t xml:space="preserve"> Kostenbeteiligung durch die Versicherten.</t>
    </r>
  </si>
  <si>
    <r>
      <t xml:space="preserve">T 2.10  Kostenbeteiligung </t>
    </r>
    <r>
      <rPr>
        <b/>
        <vertAlign val="superscript"/>
        <sz val="12"/>
        <rFont val="Arial"/>
        <family val="2"/>
      </rPr>
      <t>1</t>
    </r>
    <r>
      <rPr>
        <b/>
        <sz val="12"/>
        <rFont val="Arial"/>
        <family val="2"/>
      </rPr>
      <t xml:space="preserve"> in Fr. nach Kanton</t>
    </r>
  </si>
  <si>
    <t>Quelle: Formular EF 3.18  (-&gt;2008: Statistik des Risikoausgleiches - Gemeinsame Einrichtung KVG)</t>
  </si>
  <si>
    <t>1) Berücksichtigt nur die bei dem Versicherer eingereichten Rechnungen.</t>
  </si>
  <si>
    <t>Quelle: T 2.07 / T 11.14  (-&gt;2008: Statistik des Risikoausgleiches - Gemeinsame Einrichtung KVG)</t>
  </si>
  <si>
    <r>
      <t xml:space="preserve">T 2.12 Nettoleistungen </t>
    </r>
    <r>
      <rPr>
        <b/>
        <vertAlign val="superscript"/>
        <sz val="12"/>
        <rFont val="Arial"/>
        <family val="2"/>
      </rPr>
      <t>1</t>
    </r>
    <r>
      <rPr>
        <b/>
        <sz val="12"/>
        <rFont val="Arial"/>
        <family val="2"/>
      </rPr>
      <t xml:space="preserve">  in Fr.  pro Versicherten nach Kanton </t>
    </r>
  </si>
  <si>
    <r>
      <t xml:space="preserve">T 2.13 Kostenbeteiligung  </t>
    </r>
    <r>
      <rPr>
        <b/>
        <vertAlign val="superscript"/>
        <sz val="12"/>
        <rFont val="Arial"/>
        <family val="2"/>
      </rPr>
      <t>1</t>
    </r>
    <r>
      <rPr>
        <b/>
        <sz val="12"/>
        <rFont val="Arial"/>
        <family val="2"/>
      </rPr>
      <t xml:space="preserve">  in Fr. pro Versicherten nach Kanton</t>
    </r>
  </si>
  <si>
    <t>Quelle: T 2.10 / T 11.14  (-&gt;2008: Statistik des Risikoausgleiches - Gemeinsame Einrichtung KVG)</t>
  </si>
  <si>
    <t>1) Berücksichtigt nur die bei dem Versicherer eingereichten Rechnungen</t>
  </si>
  <si>
    <t xml:space="preserve">T 2.17  Bruttoleistungen in Franken nach Kostengruppe </t>
  </si>
  <si>
    <t>Anteil am</t>
  </si>
  <si>
    <t>Gesamt-</t>
  </si>
  <si>
    <t>total in %</t>
  </si>
  <si>
    <t>in 1000 Fr.</t>
  </si>
  <si>
    <t>Arzt ambulant</t>
  </si>
  <si>
    <r>
      <t xml:space="preserve">Spital stationär </t>
    </r>
    <r>
      <rPr>
        <vertAlign val="superscript"/>
        <sz val="11"/>
        <rFont val="Arial"/>
        <family val="2"/>
      </rPr>
      <t>2</t>
    </r>
  </si>
  <si>
    <t>Spital ambulant</t>
  </si>
  <si>
    <t>Medikamente Arzt</t>
  </si>
  <si>
    <t>Medikamente Apotheke</t>
  </si>
  <si>
    <r>
      <t xml:space="preserve">Pflegeheim </t>
    </r>
    <r>
      <rPr>
        <vertAlign val="superscript"/>
        <sz val="11"/>
        <rFont val="Arial"/>
        <family val="2"/>
      </rPr>
      <t>2</t>
    </r>
  </si>
  <si>
    <t>Spitex</t>
  </si>
  <si>
    <t>Physiotherapie</t>
  </si>
  <si>
    <t>Labor</t>
  </si>
  <si>
    <t>Chiropraktik</t>
  </si>
  <si>
    <t>Mittel und Gegenstände</t>
  </si>
  <si>
    <r>
      <t xml:space="preserve">Betriebsbeiträge an HMO's </t>
    </r>
    <r>
      <rPr>
        <vertAlign val="superscript"/>
        <sz val="11"/>
        <rFont val="Arial"/>
        <family val="2"/>
      </rPr>
      <t>1</t>
    </r>
  </si>
  <si>
    <t>Komplementärmedizin</t>
  </si>
  <si>
    <r>
      <t xml:space="preserve">Übrige Leistungen ambulant </t>
    </r>
    <r>
      <rPr>
        <vertAlign val="superscript"/>
        <sz val="11"/>
        <rFont val="Arial"/>
        <family val="2"/>
      </rPr>
      <t>5 6</t>
    </r>
  </si>
  <si>
    <r>
      <t xml:space="preserve">Übrige Leistungen stationär </t>
    </r>
    <r>
      <rPr>
        <vertAlign val="superscript"/>
        <sz val="11"/>
        <rFont val="Arial"/>
        <family val="2"/>
      </rPr>
      <t>2 4</t>
    </r>
  </si>
  <si>
    <t>Leistungen Total</t>
  </si>
  <si>
    <t>davon Leistungen Mutterschaft</t>
  </si>
  <si>
    <r>
      <t xml:space="preserve">davon Medikamente Spital ambulant </t>
    </r>
    <r>
      <rPr>
        <i/>
        <vertAlign val="superscript"/>
        <sz val="11"/>
        <rFont val="Arial"/>
        <family val="2"/>
      </rPr>
      <t>3</t>
    </r>
  </si>
  <si>
    <r>
      <t xml:space="preserve">davon KVG-Leistungen von Zahnärzten </t>
    </r>
    <r>
      <rPr>
        <i/>
        <vertAlign val="superscript"/>
        <sz val="11"/>
        <rFont val="Arial"/>
        <family val="2"/>
      </rPr>
      <t>6</t>
    </r>
  </si>
  <si>
    <r>
      <t xml:space="preserve">davon Transport- und Rettungskosten </t>
    </r>
    <r>
      <rPr>
        <i/>
        <vertAlign val="superscript"/>
        <sz val="11"/>
        <rFont val="Arial"/>
        <family val="2"/>
      </rPr>
      <t>6</t>
    </r>
  </si>
  <si>
    <t>1) Sofern keine Aufteilung nach den anderen aufgeführten Kostengruppen möglich ist.</t>
  </si>
  <si>
    <t>2) Intra-muros Behandlung; andere Gruppen = ambulante Behandlung.</t>
  </si>
  <si>
    <t>3) Kategorie "Medikamente Spital ambulant": gehört zur Kategorie "Spital ambulant".</t>
  </si>
  <si>
    <t>4) Zum Beispiel Heilbäder.</t>
  </si>
  <si>
    <t>5) Zum Beispiel Logopädie, Ergotherapie.</t>
  </si>
  <si>
    <t>6) Kategorien "KVG-Leistungen von Zahnärzten" und "Transport- und Rettungskosten" gehören zur Kategorie "Übrige Leistungen ambulant".</t>
  </si>
  <si>
    <t>Quelle: Formular EF 3.6</t>
  </si>
  <si>
    <t>T 2.19  Bruttoleistungen in Franken je versicherte Person nach Kostengruppe</t>
  </si>
  <si>
    <r>
      <t xml:space="preserve">Übrige Leistungen ambulant </t>
    </r>
    <r>
      <rPr>
        <vertAlign val="superscript"/>
        <sz val="11"/>
        <rFont val="Arial"/>
        <family val="2"/>
      </rPr>
      <t>5</t>
    </r>
  </si>
  <si>
    <r>
      <t xml:space="preserve">davon KVG-Leistungen von Zahnärzten </t>
    </r>
    <r>
      <rPr>
        <i/>
        <vertAlign val="superscript"/>
        <sz val="11"/>
        <rFont val="Arial"/>
        <family val="2"/>
      </rPr>
      <t>5</t>
    </r>
  </si>
  <si>
    <r>
      <t xml:space="preserve">davon Transport- und Rettungskosten </t>
    </r>
    <r>
      <rPr>
        <i/>
        <vertAlign val="superscript"/>
        <sz val="11"/>
        <rFont val="Arial"/>
        <family val="2"/>
      </rPr>
      <t>5</t>
    </r>
  </si>
  <si>
    <t xml:space="preserve">     Kategorien "KVG-Leistungen von Zahnärzten" und "Transport- und Rettungskosten" gehören zur Kategorie "Übrige Leistungen ambulant".</t>
  </si>
  <si>
    <t>Quelle: T 2.17 / T 11.01</t>
  </si>
  <si>
    <r>
      <t xml:space="preserve">T 2.22  Bruttoleistungen </t>
    </r>
    <r>
      <rPr>
        <b/>
        <vertAlign val="superscript"/>
        <sz val="12"/>
        <rFont val="Arial"/>
        <family val="2"/>
      </rPr>
      <t>1</t>
    </r>
    <r>
      <rPr>
        <b/>
        <sz val="12"/>
        <rFont val="Arial"/>
        <family val="2"/>
      </rPr>
      <t xml:space="preserve">  in Franken nach Versicherungsform </t>
    </r>
  </si>
  <si>
    <t>Versicherungsform</t>
  </si>
  <si>
    <t>Veränderung</t>
  </si>
  <si>
    <t>gegenüber</t>
  </si>
  <si>
    <t>Ordentliche Jahresfranchise</t>
  </si>
  <si>
    <t>Wählbare Jahresfranchisen</t>
  </si>
  <si>
    <t>BONUS-Versicherung</t>
  </si>
  <si>
    <t>Eingeschränkte Wahl (z.B. HMO)</t>
  </si>
  <si>
    <t>Quelle: Formular EF 3.5</t>
  </si>
  <si>
    <r>
      <t xml:space="preserve">T 2.23 Kostenbeteiligung </t>
    </r>
    <r>
      <rPr>
        <b/>
        <vertAlign val="superscript"/>
        <sz val="12"/>
        <rFont val="Arial"/>
        <family val="2"/>
      </rPr>
      <t xml:space="preserve">4  </t>
    </r>
    <r>
      <rPr>
        <b/>
        <sz val="12"/>
        <rFont val="Arial"/>
        <family val="2"/>
      </rPr>
      <t>in Fr. pro Versicherten nach Versicherungsform</t>
    </r>
  </si>
  <si>
    <r>
      <t xml:space="preserve">Versicherungsform </t>
    </r>
    <r>
      <rPr>
        <b/>
        <vertAlign val="superscript"/>
        <sz val="11"/>
        <rFont val="Arial"/>
        <family val="2"/>
      </rPr>
      <t>1</t>
    </r>
  </si>
  <si>
    <t>Kinder (0-18 Jahre)</t>
  </si>
  <si>
    <t>Junge Erwachsene (19-25 Jahre)</t>
  </si>
  <si>
    <t>Erwachsene (ab 26 Jahre)</t>
  </si>
  <si>
    <t>Standardmodell mit ordentlicher Jahresfranchise</t>
  </si>
  <si>
    <r>
      <t xml:space="preserve">F O  </t>
    </r>
    <r>
      <rPr>
        <i/>
        <sz val="11"/>
        <rFont val="Arial"/>
        <family val="2"/>
      </rPr>
      <t xml:space="preserve">(0 / 300) </t>
    </r>
    <r>
      <rPr>
        <i/>
        <vertAlign val="superscript"/>
        <sz val="11"/>
        <rFont val="Arial"/>
        <family val="2"/>
      </rPr>
      <t>2</t>
    </r>
  </si>
  <si>
    <t>Standardmodell</t>
  </si>
  <si>
    <r>
      <t xml:space="preserve">F I  </t>
    </r>
    <r>
      <rPr>
        <i/>
        <sz val="11"/>
        <rFont val="Arial"/>
        <family val="2"/>
      </rPr>
      <t xml:space="preserve">(100 / 500) </t>
    </r>
    <r>
      <rPr>
        <i/>
        <vertAlign val="superscript"/>
        <sz val="11"/>
        <rFont val="Arial"/>
        <family val="2"/>
      </rPr>
      <t>2</t>
    </r>
  </si>
  <si>
    <t>mit wählbarer</t>
  </si>
  <si>
    <r>
      <t xml:space="preserve">F II  </t>
    </r>
    <r>
      <rPr>
        <i/>
        <sz val="11"/>
        <rFont val="Arial"/>
        <family val="2"/>
      </rPr>
      <t xml:space="preserve">(200 / 1000) </t>
    </r>
    <r>
      <rPr>
        <i/>
        <vertAlign val="superscript"/>
        <sz val="11"/>
        <rFont val="Arial"/>
        <family val="2"/>
      </rPr>
      <t>2</t>
    </r>
  </si>
  <si>
    <t>Jahresfranchise</t>
  </si>
  <si>
    <r>
      <t xml:space="preserve">F III  </t>
    </r>
    <r>
      <rPr>
        <i/>
        <sz val="11"/>
        <rFont val="Arial"/>
        <family val="2"/>
      </rPr>
      <t xml:space="preserve">(300 / 1500) </t>
    </r>
    <r>
      <rPr>
        <i/>
        <vertAlign val="superscript"/>
        <sz val="11"/>
        <rFont val="Arial"/>
        <family val="2"/>
      </rPr>
      <t>2</t>
    </r>
  </si>
  <si>
    <r>
      <t xml:space="preserve">F IV  </t>
    </r>
    <r>
      <rPr>
        <i/>
        <sz val="11"/>
        <rFont val="Arial"/>
        <family val="2"/>
      </rPr>
      <t xml:space="preserve">(400 / 2000) </t>
    </r>
    <r>
      <rPr>
        <i/>
        <vertAlign val="superscript"/>
        <sz val="11"/>
        <rFont val="Arial"/>
        <family val="2"/>
      </rPr>
      <t>2</t>
    </r>
  </si>
  <si>
    <r>
      <t xml:space="preserve">F V  </t>
    </r>
    <r>
      <rPr>
        <i/>
        <sz val="11"/>
        <rFont val="Arial"/>
        <family val="2"/>
      </rPr>
      <t xml:space="preserve">(500 / 2500) </t>
    </r>
    <r>
      <rPr>
        <i/>
        <vertAlign val="superscript"/>
        <sz val="11"/>
        <rFont val="Arial"/>
        <family val="2"/>
      </rPr>
      <t>2</t>
    </r>
  </si>
  <si>
    <r>
      <t xml:space="preserve">F VI  </t>
    </r>
    <r>
      <rPr>
        <i/>
        <sz val="11"/>
        <rFont val="Arial"/>
        <family val="2"/>
      </rPr>
      <t xml:space="preserve">(600 / -) </t>
    </r>
    <r>
      <rPr>
        <i/>
        <vertAlign val="superscript"/>
        <sz val="11"/>
        <rFont val="Arial"/>
        <family val="2"/>
      </rPr>
      <t>2</t>
    </r>
  </si>
  <si>
    <t>Andere Versicherungsformen (HMO, Hausarzt-modell,…)</t>
  </si>
  <si>
    <t>Total *</t>
  </si>
  <si>
    <t xml:space="preserve"> * davon Versicherte mit HMO-Modell</t>
  </si>
  <si>
    <t>* davon Versicherte mit Hausarztmodell</t>
  </si>
  <si>
    <t>* davon Versicherte mit wählbarer Franchise</t>
  </si>
  <si>
    <r>
      <t xml:space="preserve">Alle </t>
    </r>
    <r>
      <rPr>
        <b/>
        <vertAlign val="superscript"/>
        <sz val="11"/>
        <rFont val="Arial"/>
        <family val="2"/>
      </rPr>
      <t>3</t>
    </r>
  </si>
  <si>
    <t xml:space="preserve">Quelle: Formular EF 3.19 / EF 3.13 </t>
  </si>
  <si>
    <t>1) Die Zuteilung der Versicherten nach Versicherungsart erfolgt derart, dass die Versicherten der Kategorie „andere Versicherungsformen“</t>
  </si>
  <si>
    <t xml:space="preserve">     (HMO, Hausarztmodell…) zugewiesen werden, falls sie eine Kombination dieser Form mit ordentlicher/wählbarer Franchise aufweisen.</t>
  </si>
  <si>
    <t>2) Franchisenstufen ( Kinder /  Erwachsene)</t>
  </si>
  <si>
    <t xml:space="preserve">     Kinder: ordentliche Franchise F O: 0.- ; wählbare Franchisen F I -&gt; F VI: 100.- 200.- 300.- 400.- 500.- 600.-</t>
  </si>
  <si>
    <t xml:space="preserve">     Erwachsene ab 19 Jahre: ordentliche Franchise F O: 300.- ; wählbare Franchisen F I -&gt; F V: 500.- 1000.- 1500.- 2000.- 2500.-</t>
  </si>
  <si>
    <t xml:space="preserve">3) Inkl. Personen mit Wohnsitz oder Aufenthalt im Ausland gemäss Art. 4 und 5 KVV, aber ohne Versicherte, die dem </t>
  </si>
  <si>
    <t xml:space="preserve">    Versicherungsobligatorium  unterstehen und in einem EU- oder EFTA-Staat Wohnsitz haben (vgl. Fussnote 1 von Tabelle 11.03).</t>
  </si>
  <si>
    <t>4) Berücksichtigt nur die bei dem Versicherer eingereichten Rechnungen</t>
  </si>
  <si>
    <r>
      <t xml:space="preserve">T 2.24  Bruttoleistungen </t>
    </r>
    <r>
      <rPr>
        <b/>
        <vertAlign val="superscript"/>
        <sz val="12"/>
        <rFont val="Arial"/>
        <family val="2"/>
      </rPr>
      <t xml:space="preserve">4  </t>
    </r>
    <r>
      <rPr>
        <b/>
        <sz val="12"/>
        <rFont val="Arial"/>
        <family val="2"/>
      </rPr>
      <t>in Fr. pro Versicherten nach Versicherungsform</t>
    </r>
  </si>
  <si>
    <t xml:space="preserve">Quelle: Formular EF 3.22 / EF 3.13 </t>
  </si>
  <si>
    <r>
      <t xml:space="preserve">4) Bruttoleistungen = Leistungen der Versicherer in der OKP </t>
    </r>
    <r>
      <rPr>
        <b/>
        <sz val="10"/>
        <rFont val="Arial"/>
        <family val="2"/>
      </rPr>
      <t>mit</t>
    </r>
    <r>
      <rPr>
        <sz val="10"/>
        <rFont val="Arial"/>
        <family val="2"/>
      </rPr>
      <t xml:space="preserve"> Kostenbeteiligung durch die Versicherten.</t>
    </r>
  </si>
  <si>
    <r>
      <t xml:space="preserve">T 2.08  Nettoleistungen </t>
    </r>
    <r>
      <rPr>
        <b/>
        <vertAlign val="superscript"/>
        <sz val="12"/>
        <rFont val="Arial"/>
        <family val="2"/>
      </rPr>
      <t xml:space="preserve">4  </t>
    </r>
    <r>
      <rPr>
        <b/>
        <sz val="12"/>
        <rFont val="Arial"/>
        <family val="2"/>
      </rPr>
      <t>in Fr. pro Versicherten nach Versicherungsform</t>
    </r>
  </si>
  <si>
    <t>Quelle: T 2.24 - T 2.23</t>
  </si>
  <si>
    <r>
      <t xml:space="preserve">4) Nettoleistungen = bezahlte Leistungen der Versicherer in der OKP </t>
    </r>
    <r>
      <rPr>
        <b/>
        <sz val="10"/>
        <rFont val="Arial"/>
        <family val="2"/>
      </rPr>
      <t>ohne</t>
    </r>
    <r>
      <rPr>
        <sz val="10"/>
        <rFont val="Arial"/>
        <family val="2"/>
      </rPr>
      <t xml:space="preserve"> Kostenbeteiligung durch die Versicherten.</t>
    </r>
  </si>
  <si>
    <t>3: Prämientarife in der OKP</t>
  </si>
  <si>
    <t>Kantonale monatliche Durchschnittsprämien für Erwachsene pro Prämienregion 2012</t>
  </si>
  <si>
    <t>Kantonale monatliche Durchschnittsprämien für junge Erwachsene pro Prämienregion 2012</t>
  </si>
  <si>
    <t>Kantonale monatliche Durchschnittsprämien für Kinder pro Prämienregion 2012</t>
  </si>
  <si>
    <t>Prämiensoll nach Versicherungsform ab 2000</t>
  </si>
  <si>
    <t xml:space="preserve">Prämiensoll nach Versicherungsform </t>
  </si>
  <si>
    <t>Prämiensoll je versicherte Person nach Versicherungsform</t>
  </si>
  <si>
    <t>Prämiensoll je versicherte Person nach Versicherungsform ab 2000</t>
  </si>
  <si>
    <t>Prämiensoll nach Kanton</t>
  </si>
  <si>
    <t>Prämiensoll nach Altersklasse und Geschlecht</t>
  </si>
  <si>
    <t xml:space="preserve">T 3.10  Prämiensoll in Franken nach Versicherungsform </t>
  </si>
  <si>
    <t>absolut</t>
  </si>
  <si>
    <t>Anteil in %</t>
  </si>
  <si>
    <t>Quelle: Formular EF 3.4</t>
  </si>
  <si>
    <t>T 3.11  Prämiensoll in Fr. pro Versicherten nach Versicherungsform</t>
  </si>
  <si>
    <t>Alle Versicherte</t>
  </si>
  <si>
    <t xml:space="preserve">Quelle: Formular EF 3.16 / EF 3.13 </t>
  </si>
  <si>
    <r>
      <t xml:space="preserve">T 3.13  Prämiensoll in Franken je versicherte Person </t>
    </r>
    <r>
      <rPr>
        <b/>
        <vertAlign val="superscript"/>
        <sz val="12"/>
        <rFont val="Arial"/>
        <family val="2"/>
      </rPr>
      <t xml:space="preserve">1 </t>
    </r>
    <r>
      <rPr>
        <b/>
        <sz val="12"/>
        <rFont val="Arial"/>
        <family val="2"/>
      </rPr>
      <t xml:space="preserve"> nach Kanton</t>
    </r>
  </si>
  <si>
    <t>Quelle : 2009-&gt; : T 3.14 / T 11.14 (vollständige Daten)  /   -&gt;2008: DATENPOOL santésuisse [Auswertung BAG]</t>
  </si>
  <si>
    <t>1) Für alle Versicherungsformen.</t>
  </si>
  <si>
    <r>
      <t xml:space="preserve">T 3.14  Prämiensoll in Franken </t>
    </r>
    <r>
      <rPr>
        <b/>
        <vertAlign val="superscript"/>
        <sz val="12"/>
        <rFont val="Arial"/>
        <family val="2"/>
      </rPr>
      <t>1</t>
    </r>
    <r>
      <rPr>
        <b/>
        <sz val="12"/>
        <rFont val="Arial"/>
        <family val="2"/>
      </rPr>
      <t xml:space="preserve">  nach Kanton</t>
    </r>
  </si>
  <si>
    <t>Quelle: Formular EF 3.15</t>
  </si>
  <si>
    <t>T 3.15  Prämiensoll nach Altersklasse und Geschlecht in Mio. Fr.</t>
  </si>
  <si>
    <t xml:space="preserve">Quelle: Formular EF 3.14 </t>
  </si>
  <si>
    <t>Durchschnittlicher Versichertenbestand ab 2000</t>
  </si>
  <si>
    <t>Versichertenbestand per 31.12. ab 2000</t>
  </si>
  <si>
    <t>Versichertenbestand per 31.12 nach Versicherungsform ab 2000</t>
  </si>
  <si>
    <t>Aufteilung der Versicherten (Kinder und Erwachsene) nach Versicherungsform ab 2000</t>
  </si>
  <si>
    <t>Verteilung der Versicherungsformen in % nach Kanton - Kinder 0 - 18 Jahre</t>
  </si>
  <si>
    <t>Zahlungsausstände für OKP-Prämien ab 2000</t>
  </si>
  <si>
    <t>Durchschnittlicher Versichertenbestand nach Kanton</t>
  </si>
  <si>
    <t>Durchschnittlicher Versichertenbestand nach Altersklasse und Geschlecht</t>
  </si>
  <si>
    <t xml:space="preserve">Durchschnittlicher Versichertenbestand nach Versicherungsform </t>
  </si>
  <si>
    <t>Anzahl Versicherte OKP nach Grösse der Versicherer ab 2000</t>
  </si>
  <si>
    <r>
      <t xml:space="preserve">T 11.14  Durchschnittlicher Versichertenbestand </t>
    </r>
    <r>
      <rPr>
        <b/>
        <sz val="12"/>
        <rFont val="Arial"/>
        <family val="2"/>
      </rPr>
      <t>nach Kanton</t>
    </r>
  </si>
  <si>
    <r>
      <t xml:space="preserve">Ausland </t>
    </r>
    <r>
      <rPr>
        <vertAlign val="superscript"/>
        <sz val="11"/>
        <rFont val="Arial"/>
        <family val="2"/>
      </rPr>
      <t>1</t>
    </r>
  </si>
  <si>
    <t>1) Personen mit Wohnsitz/Aufenthalt im Ausland gemäss Art. 4 und 5 KVV.</t>
  </si>
  <si>
    <t>Quelle: Formular EF 3.12  (-&gt;2008: Statistik des Risikoausgleiches - Gemeinsame Einrichtung KVG)</t>
  </si>
  <si>
    <t>T 11.15 Durchschnittlicher Versichertenbestand nach Altersklasse und Geschlecht</t>
  </si>
  <si>
    <t>Quelle: Formular EF 3.11  (-&gt;2008: Statistik des Risikoausgleiches - Gemeinsame Einrichtung KVG)</t>
  </si>
  <si>
    <t>T 11.16  Durchschnittlicher Versichertenbestand nach Versicherungsform</t>
  </si>
  <si>
    <t>* davon Versicherte mit Unfalldeckung KVG</t>
  </si>
  <si>
    <t>* davon junge Erwachsene und Erwachsene</t>
  </si>
  <si>
    <t xml:space="preserve">Quelle: Formular EF 3.13 </t>
  </si>
  <si>
    <t xml:space="preserve">1) Die Zuteilung der Versicherten nach Versicherungsform erfolgt derart, dass die Versicherten der Kategorie „andere Versicherungsformen“ </t>
  </si>
  <si>
    <t xml:space="preserve">    (HMO, Hausarztmodell…) zugewiesen werden, falls sie eine Kombination dieser Form mit ordentlicher/wählbarer Franchise aufweisen.</t>
  </si>
  <si>
    <t>1.9.11: 3.10, 3.11, 3.13-&gt;3.15, 11.14-&gt;11.16</t>
  </si>
  <si>
    <t>31.8.10: 1.01-&gt;1.07, 2.04-&gt;2.13, 2.17, 2.19, 2.22-&gt;2.24</t>
  </si>
  <si>
    <t>Statistik der obligatorischen Krankenversicherung 2010, Bundesamt für Gesundheit</t>
  </si>
  <si>
    <t>Datenstand: 10.8.11</t>
  </si>
  <si>
    <t>T 1.08 Gesamtbetriebsergebnis in Mio. Franken nach Versicherungsform ab 2000</t>
  </si>
  <si>
    <t xml:space="preserve">Jahr </t>
  </si>
  <si>
    <t>Ordentliche</t>
  </si>
  <si>
    <t>Wählbare</t>
  </si>
  <si>
    <t>BONUS-</t>
  </si>
  <si>
    <t>Einge-</t>
  </si>
  <si>
    <t xml:space="preserve">  Jahres-</t>
  </si>
  <si>
    <t xml:space="preserve"> Jahres-</t>
  </si>
  <si>
    <t>Versicherung</t>
  </si>
  <si>
    <t>schränkte</t>
  </si>
  <si>
    <t>franchise</t>
  </si>
  <si>
    <t>franchisen</t>
  </si>
  <si>
    <t>Wahl</t>
  </si>
  <si>
    <t xml:space="preserve"> (z.B. HMO)</t>
  </si>
  <si>
    <t>Quelle: T 1.03, 1.04, 1.05, 1.06</t>
  </si>
  <si>
    <t>T 1.09  Gesamtbetriebsergebnis in Franken je versicherte Person nach Versicherungsform ab 2000</t>
  </si>
  <si>
    <t>Jahr</t>
  </si>
  <si>
    <t>Versiche-</t>
  </si>
  <si>
    <t>Versicherungs-</t>
  </si>
  <si>
    <t>rung</t>
  </si>
  <si>
    <t xml:space="preserve"> Wahl</t>
  </si>
  <si>
    <t>formen</t>
  </si>
  <si>
    <t>Quelle: T 1.08 / T 11.05</t>
  </si>
  <si>
    <t>T 1.10 Verwaltungsaufwand / Abschreibungen in Mio. Franken nach Versicherungsform ab 2000</t>
  </si>
  <si>
    <t>In % des</t>
  </si>
  <si>
    <t>und Betriebsauf-</t>
  </si>
  <si>
    <t>wand</t>
  </si>
  <si>
    <t>wands</t>
  </si>
  <si>
    <t>Quelle: T 1.03, 1.04, 1.05, 1.06 [4] und 1.02 [3/4]</t>
  </si>
  <si>
    <t>T 1.11 Verwaltungsaufwand / Abschreibungen in Franken je versicherte Person nach Versicherungsform ab 2000</t>
  </si>
  <si>
    <t>Quelle: T 1.10 / T 11.05</t>
  </si>
  <si>
    <t>T 1.12 Stand der Reserven per 31.12. ab 2000</t>
  </si>
  <si>
    <t>Stand</t>
  </si>
  <si>
    <r>
      <t xml:space="preserve">Reserven </t>
    </r>
    <r>
      <rPr>
        <vertAlign val="superscript"/>
        <sz val="11"/>
        <rFont val="Arial"/>
        <family val="2"/>
      </rPr>
      <t>1</t>
    </r>
  </si>
  <si>
    <t>Reserve-</t>
  </si>
  <si>
    <t>Reserven</t>
  </si>
  <si>
    <t>pro ver-</t>
  </si>
  <si>
    <t>quote</t>
  </si>
  <si>
    <t>in Mio. Fr.</t>
  </si>
  <si>
    <t>sicherte Per-</t>
  </si>
  <si>
    <r>
      <t xml:space="preserve">effektiv </t>
    </r>
    <r>
      <rPr>
        <vertAlign val="superscript"/>
        <sz val="11"/>
        <rFont val="Arial"/>
        <family val="2"/>
      </rPr>
      <t>2</t>
    </r>
  </si>
  <si>
    <r>
      <t>gesetzlich</t>
    </r>
    <r>
      <rPr>
        <vertAlign val="superscript"/>
        <sz val="11"/>
        <rFont val="Arial"/>
        <family val="2"/>
      </rPr>
      <t xml:space="preserve"> 3</t>
    </r>
  </si>
  <si>
    <t>son in Fr.</t>
  </si>
  <si>
    <t>1) Vgl. Tabelle 11.13A.</t>
  </si>
  <si>
    <t>2) Reserven in % des Prämiensolls (vgl. Tabelle 3.10).</t>
  </si>
  <si>
    <t>3) Gemäss den gesetzlichen Bestimmungen berechneter Mindestreservesatz (siehe T 5.01 und T 5.02).</t>
  </si>
  <si>
    <t>Quelle: T 8.10 [290 + 290.9]; T 11.13A; T 3.10; T 5.01 und Aufsichtsdaten 1998-2003</t>
  </si>
  <si>
    <t>T 1.13  Stand der Rückstellungen per 31.12. für unerledigte Versicherungsfälle ab 2000</t>
  </si>
  <si>
    <t>Stand Rück-</t>
  </si>
  <si>
    <t>Rückstellungen</t>
  </si>
  <si>
    <t>Rück-</t>
  </si>
  <si>
    <t>stellungen pro</t>
  </si>
  <si>
    <t>in % der</t>
  </si>
  <si>
    <t>stellungen</t>
  </si>
  <si>
    <t>versicherte</t>
  </si>
  <si>
    <t xml:space="preserve">bezahlten </t>
  </si>
  <si>
    <r>
      <t xml:space="preserve">Person in Fr. </t>
    </r>
    <r>
      <rPr>
        <vertAlign val="superscript"/>
        <sz val="11"/>
        <rFont val="Arial"/>
        <family val="2"/>
      </rPr>
      <t>1</t>
    </r>
  </si>
  <si>
    <r>
      <t xml:space="preserve">Leistungen </t>
    </r>
    <r>
      <rPr>
        <vertAlign val="superscript"/>
        <sz val="11"/>
        <rFont val="Arial"/>
        <family val="2"/>
      </rPr>
      <t>2</t>
    </r>
  </si>
  <si>
    <t>2) Vgl. Tabelle 2.20.</t>
  </si>
  <si>
    <t>Quelle: T 8.10 [270]; T 11.13A; T 2.20</t>
  </si>
  <si>
    <t>T 2.01  Kostenbeteiligung der Versicherten in Mio. Franken nach Versicherungsform ab 2000</t>
  </si>
  <si>
    <t>Quelle: T 1.03; 1.04; 1.05; 1.06 [32]</t>
  </si>
  <si>
    <r>
      <t xml:space="preserve">T 2.14  Bruttoleistungen </t>
    </r>
    <r>
      <rPr>
        <b/>
        <vertAlign val="superscript"/>
        <sz val="12"/>
        <rFont val="Arial"/>
        <family val="2"/>
      </rPr>
      <t>1</t>
    </r>
    <r>
      <rPr>
        <b/>
        <sz val="12"/>
        <rFont val="Arial"/>
        <family val="2"/>
      </rPr>
      <t xml:space="preserve"> in Mio. Franken nach Versicherungsform ab 2000</t>
    </r>
  </si>
  <si>
    <r>
      <t xml:space="preserve">Jahr </t>
    </r>
    <r>
      <rPr>
        <vertAlign val="superscript"/>
        <sz val="11"/>
        <rFont val="Arial"/>
        <family val="2"/>
      </rPr>
      <t>2</t>
    </r>
  </si>
  <si>
    <t>2) Vgl. Fussnote 2) von Tabelle 11.02.</t>
  </si>
  <si>
    <t>Quelle: T 2.22</t>
  </si>
  <si>
    <r>
      <t xml:space="preserve">T 2.20  Nettoleistungen </t>
    </r>
    <r>
      <rPr>
        <b/>
        <vertAlign val="superscript"/>
        <sz val="12"/>
        <rFont val="Arial"/>
        <family val="2"/>
      </rPr>
      <t xml:space="preserve">1 </t>
    </r>
    <r>
      <rPr>
        <b/>
        <sz val="12"/>
        <rFont val="Arial"/>
        <family val="2"/>
      </rPr>
      <t xml:space="preserve"> in Mio. Franken nach Versicherungsform ab 2000</t>
    </r>
  </si>
  <si>
    <t>1) Nettoleistungen = bezahlte Leistungen der Versicherer = Bruttoleistungen der Versicherer minus Kostenbeteiligungen der Versicherten.</t>
  </si>
  <si>
    <t>Quelle: T 1.03; 1.04; 1.05; 1.06 [30-33]</t>
  </si>
  <si>
    <t>5: Individuelle Daten pro Versicherer</t>
  </si>
  <si>
    <t>Aufsichtsdaten der Krankenversicherer OKP</t>
  </si>
  <si>
    <t>Erklärungen und Quellen für die Aufsichtsdaten</t>
  </si>
  <si>
    <t xml:space="preserve">KVG-Versicherer: Daten zur freiwilligen Taggeldversicherung </t>
  </si>
  <si>
    <t>Mutationen bei den Krankenversicherern</t>
  </si>
  <si>
    <t>OKP: Durchschnittlicher Versichertenbestand nach Versicherer und Kanton</t>
  </si>
  <si>
    <t>T 5.01 Aufsichtsdaten OKP</t>
  </si>
  <si>
    <t>BAG-</t>
  </si>
  <si>
    <t>Name des OKP Versicherers</t>
  </si>
  <si>
    <t>Durchsch-</t>
  </si>
  <si>
    <t>Netto-</t>
  </si>
  <si>
    <t>Kosten-</t>
  </si>
  <si>
    <t>Brutto-</t>
  </si>
  <si>
    <t>Risikoaus–</t>
  </si>
  <si>
    <t>Verwaltungs-</t>
  </si>
  <si>
    <t>Gesamter-</t>
  </si>
  <si>
    <t>Stand der</t>
  </si>
  <si>
    <t>Verhältnis</t>
  </si>
  <si>
    <t>Einnahmen</t>
  </si>
  <si>
    <t>Ausgaben</t>
  </si>
  <si>
    <t>Risiko–</t>
  </si>
  <si>
    <t>VVG</t>
  </si>
  <si>
    <t>Gesetzlich</t>
  </si>
  <si>
    <t>Höher als die</t>
  </si>
  <si>
    <t>Tiefer als die</t>
  </si>
  <si>
    <t>Nr.</t>
  </si>
  <si>
    <t>nittlicher</t>
  </si>
  <si>
    <t xml:space="preserve">je versicherte </t>
  </si>
  <si>
    <t>leistungen</t>
  </si>
  <si>
    <t>beteiligung</t>
  </si>
  <si>
    <t>gleich je</t>
  </si>
  <si>
    <t xml:space="preserve">aufwand + </t>
  </si>
  <si>
    <t>gebnis je</t>
  </si>
  <si>
    <t xml:space="preserve"> Rückstel-</t>
  </si>
  <si>
    <t>Reserven je</t>
  </si>
  <si>
    <t>gleich in %</t>
  </si>
  <si>
    <t>ausgleich</t>
  </si>
  <si>
    <t>Zusatzver-</t>
  </si>
  <si>
    <t>vorgeschrie-</t>
  </si>
  <si>
    <t>gesetzlich</t>
  </si>
  <si>
    <t>Versicher-</t>
  </si>
  <si>
    <t xml:space="preserve">Person </t>
  </si>
  <si>
    <t>je versicherte</t>
  </si>
  <si>
    <t xml:space="preserve"> versicherte</t>
  </si>
  <si>
    <t>Abschrei-</t>
  </si>
  <si>
    <t>lungen je</t>
  </si>
  <si>
    <t xml:space="preserve">versicherte </t>
  </si>
  <si>
    <t>leistungen /</t>
  </si>
  <si>
    <t>der Ein-</t>
  </si>
  <si>
    <t>lungen</t>
  </si>
  <si>
    <t xml:space="preserve"> in Mio. Fr.</t>
  </si>
  <si>
    <t>sicherungen:</t>
  </si>
  <si>
    <t>bene Reserve</t>
  </si>
  <si>
    <t>tenbestand</t>
  </si>
  <si>
    <t>bungen je</t>
  </si>
  <si>
    <t xml:space="preserve"> Person</t>
  </si>
  <si>
    <t>nahmen</t>
  </si>
  <si>
    <t>bungen</t>
  </si>
  <si>
    <t>Person</t>
  </si>
  <si>
    <t xml:space="preserve"> in % der </t>
  </si>
  <si>
    <t>(+) in Mio. Fr.</t>
  </si>
  <si>
    <t>(-) in Mio. Fr.</t>
  </si>
  <si>
    <t>Person in Fr.</t>
  </si>
  <si>
    <t>5B</t>
  </si>
  <si>
    <t>4B</t>
  </si>
  <si>
    <t>4C</t>
  </si>
  <si>
    <t>9C</t>
  </si>
  <si>
    <t>5A</t>
  </si>
  <si>
    <t>4A</t>
  </si>
  <si>
    <t>11A</t>
  </si>
  <si>
    <t>11B</t>
  </si>
  <si>
    <t>11C</t>
  </si>
  <si>
    <t>Quelle und Erklärungen: T 5.02</t>
  </si>
  <si>
    <t>T 5.02 Erklärungen und Quellen für die Aufsichtsdaten OKP (T 5.01)</t>
  </si>
  <si>
    <t>0) Nur OKP Versicherer</t>
  </si>
  <si>
    <t>Name des Versicherers eventuell gekürzt, Name gültig 2010.</t>
  </si>
  <si>
    <t>1) Durchschnittlicher Versichertenbestand (nur OKP Versicherer)</t>
  </si>
  <si>
    <t xml:space="preserve">Durchschnittsbestand = Mittelwert aller Monate </t>
  </si>
  <si>
    <t>2) Einnahmen Total (in Mio. Fr.)</t>
  </si>
  <si>
    <t>Prämiensoll, Subventionen und Prämienverbilligungen, Erlösminderungen (Rabatte und Skonti) sowie die übrigen Erträge (Kapital- und Liegenschaftserträge).</t>
  </si>
  <si>
    <t>3A + 3B) Prämien (in Mio. Fr., je versicherte Person in Fr.)</t>
  </si>
  <si>
    <t>Prämiensoll = Prämiensumme gemäss den genehmigten Prämientarifen.</t>
  </si>
  <si>
    <t>4A + 4B + 4C) Risikoausgleich (in Mio. Fr., je versicherte Person in Fr., und in % der Einnahmen)</t>
  </si>
  <si>
    <t xml:space="preserve">Über den Risikoausgleich erhalten Versicherer mit überdurchschnittlich kostenverursachenden Versicherten (Frauen, ältere Personen) Beiträge, </t>
  </si>
  <si>
    <t>welche von den Versicherern mit unterdurchschnittlich kostenverursachenden Versicherten (Männer, jüngere Personen) finanziert werden.</t>
  </si>
  <si>
    <t xml:space="preserve">Eine positive Prozentzahl bedeutet, dass der Versicherer in den Risikoausgleich einzahlen muss, ein negativer Wert steht bei Versicherern, </t>
  </si>
  <si>
    <t>welche aus dem Risikoausgleich Mittel beziehen können.</t>
  </si>
  <si>
    <t>5A + 5B) Nettoleistungen der Versicherer (in Mio. Fr. und je versicherte Person in Fr.)</t>
  </si>
  <si>
    <t>Nettoleistungen = Bezahlte Leistungen der Versicherer an die Leistungserbringer (Ärzte, Spitäler, Apotheken, usw.)</t>
  </si>
  <si>
    <t>nach Abzug der Kostenbeteiligung der Versicherten (Franchise / Selbstbehalt / Tagespauschale im Spital).</t>
  </si>
  <si>
    <t>6A + 6B) Verwaltungsaufwand und Abschreibungen (in % der Ausgaben und je versicherte Person in Fr.)</t>
  </si>
  <si>
    <t xml:space="preserve">Personalaufwand inkl. Sozialleistungen, Verwaltungsräumlichkeiten und Betriebseinrichtungen, EDV-Kosten, Versicherungsprämien </t>
  </si>
  <si>
    <t>(Mobiliar, Haftpflicht usw.), Werbung sowie Abschreibungen. Ausgaben = Total des Versicherungs- und Betriebsaufwands.</t>
  </si>
  <si>
    <t xml:space="preserve">7) Gesamtergebnis (je versicherte Person in Fr.)  </t>
  </si>
  <si>
    <t>Das Gesamtbetriebsergebnis entspricht dem Saldo der Einnahmen (Total des Gesamtertrags) und der Ausgaben (Total des Versicherungs- und Betriebsaufwands).</t>
  </si>
  <si>
    <t xml:space="preserve">8A + 8B) Rückstellungen (in Mio. Fr. und je versicherte Person in Fr.)  </t>
  </si>
  <si>
    <t xml:space="preserve">Rückstellungen für unerledigte Versicherungsfälle, welche am Ende des Jahres für diejenigen Leistungen gebildet werden müssen, </t>
  </si>
  <si>
    <t>welche von den Versicherten bereits in Anspruch genommen worden sind, für die sie aber noch keine Rechnungen erhalten haben.</t>
  </si>
  <si>
    <t xml:space="preserve">Es handelt sich hierbei um geschuldete Leistungen, welche die Versicherer im folgenden Jahr noch zu erbringen haben; sie stellen somit keine Reserven dar. </t>
  </si>
  <si>
    <t xml:space="preserve">9A + 9B + 9C) Reserven (in Mio. Fr., je versicherte Person in Fr., in % des Prämiensolls)  </t>
  </si>
  <si>
    <t>Sicherheits- und Schwankungsreserven = Mittel, die dem Versicherer zur Sicherstellung der langfristigen eigenen Zahlungsfähigkeit dienen.</t>
  </si>
  <si>
    <t>Je nach Grösse des Versicherers müssen folgende Mindestsätze (Reserven in % des jährlichen Prämiensolls) erreicht werden (Art. 78 KVV):</t>
  </si>
  <si>
    <t>≤ 100</t>
  </si>
  <si>
    <t>≤ 500</t>
  </si>
  <si>
    <t>≤ 1'000</t>
  </si>
  <si>
    <t>≤ 2'500</t>
  </si>
  <si>
    <t>≤ 5'000</t>
  </si>
  <si>
    <t>≤ 10'000</t>
  </si>
  <si>
    <t>≤ 50'000</t>
  </si>
  <si>
    <r>
      <t>≤ 250'</t>
    </r>
    <r>
      <rPr>
        <sz val="10"/>
        <color indexed="8"/>
        <rFont val="Arial"/>
        <family val="2"/>
      </rPr>
      <t>000</t>
    </r>
  </si>
  <si>
    <r>
      <t>&gt; 250'</t>
    </r>
    <r>
      <rPr>
        <sz val="10"/>
        <color indexed="8"/>
        <rFont val="Arial"/>
        <family val="2"/>
      </rPr>
      <t>000</t>
    </r>
  </si>
  <si>
    <t>1996 -&gt; 2003 **</t>
  </si>
  <si>
    <t>≤  50'000</t>
  </si>
  <si>
    <t>≤  150'000</t>
  </si>
  <si>
    <t>≤  250'000</t>
  </si>
  <si>
    <t>&gt; 250'000</t>
  </si>
  <si>
    <t>2004 -&gt; 2006</t>
  </si>
  <si>
    <t>20% *</t>
  </si>
  <si>
    <t>2009 -&gt;</t>
  </si>
  <si>
    <t>*) Versicherer mit weniger als 50 000 Versicherten sind verpflichtet, eine Rückversicherung abzuschliessen.</t>
  </si>
  <si>
    <t>**) Dabei dürfen Versicherer mit einer entsprechenden Rückversicherung oder Defizitgarantie den Mindestsatz der Reserven unterschreiten.</t>
  </si>
  <si>
    <t>10) VVG Zusatzversicherungen : Prämien (in Mio. Fr.)</t>
  </si>
  <si>
    <t>KVG-Versicherer, welche eigene VVG-Zusatzversicherungen anbieten.</t>
  </si>
  <si>
    <t>11A + 11B + 11C) Gesetzlich vorgeschriebene Reserve</t>
  </si>
  <si>
    <t>(in Millionen Fanken, Höher als die gesetzliche vorgeschriebene Reserve, Tiefer als die gesetzliche vorgeschriebene Reserve)</t>
  </si>
  <si>
    <t>Siehe auch 9A.</t>
  </si>
  <si>
    <t>12A + 12B) Bruttoleistungen der Versicherer (in Mio. Fr. und je versicherte Person in Fr.)</t>
  </si>
  <si>
    <t>Bruttoleistungen = Leistungen der Versicherer an die Leistungserbringer (Ärzte, Spitäler, Apotheken, usw.)</t>
  </si>
  <si>
    <r>
      <t>mit</t>
    </r>
    <r>
      <rPr>
        <sz val="10"/>
        <color indexed="8"/>
        <rFont val="Arial"/>
        <family val="2"/>
      </rPr>
      <t xml:space="preserve"> Kostenbeteiligung der Versicherten (Franchise / Selbstbehalt / Tagespauschale im Spital).</t>
    </r>
  </si>
  <si>
    <t>13A + 13B) Kostenbeteiligung der Versicherten (in Mio. Fr. und je versicherte Person in Fr.)</t>
  </si>
  <si>
    <t>Kostenbeteiligung der Versicherten: Franchise / Selbstbehalt / Tagespauschale im Spital.</t>
  </si>
  <si>
    <t>Berücksichtigt nur die bei dem Versicherer eingereichten Rechnungen.</t>
  </si>
  <si>
    <t>14) Ausgaben Total (in Mio. Fr.)</t>
  </si>
  <si>
    <t>Ausgaben = Total Versicherungs- und Betriebsaufwand.</t>
  </si>
  <si>
    <t>15) Verhältnis Nettoleistungen / Prämien in %</t>
  </si>
  <si>
    <t xml:space="preserve">Quelle: Formulare EF 123 </t>
  </si>
  <si>
    <t xml:space="preserve">BAG-Nr. nur wenn EF1.12A Total  &gt; 0 </t>
  </si>
  <si>
    <t xml:space="preserve">EF1.12A Total nur wenn &gt; 0 </t>
  </si>
  <si>
    <t>=( [ 8A ] / [ 1 ] ) in %</t>
  </si>
  <si>
    <t>EF2 Konten 6 + 7 Krankheit + Unfall Seiten 2.2 -&gt; 2.7</t>
  </si>
  <si>
    <t>EF1 Seite 5 Konten 290 + 290.9</t>
  </si>
  <si>
    <t>EF2 Konto 61 Krankheit + Unfall Seiten 2.2 -&gt; 2.7</t>
  </si>
  <si>
    <t>= ( [ 9A ] / [ 1 ] ) in %</t>
  </si>
  <si>
    <t>= ( [ 3A ] / [ 1 ] )</t>
  </si>
  <si>
    <t>= ( [ 9A ] / [ 3 ] ) in %</t>
  </si>
  <si>
    <t>EF2 Konto 37 Krankheit + Unfall Seiten 2.2 -&gt; 2.7</t>
  </si>
  <si>
    <t xml:space="preserve">EF2 Seite 2.8 VVG Konto 63 Krankheit + Unfall </t>
  </si>
  <si>
    <t>(EF2 Konto 37 Krankheit + Unfall Seiten 2.2 -&gt; 2.7) / [ 1 ]</t>
  </si>
  <si>
    <t>Versicherte = [1] ; % gemäss Tabelle 9A</t>
  </si>
  <si>
    <t>(EF2 Konto 37 Krankheit + Unfall Seiten 2.2 -&gt; 2.7) / [ 2 ]</t>
  </si>
  <si>
    <t xml:space="preserve">wenn [9A] &gt;= [11A] : [9A] - [11A] </t>
  </si>
  <si>
    <t>EF2 Konto 30-33 Krankheit + Unfall Seiten 2.2 -&gt; 2.7</t>
  </si>
  <si>
    <t xml:space="preserve">wenn [9A] &lt; [11A] : [9A] - [11A] </t>
  </si>
  <si>
    <t>= ( [ 5A ] / [ 1 ] )</t>
  </si>
  <si>
    <t>=  [ 5A ] + [ 13A ]</t>
  </si>
  <si>
    <t xml:space="preserve">(EF2 Konten 40-47 + 48 Krankheit + Unfall Seiten 2.2 -&gt; 2.7) / </t>
  </si>
  <si>
    <t>= ( [ 12A ] / [ 1 ] )</t>
  </si>
  <si>
    <t>(EF2 Konten 40-47 + 48 Krankheit + Unfall Seiten 2.2 -&gt; 2.7) / [ 1 ] in %</t>
  </si>
  <si>
    <t>= - (EF2 Konto 32 Krankheit + Unfall Seiten 2.2 -&gt; 2.7)</t>
  </si>
  <si>
    <t xml:space="preserve">EF2 Konten Gesamtbetriebsergebnis {ohne Position} </t>
  </si>
  <si>
    <t>= ( [ 13A ] / [ 1 ] )</t>
  </si>
  <si>
    <t>Krankheit + Unfall Seiten 2.2 -&gt; 2.7 / ( [ 1 ] )</t>
  </si>
  <si>
    <t>(EF2 Konto 3/4 Krankheit + Unfall Seiten 2.2 -&gt; 2.7)</t>
  </si>
  <si>
    <t>EF1 Seite 4 Konto 270</t>
  </si>
  <si>
    <t>= ( [ 5B ] / [ 3B ] ) in %</t>
  </si>
  <si>
    <t>Aufsichtsdaten OKP gemäss Art. 31 KVV (Stand 1.1.08) / gemäss Art. 28b KVV (Stand 1.1.09)</t>
  </si>
  <si>
    <t>T 5.03 KVG Versicherer: Daten zur freiwilligen Taggeldversicherung</t>
  </si>
  <si>
    <r>
      <t xml:space="preserve">Name des KVG-Versicherers </t>
    </r>
    <r>
      <rPr>
        <vertAlign val="superscript"/>
        <sz val="10"/>
        <rFont val="Arial"/>
        <family val="2"/>
      </rPr>
      <t>1</t>
    </r>
  </si>
  <si>
    <t>* : KVG-Versi-</t>
  </si>
  <si>
    <t>cherer nur mit</t>
  </si>
  <si>
    <t>ergebnis</t>
  </si>
  <si>
    <t xml:space="preserve">freiwilliger </t>
  </si>
  <si>
    <t>Taggeld-</t>
  </si>
  <si>
    <t>in Tausend</t>
  </si>
  <si>
    <t>bungen in</t>
  </si>
  <si>
    <t>versicherung</t>
  </si>
  <si>
    <t>Fr.</t>
  </si>
  <si>
    <t>Tausend Fr.</t>
  </si>
  <si>
    <t>1) Es gibt OKP-Versicherer, die in der freiwilligen KVG-Krankentaggeld keine Versicherten haben. Name des Versicherers eventuell gekürzt. Name gültig 2010.</t>
  </si>
  <si>
    <t>Quelle: Formular EF123</t>
  </si>
  <si>
    <t>BAG-Nr. nur wenn [2] oder [3] &lt; &gt; 0</t>
  </si>
  <si>
    <t xml:space="preserve">* wenn EF 1.12A Total = 0 </t>
  </si>
  <si>
    <t>EF3 Total T 3.9.2</t>
  </si>
  <si>
    <t>EF3 Total T 3.9.3</t>
  </si>
  <si>
    <t>4</t>
  </si>
  <si>
    <t xml:space="preserve">EF2 Konten 40-47 + 48 Krankheit + Unfall Seiten 2.0 -&gt; 2.1 </t>
  </si>
  <si>
    <t>EF2 Konten Gesamtbetriebergebnis ohne Position Krankheit + Unfall Seiten 2.0 -&gt; 2.1</t>
  </si>
  <si>
    <t>EF1 [1.4] Konto 271</t>
  </si>
  <si>
    <t>EF1 [1.5] Konto 291</t>
  </si>
  <si>
    <t>T 5.04  Mutationen bei den Krankenversicherern</t>
  </si>
  <si>
    <t>Name des Versicherers</t>
  </si>
  <si>
    <t>Datum</t>
  </si>
  <si>
    <t>nicht mehr</t>
  </si>
  <si>
    <t>Neuer</t>
  </si>
  <si>
    <t>Neue</t>
  </si>
  <si>
    <t>Neues</t>
  </si>
  <si>
    <t>Zusammenschluss oder Transfer mit</t>
  </si>
  <si>
    <t>in der</t>
  </si>
  <si>
    <t>Versicherer</t>
  </si>
  <si>
    <t>Namen</t>
  </si>
  <si>
    <t>Tätigkeits-</t>
  </si>
  <si>
    <t>BAG-Nr. / Versicherer</t>
  </si>
  <si>
    <r>
      <t xml:space="preserve">BAG-Liste </t>
    </r>
    <r>
      <rPr>
        <vertAlign val="superscript"/>
        <sz val="10"/>
        <rFont val="Arial"/>
        <family val="2"/>
      </rPr>
      <t>1</t>
    </r>
  </si>
  <si>
    <t>gebiet</t>
  </si>
  <si>
    <t>Krankenkasse Luchsingen-Hätzingen</t>
  </si>
  <si>
    <t>01.01.10</t>
  </si>
  <si>
    <t>GL + NW, SG, SZ, ZH</t>
  </si>
  <si>
    <t>Bezirkskrankenkasse Einsiedeln</t>
  </si>
  <si>
    <t>SZ, ZH + GL, LU, NW, OW, SG, UR, ZG</t>
  </si>
  <si>
    <t>Agilia Krankenkasse AG</t>
  </si>
  <si>
    <t>Krankenkasse Malters AG</t>
  </si>
  <si>
    <t>Cassa da malsauns LUMNEZIANA</t>
  </si>
  <si>
    <t>Fundaziun CMP Lumnezia I</t>
  </si>
  <si>
    <t>EGK Grundversicherungen</t>
  </si>
  <si>
    <t>EGK-Gesundheitskasse</t>
  </si>
  <si>
    <t>Krankenkasse SLKK</t>
  </si>
  <si>
    <r>
      <t xml:space="preserve">AG, AI, AR, BE, BL, BS, FR, GL, GR, LU, NW, OW, SG, SH, SO, SZ, TG, UR, ZG, ZH </t>
    </r>
    <r>
      <rPr>
        <sz val="9"/>
        <rFont val="Arial"/>
        <family val="2"/>
      </rPr>
      <t>+ VS</t>
    </r>
  </si>
  <si>
    <t>Krankenkasse Gondo-Zwischbergen</t>
  </si>
  <si>
    <t>x</t>
  </si>
  <si>
    <t>Krankenkasse Simplon</t>
  </si>
  <si>
    <t>Sanagate AG</t>
  </si>
  <si>
    <t>1) Nach dem Entzug der Anerkennung als Krankenversicherer wurden die Leistungen falls notwendig durch den Insolvenzfonds (Gemeinsame Einrichtung) erbracht.</t>
  </si>
  <si>
    <t>Quelle: Verzeichnisse der zugelassenen Krankenversicherer (Mitteilungen) BAG 01/10 04/10 08/10 10/10 (www.bag.admin.ch, Rubrik Versicherer und Aufsicht)</t>
  </si>
  <si>
    <r>
      <t xml:space="preserve">T 5.05 OKP: Durchschnittlicher Versichertenbestand nach Versicherer und Kanton </t>
    </r>
    <r>
      <rPr>
        <b/>
        <vertAlign val="superscript"/>
        <sz val="12"/>
        <rFont val="Arial"/>
        <family val="2"/>
      </rPr>
      <t>3</t>
    </r>
  </si>
  <si>
    <r>
      <t xml:space="preserve">Name des OKP Versicherers </t>
    </r>
    <r>
      <rPr>
        <vertAlign val="superscript"/>
        <sz val="10"/>
        <rFont val="Arial"/>
        <family val="2"/>
      </rPr>
      <t>1</t>
    </r>
  </si>
  <si>
    <r>
      <t xml:space="preserve">Ausland </t>
    </r>
    <r>
      <rPr>
        <vertAlign val="superscript"/>
        <sz val="10"/>
        <rFont val="Arial"/>
        <family val="2"/>
      </rPr>
      <t>2</t>
    </r>
  </si>
  <si>
    <t>1</t>
  </si>
  <si>
    <t>2</t>
  </si>
  <si>
    <t>3</t>
  </si>
  <si>
    <t>5</t>
  </si>
  <si>
    <t>6</t>
  </si>
  <si>
    <t>7</t>
  </si>
  <si>
    <t>8</t>
  </si>
  <si>
    <t>9</t>
  </si>
  <si>
    <t>10</t>
  </si>
  <si>
    <t>11</t>
  </si>
  <si>
    <t>12</t>
  </si>
  <si>
    <t>13</t>
  </si>
  <si>
    <t>14</t>
  </si>
  <si>
    <t>15</t>
  </si>
  <si>
    <t>16</t>
  </si>
  <si>
    <t>17</t>
  </si>
  <si>
    <t>18</t>
  </si>
  <si>
    <t>19</t>
  </si>
  <si>
    <t>20</t>
  </si>
  <si>
    <t>21</t>
  </si>
  <si>
    <t>22</t>
  </si>
  <si>
    <t>23</t>
  </si>
  <si>
    <t>24</t>
  </si>
  <si>
    <t>25</t>
  </si>
  <si>
    <t>26</t>
  </si>
  <si>
    <t>27</t>
  </si>
  <si>
    <t>1) Name des Versicherers eventuell gekürzt. Name gültig 2009.</t>
  </si>
  <si>
    <t>2) Personen mit Wohnort im Ausland gemäss Artikel 4 KVV (Entsandte Arbeitnehmer und Arbeitnehmerinnen) und 5 KVV (Personen im öffentlichen Dienst mit Aufenthalt im Ausland) mit Ausnahme derjenigen Personen, die in einem EU oder EFTA Staat wohnen und gestützt auf das Freizügigkeitsakbommen oder das EFTA-Abkommen der schweizerischen Versicherung unterstellt sind (Art. 1 Abs. 2 Bst. d und e KVV).</t>
  </si>
  <si>
    <t>3) Bei den durchschnittlichen Versichertenbeständen der OKP (pro Kanton und Versicherer), die auf der OKP-Prämienseite des BAG publiziert werden, wird den Fusionen von Versicherern bis zum Moment der Gültigkeit der publizierten Prämien Rechnung getragen; aus diesem Grund kann es Unterschiede zwischen den Tabellen geben.</t>
  </si>
  <si>
    <t>Quelle: EF 3.12</t>
  </si>
  <si>
    <t>6: Freiwillige Taggeldversicherung KVG</t>
  </si>
  <si>
    <t>Prämien, Leistungen, Versichertenbestand und Versichererbestand ab 2000</t>
  </si>
  <si>
    <t>Ertrag, Aufwand und Ergebnis ab 2000</t>
  </si>
  <si>
    <t>Versicherer, Versicherte, Prämien und Leistungen nach Einzel- u. Kollektivverträgen</t>
  </si>
  <si>
    <t xml:space="preserve">Betriebsrechnung der Einzel- und Kollektivversicherung insgesamt </t>
  </si>
  <si>
    <t xml:space="preserve">Betriebsrechnung der Einzelversicherung </t>
  </si>
  <si>
    <t>Betriebsrechnung der Kollektivversicherung</t>
  </si>
  <si>
    <t>T 6.01 Prämien, Leistungen, Versichertenbestand und Versichererbestand ab 2000</t>
  </si>
  <si>
    <t>Versi-</t>
  </si>
  <si>
    <t xml:space="preserve"> pro</t>
  </si>
  <si>
    <t>cherten-</t>
  </si>
  <si>
    <t>cherer-</t>
  </si>
  <si>
    <t>Versicherte(n)</t>
  </si>
  <si>
    <r>
      <t xml:space="preserve">bestand </t>
    </r>
    <r>
      <rPr>
        <vertAlign val="superscript"/>
        <sz val="11"/>
        <rFont val="Arial"/>
        <family val="2"/>
      </rPr>
      <t>1</t>
    </r>
  </si>
  <si>
    <t>bestand</t>
  </si>
  <si>
    <r>
      <t xml:space="preserve">in Fr. </t>
    </r>
    <r>
      <rPr>
        <vertAlign val="superscript"/>
        <sz val="11"/>
        <rFont val="Arial"/>
        <family val="2"/>
      </rPr>
      <t>1</t>
    </r>
  </si>
  <si>
    <t>Quelle: T 6.03</t>
  </si>
  <si>
    <t xml:space="preserve">1) Versichertenbestand am 31.12. </t>
  </si>
  <si>
    <r>
      <t xml:space="preserve">    </t>
    </r>
    <r>
      <rPr>
        <u/>
        <sz val="10"/>
        <rFont val="Arial"/>
        <family val="2"/>
      </rPr>
      <t>Nur Einzelversicherung.</t>
    </r>
  </si>
  <si>
    <t>T 6.02 Ertrag, Aufwand und Ergebnis in Franken ab 2000</t>
  </si>
  <si>
    <t>Total des</t>
  </si>
  <si>
    <t>Total Ver-</t>
  </si>
  <si>
    <t>sicherungs-</t>
  </si>
  <si>
    <t>betriebs-</t>
  </si>
  <si>
    <t>ertrags</t>
  </si>
  <si>
    <t>und Betriebs-</t>
  </si>
  <si>
    <t xml:space="preserve">aufwand </t>
  </si>
  <si>
    <t>Quelle: T 6.04</t>
  </si>
  <si>
    <r>
      <t xml:space="preserve">T 6.03 Versicherer, Versicherte, Prämien und Leistungen nach Einzel- und Kollektivverträgen </t>
    </r>
    <r>
      <rPr>
        <b/>
        <vertAlign val="superscript"/>
        <sz val="12"/>
        <rFont val="Arial"/>
        <family val="2"/>
      </rPr>
      <t>1</t>
    </r>
  </si>
  <si>
    <t>Anzahl / Betrag</t>
  </si>
  <si>
    <t>Einzel-</t>
  </si>
  <si>
    <t>Kollektiv-</t>
  </si>
  <si>
    <r>
      <t xml:space="preserve">versicherung </t>
    </r>
    <r>
      <rPr>
        <vertAlign val="superscript"/>
        <sz val="11"/>
        <rFont val="Arial"/>
        <family val="2"/>
      </rPr>
      <t>3</t>
    </r>
  </si>
  <si>
    <t>1999 alt</t>
  </si>
  <si>
    <t>1999 neu</t>
  </si>
  <si>
    <t>Anzahl Versicherer</t>
  </si>
  <si>
    <r>
      <t xml:space="preserve">Versichertenbestand </t>
    </r>
    <r>
      <rPr>
        <b/>
        <vertAlign val="superscript"/>
        <sz val="11"/>
        <rFont val="Arial"/>
        <family val="2"/>
      </rPr>
      <t>2</t>
    </r>
  </si>
  <si>
    <t>Prämiensoll in Franken</t>
  </si>
  <si>
    <t>Prämiensoll in Franken pro Versicherte(n)</t>
  </si>
  <si>
    <t xml:space="preserve">Leistungen in Franken </t>
  </si>
  <si>
    <t>davon Mutterschaft</t>
  </si>
  <si>
    <t>Leistungen in Franken pro Versicherte(n)</t>
  </si>
  <si>
    <t>Quelle: Formular EF 3.9</t>
  </si>
  <si>
    <t>1) Getrennte Rechnungsführung für die Einzel- und die Kollektivversicherung wird nur bei unterschiedlichen Prämientarifen</t>
  </si>
  <si>
    <t>verlangt (vgl. Art. 75 Abs. 2 KVG).</t>
  </si>
  <si>
    <t>2) Versichertenbestand am 31.12.</t>
  </si>
  <si>
    <t>3) In der Kollektivversicherung gibt es auch Lohnsummenverträge, bei denen die Zahl der Versicherten nicht bekannt ist.</t>
  </si>
  <si>
    <t xml:space="preserve">T 6.04  Betriebsrechnung der Einzel- und Kollektivversicherung insgesamt </t>
  </si>
  <si>
    <t>Quelle: Formular EF 2.0 und 2.1</t>
  </si>
  <si>
    <r>
      <t xml:space="preserve">T 6.05  Betriebsrechnung der Einzelversicherung </t>
    </r>
    <r>
      <rPr>
        <b/>
        <vertAlign val="superscript"/>
        <sz val="12"/>
        <rFont val="Arial"/>
        <family val="2"/>
      </rPr>
      <t>1</t>
    </r>
  </si>
  <si>
    <t>Quelle: Formular EF 2.0</t>
  </si>
  <si>
    <r>
      <t xml:space="preserve">T 6.06  Betriebsrechnung der Kollektivversicherung </t>
    </r>
    <r>
      <rPr>
        <b/>
        <vertAlign val="superscript"/>
        <sz val="12"/>
        <rFont val="Arial"/>
        <family val="2"/>
      </rPr>
      <t>1</t>
    </r>
  </si>
  <si>
    <t>Quelle: Formular EF 2.1</t>
  </si>
  <si>
    <t>7: Andere Versicherungen der vom BAG anerkannten Krankenversicherer</t>
  </si>
  <si>
    <t>Ertrag, Aufwand und Ergebnis der anderen Versicherungen insgesamt ab 2000</t>
  </si>
  <si>
    <t>Indikatoren der Betriebsrechnung der anderen Versicherungen</t>
  </si>
  <si>
    <t>Betriebsrechnung der Zusatzversicherungen VVG</t>
  </si>
  <si>
    <t xml:space="preserve">Betriebsrechnung der Krankenpflegeversicherung Liechtenstein </t>
  </si>
  <si>
    <t>Betriebsrechnung der Zusatzversicherungen: Versicherte wohnhaft im Ausland</t>
  </si>
  <si>
    <r>
      <t xml:space="preserve">T 7.01  Ertrag, Aufwand und Ergebnis der anderen Versicherungen insgesamt </t>
    </r>
    <r>
      <rPr>
        <b/>
        <vertAlign val="superscript"/>
        <sz val="12"/>
        <rFont val="Arial"/>
        <family val="2"/>
      </rPr>
      <t xml:space="preserve">1 </t>
    </r>
    <r>
      <rPr>
        <b/>
        <sz val="12"/>
        <rFont val="Arial"/>
        <family val="2"/>
      </rPr>
      <t xml:space="preserve"> in Franken ab 2000</t>
    </r>
  </si>
  <si>
    <r>
      <t xml:space="preserve">Jahr </t>
    </r>
    <r>
      <rPr>
        <vertAlign val="superscript"/>
        <sz val="11"/>
        <rFont val="Arial"/>
        <family val="2"/>
      </rPr>
      <t>2, 3</t>
    </r>
  </si>
  <si>
    <t>aufwand</t>
  </si>
  <si>
    <t>1) Zusammenzug der «Zusatzversicherungen VVG»,</t>
  </si>
  <si>
    <t>«Krankenpflegeversicherung Liechtenstein» und «Zusatzversicherungen Versicherte wohnhaft im Ausland».</t>
  </si>
  <si>
    <t>2) Vorjahresvergleiche sind nur mit Vorbehalt möglich, da jene Zusatzversicherungen VAG, welche auch unternehmensrechtlich</t>
  </si>
  <si>
    <t>vom KVG-Bereich eines Versicherers abgetrennt werden, sich der Sicht der BAG-Krankenversicherungsstatistik entziehen.</t>
  </si>
  <si>
    <t>3) Revidierte Zahlen für 2002 und 2003 (ohne T 7.06).</t>
  </si>
  <si>
    <t>Quelle: T 7.02</t>
  </si>
  <si>
    <t xml:space="preserve">T 7.02  Indikatoren der Betriebsrechnung der anderen Versicherungen in Franken </t>
  </si>
  <si>
    <t>Krankenpflege-</t>
  </si>
  <si>
    <t>sicherungen</t>
  </si>
  <si>
    <t>Liechtenstein</t>
  </si>
  <si>
    <t>wohnhaft</t>
  </si>
  <si>
    <t xml:space="preserve"> im Ausland</t>
  </si>
  <si>
    <t>Versicherungsertrag</t>
  </si>
  <si>
    <t>davon Brutto-Prämien</t>
  </si>
  <si>
    <t>Neutraler Aufwand/Ertrag</t>
  </si>
  <si>
    <t>Total des Gesamtertrags</t>
  </si>
  <si>
    <t>Versicherungsaufwand</t>
  </si>
  <si>
    <t>davon Bruttoleistungen</t>
  </si>
  <si>
    <t>Betriebsaufwand</t>
  </si>
  <si>
    <t>Total Vers.- und Betriebsaufwand</t>
  </si>
  <si>
    <t>Quelle: T 7.03, 7.04, 7.05</t>
  </si>
  <si>
    <r>
      <t xml:space="preserve">T 7.03  Betriebsrechnung der Zusatzversicherungen VVG </t>
    </r>
    <r>
      <rPr>
        <b/>
        <vertAlign val="superscript"/>
        <sz val="12"/>
        <rFont val="Arial"/>
        <family val="2"/>
      </rPr>
      <t>1</t>
    </r>
  </si>
  <si>
    <t>davon Taggeldversicherung VVG</t>
  </si>
  <si>
    <t xml:space="preserve">Brutto-Prämien (60-65) </t>
  </si>
  <si>
    <t xml:space="preserve">Bezahlte Leistungen (30-33) </t>
  </si>
  <si>
    <t>1) Gemäss Art. 13 und 14 KVV, ohne  T 7.04 und 7.05.</t>
  </si>
  <si>
    <t>Quelle: Formular EF 2.8 und EF 1.12C</t>
  </si>
  <si>
    <t xml:space="preserve">T 7.04  Betriebsrechnung der Krankenpflegeversicherung Liechtenstein </t>
  </si>
  <si>
    <t>Quelle: Formular EF 2.9</t>
  </si>
  <si>
    <r>
      <t xml:space="preserve">T 7.05  Betriebsrechnung der Zusatzversicherungen: Versicherte wohnhaft im Ausland </t>
    </r>
    <r>
      <rPr>
        <b/>
        <vertAlign val="superscript"/>
        <sz val="12"/>
        <rFont val="Arial"/>
        <family val="2"/>
      </rPr>
      <t>1</t>
    </r>
  </si>
  <si>
    <t>1) Ohne T 7.04</t>
  </si>
  <si>
    <t>Quelle: Formular EF 2.10</t>
  </si>
  <si>
    <t>8: Gesamtgeschäft der vom BAG anerkannten Krankenversicherer</t>
  </si>
  <si>
    <t>Anzahl Versicherer ab 1996</t>
  </si>
  <si>
    <t>Anzahl Versicherer OKP nach Versichertenbestand ab 2000</t>
  </si>
  <si>
    <t>Stellen, Personal und Löhne in der OKP ab 2000</t>
  </si>
  <si>
    <t>Ertrag, Aufwand und Ergebnis der Versicherer ab 2000</t>
  </si>
  <si>
    <t>Gesamtbetriebsrechnung: Ertrag der Versicherer</t>
  </si>
  <si>
    <t xml:space="preserve">Gesamtbetriebsrechnung: Aufwand der Versicherer </t>
  </si>
  <si>
    <t>Aktiven und Passiven der Versicherer ab 2000</t>
  </si>
  <si>
    <t>Eigenkapital, Kapitalanlagen, Grundstücke und Gebäude der Versicherer ab 2000</t>
  </si>
  <si>
    <t>Bilanz: Aktiven der Versicherer per 31.12.</t>
  </si>
  <si>
    <t>Bilanz: Passiven der Versicherer per 31.12.</t>
  </si>
  <si>
    <t>Aufstellung über Kapitalanlagen, Grundstücke und Gebäude per 31.12.</t>
  </si>
  <si>
    <t>Ergebnisverteilung per 31.12.</t>
  </si>
  <si>
    <t>T 8.01 Anzahl KVG Versicherer ab 1996</t>
  </si>
  <si>
    <t>A</t>
  </si>
  <si>
    <t>B</t>
  </si>
  <si>
    <t>C</t>
  </si>
  <si>
    <t>D</t>
  </si>
  <si>
    <r>
      <t xml:space="preserve">    Anzahl KVG-Versicherer </t>
    </r>
    <r>
      <rPr>
        <vertAlign val="superscript"/>
        <sz val="11"/>
        <rFont val="Arial"/>
        <family val="2"/>
      </rPr>
      <t>1 2</t>
    </r>
  </si>
  <si>
    <t xml:space="preserve">Anzahl </t>
  </si>
  <si>
    <t>Zuwachs</t>
  </si>
  <si>
    <t>Abgang</t>
  </si>
  <si>
    <t>Obligatorische</t>
  </si>
  <si>
    <t>Freiwillige</t>
  </si>
  <si>
    <r>
      <t xml:space="preserve">OKP </t>
    </r>
    <r>
      <rPr>
        <b/>
        <i/>
        <sz val="11"/>
        <rFont val="Arial"/>
        <family val="2"/>
      </rPr>
      <t>und</t>
    </r>
  </si>
  <si>
    <t>KVG</t>
  </si>
  <si>
    <t>1) A - C : Versicherer, die keine Versicherte in der freiwilligen Taggeldversicherung nach KVG haben.</t>
  </si>
  <si>
    <t>2) A - B : Versicherer, die keine obligatorische Krankenpflegeversicherung anbieten (reine Taggeldversicherer).</t>
  </si>
  <si>
    <t>Quelle: T 5.01; T 5.03; T 5.04</t>
  </si>
  <si>
    <t>T 8.02  Anzahl Versicherer OKP nach Versichertenbestand ab 2000</t>
  </si>
  <si>
    <t>1 – 5'000</t>
  </si>
  <si>
    <t>5'001 –</t>
  </si>
  <si>
    <t>10'001 –</t>
  </si>
  <si>
    <t xml:space="preserve">50'001 – </t>
  </si>
  <si>
    <t xml:space="preserve">100'001 – </t>
  </si>
  <si>
    <t>mehr als</t>
  </si>
  <si>
    <t>Quelle: T 5.01</t>
  </si>
  <si>
    <t>T 8.03  Stellen, Personal und Löhne in der OKP ab 2000</t>
  </si>
  <si>
    <r>
      <t>Jahr</t>
    </r>
    <r>
      <rPr>
        <vertAlign val="superscript"/>
        <sz val="11"/>
        <rFont val="Arial"/>
        <family val="2"/>
      </rPr>
      <t xml:space="preserve"> 1</t>
    </r>
  </si>
  <si>
    <t xml:space="preserve"> Verwaltung / Hauptsitz</t>
  </si>
  <si>
    <t xml:space="preserve"> Sektionen / Agenturen </t>
  </si>
  <si>
    <t xml:space="preserve">         Total             </t>
  </si>
  <si>
    <r>
      <t xml:space="preserve">  Bruttogehälter in Mio. Fr. </t>
    </r>
    <r>
      <rPr>
        <u/>
        <vertAlign val="superscript"/>
        <sz val="9"/>
        <rFont val="Arial"/>
        <family val="2"/>
      </rPr>
      <t xml:space="preserve">3 </t>
    </r>
  </si>
  <si>
    <r>
      <t xml:space="preserve"> Mittleres Bruttogehalt in Fr. </t>
    </r>
    <r>
      <rPr>
        <u/>
        <vertAlign val="superscript"/>
        <sz val="9"/>
        <rFont val="Arial"/>
        <family val="2"/>
      </rPr>
      <t>4</t>
    </r>
  </si>
  <si>
    <t>Stellen</t>
  </si>
  <si>
    <t>Personen</t>
  </si>
  <si>
    <t>pro Stelle</t>
  </si>
  <si>
    <r>
      <t xml:space="preserve">davon Kader </t>
    </r>
    <r>
      <rPr>
        <i/>
        <vertAlign val="superscript"/>
        <sz val="9"/>
        <rFont val="Arial"/>
        <family val="2"/>
      </rPr>
      <t>2</t>
    </r>
  </si>
  <si>
    <t xml:space="preserve">(Hauptsitz und </t>
  </si>
  <si>
    <t>(Total)</t>
  </si>
  <si>
    <r>
      <t xml:space="preserve">(Kader </t>
    </r>
    <r>
      <rPr>
        <vertAlign val="superscript"/>
        <sz val="9"/>
        <rFont val="Arial"/>
        <family val="2"/>
      </rPr>
      <t>2</t>
    </r>
    <r>
      <rPr>
        <sz val="9"/>
        <rFont val="Arial"/>
        <family val="2"/>
      </rPr>
      <t>)</t>
    </r>
  </si>
  <si>
    <t>Agenturen)</t>
  </si>
  <si>
    <t>copie coller valeurs</t>
  </si>
  <si>
    <t>1) Ab 2001 nur obligatorische Grundversicherung OKP.</t>
  </si>
  <si>
    <t>2) Mitglieder der Direktion und der Räte (Verwaltungsrat, Stiftungsrat…)</t>
  </si>
  <si>
    <t>3) Angaben unvollständig.</t>
  </si>
  <si>
    <t>4) Schätzungen aufgrund der Versicherer, die vollständige Angaben geliefert haben (2007-&gt;10 Total: ~ 60 Versicherer / Kader : ~40 Versicherer).</t>
  </si>
  <si>
    <t>Quelle: Formular EF 3.10.3</t>
  </si>
  <si>
    <t>T 8.04  Ertrag, Aufwand und Ergebnis der Versicherer in Mio. Franken ab 2000</t>
  </si>
  <si>
    <r>
      <t xml:space="preserve">Jahr </t>
    </r>
    <r>
      <rPr>
        <vertAlign val="superscript"/>
        <sz val="11"/>
        <rFont val="Arial"/>
        <family val="2"/>
      </rPr>
      <t>1</t>
    </r>
  </si>
  <si>
    <r>
      <t xml:space="preserve">ergebnis </t>
    </r>
    <r>
      <rPr>
        <vertAlign val="superscript"/>
        <sz val="11"/>
        <rFont val="Arial"/>
        <family val="2"/>
      </rPr>
      <t>2</t>
    </r>
  </si>
  <si>
    <t>1) Vorjahresvergleiche sind nur mit Vorbehalt möglich, da jene Zusatzversicherungen VAG, welche auch unternehmensrechtlich</t>
  </si>
  <si>
    <r>
      <t xml:space="preserve">2) Jahresergebnis ( = Vorschlag Gesamtbetriebsrechnung minus Rückschlag Gesamtbetriebsrechnung) vor der </t>
    </r>
    <r>
      <rPr>
        <u/>
        <sz val="10"/>
        <rFont val="Arial"/>
        <family val="2"/>
      </rPr>
      <t>Zuweisung</t>
    </r>
    <r>
      <rPr>
        <sz val="10"/>
        <rFont val="Arial"/>
        <family val="2"/>
      </rPr>
      <t xml:space="preserve"> an</t>
    </r>
  </si>
  <si>
    <r>
      <t xml:space="preserve">die - resp. der </t>
    </r>
    <r>
      <rPr>
        <u/>
        <sz val="10"/>
        <rFont val="Arial"/>
        <family val="2"/>
      </rPr>
      <t>Entnahme</t>
    </r>
    <r>
      <rPr>
        <sz val="10"/>
        <rFont val="Arial"/>
        <family val="2"/>
      </rPr>
      <t xml:space="preserve"> von den - Fonds und Reserven.</t>
    </r>
  </si>
  <si>
    <t>Quelle:  T 8.05 [6/7]; T 8.06 [3/4]; T 8.06 [800-801] - T 8.05 [800-801]</t>
  </si>
  <si>
    <t xml:space="preserve">T 8.05 Gesamtbetriebsrechnung: Ertrag der Versicherer </t>
  </si>
  <si>
    <t>Betrag</t>
  </si>
  <si>
    <t>– Taggeld</t>
  </si>
  <si>
    <t>– Überschussbeteiligung auf Kollektivversicherung Taggeld</t>
  </si>
  <si>
    <r>
      <t xml:space="preserve">Obligatorische Krankenpflegeversicherung KVG </t>
    </r>
    <r>
      <rPr>
        <vertAlign val="superscript"/>
        <sz val="11"/>
        <rFont val="Arial"/>
        <family val="2"/>
      </rPr>
      <t>1</t>
    </r>
  </si>
  <si>
    <r>
      <t xml:space="preserve">Zusatzversicherungen VVG, inkl. Taggeld VVG </t>
    </r>
    <r>
      <rPr>
        <vertAlign val="superscript"/>
        <sz val="11"/>
        <rFont val="Arial"/>
        <family val="2"/>
      </rPr>
      <t>2</t>
    </r>
  </si>
  <si>
    <t>60 – 63</t>
  </si>
  <si>
    <t>Erlösminderungen auf Prämien</t>
  </si>
  <si>
    <t>Andere Prämienanteile</t>
  </si>
  <si>
    <t>60 – 65</t>
  </si>
  <si>
    <t>Prämienanteile der Rückversicherer</t>
  </si>
  <si>
    <t>60 – 66</t>
  </si>
  <si>
    <t>Prämienverbilligung und sonstige Beiträge / Subventionen</t>
  </si>
  <si>
    <t>– Beiträge zur Prämienverbilligung (Art. 65 KVG)</t>
  </si>
  <si>
    <t>– Beiträge anderer Institutionen z.G. der Versicherten</t>
  </si>
  <si>
    <t>– Beiträge z.G. des Versicheres</t>
  </si>
  <si>
    <t>– Beiträge an Insolvenzfonds</t>
  </si>
  <si>
    <t>Prämienermässigung an Versicherte</t>
  </si>
  <si>
    <t>67 – 68</t>
  </si>
  <si>
    <t>Eigene Subventionen und Beiträge</t>
  </si>
  <si>
    <t>Liegenschaftsrechnung</t>
  </si>
  <si>
    <t>– Liegenschaftsergebnis</t>
  </si>
  <si>
    <t>Neutraler Aufwand und Ertrag</t>
  </si>
  <si>
    <t>– Kapitalertrag</t>
  </si>
  <si>
    <t>– Kapitalaufwand</t>
  </si>
  <si>
    <t>– Wertberichtigung auf Wertschriften</t>
  </si>
  <si>
    <t>– Nicht rückzuerstattende Abgabeerträge VOC und HEL</t>
  </si>
  <si>
    <t>– Übriger neutraler Aufwand und Ertrag</t>
  </si>
  <si>
    <t>Einkommens-, Vermögens-, Ertrags- und Kapitalsteuer VVG</t>
  </si>
  <si>
    <t>Total neutraler Aufwand/Ertrag</t>
  </si>
  <si>
    <t>6 / 7</t>
  </si>
  <si>
    <t>Total des Gesamtertrages</t>
  </si>
  <si>
    <t>800 – 801</t>
  </si>
  <si>
    <t>Rückschlag Gesamtbetriebsrechnung</t>
  </si>
  <si>
    <t>Gesamttotal</t>
  </si>
  <si>
    <t>1) Mit Versicherten, die dem Versicherungsobligatorium unterstehen und in einem EU- oder EFTA-Staat Wohnsitz haben (EWG);</t>
  </si>
  <si>
    <t>[T 1.02 + T 1.07].</t>
  </si>
  <si>
    <t xml:space="preserve">2) Jene Zusatzversicherungen VVG, welche auch unternehmensrechtlich vom KVG-Bereich eines Versicherers abgetrennt werden, </t>
  </si>
  <si>
    <t>entziehen sich der Sicht der BAG-Krankenversicherungsstatistik.</t>
  </si>
  <si>
    <t>Quelle: Formular EF 1.8 und 1.9</t>
  </si>
  <si>
    <t>Anteil</t>
  </si>
  <si>
    <t xml:space="preserve">T 8.06  Gesamtbetriebsrechnung: Aufwand der Versicherer </t>
  </si>
  <si>
    <t>Kostenbeteiligung der Versicherten</t>
  </si>
  <si>
    <t>30 – 33</t>
  </si>
  <si>
    <t>Veränderung der Rückstellungen für unerledigte Versicherungsfälle / versicherungstechnische Rückstellungen</t>
  </si>
  <si>
    <t>30 – 35</t>
  </si>
  <si>
    <t>Leistungsanteile der Rückversicherer</t>
  </si>
  <si>
    <t>– Personalaufwand inkl. Sozialleistungen</t>
  </si>
  <si>
    <t>– Verwaltungsräumlichkeiten und Betriebseinrichtungen</t>
  </si>
  <si>
    <t>– EDV-Kosten</t>
  </si>
  <si>
    <t>– Versicherungsprämien und Verbandsbeiträge</t>
  </si>
  <si>
    <t>– Marketing und Werbung inkl. Provisionen KVG</t>
  </si>
  <si>
    <t>– Marketing und Werbung inkl. Provisionen VVG</t>
  </si>
  <si>
    <t>– Übriger Verwaltungsaufwand</t>
  </si>
  <si>
    <t>– Erhaltene Verwaltungsentschädigung</t>
  </si>
  <si>
    <t>40 – 47</t>
  </si>
  <si>
    <t>Total Verwaltungsaufwand</t>
  </si>
  <si>
    <t>3 / 4</t>
  </si>
  <si>
    <t>Vorschlag Gesamtbetriebsrechnung</t>
  </si>
  <si>
    <t>–</t>
  </si>
  <si>
    <t>Quelle: Formular EF 1.6 und 1.7</t>
  </si>
  <si>
    <t>T 8.07 Aktiven und Passiven der Versicherer in Mio. Franken ab 2000</t>
  </si>
  <si>
    <t>Aktiven</t>
  </si>
  <si>
    <t>Passiven</t>
  </si>
  <si>
    <t>Bilanz-</t>
  </si>
  <si>
    <t>Umlauf-</t>
  </si>
  <si>
    <t>Anlage-</t>
  </si>
  <si>
    <t>Fremd-</t>
  </si>
  <si>
    <t>Fonds und</t>
  </si>
  <si>
    <t>summe</t>
  </si>
  <si>
    <t>vermögen</t>
  </si>
  <si>
    <t>kapital</t>
  </si>
  <si>
    <t>1) Bestände per Jahresende; Vorjahresvergleiche sind nur mit Vorbehalt möglich, da jene Zusatzversicherungen VAG, welche</t>
  </si>
  <si>
    <t>auch unternehmensrechtlich vom KVG-Bereich eines Versicherers abgetrennt werden, sich der Sicht der BAG-Krankenversi-</t>
  </si>
  <si>
    <t>cherungsstatistik entziehen.</t>
  </si>
  <si>
    <t>Quelle: T 8.09; T 8.10</t>
  </si>
  <si>
    <t>T 8.08  Eigenkapital, Kapitalanlagen, Grundstücke und Gebäude der Versicherer ab 2000</t>
  </si>
  <si>
    <t>Eigenkapital</t>
  </si>
  <si>
    <t>Eigenkapital-</t>
  </si>
  <si>
    <t>Kapital-</t>
  </si>
  <si>
    <t>Grundstücke</t>
  </si>
  <si>
    <r>
      <t xml:space="preserve">quote </t>
    </r>
    <r>
      <rPr>
        <vertAlign val="superscript"/>
        <sz val="11"/>
        <rFont val="Arial"/>
        <family val="2"/>
      </rPr>
      <t>1</t>
    </r>
  </si>
  <si>
    <t>anlagen</t>
  </si>
  <si>
    <t>und Gebäude</t>
  </si>
  <si>
    <t xml:space="preserve">1) Eigenkapital in % des Prämiensolls. </t>
  </si>
  <si>
    <t>Quelle: T 8.10 [29] ; T 8.05 [60-63] ; T 8.11 [17, 18]</t>
  </si>
  <si>
    <t>T 8.09  Bilanz: Aktiven der Versicherer per 31.12.</t>
  </si>
  <si>
    <t>Umlaufvermögen</t>
  </si>
  <si>
    <t>Flüssige Mittel</t>
  </si>
  <si>
    <t>Forderungen bei Versicherten</t>
  </si>
  <si>
    <t>– Forderungen bei Versicherten brutto</t>
  </si>
  <si>
    <t xml:space="preserve">– Wertberichtigung / Delkredere </t>
  </si>
  <si>
    <t>Forderungen bei Partnern</t>
  </si>
  <si>
    <t>– Forderungen bei Partnern brutto</t>
  </si>
  <si>
    <t>– Wertberichtigung / Delkredere</t>
  </si>
  <si>
    <t>Forderungen bei Rückversicherern</t>
  </si>
  <si>
    <t>Forderungen von Subventionen, Prämienverbilligung, Risikoausgleich und anderen Beiträgen</t>
  </si>
  <si>
    <t>Vorausbezahlte Versicherungsleistungen, Regress und Rückerstattungsansprüche</t>
  </si>
  <si>
    <t>Übrige Forderungen und aktive Rechnungsabgrenzung</t>
  </si>
  <si>
    <t>Anlagevermögen</t>
  </si>
  <si>
    <t>Kapitalanlagen</t>
  </si>
  <si>
    <t>– Kapitalanlagen brutto</t>
  </si>
  <si>
    <t xml:space="preserve">– Wertberichtigung </t>
  </si>
  <si>
    <t>Grundstücke und Gebäude</t>
  </si>
  <si>
    <t>– Grundstücke und Gebäude brutto</t>
  </si>
  <si>
    <t>– Wertberichtigung</t>
  </si>
  <si>
    <t>Betriebseinrichtungen und Fahrzeuge</t>
  </si>
  <si>
    <t>– Betriebseinrichtungen und Fahrzeuge brutto</t>
  </si>
  <si>
    <t>Total Aktiven</t>
  </si>
  <si>
    <t>Quelle: Formular EF 1.3</t>
  </si>
  <si>
    <t>T 8.10  Bilanz: Passiven der Versicherer per 31.12.</t>
  </si>
  <si>
    <t>Fremdkapital</t>
  </si>
  <si>
    <t>Verbindlichkeiten aus Versicherungsleistungen</t>
  </si>
  <si>
    <t>Verbindlichkeiten bei Versicherten (ohne Konto.215)</t>
  </si>
  <si>
    <t>Noch zur Verrechnung gelangende Abgabeerträge VOC und HEL</t>
  </si>
  <si>
    <t>Verbindlichkeiten bei Partnern</t>
  </si>
  <si>
    <t>Verbindlichkeiten bei Rückversicherern</t>
  </si>
  <si>
    <t>Verbindlichkeiten bei der Gemeinsamen Einrichtung KVG</t>
  </si>
  <si>
    <t>Verbindlichkeiten bei anderen Versicherern</t>
  </si>
  <si>
    <t>Übrige Verbindlichkeiten und passive Rechnungsabgrenzung</t>
  </si>
  <si>
    <t>Rückstellung für unerledigte Versicherungsfälle, Risikoausgleich, nicht versicherungstechn. Rückstellungen, Rücklagen aus Fusionen</t>
  </si>
  <si>
    <t xml:space="preserve">– Oblig. Krankenpflegevers. (ohne Kto. 270.2 und 270.3)  </t>
  </si>
  <si>
    <t>– Nicht versicherungstechnische Rückstellungen KVG</t>
  </si>
  <si>
    <t>– Oblig. Krankenpflegevers. (effektive Kosten gemäss Verordnung (EWG) Nr. 574/72 Art. 93)</t>
  </si>
  <si>
    <t>– Oblig. Krankenpflegevers. (Pauschalkosten gem. Verordnung (EWG) Nr. 574/72 Art. 94 und 95)</t>
  </si>
  <si>
    <t>– Freiwillige Taggeldversicherung nach KVG</t>
  </si>
  <si>
    <t>– Aktive Rückversicherung</t>
  </si>
  <si>
    <t>– Zusatzversicherungen inkl. Taggeld VVG</t>
  </si>
  <si>
    <t>– Nicht versicherungstechnische Rückstellungen VVG</t>
  </si>
  <si>
    <t>– Risikoausgleich</t>
  </si>
  <si>
    <t>– Zweckgebundene Rücklagen aus Fusionen</t>
  </si>
  <si>
    <t>Fonds und Eigenkapital</t>
  </si>
  <si>
    <t>Fonds</t>
  </si>
  <si>
    <t>– Reglementierte Fonds</t>
  </si>
  <si>
    <t>– Immobilien (Renovationen, Umbauten)</t>
  </si>
  <si>
    <t>– EDV-Projekte</t>
  </si>
  <si>
    <t xml:space="preserve">– Reserven Oblig. Krankenpflegeversicherung (ohne Konto 290.5) </t>
  </si>
  <si>
    <t>– Reserven Oblig. Krankenpflegeversicherung EG und EFTA (ohne Liechtenstein)</t>
  </si>
  <si>
    <t>– Aktienkapital</t>
  </si>
  <si>
    <t>– Reserven Taggeldversicherung nach KVG</t>
  </si>
  <si>
    <t>– Reserven Aktive Rückversicherung</t>
  </si>
  <si>
    <t>– Zusatzversicherung VVG, inkl. Taggeld VVG</t>
  </si>
  <si>
    <t>– Einkaufssummen fusionierter Versicherer</t>
  </si>
  <si>
    <t>Total Passiven</t>
  </si>
  <si>
    <t>Quelle: Formular EF 1.4 und 1.5</t>
  </si>
  <si>
    <t>T 8.11  Aufstellung über Kapitalanlagen, Grundstücke und Gebäude per 31.12.</t>
  </si>
  <si>
    <t xml:space="preserve">Kapitalanlagen </t>
  </si>
  <si>
    <r>
      <t xml:space="preserve">Kapitalanlagen nach Art. 80 KVV </t>
    </r>
    <r>
      <rPr>
        <i/>
        <vertAlign val="superscript"/>
        <sz val="11"/>
        <rFont val="Arial"/>
        <family val="2"/>
      </rPr>
      <t>1</t>
    </r>
  </si>
  <si>
    <t>Anlagen bei öffentlich-rechtlichen Körperschaften und bei Banken und Sparkassen</t>
  </si>
  <si>
    <t>Wertpapiere und andere an der Börse kotierte Anlagen</t>
  </si>
  <si>
    <t xml:space="preserve">Anlagen in grundpfandgesicherten Darlehen </t>
  </si>
  <si>
    <t>Anlagen und Guthaben von Betriebskrankenkassen im eigenen Betrieb</t>
  </si>
  <si>
    <t>Anlagen bei Institutionen, die der Durchführung der sozialen Krankenversicherung dienen</t>
  </si>
  <si>
    <t xml:space="preserve">Sonstige Wertschriften </t>
  </si>
  <si>
    <t>Wertberichtigung Kapitalanlagen</t>
  </si>
  <si>
    <t>Kapitalanlagen  - Gesamttotal</t>
  </si>
  <si>
    <t xml:space="preserve">Grundstücke </t>
  </si>
  <si>
    <t>Gebäude für Verwaltungszwecke</t>
  </si>
  <si>
    <t>Gebäude für Wohn- und Geschäftszwecke</t>
  </si>
  <si>
    <t>Wertberichtigung Grundstücke und Gebäude</t>
  </si>
  <si>
    <t>Grundstücke / Gebäude - Gesamttotal</t>
  </si>
  <si>
    <t>17-18</t>
  </si>
  <si>
    <t>Gesamttotal  Kapitalanlagen, Grundstücke und Gebäude</t>
  </si>
  <si>
    <t>1) Anschaffungswert = Buchwert</t>
  </si>
  <si>
    <t>Quelle: Formular EF 1.11</t>
  </si>
  <si>
    <t>T 8.12  Ergebnisverteilung per 31.12.</t>
  </si>
  <si>
    <t>Gesamtbetriebsrechnung:</t>
  </si>
  <si>
    <t>Vorschlag</t>
  </si>
  <si>
    <t>Rückschlag</t>
  </si>
  <si>
    <t>Zuweisungen</t>
  </si>
  <si>
    <t xml:space="preserve">Entnahmen </t>
  </si>
  <si>
    <t>Fonds:</t>
  </si>
  <si>
    <t>Reglementierte Fonds</t>
  </si>
  <si>
    <t>Immobilien</t>
  </si>
  <si>
    <t>EDV-Projekte</t>
  </si>
  <si>
    <t>Eigenkapital:</t>
  </si>
  <si>
    <t xml:space="preserve">Reserven Oblig. Krankenpflegeversicherung (ohne Kto. 290.5) </t>
  </si>
  <si>
    <t>Reserven Oblig. Krankenpflegeversicherung EG und EFTA (ohne Liechtenstein)</t>
  </si>
  <si>
    <t>Reserven Freiw.Taggeldversicherung KVG</t>
  </si>
  <si>
    <t xml:space="preserve">Reserven Aktive Rückversicherung nach KVG </t>
  </si>
  <si>
    <t>Zusatzversicherung VVG, inkl. Taggeld VVG</t>
  </si>
  <si>
    <t xml:space="preserve">Total </t>
  </si>
  <si>
    <t>Quelle: Formular EF 1.10</t>
  </si>
  <si>
    <r>
      <t xml:space="preserve">T 11.05 Versichertenbestand per 31.12. nach Versicherungsform </t>
    </r>
    <r>
      <rPr>
        <b/>
        <vertAlign val="superscript"/>
        <sz val="12"/>
        <rFont val="Arial"/>
        <family val="2"/>
      </rPr>
      <t>1</t>
    </r>
    <r>
      <rPr>
        <b/>
        <sz val="12"/>
        <rFont val="Arial"/>
        <family val="2"/>
      </rPr>
      <t xml:space="preserve"> ab 2000</t>
    </r>
  </si>
  <si>
    <t>1) Ab 2006, vgl. Fussnote 1) von Tabelle 11.06.</t>
  </si>
  <si>
    <t>Quelle: T 11.06</t>
  </si>
  <si>
    <r>
      <t xml:space="preserve">T 11.06  Versichertenbestand nach Versicherungsform </t>
    </r>
    <r>
      <rPr>
        <b/>
        <vertAlign val="superscript"/>
        <sz val="12"/>
        <rFont val="Arial"/>
        <family val="2"/>
      </rPr>
      <t>1</t>
    </r>
    <r>
      <rPr>
        <b/>
        <sz val="12"/>
        <rFont val="Arial"/>
        <family val="2"/>
      </rPr>
      <t xml:space="preserve"> per 31.12.</t>
    </r>
  </si>
  <si>
    <t>Eingeschränkte Wahl (z.B. HMO) *</t>
  </si>
  <si>
    <t xml:space="preserve"> * davon Versicherte, die gleichzeitig eine wählbare Franchise haben</t>
  </si>
  <si>
    <t>1) Für die Zuteilung der Versicherten zu den Versicherungsformen ist die Versicherungsform (Hausarztmodell, HMO…)</t>
  </si>
  <si>
    <t xml:space="preserve">bei der Kategorie „Eingeschränkte Wahl des Leistungserbringers“ massgebend, auch wenn </t>
  </si>
  <si>
    <t>die Versicherung in Kombination mit einer ordentlichen/wählbaren Franchise abgeschlossen wurde.</t>
  </si>
  <si>
    <t>Quelle: Formular EF 3.3</t>
  </si>
  <si>
    <t>T 11.07 Verteilung der Versicherten (Kinder und Erwachsene) nach Versicherungsform ab 2000</t>
  </si>
  <si>
    <t>Quelle: T 11.05</t>
  </si>
  <si>
    <t>Alter</t>
  </si>
  <si>
    <t>männlich</t>
  </si>
  <si>
    <t>weiblich</t>
  </si>
  <si>
    <t>am Total</t>
  </si>
  <si>
    <t>Junge Erwachsene</t>
  </si>
  <si>
    <t>Datenstand : 12.9.11</t>
  </si>
  <si>
    <t>CSS Kranken-Vers. AG</t>
  </si>
  <si>
    <t xml:space="preserve"> </t>
  </si>
  <si>
    <t>Aquilana Versicherungen</t>
  </si>
  <si>
    <t>Moove Sympany AG</t>
  </si>
  <si>
    <t>SUPRA</t>
  </si>
  <si>
    <t>CM de la Fonction Publique</t>
  </si>
  <si>
    <t>PROVITA Gesundheitsversicherung AG</t>
  </si>
  <si>
    <t>Sumiswalder Krankenkasse</t>
  </si>
  <si>
    <t>Caisse-maladie EOS</t>
  </si>
  <si>
    <t>Krankenkasse Steffisburg</t>
  </si>
  <si>
    <t>carena schweiz</t>
  </si>
  <si>
    <t>CMBB</t>
  </si>
  <si>
    <t xml:space="preserve">CONCORDIA </t>
  </si>
  <si>
    <t>AGILIA Krankenkasse AG</t>
  </si>
  <si>
    <t>ATUPRI</t>
  </si>
  <si>
    <t>Avenir Assurances</t>
  </si>
  <si>
    <t>Krankenkasse Luzerner Hinterland</t>
  </si>
  <si>
    <t>KPT Krankenkasse AG</t>
  </si>
  <si>
    <t>Xundheit</t>
  </si>
  <si>
    <t>Caisse-maladie Hermes</t>
  </si>
  <si>
    <t>ÖKK</t>
  </si>
  <si>
    <t>Panorama Kranken- und Unfallversicherung</t>
  </si>
  <si>
    <t>Vivao Sympany AG</t>
  </si>
  <si>
    <t>KK St. Moritz</t>
  </si>
  <si>
    <t>Krankenversicherung Flaachtal AG</t>
  </si>
  <si>
    <t>La Caisse Vaudoise</t>
  </si>
  <si>
    <t>KOLPING</t>
  </si>
  <si>
    <t>KK Easy Sana</t>
  </si>
  <si>
    <t>Krankenkasse Elm</t>
  </si>
  <si>
    <t>innova Wallis AG</t>
  </si>
  <si>
    <t>Cassa da malsauns Lumneziana</t>
  </si>
  <si>
    <t>KLuG Krankenversicherung</t>
  </si>
  <si>
    <t>sanavals Gesundheitskasse</t>
  </si>
  <si>
    <t>KRANKENKASSE SLKK</t>
  </si>
  <si>
    <t>sodalis gesundheitsgruppe</t>
  </si>
  <si>
    <t>vita surselva</t>
  </si>
  <si>
    <t>Progrès Versicherungen AG</t>
  </si>
  <si>
    <t>Krankenkasse Zeneggen</t>
  </si>
  <si>
    <t>KKV</t>
  </si>
  <si>
    <t>Wincare Versicherungen AG</t>
  </si>
  <si>
    <t>Avantis Assureur maladie</t>
  </si>
  <si>
    <t>CM de la Vallée d'Entremont</t>
  </si>
  <si>
    <t>KK INSTITUT INGENBOHL</t>
  </si>
  <si>
    <t>Krankenkasse Turbenthal</t>
  </si>
  <si>
    <t>Auxilia Kranken-Vers. AG</t>
  </si>
  <si>
    <t>CM de Troistorrents</t>
  </si>
  <si>
    <t>KK Wädenswil</t>
  </si>
  <si>
    <t>Krankenkasse Birchmeier</t>
  </si>
  <si>
    <t>kmu-Krankenversicherung</t>
  </si>
  <si>
    <t>Krankenkasse Stoffel Mels KKS</t>
  </si>
  <si>
    <t>SWICA Krankenversicherung AG</t>
  </si>
  <si>
    <t>GALENOS</t>
  </si>
  <si>
    <t>Vivao Sympany Schweiz AG</t>
  </si>
  <si>
    <t>rhenusana</t>
  </si>
  <si>
    <t>publiSana</t>
  </si>
  <si>
    <t>Fondation Natura Assurances.ch</t>
  </si>
  <si>
    <t>Mutuel Assurances</t>
  </si>
  <si>
    <t>AMB</t>
  </si>
  <si>
    <t>Sanitas Grundversicherungen AG</t>
  </si>
  <si>
    <t>Hotela Caisse maladie</t>
  </si>
  <si>
    <t>Intras Kranken-Vers. AG</t>
  </si>
  <si>
    <t>Philos Caisse-maladie et accident</t>
  </si>
  <si>
    <t>ASSURA</t>
  </si>
  <si>
    <t>Caisse-maladie Universa</t>
  </si>
  <si>
    <t>aerosana Versicherungen AG</t>
  </si>
  <si>
    <t>Visana</t>
  </si>
  <si>
    <t>Agrisano</t>
  </si>
  <si>
    <t>Helsana Versicherungen AG</t>
  </si>
  <si>
    <t>innova Krankenversicherung AG</t>
  </si>
  <si>
    <t>avanex Versicherungen AG</t>
  </si>
  <si>
    <t>Sansan Versicherungen AG</t>
  </si>
  <si>
    <t>sana24</t>
  </si>
  <si>
    <t>Arcosana AG</t>
  </si>
  <si>
    <t>vivacare</t>
  </si>
  <si>
    <t>SanaTop Versicherungen AG</t>
  </si>
  <si>
    <t>maxi.ch</t>
  </si>
  <si>
    <t>Compact Grundversicherungen AG</t>
  </si>
  <si>
    <t xml:space="preserve">Total : </t>
  </si>
  <si>
    <t/>
  </si>
  <si>
    <t>CONCORDIA Schweiz. Kranken- und Unfallversicherung</t>
  </si>
  <si>
    <t>Personnel Communal de la Ville de Neuchâtel</t>
  </si>
  <si>
    <t>*</t>
  </si>
  <si>
    <t>Taggeldkasse bildende Künstler/Innen</t>
  </si>
  <si>
    <t>Gewerbliche Krankenkasse</t>
  </si>
  <si>
    <t>KSM Versicherung</t>
  </si>
  <si>
    <t>Krankengeldversicherung für Mitarbeiter der fenaco</t>
  </si>
  <si>
    <t>27.9.11: 1.08-&gt;1.13,2.01,2.14,2.20,5.01-&gt;5.05,6.01-&gt;6.06</t>
  </si>
  <si>
    <t>30.9.11: 4.07</t>
  </si>
  <si>
    <t>4: Prämienverbilligung in der OKP</t>
  </si>
  <si>
    <t>Anzahl Bezüger, subventionierte Haushalte sowie ausgerichtete Subventionen ab 2000</t>
  </si>
  <si>
    <t>Anzahl Bezüger nach Kantonen</t>
  </si>
  <si>
    <t>Anzahl Bezüger nach Geschlecht und Altersgruppen</t>
  </si>
  <si>
    <t xml:space="preserve">Anzahl subventionierte Haushalte nach Haushaltstyp und Kantonen </t>
  </si>
  <si>
    <t>Anzahl subventionierte Haushalte nach ausbezahltem Jahresbetrag und Kantonen</t>
  </si>
  <si>
    <t>Ausbezahlter Betrag nach Kantonen in Mio. Franken</t>
  </si>
  <si>
    <t xml:space="preserve">KVG-Verteilmodell: Berechnungsbasis sowie Bundes- und Kantonsbeiträge </t>
  </si>
  <si>
    <t>KVG-Verteilmodell: Bundesbeiträge 2010 - 2012</t>
  </si>
  <si>
    <t xml:space="preserve">T 4.07 KVG-Verteilmodell: Berechnungsbasis sowie Bundes- und Kantonsbeiträge </t>
  </si>
  <si>
    <t>Mittlere</t>
  </si>
  <si>
    <t>Grenz-</t>
  </si>
  <si>
    <t>Wohnbe-</t>
  </si>
  <si>
    <t>Bundes-</t>
  </si>
  <si>
    <t>Kantons-</t>
  </si>
  <si>
    <t>* davon Anteil</t>
  </si>
  <si>
    <t>völkerung</t>
  </si>
  <si>
    <t>beiträge</t>
  </si>
  <si>
    <t>Beiträge *</t>
  </si>
  <si>
    <t>der Kantone</t>
  </si>
  <si>
    <t>und Grenz-</t>
  </si>
  <si>
    <t>gänger</t>
  </si>
  <si>
    <t>KVG-Verteilmodell 2010</t>
  </si>
  <si>
    <r>
      <t xml:space="preserve">T 2.02  Kostenbeteiligung </t>
    </r>
    <r>
      <rPr>
        <b/>
        <vertAlign val="superscript"/>
        <sz val="12"/>
        <rFont val="Arial"/>
        <family val="2"/>
      </rPr>
      <t>1</t>
    </r>
    <r>
      <rPr>
        <b/>
        <sz val="12"/>
        <rFont val="Arial"/>
        <family val="2"/>
      </rPr>
      <t xml:space="preserve"> je versicherte Person in Franken nach Versicherungsform ab 2000</t>
    </r>
  </si>
  <si>
    <r>
      <rPr>
        <sz val="11"/>
        <rFont val="Arial"/>
        <family val="2"/>
      </rPr>
      <t xml:space="preserve">Jahr </t>
    </r>
    <r>
      <rPr>
        <vertAlign val="superscript"/>
        <sz val="11"/>
        <rFont val="Arial"/>
        <family val="2"/>
      </rPr>
      <t>2</t>
    </r>
  </si>
  <si>
    <t>schränk-</t>
  </si>
  <si>
    <t>te Wahl</t>
  </si>
  <si>
    <t>Quelle: 2009 -&gt; : T 2.23   /   -&gt; 2008 : T 2.01 / T 11.01 und T 11.05</t>
  </si>
  <si>
    <r>
      <t xml:space="preserve">Zusätzliche Angaben: nach Altersgruppe </t>
    </r>
    <r>
      <rPr>
        <b/>
        <vertAlign val="superscript"/>
        <sz val="12"/>
        <rFont val="Arial"/>
        <family val="2"/>
      </rPr>
      <t>3</t>
    </r>
  </si>
  <si>
    <t xml:space="preserve">Erwachsene </t>
  </si>
  <si>
    <t>(26 Jahre und mehr)</t>
  </si>
  <si>
    <t xml:space="preserve">Quelle: 2008 -&gt; : T 2.13 (vollständige Daten)   /  1997-&gt;2007: DATENPOOL santésuisse [Auswertung BAG] </t>
  </si>
  <si>
    <t>1) Berücksichtigt nur die beim Versicherer eingereichten Rechnungen.</t>
  </si>
  <si>
    <t>2) 1996-&gt;2008: Schätzung des mittleren Versichertenbestandes (ausgenommen Spalte "Alle Versicherte") aufgrund der Aufteilung der Versicherten per 31.12 in T 11.05</t>
  </si>
  <si>
    <t>3) Zusätzliche Angaben nach Altersgruppe pro Kanton: T 2.13 und www.bag.admin.ch/pyramiden</t>
  </si>
  <si>
    <r>
      <t xml:space="preserve">T 2.15  Bruttoleistungen </t>
    </r>
    <r>
      <rPr>
        <b/>
        <vertAlign val="superscript"/>
        <sz val="12"/>
        <rFont val="Arial"/>
        <family val="2"/>
      </rPr>
      <t>1</t>
    </r>
    <r>
      <rPr>
        <b/>
        <sz val="12"/>
        <rFont val="Arial"/>
        <family val="2"/>
      </rPr>
      <t xml:space="preserve"> in Franken je versicherte Person nach Versicherungsform ab 2000</t>
    </r>
  </si>
  <si>
    <t>Quelle: 2009 -&gt; : T 2.24  /   -&gt; 2008 : T 2.23</t>
  </si>
  <si>
    <t xml:space="preserve">Quelle: 2009 -&gt; : T 2.05 (vollständige Daten)  /  2008 : T 2.02 + T 2.21 / 1997-&gt;2007: DATENPOOL santésuisse [Auswertung BAG] </t>
  </si>
  <si>
    <t>3) Zusätzliche Angaben nach Altersgruppe pro Kanton: T 2.05 und www.bag.admin.ch/pyramiden</t>
  </si>
  <si>
    <r>
      <t xml:space="preserve">T 2.16  Bruttoleistungen </t>
    </r>
    <r>
      <rPr>
        <b/>
        <vertAlign val="superscript"/>
        <sz val="12"/>
        <rFont val="Arial"/>
        <family val="2"/>
      </rPr>
      <t>3</t>
    </r>
    <r>
      <rPr>
        <b/>
        <sz val="12"/>
        <rFont val="Arial"/>
        <family val="2"/>
      </rPr>
      <t xml:space="preserve"> in Mio. Franken nach Kostengruppe ab 2000</t>
    </r>
  </si>
  <si>
    <t>Ambulante</t>
  </si>
  <si>
    <r>
      <t xml:space="preserve">Behandlung </t>
    </r>
    <r>
      <rPr>
        <b/>
        <vertAlign val="superscript"/>
        <sz val="11"/>
        <rFont val="Arial"/>
        <family val="2"/>
      </rPr>
      <t>1</t>
    </r>
  </si>
  <si>
    <t>davon</t>
  </si>
  <si>
    <t>Arzt</t>
  </si>
  <si>
    <t>Spital</t>
  </si>
  <si>
    <t>Medikamente</t>
  </si>
  <si>
    <t>Mittel und</t>
  </si>
  <si>
    <t>Betriebsbeiträge</t>
  </si>
  <si>
    <t>Komplementär-</t>
  </si>
  <si>
    <t>(ambulant)</t>
  </si>
  <si>
    <t>(Arzt)</t>
  </si>
  <si>
    <t>(Apotheke)</t>
  </si>
  <si>
    <t>Gegenstände</t>
  </si>
  <si>
    <t>an HMO's</t>
  </si>
  <si>
    <t>medizin</t>
  </si>
  <si>
    <t>Jahresdurch-schnittliche Veränderung 2000-2010</t>
  </si>
  <si>
    <t>«Intra-muros»</t>
  </si>
  <si>
    <t xml:space="preserve">Spital </t>
  </si>
  <si>
    <t>Pflegeheim</t>
  </si>
  <si>
    <t>(stationär)</t>
  </si>
  <si>
    <t>1) Als «Intra-muros» Behandlung gelten die Kategorien "Spital stationär", "Pflegeheime" und "übrige Leistungen stationär";</t>
  </si>
  <si>
    <t xml:space="preserve"> als ambulante Kosten gelten alle übrigen Kategorien.</t>
  </si>
  <si>
    <t>2) Werte 1997 teilweise geschätzt, Werte 1999 mit Datenstand Oktober 2001 revidiert.</t>
  </si>
  <si>
    <r>
      <t xml:space="preserve">3) Bruttoleistungen = Leistungen der Versicherer in der OKP </t>
    </r>
    <r>
      <rPr>
        <b/>
        <sz val="10"/>
        <rFont val="Arial"/>
        <family val="2"/>
      </rPr>
      <t>mit</t>
    </r>
    <r>
      <rPr>
        <sz val="10"/>
        <rFont val="Arial"/>
        <family val="2"/>
      </rPr>
      <t xml:space="preserve"> Kostenbeteiligung durch die Versicherten.</t>
    </r>
  </si>
  <si>
    <t>Quelle : T 2.17</t>
  </si>
  <si>
    <r>
      <t xml:space="preserve">T 2.18  Bruttoleistungen </t>
    </r>
    <r>
      <rPr>
        <b/>
        <vertAlign val="superscript"/>
        <sz val="12"/>
        <rFont val="Arial"/>
        <family val="2"/>
      </rPr>
      <t>3</t>
    </r>
    <r>
      <rPr>
        <b/>
        <sz val="12"/>
        <rFont val="Arial"/>
        <family val="2"/>
      </rPr>
      <t xml:space="preserve"> in Franken je versicherte Person nach Kostengruppe ab 2000 </t>
    </r>
    <r>
      <rPr>
        <b/>
        <vertAlign val="superscript"/>
        <sz val="12"/>
        <rFont val="Arial"/>
        <family val="2"/>
      </rPr>
      <t>1 2</t>
    </r>
  </si>
  <si>
    <t>Behandlung</t>
  </si>
  <si>
    <t>1) Vgl. Fussnoten 1) und 2) von Tabelle 2.16.</t>
  </si>
  <si>
    <t>Quelle: T 2.16 / 11.01</t>
  </si>
  <si>
    <r>
      <t xml:space="preserve">T 2.21 Nettoleistungen </t>
    </r>
    <r>
      <rPr>
        <b/>
        <vertAlign val="superscript"/>
        <sz val="12"/>
        <rFont val="Arial"/>
        <family val="2"/>
      </rPr>
      <t>1</t>
    </r>
    <r>
      <rPr>
        <b/>
        <sz val="12"/>
        <rFont val="Arial"/>
        <family val="2"/>
      </rPr>
      <t xml:space="preserve">  in Franken je versicherte Person nach Versicherungsform ab 2000</t>
    </r>
  </si>
  <si>
    <t>Quelle: 2009 -&gt; : T 2.08   /  1996 -&gt; 2008 : T 2.20 / T 11.01 und T 11.05</t>
  </si>
  <si>
    <t>Quelle: 2008 -&gt; : T 2.12 (vollständige Daten)  /  1997-&gt;2007: DATENPOOL santésuisse [Auswertung BAG]</t>
  </si>
  <si>
    <t>3) Zusätzliche Angaben nach Altersgruppe pro Kanton: T 2.12 und www.bag.admin.ch/pyramiden</t>
  </si>
  <si>
    <t>T 3.12  Prämiensoll in Franken je versicherte Person nach Versicherungsform ab 2000</t>
  </si>
  <si>
    <t>Quelle: 2009 -&gt; : T 3.11   (-&gt; 2008: T 3.10 / T 11.01 und T 11.05)</t>
  </si>
  <si>
    <r>
      <t xml:space="preserve">Zusätzliche Angaben: nach Altersgruppe </t>
    </r>
    <r>
      <rPr>
        <b/>
        <vertAlign val="superscript"/>
        <sz val="12"/>
        <rFont val="Arial"/>
        <family val="2"/>
      </rPr>
      <t>2</t>
    </r>
    <r>
      <rPr>
        <b/>
        <sz val="12"/>
        <rFont val="Arial"/>
        <family val="2"/>
      </rPr>
      <t xml:space="preserve"> </t>
    </r>
  </si>
  <si>
    <t xml:space="preserve">Quelle: 2009 -&gt; : T 3.13  (vollständige Daten)  / 1997-&gt;2008: DATENPOOL santésuisse [Auswertung BAG] </t>
  </si>
  <si>
    <t>1) 1996-&gt;2008: Schätzung des mittleren Versichertenbestandes (ausgenommen Spalte "Alle Versicherte") aufgrund der Aufteilung der Versicherten per 31.12 in T 11.05</t>
  </si>
  <si>
    <t>2) Zusätzliche Angaben nach Altersgruppe pro Kanton: T 3.13 und www.bag.admin.ch/pyramiden</t>
  </si>
  <si>
    <t>T 3.09  Prämiensoll in Mio. Franken nach Versicherungsform ab 2000</t>
  </si>
  <si>
    <t>1) Vgl. Fussnote 3) von Tabelle 11.02.</t>
  </si>
  <si>
    <t>Quelle: T 3.10</t>
  </si>
  <si>
    <r>
      <t xml:space="preserve">T 3.04 Kantonale monatliche Durchschnittsprämien </t>
    </r>
    <r>
      <rPr>
        <b/>
        <vertAlign val="superscript"/>
        <sz val="12"/>
        <rFont val="Arial"/>
        <family val="2"/>
      </rPr>
      <t>1</t>
    </r>
    <r>
      <rPr>
        <b/>
        <sz val="12"/>
        <rFont val="Arial"/>
        <family val="2"/>
      </rPr>
      <t xml:space="preserve"> pro Prämienregion </t>
    </r>
    <r>
      <rPr>
        <b/>
        <vertAlign val="superscript"/>
        <sz val="12"/>
        <rFont val="Arial"/>
        <family val="2"/>
      </rPr>
      <t>2</t>
    </r>
  </si>
  <si>
    <t>R1</t>
  </si>
  <si>
    <t>R2</t>
  </si>
  <si>
    <t>R3</t>
  </si>
  <si>
    <t>RU</t>
  </si>
  <si>
    <t>Jahresdurch-</t>
  </si>
  <si>
    <r>
      <t xml:space="preserve">Kinder </t>
    </r>
    <r>
      <rPr>
        <b/>
        <vertAlign val="superscript"/>
        <sz val="11"/>
        <rFont val="Arial"/>
        <family val="2"/>
      </rPr>
      <t>3</t>
    </r>
  </si>
  <si>
    <t>schnittliche</t>
  </si>
  <si>
    <t>Quelle: Genehmigungsverfahren für Krankenversicherungsprämien, BAG.</t>
  </si>
  <si>
    <t>1) Vgl. Fussnote 1) von Tabelle 3.01.</t>
  </si>
  <si>
    <t>2) Die Krankenkassen dürfen innerhalb eines Kantons bis zu drei unterschiedliche Regionaltarife anwenden (R1, R2, R3).</t>
  </si>
  <si>
    <t>Einige Kantone haben nur eine Region: die Krankenkassen wenden eine Einheitsprämie an (RU).</t>
  </si>
  <si>
    <t>3) Prämien publiziert im OKP Prämienwegweiser 2012 vom BAG.</t>
  </si>
  <si>
    <r>
      <t xml:space="preserve">T 3.03  Kantonale monatliche Durchschnittsprämien </t>
    </r>
    <r>
      <rPr>
        <b/>
        <vertAlign val="superscript"/>
        <sz val="12"/>
        <rFont val="Arial"/>
        <family val="2"/>
      </rPr>
      <t>1</t>
    </r>
    <r>
      <rPr>
        <b/>
        <sz val="12"/>
        <rFont val="Arial"/>
        <family val="2"/>
      </rPr>
      <t xml:space="preserve"> pro Prämienregion </t>
    </r>
    <r>
      <rPr>
        <b/>
        <vertAlign val="superscript"/>
        <sz val="12"/>
        <rFont val="Arial"/>
        <family val="2"/>
      </rPr>
      <t>2</t>
    </r>
  </si>
  <si>
    <t xml:space="preserve">Alle </t>
  </si>
  <si>
    <t>junge</t>
  </si>
  <si>
    <r>
      <t xml:space="preserve">Erwachsene </t>
    </r>
    <r>
      <rPr>
        <b/>
        <vertAlign val="superscript"/>
        <sz val="11"/>
        <rFont val="Arial"/>
        <family val="2"/>
      </rPr>
      <t>3</t>
    </r>
  </si>
  <si>
    <r>
      <t xml:space="preserve">T 3.02  Kantonale monatliche Durchschnittsprämien </t>
    </r>
    <r>
      <rPr>
        <b/>
        <vertAlign val="superscript"/>
        <sz val="12"/>
        <rFont val="Arial"/>
        <family val="2"/>
      </rPr>
      <t>1</t>
    </r>
    <r>
      <rPr>
        <b/>
        <sz val="12"/>
        <rFont val="Arial"/>
        <family val="2"/>
      </rPr>
      <t xml:space="preserve">  pro Prämienregion </t>
    </r>
    <r>
      <rPr>
        <b/>
        <vertAlign val="superscript"/>
        <sz val="12"/>
        <rFont val="Arial"/>
        <family val="2"/>
      </rPr>
      <t>2</t>
    </r>
  </si>
  <si>
    <r>
      <t xml:space="preserve">T 3.01 Monatliche Durchschnittsprämien </t>
    </r>
    <r>
      <rPr>
        <b/>
        <vertAlign val="superscript"/>
        <sz val="12"/>
        <rFont val="Arial"/>
        <family val="2"/>
      </rPr>
      <t>1</t>
    </r>
    <r>
      <rPr>
        <b/>
        <sz val="12"/>
        <rFont val="Arial"/>
        <family val="2"/>
      </rPr>
      <t xml:space="preserve">  OKP in Franken ab 1996: CH</t>
    </r>
  </si>
  <si>
    <r>
      <t xml:space="preserve">(26 J. und älter) </t>
    </r>
    <r>
      <rPr>
        <vertAlign val="superscript"/>
        <sz val="11"/>
        <rFont val="Arial"/>
        <family val="2"/>
      </rPr>
      <t>2</t>
    </r>
  </si>
  <si>
    <r>
      <t xml:space="preserve">(0-18 Jahre) </t>
    </r>
    <r>
      <rPr>
        <vertAlign val="superscript"/>
        <sz val="11"/>
        <rFont val="Arial"/>
        <family val="2"/>
      </rPr>
      <t>4</t>
    </r>
  </si>
  <si>
    <r>
      <t xml:space="preserve">(19-25 Jahre) </t>
    </r>
    <r>
      <rPr>
        <vertAlign val="superscript"/>
        <sz val="11"/>
        <rFont val="Arial"/>
        <family val="2"/>
      </rPr>
      <t>3</t>
    </r>
  </si>
  <si>
    <t>Quelle: T 3.02, 3.03, 3.04</t>
  </si>
  <si>
    <t>1) Prämien publiziert in den OKP Prämienwegweisern 1996-&gt;2012 vom BAG.</t>
  </si>
  <si>
    <r>
      <t xml:space="preserve">Ausgewiesen wird die </t>
    </r>
    <r>
      <rPr>
        <b/>
        <sz val="10"/>
        <rFont val="Arial"/>
        <family val="2"/>
      </rPr>
      <t>geschätzte</t>
    </r>
    <r>
      <rPr>
        <sz val="10"/>
        <rFont val="Arial"/>
        <family val="2"/>
      </rPr>
      <t xml:space="preserve"> monatliche Durchschnittsprämie </t>
    </r>
    <r>
      <rPr>
        <b/>
        <sz val="10"/>
        <rFont val="Arial"/>
        <family val="2"/>
      </rPr>
      <t>OKP</t>
    </r>
    <r>
      <rPr>
        <sz val="10"/>
        <rFont val="Arial"/>
        <family val="2"/>
      </rPr>
      <t xml:space="preserve"> in Franken; die Berechnungen beruhen auf den Prämientarifen</t>
    </r>
  </si>
  <si>
    <r>
      <rPr>
        <b/>
        <sz val="10"/>
        <rFont val="Arial"/>
        <family val="2"/>
      </rPr>
      <t>inklusive Unfalldeckung der ordentlichen Franchise</t>
    </r>
    <r>
      <rPr>
        <sz val="10"/>
        <rFont val="Arial"/>
        <family val="2"/>
      </rPr>
      <t xml:space="preserve"> und auf den Versichertenbeständen nach Kantonen, nach Versicherer </t>
    </r>
  </si>
  <si>
    <t xml:space="preserve">und nach Prämienregionen, gegebenenfalls mit provisorisch genehmigten Prämien. </t>
  </si>
  <si>
    <t>Die Tarife der Versicherungsmodelle mit wählbarer Franchise, Bonus oder eingeschränkter Wahl des Leistungserbringers</t>
  </si>
  <si>
    <t xml:space="preserve">wurden hier nicht berücksichtigt. </t>
  </si>
  <si>
    <t>2) Die Werte für 1996 wurden revidiert. Diese Werte beziehen sich auf das KVG-Einführungsjahr und sind infolge teilweise</t>
  </si>
  <si>
    <t>unvollständiger Daten mit Zurückhaltung zu interpretieren.</t>
  </si>
  <si>
    <t>3) Die Werte für 1996 wurden revidiert. Sie wurden mittels der Veränderungen 1996/97 der Durchschnittsprämien der Erwachsenen geschätzt.</t>
  </si>
  <si>
    <t>Bis zum Jahr 2000 gab es nur reduzierte Prämien für junge Erwachsene, welche noch in Ausbildung waren. Mit dem Weglassen</t>
  </si>
  <si>
    <t>der Bedingung "in Ausbildung" in 2001 kamen deutlich mehr Personen, welche vorher eine Erwachsenenprämie bezahlen mussten,</t>
  </si>
  <si>
    <t>in den Genuss einer reduzierten Prämie. Als Folge hiervon musste die reduzierte Prämie relativ stark auf 2001 hin erhöht werden.</t>
  </si>
  <si>
    <t>4) Die Werte für 1996 wurden revidiert. Sie wurden mittels der Veränderungen 1996/97 der Durchschnittsprämien der Erwachsenen geschätzt.</t>
  </si>
  <si>
    <t xml:space="preserve">Prämienverbilligung OKP: effektiv ausgerichtete Beiträge nach Kantonen </t>
  </si>
  <si>
    <t>für Kinder (0 - 18 Jahre) in Franken für 2012</t>
  </si>
  <si>
    <t>Datenstand: 28.9.11</t>
  </si>
  <si>
    <t>für junge Erwachsene (19 - 25 Jahre) in Franken für 2012</t>
  </si>
  <si>
    <t>für Erwachsene (26 Jahre und mehr) in Franken für 2012</t>
  </si>
  <si>
    <t>1996 - 2012</t>
  </si>
  <si>
    <t>12.10.11: 2.02,2.15,2.16,2.18,2.21,3.01-&gt;3.04,3.09,3.12,J</t>
  </si>
  <si>
    <t>Schätzungen aus dem Prämiengenehmigungsverfahren: Hauptwerte [in Mio. Fr. ausser Versicherte in Tausend]</t>
  </si>
  <si>
    <t>Veränder. 2009-10 in %</t>
  </si>
  <si>
    <t>Schätzung</t>
  </si>
  <si>
    <t>Abweichung S</t>
  </si>
  <si>
    <t>Prognose</t>
  </si>
  <si>
    <t>Nettoleistungen</t>
  </si>
  <si>
    <t>Verwaltungskosten</t>
  </si>
  <si>
    <t>Bemerkungen:</t>
  </si>
  <si>
    <t>- 1-8: in der STAT KV publizierte Werte [T 1.01 und 1.02] aus den Formularen EF123</t>
  </si>
  <si>
    <r>
      <t xml:space="preserve">- Schätzung: geschätzte Werte aus dem Prämiengenehmigungsverfahren des BAG *, Schätzung für </t>
    </r>
    <r>
      <rPr>
        <u/>
        <sz val="8"/>
        <rFont val="Arial"/>
        <family val="2"/>
      </rPr>
      <t>das laufende Jahr</t>
    </r>
  </si>
  <si>
    <t xml:space="preserve">  Beispiel: Schätzung von 2010 für 2010 / Schätzung von 2011 für 2011</t>
  </si>
  <si>
    <r>
      <t xml:space="preserve">- Prognose: geschätzte Werte aus dem Prämiengenehmigungsverfahren des BAG *, Prognose </t>
    </r>
    <r>
      <rPr>
        <u/>
        <sz val="8"/>
        <rFont val="Arial"/>
        <family val="2"/>
      </rPr>
      <t xml:space="preserve">für das Folgejahr </t>
    </r>
  </si>
  <si>
    <t xml:space="preserve">  Beispiel: Prognose von 2010 für 2011 / Prognose von 2011 für 2012</t>
  </si>
  <si>
    <t xml:space="preserve">Im Allgemeinen ist die Schätzung genauer als die (eher grobe) Prognose. </t>
  </si>
  <si>
    <t>Es ist lediglich die Abweichung zwischen der Schätzung und dem in der STAT KV publizierten Wert (Abweichung S in %) aufgeführt.</t>
  </si>
  <si>
    <r>
      <t xml:space="preserve">- Zur Genauigkeit der geschätzten Werte </t>
    </r>
    <r>
      <rPr>
        <b/>
        <sz val="8"/>
        <rFont val="Arial"/>
        <family val="2"/>
      </rPr>
      <t>pro versicherte Person</t>
    </r>
    <r>
      <rPr>
        <sz val="8"/>
        <rFont val="Arial"/>
        <family val="2"/>
      </rPr>
      <t>: Sie berechnen sich, indem der absolute Wert der Abweichung zwischen</t>
    </r>
  </si>
  <si>
    <t xml:space="preserve">   der Bevölkerung und der geschätzten Bevölkerung in % zum bzw. vom ebenfalls absoluten, für jede Kategorie aufgeführten Wert nach </t>
  </si>
  <si>
    <t xml:space="preserve">   Das Zeichen der Genauigkeit pro versicherte Person richtet sich nach folgendem Schema:</t>
  </si>
  <si>
    <t>Abweichung geschätzte Bevölkerung - Bevölkerung in %</t>
  </si>
  <si>
    <t>+</t>
  </si>
  <si>
    <t xml:space="preserve">Abweichung geschätzter Wert [2-8] - Wert [2-8] in %   </t>
  </si>
  <si>
    <t>Zeichen der Genauigkeit pro versicherte Person: + oder - %</t>
  </si>
  <si>
    <t xml:space="preserve">   Beispiel: Reserven pro versicherte Person im Jahr 2004 mit der Schätzung: -0.2% + 0.52% = Abweichung pro versicherte Person von + 0.72%</t>
  </si>
  <si>
    <t>– Durchschnittsprämien pro Versicherten in Fr. : 2010 [T 1.01] 2834 Fr. / 2011 [Schätzung J1] 3009 Fr. (+ 6.15%)</t>
  </si>
  <si>
    <t>* Datenstand: 2011 (Schätzung) und 2012 (Prognose): 7.10.11</t>
  </si>
  <si>
    <t>2) Werte neu berechnet anhand der mittleren Versichertenbestände von 1996 bis 2005.</t>
  </si>
  <si>
    <t>Altersklassen</t>
  </si>
  <si>
    <t>5-Jahresklassen; 0-5, 6-10, 11-15, 16-18; 19-20, 21-25; 26-30, 31-35 etc.</t>
  </si>
  <si>
    <t>4.11.11: 2.21</t>
  </si>
  <si>
    <t>T 9.20  Erkrankte, Spitaleinweisungen und Spitaltage</t>
  </si>
  <si>
    <t>Merkmal</t>
  </si>
  <si>
    <r>
      <t xml:space="preserve">Kinder </t>
    </r>
    <r>
      <rPr>
        <vertAlign val="superscript"/>
        <sz val="11"/>
        <rFont val="Arial"/>
        <family val="2"/>
      </rPr>
      <t>5</t>
    </r>
  </si>
  <si>
    <r>
      <t xml:space="preserve">Versicherte </t>
    </r>
    <r>
      <rPr>
        <vertAlign val="superscript"/>
        <sz val="11"/>
        <rFont val="Arial"/>
        <family val="2"/>
      </rPr>
      <t>1</t>
    </r>
  </si>
  <si>
    <r>
      <t xml:space="preserve">Erkrankte </t>
    </r>
    <r>
      <rPr>
        <vertAlign val="superscript"/>
        <sz val="11"/>
        <rFont val="Arial"/>
        <family val="2"/>
      </rPr>
      <t>2</t>
    </r>
  </si>
  <si>
    <r>
      <t xml:space="preserve">Erkrankte je 100 Versicherte </t>
    </r>
    <r>
      <rPr>
        <vertAlign val="superscript"/>
        <sz val="11"/>
        <rFont val="Arial"/>
        <family val="2"/>
      </rPr>
      <t>2</t>
    </r>
  </si>
  <si>
    <r>
      <t xml:space="preserve">Einweisungen </t>
    </r>
    <r>
      <rPr>
        <vertAlign val="superscript"/>
        <sz val="11"/>
        <rFont val="Arial"/>
        <family val="2"/>
      </rPr>
      <t>3</t>
    </r>
  </si>
  <si>
    <t xml:space="preserve">  davon Mutterschaft</t>
  </si>
  <si>
    <t>Einweisungen je 100 Versicherte</t>
  </si>
  <si>
    <r>
      <t xml:space="preserve">Spitaltage </t>
    </r>
    <r>
      <rPr>
        <vertAlign val="superscript"/>
        <sz val="11"/>
        <rFont val="Arial"/>
        <family val="2"/>
      </rPr>
      <t>4</t>
    </r>
  </si>
  <si>
    <t>Spitaltage je 100 Versicherte</t>
  </si>
  <si>
    <t>Spitaltage je Einweisung</t>
  </si>
  <si>
    <t>1) Durchschnittlicher Versichertenbestand.</t>
  </si>
  <si>
    <t>2) Anzahl versicherte Personen, welche im Berichtsjahr mindestens einmal ambulante oder stationäre Kosten verursacht haben</t>
  </si>
  <si>
    <t xml:space="preserve">   (die Anzahl Erkrankte ist somit kleiner oder gleich wie die Anzahl Versicherte).</t>
  </si>
  <si>
    <t>3) Anzahl Einweisungen ins Spital stationär; dazu zählen Einweisungen in Spitäler zur kurzfristigen</t>
  </si>
  <si>
    <t xml:space="preserve">    und zur langfristigen Behandlung körperlich Kranker sowie Einweisungen in psychiatrische Klini-</t>
  </si>
  <si>
    <t xml:space="preserve">    ken; nicht dazu zählen hingegen Einweisungen in Pflegeheime. Sobald zwischen zwei Spital-</t>
  </si>
  <si>
    <t xml:space="preserve">    aufenthalten eine Lücke besteht, zählen diese als zwei Einweisungen.</t>
  </si>
  <si>
    <t>4) Anzahl Spitaltage im Spital stationär; dazu zählen die Spitaltage in Spitälern zur kurzfristigen</t>
  </si>
  <si>
    <t xml:space="preserve">    und zur langfristigen Behandlung körperlich Kranker sowie die Spitaltage in psychiatrischen Kliniken;</t>
  </si>
  <si>
    <t xml:space="preserve">    nicht dazu zählen hingegen die Tage in Pflegeheimen.</t>
  </si>
  <si>
    <t>5) Personen, die das 18. Altersjahr noch nicht vollendet haben (vgl. Art. 61 Abs. 3 KVG); bei der</t>
  </si>
  <si>
    <t xml:space="preserve">    "Mutterschaft" von "Kindern" ist die Mutterschaft von noch nicht 18-jährigen Frauen gemeint.</t>
  </si>
  <si>
    <t>Quelle: Formular EF 1.12, 3.7.1 und 3.7.2</t>
  </si>
  <si>
    <t>9: Zusatzinformationen zum Gesundheitswesen</t>
  </si>
  <si>
    <t>Finanzierung des Gesundheitswesens in der Schweiz aus der Sicht der sozialen Sicherheit ab 1999</t>
  </si>
  <si>
    <t>Finanzierung des Gesundheitswesens in der Schweiz nach Direktzahler ab 1999</t>
  </si>
  <si>
    <t>Kosten des Gesundheitswesens in der Schweiz nach Leistungserbringer ab 1999</t>
  </si>
  <si>
    <t>Kosten des Gesundheitswesens in der Schweiz nach Leistungen ab 1999</t>
  </si>
  <si>
    <t>Finanzierung des Gesundheitswesens in der Schweiz aus der Sicht der Volkswirtschaft und Kosten pro Einwohner ab 1999</t>
  </si>
  <si>
    <t>Kosten des Gesundheitswesens in der Schweiz aus der Sicht der Krankenversicherungsprämien ab 1999</t>
  </si>
  <si>
    <t>Kosten des Gesundheitswesens in der Schweiz aus der Sicht der Krankenversicherungsleistungen ab 1999</t>
  </si>
  <si>
    <t>Details des Finanzierungssaldos ab 1999</t>
  </si>
  <si>
    <t>Wohnbevölkerung, Ärzte mit Praxistätigkeit und Apotheken nach Kantonen</t>
  </si>
  <si>
    <t>Entwicklung der Wohnbevölkerung, der Ärzte mit Praxistätigkeit und der Apotheken ab 2000</t>
  </si>
  <si>
    <t>Aufteilung der Versicherten nach Art der Spitalzusatzversicherungen ab 2000</t>
  </si>
  <si>
    <t>Entwicklung der Preisindizes für Gesundheitspflege ab 2000</t>
  </si>
  <si>
    <t>Index der Krankenversicherungsprämien nach Versicherungsart ab 2000</t>
  </si>
  <si>
    <t>Index der Krankenpflegekosten, der Krankenversicherungsausgaben der Versicherten sowie der Löhne ab 1996</t>
  </si>
  <si>
    <t>Erkrankte, Spitaleinweisungen und Spitaltage in der OKP ab 2000</t>
  </si>
  <si>
    <t>Taggeldversicherung KVG / VVG ab 2000</t>
  </si>
  <si>
    <t>Krankenversicherung (KVG-Versicherer und Privatversicherer) ab 2000</t>
  </si>
  <si>
    <t>Erkrankte, Spitaleinweisungen und Spitaltage in der OKP</t>
  </si>
  <si>
    <r>
      <t xml:space="preserve">T 11.01 Durchschnittlicher Versichertenbestand </t>
    </r>
    <r>
      <rPr>
        <b/>
        <vertAlign val="superscript"/>
        <sz val="12"/>
        <rFont val="Arial"/>
        <family val="2"/>
      </rPr>
      <t xml:space="preserve">1  </t>
    </r>
    <r>
      <rPr>
        <b/>
        <sz val="12"/>
        <rFont val="Arial"/>
        <family val="2"/>
      </rPr>
      <t>ab 2000</t>
    </r>
  </si>
  <si>
    <t>1) Durchschnittlicher Versichertenbestand: Stand aller Monate zusammengezählt und geteilt durch 12.</t>
  </si>
  <si>
    <t>Quelle: Formular EF 1.12 A</t>
  </si>
  <si>
    <t>T 11.02  Versichertenbestand per 31.12 ab 2000</t>
  </si>
  <si>
    <r>
      <t xml:space="preserve">Kinder </t>
    </r>
    <r>
      <rPr>
        <vertAlign val="superscript"/>
        <sz val="11"/>
        <rFont val="Arial"/>
        <family val="2"/>
      </rPr>
      <t>1</t>
    </r>
  </si>
  <si>
    <t>1) Personen, die das 18. Altersjahr noch nicht vollendet haben.</t>
  </si>
  <si>
    <t>2) Bis 2001: einschliesslich Versicherte mit Wohnsitz oder Aufenthalt im Ausland gemäss Art. 3, 4 und 5 KVV;</t>
  </si>
  <si>
    <t xml:space="preserve">    ab 2002: einschliesslich Personen mit Wohnsitz oder Aufenthalt im Ausland gemäss Art. 4 und 5 KVV (vgl. Fussnote 1 von Tabelle 11.03).</t>
  </si>
  <si>
    <t>Quelle: T 11.03</t>
  </si>
  <si>
    <t>T 11.03  Versichertenbestand nach Wohnkanton per 31.12.</t>
  </si>
  <si>
    <t xml:space="preserve">Veränderung </t>
  </si>
  <si>
    <t xml:space="preserve">gegenüber </t>
  </si>
  <si>
    <t>Schweiz</t>
  </si>
  <si>
    <t>unbekannt</t>
  </si>
  <si>
    <t xml:space="preserve">1) Personen mit Wohnort im Ausland gemäss Artikel 4 KVV (Entsandte Arbeitnehmer und Arbeitnehmerinnen) und 5 KVV </t>
  </si>
  <si>
    <t xml:space="preserve">   (Personen im öffentlichen Dienst mit Aufenthalt im Ausland) mit Ausnahme derjenigen Personen, die in einem EU </t>
  </si>
  <si>
    <t xml:space="preserve">   oder EFTA Staat wohnen und gestützt auf das Freizügigkeitsabkommen oder das EFTA-Abkommen der schweizerischen </t>
  </si>
  <si>
    <t xml:space="preserve">  Versicherung unterstellt sind (Art. 1 Abs. 2 Bst. d und e KVV).</t>
  </si>
  <si>
    <t>Quelle: Formular EF 3.2</t>
  </si>
  <si>
    <r>
      <t>Standardmodell</t>
    </r>
    <r>
      <rPr>
        <b/>
        <vertAlign val="superscript"/>
        <sz val="11"/>
        <rFont val="Arial"/>
        <family val="2"/>
      </rPr>
      <t xml:space="preserve"> 1</t>
    </r>
  </si>
  <si>
    <t>Bonus Versicherung</t>
  </si>
  <si>
    <t>Andere Versicherungsformen (HMO, Hausarztmodell,…)</t>
  </si>
  <si>
    <t>Ordentliche Franchise 
(300 Fr.)</t>
  </si>
  <si>
    <t>Wählbare Franchise I 
(500 Fr.)</t>
  </si>
  <si>
    <t>Wählbare Franchise II (1000 Fr.)</t>
  </si>
  <si>
    <t>Wählbare Franchise III (1500 Fr.)</t>
  </si>
  <si>
    <t>Wählbare Franchise IV (2000 Fr.)</t>
  </si>
  <si>
    <t>Wählbare Franchise V (2500 Fr.)</t>
  </si>
  <si>
    <r>
      <t>Wählbare Franchisen</t>
    </r>
    <r>
      <rPr>
        <b/>
        <sz val="11"/>
        <rFont val="Arial"/>
        <family val="2"/>
      </rPr>
      <t xml:space="preserve"> </t>
    </r>
    <r>
      <rPr>
        <b/>
        <sz val="10"/>
        <rFont val="Arial"/>
        <family val="2"/>
      </rPr>
      <t xml:space="preserve">I -&gt; VI </t>
    </r>
  </si>
  <si>
    <t>Versicherte mit ordentlicher Franchise</t>
  </si>
  <si>
    <t>Versicherte mit wählbarer Franchise</t>
  </si>
  <si>
    <t>* davon Versicherte mit HMO-Modell</t>
  </si>
  <si>
    <t>* davon Versicherte mit Hausarzt-modell</t>
  </si>
  <si>
    <t>Quelle: Formular EF 3.24 (vollständige Daten)   (-&gt;2008: DATENPOOL santésuisse [Auswertung BAG])</t>
  </si>
  <si>
    <t xml:space="preserve">    zugewiesen werden, falls sie eine Kombination dieser Form mit ordentlicher/wählbarer Franchise aufweisen.</t>
  </si>
  <si>
    <t xml:space="preserve">2) Personen mit Wohnsitz oder Aufenthalt im Ausland gemäss Art. 4 und 5 KVV, aber ohne Versicherte, die dem </t>
  </si>
  <si>
    <t>Wählbare 
Franchise VI (-)</t>
  </si>
  <si>
    <t>T 11.08 Verteilung der Versicherungsformen in % nach Kanton: Erwachsene ab 19 Jahren</t>
  </si>
  <si>
    <t>T 11.09 Verteilung der Versicherungsformen in % nach Kanton: Kinder 0 - 18 Jahre</t>
  </si>
  <si>
    <t>Ordentliche Franchise 
(0 Fr.)</t>
  </si>
  <si>
    <t>Wählbare Franchise I 
(100 Fr.)</t>
  </si>
  <si>
    <t>Wählbare Franchise II (200 Fr.)</t>
  </si>
  <si>
    <t>Wählbare Franchise III (300 Fr.)</t>
  </si>
  <si>
    <t>Wählbare Franchise IV (400 Fr.)</t>
  </si>
  <si>
    <t>Wählbare Franchise V (500 Fr.)</t>
  </si>
  <si>
    <t>Wählbare Franchise VI (600 Fr.)</t>
  </si>
  <si>
    <t>Quelle: Formular EF 3.23</t>
  </si>
  <si>
    <t>1) Die Zuteilung der Versicherten nach Versicherungsform erfolgt derart, dass die Versicherten der Kategorie „andere Versicherungsformen“ (HMO, Hausarztmodell…)</t>
  </si>
  <si>
    <t>T 11.17  Anzahl Versicherte OKP nach Grösse der Versicherer ab 2000</t>
  </si>
  <si>
    <t>(in %)</t>
  </si>
  <si>
    <t>(Durchschnittlicher</t>
  </si>
  <si>
    <t>Versichertenbestand)</t>
  </si>
  <si>
    <t xml:space="preserve">   folgendem Schema addiert oder subtrahiert wird:</t>
  </si>
  <si>
    <t>4.11.11: 9.20, 11.01-&gt;11.03, 11.08, 11.09, 11.17</t>
  </si>
  <si>
    <t>(Zeilen 1996-&gt;1999 versteckt)</t>
  </si>
  <si>
    <r>
      <t xml:space="preserve">T 4.01 Anzahl Bezüger, Bezügerquoten, subventionierte Haushalte sowie ausgerichtete Subventionen nach KVG ab 2000 </t>
    </r>
    <r>
      <rPr>
        <b/>
        <vertAlign val="superscript"/>
        <sz val="12"/>
        <rFont val="Arial"/>
        <family val="2"/>
      </rPr>
      <t>1</t>
    </r>
  </si>
  <si>
    <t>Ausbezahlte</t>
  </si>
  <si>
    <t>Anzahl</t>
  </si>
  <si>
    <t>Bezüger-</t>
  </si>
  <si>
    <t>Subvention</t>
  </si>
  <si>
    <t>Anzahl sub-</t>
  </si>
  <si>
    <t>Subventionen</t>
  </si>
  <si>
    <t>davon Anteil</t>
  </si>
  <si>
    <t>Bezüger</t>
  </si>
  <si>
    <r>
      <t xml:space="preserve">quote </t>
    </r>
    <r>
      <rPr>
        <vertAlign val="superscript"/>
        <sz val="11"/>
        <rFont val="Arial"/>
        <family val="2"/>
      </rPr>
      <t>2</t>
    </r>
  </si>
  <si>
    <t>pro Bezüger</t>
  </si>
  <si>
    <t>ventionierte</t>
  </si>
  <si>
    <t>pro Haushalt</t>
  </si>
  <si>
    <r>
      <t xml:space="preserve">nach KVG </t>
    </r>
    <r>
      <rPr>
        <vertAlign val="superscript"/>
        <sz val="11"/>
        <rFont val="Arial"/>
        <family val="2"/>
      </rPr>
      <t>1</t>
    </r>
  </si>
  <si>
    <t>in Franken</t>
  </si>
  <si>
    <t>Haushalte</t>
  </si>
  <si>
    <t>in Mio. Franken</t>
  </si>
  <si>
    <t>Datenstand: 31.10.11</t>
  </si>
  <si>
    <t>Quelle:  T 4.02, 4.04, 4.07 und 4.08</t>
  </si>
  <si>
    <t>1) Effektiv im Berichtsjahr an die Haushalte/Bezüger ausbezahlte Prämienverbilligungen nach KVG.</t>
  </si>
  <si>
    <r>
      <t xml:space="preserve">    </t>
    </r>
    <r>
      <rPr>
        <sz val="10"/>
        <rFont val="Arial"/>
        <family val="2"/>
      </rPr>
      <t>Die Werte für 2004 wurden revidiert.</t>
    </r>
  </si>
  <si>
    <t xml:space="preserve">2) Anzahl Bezüger in Prozent des durchschnittlichen Versichertenbestandes (2000-&gt;2008: revidierte Zahlen). </t>
  </si>
  <si>
    <r>
      <t>3) Angaben 2010 unvollständig in einigen Kantonen und damit auch für CH</t>
    </r>
    <r>
      <rPr>
        <i/>
        <sz val="10"/>
        <rFont val="Arial"/>
        <family val="2"/>
      </rPr>
      <t>. (kursiv)</t>
    </r>
  </si>
  <si>
    <t>2) Total der Bezüger in Prozent des durchschnittlichen Versichertenbestandes.</t>
  </si>
  <si>
    <t>1) Anzahl Personen, an welche im Berichtsjahr Subventionen nach KVG ausgerichtet wurden.</t>
  </si>
  <si>
    <t>Quelle: Erhebung der Prämienverbilligung in der Krankenversicherung, BAG: Formular PV 2.1 und T 11.14</t>
  </si>
  <si>
    <r>
      <t xml:space="preserve">CH </t>
    </r>
    <r>
      <rPr>
        <b/>
        <vertAlign val="superscript"/>
        <sz val="11"/>
        <rFont val="Arial"/>
        <family val="2"/>
      </rPr>
      <t>3</t>
    </r>
  </si>
  <si>
    <t>verbilligt werden</t>
  </si>
  <si>
    <t>vollumfänglich</t>
  </si>
  <si>
    <t>OKP-Prämien</t>
  </si>
  <si>
    <t>bezüger</t>
  </si>
  <si>
    <t>Ergänzungs-</t>
  </si>
  <si>
    <t>Bezüger, deren</t>
  </si>
  <si>
    <t>Sozialhilfe-</t>
  </si>
  <si>
    <t>Bezüger von</t>
  </si>
  <si>
    <r>
      <t>quote</t>
    </r>
    <r>
      <rPr>
        <vertAlign val="superscript"/>
        <sz val="10"/>
        <rFont val="Arial"/>
        <family val="2"/>
      </rPr>
      <t xml:space="preserve"> </t>
    </r>
    <r>
      <rPr>
        <vertAlign val="superscript"/>
        <sz val="11"/>
        <rFont val="Arial"/>
        <family val="2"/>
      </rPr>
      <t>2</t>
    </r>
  </si>
  <si>
    <t xml:space="preserve">davon </t>
  </si>
  <si>
    <r>
      <t xml:space="preserve">Bezüger </t>
    </r>
    <r>
      <rPr>
        <vertAlign val="superscript"/>
        <sz val="11"/>
        <rFont val="Arial"/>
        <family val="2"/>
      </rPr>
      <t>1</t>
    </r>
  </si>
  <si>
    <t>T 4.02 Anzahl Bezüger nach Kanton</t>
  </si>
  <si>
    <t>T 4.03 Anzahl Bezüger nach Geschlecht und Altersklasse</t>
  </si>
  <si>
    <r>
      <t>Bezügerquoten</t>
    </r>
    <r>
      <rPr>
        <vertAlign val="superscript"/>
        <sz val="11"/>
        <rFont val="Arial"/>
        <family val="2"/>
      </rPr>
      <t>1</t>
    </r>
    <r>
      <rPr>
        <sz val="11"/>
        <rFont val="Arial"/>
        <family val="2"/>
      </rPr>
      <t xml:space="preserve"> </t>
    </r>
  </si>
  <si>
    <t>Im Jahr</t>
  </si>
  <si>
    <t>pro Altersklasse</t>
  </si>
  <si>
    <t>ausbezahlter</t>
  </si>
  <si>
    <r>
      <t>in Mio. Franken</t>
    </r>
    <r>
      <rPr>
        <vertAlign val="superscript"/>
        <sz val="11"/>
        <rFont val="Arial"/>
        <family val="2"/>
      </rPr>
      <t xml:space="preserve"> 2</t>
    </r>
  </si>
  <si>
    <t xml:space="preserve">  0 – 18</t>
  </si>
  <si>
    <t>19 – 25</t>
  </si>
  <si>
    <t>91 und mehr</t>
  </si>
  <si>
    <t>Alter unbekannt</t>
  </si>
  <si>
    <t>Quelle: Erhebung der Prämienverbilligung in der Krankenversicherung, BAG: Formular PV 2.1 und T 11.15</t>
  </si>
  <si>
    <t>1) Bezügerquoten (Anzahl Bezüger in Prozent des durchschnittlichen Versichertenbestandes)  0-18 -&gt; 91 und mehr unterschätzt</t>
  </si>
  <si>
    <r>
      <t xml:space="preserve">    wegen der Kategorie "Alter unbekannt".</t>
    </r>
    <r>
      <rPr>
        <i/>
        <sz val="10"/>
        <rFont val="Arial"/>
        <family val="2"/>
      </rPr>
      <t xml:space="preserve"> (kursiv)</t>
    </r>
  </si>
  <si>
    <r>
      <t>2) Angaben 2010 unvollständig in einigen Kantonen.</t>
    </r>
    <r>
      <rPr>
        <i/>
        <sz val="10"/>
        <rFont val="Arial"/>
        <family val="2"/>
      </rPr>
      <t xml:space="preserve"> (kursiv)</t>
    </r>
  </si>
  <si>
    <r>
      <t xml:space="preserve">T 4.04 Anzahl subventionierte Haushalte </t>
    </r>
    <r>
      <rPr>
        <b/>
        <vertAlign val="superscript"/>
        <sz val="12"/>
        <rFont val="Arial"/>
        <family val="2"/>
      </rPr>
      <t>1</t>
    </r>
    <r>
      <rPr>
        <b/>
        <sz val="12"/>
        <rFont val="Arial"/>
        <family val="2"/>
      </rPr>
      <t xml:space="preserve"> nach Haushaltstyp und Kanton</t>
    </r>
  </si>
  <si>
    <t xml:space="preserve">Kanton </t>
  </si>
  <si>
    <t xml:space="preserve">  Anzahl subventionierte Haushalte mit Personen:</t>
  </si>
  <si>
    <t>1 Erwach-</t>
  </si>
  <si>
    <t>2 Erwach-</t>
  </si>
  <si>
    <t xml:space="preserve">sener </t>
  </si>
  <si>
    <t>sener und</t>
  </si>
  <si>
    <t xml:space="preserve">sener und </t>
  </si>
  <si>
    <t xml:space="preserve">sene ohne </t>
  </si>
  <si>
    <t>sene und</t>
  </si>
  <si>
    <t xml:space="preserve">sene und </t>
  </si>
  <si>
    <t>mit Anzahl</t>
  </si>
  <si>
    <t>alleine</t>
  </si>
  <si>
    <t>1 Kind</t>
  </si>
  <si>
    <t>2 Kinder</t>
  </si>
  <si>
    <t>3 od. mehr</t>
  </si>
  <si>
    <r>
      <t xml:space="preserve">CH </t>
    </r>
    <r>
      <rPr>
        <b/>
        <vertAlign val="superscript"/>
        <sz val="11"/>
        <rFont val="Arial"/>
        <family val="2"/>
      </rPr>
      <t>2</t>
    </r>
  </si>
  <si>
    <r>
      <t>Im Jahr ausbezahlter  Betrag in Mio. Franken</t>
    </r>
    <r>
      <rPr>
        <vertAlign val="superscript"/>
        <sz val="11"/>
        <rFont val="Arial"/>
        <family val="2"/>
      </rPr>
      <t xml:space="preserve"> 2 </t>
    </r>
    <r>
      <rPr>
        <sz val="11"/>
        <rFont val="Arial"/>
        <family val="2"/>
      </rPr>
      <t xml:space="preserve"> (CH)</t>
    </r>
  </si>
  <si>
    <t>Quelle: Erhebung der Prämienverbilligung in der Krankenversicherung, BAG: Formular PV 2.2</t>
  </si>
  <si>
    <t>1) Anzahl subventionierte Haushalte im Sinne der kantonalen Regelungen zur Prämienverbilligung.</t>
  </si>
  <si>
    <r>
      <t>2) Angaben 2010 unvollständig in einigen Kantonen und damit auch für CH.</t>
    </r>
    <r>
      <rPr>
        <i/>
        <sz val="10"/>
        <rFont val="Arial"/>
        <family val="2"/>
      </rPr>
      <t xml:space="preserve"> (kursiv)</t>
    </r>
  </si>
  <si>
    <r>
      <t xml:space="preserve">T 4.05 Anzahl subventionierte Haushalte </t>
    </r>
    <r>
      <rPr>
        <b/>
        <vertAlign val="superscript"/>
        <sz val="12"/>
        <rFont val="Arial"/>
        <family val="2"/>
      </rPr>
      <t>1</t>
    </r>
    <r>
      <rPr>
        <b/>
        <sz val="12"/>
        <rFont val="Arial"/>
        <family val="2"/>
      </rPr>
      <t xml:space="preserve">  nach ausbezahltem Jahresbetrag und Kanton</t>
    </r>
  </si>
  <si>
    <t>Haushalte mit ausbezahltem Jahresbetrag in Franken:</t>
  </si>
  <si>
    <t>1 - 600</t>
  </si>
  <si>
    <t>601 -</t>
  </si>
  <si>
    <t>1'201 -</t>
  </si>
  <si>
    <t>2'401 -</t>
  </si>
  <si>
    <t>3'601 -</t>
  </si>
  <si>
    <t>4'801 -</t>
  </si>
  <si>
    <t>6'001 -</t>
  </si>
  <si>
    <t>Jahresbetrag</t>
  </si>
  <si>
    <t>T 4.06 Ausbezahlter Betrag nach Kanton in Mio. Franken</t>
  </si>
  <si>
    <t>(26 Jahre</t>
  </si>
  <si>
    <t xml:space="preserve">Alter </t>
  </si>
  <si>
    <t>und älter)</t>
  </si>
  <si>
    <r>
      <t xml:space="preserve">CH </t>
    </r>
    <r>
      <rPr>
        <b/>
        <vertAlign val="superscript"/>
        <sz val="11"/>
        <rFont val="Arial"/>
        <family val="2"/>
      </rPr>
      <t>1</t>
    </r>
  </si>
  <si>
    <t>Quelle: Erhebung der Prämienverbilligung in der Krankenversicherung, BAG: Formular PV 2.1</t>
  </si>
  <si>
    <r>
      <t xml:space="preserve">1) Angaben 2010 unvollständig in einigen Kantonen und damit auch für CH. </t>
    </r>
    <r>
      <rPr>
        <i/>
        <sz val="10"/>
        <rFont val="Arial"/>
        <family val="2"/>
      </rPr>
      <t>(kursiv)</t>
    </r>
  </si>
  <si>
    <r>
      <t>gänger</t>
    </r>
    <r>
      <rPr>
        <sz val="10"/>
        <rFont val="Arial"/>
        <family val="2"/>
      </rPr>
      <t xml:space="preserve"> </t>
    </r>
    <r>
      <rPr>
        <vertAlign val="superscript"/>
        <sz val="10"/>
        <rFont val="Arial"/>
        <family val="2"/>
      </rPr>
      <t>1</t>
    </r>
  </si>
  <si>
    <r>
      <t xml:space="preserve">völkerung </t>
    </r>
    <r>
      <rPr>
        <vertAlign val="superscript"/>
        <sz val="10"/>
        <rFont val="Arial"/>
        <family val="2"/>
      </rPr>
      <t>1</t>
    </r>
  </si>
  <si>
    <r>
      <t>in Franken</t>
    </r>
    <r>
      <rPr>
        <b/>
        <sz val="10"/>
        <rFont val="Arial"/>
        <family val="2"/>
      </rPr>
      <t xml:space="preserve"> </t>
    </r>
    <r>
      <rPr>
        <b/>
        <vertAlign val="superscript"/>
        <sz val="10"/>
        <rFont val="Arial"/>
        <family val="2"/>
      </rPr>
      <t>2</t>
    </r>
  </si>
  <si>
    <t>Quelle: Bundesbeiträge: KVG-Verteilmodell für das Jahr 2010</t>
  </si>
  <si>
    <r>
      <t xml:space="preserve">       </t>
    </r>
    <r>
      <rPr>
        <sz val="12"/>
        <rFont val="Arial"/>
        <family val="2"/>
      </rPr>
      <t xml:space="preserve">    </t>
    </r>
    <r>
      <rPr>
        <sz val="10"/>
        <rFont val="Arial"/>
        <family val="2"/>
      </rPr>
      <t>Kantonsbeiträge: Erhebung der Prämienverbilligung in der Krankenversicherung, BAG: Formular PV 1</t>
    </r>
  </si>
  <si>
    <t xml:space="preserve">1) Mittlere Wohnbevölkerung 2008: Durchschnittliche Wohnbevölkerung in einem bestimmten Gebiet nach wirtschaftlichem Wohnsitz; </t>
  </si>
  <si>
    <t xml:space="preserve">    Quelle: BFS Sektion Bevölkerungsentwicklung und versicherte Grenzgänger 2008 und deren Familienangehörige; Quelle: EF S 3, 2008.</t>
  </si>
  <si>
    <t>2) Ab 1.1.2008 wird die Prämienverbilligung nach der Neugestaltung des Finanzausgleichs und der Aufgabenteilung</t>
  </si>
  <si>
    <r>
      <t xml:space="preserve">   </t>
    </r>
    <r>
      <rPr>
        <sz val="8"/>
        <rFont val="Arial"/>
        <family val="2"/>
      </rPr>
      <t xml:space="preserve">  </t>
    </r>
    <r>
      <rPr>
        <sz val="10"/>
        <rFont val="Arial"/>
        <family val="2"/>
      </rPr>
      <t>zwischen Bund und Kantonen (NFA) berechnet. Vgl. Erläuterungen im Anhang H.</t>
    </r>
  </si>
  <si>
    <t>T 4.08 Prämienverbilligung OKP: effektiv ausgerichtete Beiträge nach Kanton</t>
  </si>
  <si>
    <t>Beiträge</t>
  </si>
  <si>
    <t>nach KVG</t>
  </si>
  <si>
    <t>* in %</t>
  </si>
  <si>
    <t>für 2010</t>
  </si>
  <si>
    <t>für 2009</t>
  </si>
  <si>
    <r>
      <t xml:space="preserve">nach KVG </t>
    </r>
    <r>
      <rPr>
        <b/>
        <vertAlign val="superscript"/>
        <sz val="10"/>
        <rFont val="Arial"/>
        <family val="2"/>
      </rPr>
      <t>1</t>
    </r>
  </si>
  <si>
    <t>der Durch-</t>
  </si>
  <si>
    <t>und früher</t>
  </si>
  <si>
    <t>in Franken *</t>
  </si>
  <si>
    <t>schnittsprämie</t>
  </si>
  <si>
    <t>Quelle: Erhebung der Prämienverbilligung in der Krankenversicherung, BAG: Formular PV1, 2 und T 3.08</t>
  </si>
  <si>
    <t>1) Effektiv im Berichtsjahr an die Haushalte/Bezüger ausbezahlte Prämienverbilligungen nach KVG. Bund und Kantone.</t>
  </si>
  <si>
    <t xml:space="preserve">    Ab 1.1.2008 wird die Prämienverbilligung nach der Neugestaltung des Finanzausgleichs und der Aufgabenteilung</t>
  </si>
  <si>
    <t xml:space="preserve">    zwischen Bund und Kantonen (NFA) berechnet. Vgl. Erläuterungen im Anhang H.</t>
  </si>
  <si>
    <t>T 4.09 KVG-Verteilmodell: Bundesbeiträge 2010 - 2012</t>
  </si>
  <si>
    <r>
      <t xml:space="preserve">Bundesbeiträge in Franken </t>
    </r>
    <r>
      <rPr>
        <b/>
        <vertAlign val="superscript"/>
        <sz val="11"/>
        <rFont val="Arial"/>
        <family val="2"/>
      </rPr>
      <t>1</t>
    </r>
  </si>
  <si>
    <t>Berechnungsbasis 2012</t>
  </si>
  <si>
    <t>Mittlere Wohn-</t>
  </si>
  <si>
    <r>
      <t xml:space="preserve">gänger </t>
    </r>
    <r>
      <rPr>
        <vertAlign val="superscript"/>
        <sz val="10"/>
        <rFont val="Arial"/>
        <family val="2"/>
      </rPr>
      <t>2</t>
    </r>
  </si>
  <si>
    <t>bevölkerung und</t>
  </si>
  <si>
    <r>
      <t xml:space="preserve">völkerung </t>
    </r>
    <r>
      <rPr>
        <vertAlign val="superscript"/>
        <sz val="11"/>
        <rFont val="Arial"/>
        <family val="2"/>
      </rPr>
      <t>2</t>
    </r>
  </si>
  <si>
    <t>Grenzgänger</t>
  </si>
  <si>
    <t>Datenstand: 31.10.2011</t>
  </si>
  <si>
    <t>Quelle: KVG-Verteilmodelle für Bundesbeiträge für 2010/2011/2012.</t>
  </si>
  <si>
    <t>1) Ab 1.1.2008 wird die Prämienverbilligung nach der Neugestaltung des Finanzausgleichs und der Aufgabenteilung</t>
  </si>
  <si>
    <t>2) Mittlere Wohnbevölkerung 2009: Durchschnittliche Wohnbevölkerung in einem bestimmten Gebiet nach wirtschaftlichem Wohnsitz.</t>
  </si>
  <si>
    <t xml:space="preserve">    Aufgrund Verzögerung "Volkszählung" liegen keine neuen Bevölkerungszahlen vor;</t>
  </si>
  <si>
    <t xml:space="preserve">    Quelle: BFS Sektion Bevölkerungsentwicklung und versicherte Grenzgänger 2010 und deren Familienangehörige; Quelle: EF S 3, 2010.</t>
  </si>
  <si>
    <t>11.11.11: 4.01 -&gt; 4.06, 4.08, 4.09</t>
  </si>
  <si>
    <r>
      <t>T 3.07  Verteilung der kantonalen monatlichen Prämien</t>
    </r>
    <r>
      <rPr>
        <b/>
        <vertAlign val="superscript"/>
        <sz val="12"/>
        <rFont val="Arial"/>
        <family val="2"/>
      </rPr>
      <t xml:space="preserve"> 1</t>
    </r>
  </si>
  <si>
    <t>der Versicherten sind unterhalb dieser Prämie</t>
  </si>
  <si>
    <t>der Versicherten sind unterhalb und oberhalb dieser Prämie (Median)</t>
  </si>
  <si>
    <t>der Versicherten sind oberhalb dieser Prämie</t>
  </si>
  <si>
    <r>
      <t xml:space="preserve">T 3.06  Verteilung der kantonalen monatlichen Prämien </t>
    </r>
    <r>
      <rPr>
        <b/>
        <vertAlign val="superscript"/>
        <sz val="12"/>
        <rFont val="Arial"/>
        <family val="2"/>
      </rPr>
      <t>1</t>
    </r>
  </si>
  <si>
    <r>
      <t xml:space="preserve">T 3.05  Verteilung der kantonalen monatlichen Prämien </t>
    </r>
    <r>
      <rPr>
        <b/>
        <vertAlign val="superscript"/>
        <sz val="12"/>
        <rFont val="Arial"/>
        <family val="2"/>
      </rPr>
      <t>1</t>
    </r>
  </si>
  <si>
    <t xml:space="preserve">Die Tabelle stellt eine hypothetische Verteilung der für das Jahr 2012 genehmigten Prämien für das Grundmodell </t>
  </si>
  <si>
    <t>(ordentliche Franchise inkl. Unfalldeckung) dar, basierend auf den Beständen des Jahres 2010.</t>
  </si>
  <si>
    <t>Es handelt sich folglich um Schätzungen auf der Basis der aktuellsten verfügbaren Versichertenbestände.</t>
  </si>
  <si>
    <t xml:space="preserve">In den Kantonen mit mehreren Prämienregionen ist die Streuung der Prämien breiter </t>
  </si>
  <si>
    <t>als in den Kantonen mit nur einer Prämienregion.</t>
  </si>
  <si>
    <t>10: Risikoausgleich in der OKP</t>
  </si>
  <si>
    <t>Risikoausgleich: Nettozahler und Nettoempfänger ab 1996</t>
  </si>
  <si>
    <t>Risikoausgleich: Bruttoumverteilung und Nettoumverteilung ab 1996</t>
  </si>
  <si>
    <t>Risikoausgleich pro Versicherten und Versicherungsmonat nach Altersklasse und Geschlecht</t>
  </si>
  <si>
    <t>10.04</t>
  </si>
  <si>
    <t>Durchschnittlicher Versichertenbestand nach Kanton (gemäss Definition des Risikoausgleichs)</t>
  </si>
  <si>
    <t>10.05</t>
  </si>
  <si>
    <t>Effektive Kosten nach Kanton (gemäss Definition des Risikoausgleichs)</t>
  </si>
  <si>
    <t>T 10.01  Risikoausgleich: Nettozahler und Nettoempfänger ab 1996</t>
  </si>
  <si>
    <t>Ausgleichs-</t>
  </si>
  <si>
    <t>jahr</t>
  </si>
  <si>
    <r>
      <t xml:space="preserve">zahler </t>
    </r>
    <r>
      <rPr>
        <vertAlign val="superscript"/>
        <sz val="11"/>
        <rFont val="Arial"/>
        <family val="2"/>
      </rPr>
      <t>1</t>
    </r>
  </si>
  <si>
    <r>
      <t xml:space="preserve">empfänger </t>
    </r>
    <r>
      <rPr>
        <vertAlign val="superscript"/>
        <sz val="11"/>
        <rFont val="Arial"/>
        <family val="2"/>
      </rPr>
      <t>1</t>
    </r>
  </si>
  <si>
    <t>Quelle: Statistik des Risikoausgleichs - Gemeinsame Einrichtung KVG</t>
  </si>
  <si>
    <t>1) Anzahl OKP Versicherer, die für das Ausgleichsjahr eine Abgabe an den Risikoausgleich leisten mussten (Nettozahler),</t>
  </si>
  <si>
    <t xml:space="preserve">    resp. einen Beitrag aus dem Risikoausgleich erhielten (Nettoempfänger).</t>
  </si>
  <si>
    <t>T 10.02  Risikoausgleich: Bruttoumverteilung und Nettoumverteilung in Mio. Fr. ab 1996</t>
  </si>
  <si>
    <r>
      <t xml:space="preserve">Bruttoumverteilung </t>
    </r>
    <r>
      <rPr>
        <vertAlign val="superscript"/>
        <sz val="11"/>
        <rFont val="Arial"/>
        <family val="2"/>
      </rPr>
      <t>1</t>
    </r>
  </si>
  <si>
    <r>
      <t xml:space="preserve">Nettoumverteilung </t>
    </r>
    <r>
      <rPr>
        <vertAlign val="superscript"/>
        <sz val="11"/>
        <rFont val="Arial"/>
        <family val="2"/>
      </rPr>
      <t>2</t>
    </r>
  </si>
  <si>
    <t>nach Ge-</t>
  </si>
  <si>
    <t>nach</t>
  </si>
  <si>
    <t>zwischen</t>
  </si>
  <si>
    <t>schlecht</t>
  </si>
  <si>
    <t>Versicherern</t>
  </si>
  <si>
    <t xml:space="preserve">Vorjahr </t>
  </si>
  <si>
    <t>1) Theoretisch-statistische Grösse: Gesamtschweizerische Umverteilung von Männern zu Frauen resp. von jüngeren</t>
  </si>
  <si>
    <t>Versicherten (19 – 55-jährige Personen) zu älteren Versicherten (56-jährige und ältere Personen).</t>
  </si>
  <si>
    <t>2) Effektiv erfolgte Umverteilung zwischen den Versicherern (von Nettozahlern zu Nettoempfängern; vgl. Tabelle 10.01).</t>
  </si>
  <si>
    <r>
      <t xml:space="preserve">T 10.03  Risikoausgleich </t>
    </r>
    <r>
      <rPr>
        <b/>
        <vertAlign val="superscript"/>
        <sz val="12"/>
        <rFont val="Arial"/>
        <family val="2"/>
      </rPr>
      <t>1</t>
    </r>
    <r>
      <rPr>
        <b/>
        <sz val="12"/>
        <rFont val="Arial"/>
        <family val="2"/>
      </rPr>
      <t xml:space="preserve">  in Fr. pro Versicherten und Versicherungsmonat nach Altersklasse und Geschlecht</t>
    </r>
  </si>
  <si>
    <t>Veränderung in</t>
  </si>
  <si>
    <t>Fr. gegenüber</t>
  </si>
  <si>
    <t>0 - 18</t>
  </si>
  <si>
    <t>19 - 25</t>
  </si>
  <si>
    <t>26 - 30</t>
  </si>
  <si>
    <t>31 - 35</t>
  </si>
  <si>
    <t>36 - 40</t>
  </si>
  <si>
    <t>41 - 45</t>
  </si>
  <si>
    <t>46 - 50</t>
  </si>
  <si>
    <t>51 - 55</t>
  </si>
  <si>
    <t>56 - 60</t>
  </si>
  <si>
    <t>61 - 65</t>
  </si>
  <si>
    <t>66 - 70</t>
  </si>
  <si>
    <t>71 - 75</t>
  </si>
  <si>
    <t>76 - 80</t>
  </si>
  <si>
    <t>81 - 85</t>
  </si>
  <si>
    <t>86 - 90</t>
  </si>
  <si>
    <t>&gt; 90</t>
  </si>
  <si>
    <t xml:space="preserve">1) Bei der Berechnung der Abgaben und Beiträge werden die effektiven Durchschnittskosten jeder Risikogruppe mit den </t>
  </si>
  <si>
    <t>effektiven Durchschnittskosten aller erwachsenen Versicherten im Alter von 19 und mehr Jahren (Referenzgruppe) verglichen.</t>
  </si>
  <si>
    <t xml:space="preserve">Sind die effektiven Durchschnittskosten der jeweiligen Risikogruppe höher als die Durchschnittskosten der Referenzgruppe, </t>
  </si>
  <si>
    <t>so erhält der Versicherer für jeden Versicherten in dieser Risikogruppe einen Beitrag (+). Umgekehrt hat er eine Abgabe (-) zu leisten.</t>
  </si>
  <si>
    <t>Kinder (0-18 Jahre) werden für die Berechnung des Risikoausgleichs nicht miteinbezogen.</t>
  </si>
  <si>
    <t>Die Berechnung des Risikoausgleiches erfolgt nach Kantonen; hier sind die schweizerischen Durchschnittswerte wiedergegeben.</t>
  </si>
  <si>
    <r>
      <t xml:space="preserve">T 10.04  Durchschnittlicher Versichertenbestand </t>
    </r>
    <r>
      <rPr>
        <b/>
        <vertAlign val="superscript"/>
        <sz val="12"/>
        <rFont val="Arial"/>
        <family val="2"/>
      </rPr>
      <t>1</t>
    </r>
    <r>
      <rPr>
        <b/>
        <sz val="12"/>
        <rFont val="Arial"/>
        <family val="2"/>
      </rPr>
      <t xml:space="preserve">  nach Kanton (gemäss Definition des Risikoausgleichs </t>
    </r>
    <r>
      <rPr>
        <b/>
        <vertAlign val="superscript"/>
        <sz val="12"/>
        <rFont val="Arial"/>
        <family val="2"/>
      </rPr>
      <t>2</t>
    </r>
    <r>
      <rPr>
        <b/>
        <sz val="12"/>
        <rFont val="Arial"/>
        <family val="2"/>
      </rPr>
      <t xml:space="preserve">) </t>
    </r>
  </si>
  <si>
    <t>Kinder und</t>
  </si>
  <si>
    <t>1) Durchschnittlicher Versichertenbestand = Anzahl Versicherungsmonate dividiert durch 12.</t>
  </si>
  <si>
    <t xml:space="preserve">2) Für den Risikoausgleich gelten im Vergleich zu den EF123-Formularen zum Teil unterschiedliche Regelungen in Bezug auf die </t>
  </si>
  <si>
    <t xml:space="preserve">Berücksichtigung einzelner Versichertengruppen. Aufgrund unterschiedlicher Definitionen kommt es zu Differenzen beim Versichertenbestand </t>
  </si>
  <si>
    <t>und bei den Kosten gegenüber den Angaben im Formular EF 123 der Versicherer (siehe Definition Versicherte in Tabelle 11.02, Fussnote 2).</t>
  </si>
  <si>
    <t xml:space="preserve">Mit dem In-Kraft-Treten des Personenfreizügigkeitsabkommens mit den EG-Staaten bzw. dem revidierten </t>
  </si>
  <si>
    <t xml:space="preserve">EFTA-Abkommen per 1. Juni 2002 wurde die Versicherungspflicht auf einzelne Personengruppen ausgedehnt, </t>
  </si>
  <si>
    <t>welche Wohnsitz in einem EG-Staat bzw. in Island oder Norwegen haben:</t>
  </si>
  <si>
    <t xml:space="preserve">Im Risikoausgleich zu berücksichtigen sind: </t>
  </si>
  <si>
    <t>- Versicherte mit Arbeitsort in der Schweiz (Grenzgänger) sowie ihre nicht erwerbstätigen Familienangehörigen.</t>
  </si>
  <si>
    <t>Im Risikoausgleich nicht zu berücksichtigen sind:</t>
  </si>
  <si>
    <t>- Empfänger einer schweizerischen Rente und ihre nicht erwerbstätigen Familienangehörigen;</t>
  </si>
  <si>
    <t>- Empfänger einer Leistung der schweizerischen Arbeitslosenversicherung und ihre nicht erwerbstätigen Familienangehörigen.</t>
  </si>
  <si>
    <t>- Nicht erwerbstätige Familienangehörige von in der Schweiz erwerbstätigen und wohnenden Personen.</t>
  </si>
  <si>
    <t>Seit 2007 werden Asylsuchende, vorläufig Aufgenommene und Schutzbedürftige ohne Aufenthaltsbewilligung, welche sich in der Schweiz</t>
  </si>
  <si>
    <t>aufhalten und Sozialhilfe beziehen, vom massgebenden Versichertenbestand des Risikoausgleichs (Art. 4 Abs. 1 VORA) ausgenommen.</t>
  </si>
  <si>
    <r>
      <t xml:space="preserve">T 10.05  Effektive Kosten </t>
    </r>
    <r>
      <rPr>
        <b/>
        <vertAlign val="superscript"/>
        <sz val="12"/>
        <rFont val="Arial"/>
        <family val="2"/>
      </rPr>
      <t xml:space="preserve">1 </t>
    </r>
    <r>
      <rPr>
        <b/>
        <sz val="12"/>
        <rFont val="Arial"/>
        <family val="2"/>
      </rPr>
      <t xml:space="preserve"> in Fr. nach Kanton (gemäss Definition des Risikoausgleichs </t>
    </r>
    <r>
      <rPr>
        <b/>
        <vertAlign val="superscript"/>
        <sz val="12"/>
        <rFont val="Arial"/>
        <family val="2"/>
      </rPr>
      <t>2</t>
    </r>
    <r>
      <rPr>
        <b/>
        <sz val="12"/>
        <rFont val="Arial"/>
        <family val="2"/>
      </rPr>
      <t xml:space="preserve">)  </t>
    </r>
  </si>
  <si>
    <t>Erwach-</t>
  </si>
  <si>
    <t>sene</t>
  </si>
  <si>
    <r>
      <t xml:space="preserve">1) Effektive Kosten = (bezahlte) Leistungen der Versicherer in der OKP </t>
    </r>
    <r>
      <rPr>
        <b/>
        <sz val="10"/>
        <rFont val="Arial"/>
        <family val="2"/>
      </rPr>
      <t>ohne</t>
    </r>
    <r>
      <rPr>
        <sz val="10"/>
        <rFont val="Arial"/>
        <family val="2"/>
      </rPr>
      <t xml:space="preserve"> Kostenbeteiligung durch die Versicherten.</t>
    </r>
  </si>
  <si>
    <t>2) Vgl. Fussnote 2) von Tabelle 10.04.</t>
  </si>
  <si>
    <t>Datenstand: 4.7.11</t>
  </si>
  <si>
    <t>Verteilung der kantonalen monatlichen Prämien für Erwachsene 2012</t>
  </si>
  <si>
    <t>Verteilung der kantonalen monatlichen Prämien für junge Erwachsene 2012</t>
  </si>
  <si>
    <t>Verteilung der kantonalen monatlichen Prämien für Kinder 2012</t>
  </si>
  <si>
    <t>Monatliche Durchschnittsprämien ab 1996: CH</t>
  </si>
  <si>
    <t>17.11.11: 3.05 -&gt; 3.07, 10.01-&gt;10.05</t>
  </si>
  <si>
    <r>
      <t xml:space="preserve">T 9.01  Finanzierung des Gesundheitswesens in der Schweiz aus der Sicht der sozialen Sicherheit </t>
    </r>
    <r>
      <rPr>
        <b/>
        <vertAlign val="superscript"/>
        <sz val="12"/>
        <rFont val="Arial"/>
        <family val="2"/>
      </rPr>
      <t>6</t>
    </r>
    <r>
      <rPr>
        <b/>
        <sz val="12"/>
        <rFont val="Arial"/>
        <family val="2"/>
      </rPr>
      <t xml:space="preserve"> in Mio. Fr. ab 1999</t>
    </r>
  </si>
  <si>
    <r>
      <t xml:space="preserve">Staat </t>
    </r>
    <r>
      <rPr>
        <vertAlign val="superscript"/>
        <sz val="11"/>
        <rFont val="Arial"/>
        <family val="2"/>
      </rPr>
      <t>1</t>
    </r>
  </si>
  <si>
    <t>Sozial-</t>
  </si>
  <si>
    <t>Andere</t>
  </si>
  <si>
    <t>Private</t>
  </si>
  <si>
    <t>Total </t>
  </si>
  <si>
    <t>versiche-</t>
  </si>
  <si>
    <t>Regimes der</t>
  </si>
  <si>
    <t>Haus-</t>
  </si>
  <si>
    <t>private</t>
  </si>
  <si>
    <r>
      <t xml:space="preserve">rungen </t>
    </r>
    <r>
      <rPr>
        <vertAlign val="superscript"/>
        <sz val="11"/>
        <rFont val="Arial"/>
        <family val="2"/>
      </rPr>
      <t>2</t>
    </r>
  </si>
  <si>
    <t>sozialen</t>
  </si>
  <si>
    <r>
      <t xml:space="preserve">halte </t>
    </r>
    <r>
      <rPr>
        <vertAlign val="superscript"/>
        <sz val="11"/>
        <rFont val="Arial"/>
        <family val="2"/>
      </rPr>
      <t>4</t>
    </r>
  </si>
  <si>
    <r>
      <t xml:space="preserve">Finanzierung </t>
    </r>
    <r>
      <rPr>
        <vertAlign val="superscript"/>
        <sz val="11"/>
        <rFont val="Arial"/>
        <family val="2"/>
      </rPr>
      <t>5</t>
    </r>
  </si>
  <si>
    <r>
      <t xml:space="preserve">Sicherheit </t>
    </r>
    <r>
      <rPr>
        <vertAlign val="superscript"/>
        <sz val="11"/>
        <rFont val="Arial"/>
        <family val="2"/>
      </rPr>
      <t>3</t>
    </r>
  </si>
  <si>
    <r>
      <t xml:space="preserve">2010 </t>
    </r>
    <r>
      <rPr>
        <i/>
        <vertAlign val="superscript"/>
        <sz val="11"/>
        <rFont val="Arial"/>
        <family val="2"/>
      </rPr>
      <t>7</t>
    </r>
  </si>
  <si>
    <t>1) Subventionen an die Leistungserbringer (Krankenhäuser, usw.); Gesundheitswesen, Verwaltung und Prävention.</t>
  </si>
  <si>
    <t>2) Unfallversicherung UVG, AHV-IV und Militärversicherung.</t>
  </si>
  <si>
    <t>3) Verbilligung KVG-Prämien; Ergänzungsleistungen AHV und IV; Sozialhilfe; Hilflosenentschädigung:</t>
  </si>
  <si>
    <t xml:space="preserve">     Regimes der Sozialen Sicherheit, die nicht als Direktzahler in dieser Statistik betrachtet werden.</t>
  </si>
  <si>
    <t>4) Aufwand der Krankenversicherung (Betrag der Zahlungen der Krankenversicherung an das Gesundheitswesen, abzüglich Beiträge</t>
  </si>
  <si>
    <t xml:space="preserve">    an die Versicherten für die Prämienverbilligung); Kostenbeteiligungen; "Out of pocket".</t>
  </si>
  <si>
    <t xml:space="preserve">5) Spenden und Vermächtnisse an Institutionen ohne Erwerbscharakter (Pflegeheim, Institution für Behinderte, Spitexorganisation usw.) </t>
  </si>
  <si>
    <r>
      <t xml:space="preserve">6) Neue BFS-Berechnungsmethode im 2008 -&gt; vom BFS revidierte Werte für 1996-&gt;2006. </t>
    </r>
    <r>
      <rPr>
        <i/>
        <sz val="10"/>
        <rFont val="Arial"/>
        <family val="2"/>
      </rPr>
      <t>Vom BFS revidierte Werte für 2008 (9/11).</t>
    </r>
  </si>
  <si>
    <t>7) Schätzung KOF Konjunkturforschungsstelle ETHZ [Medienmitteilung 11/11]</t>
  </si>
  <si>
    <t>Quelle: 1996-2009: Statistisches Lexikon BFS, Kosten des Gesundheitswesens / 2010: Prognose der Gesundheitsausgaben, KOF</t>
  </si>
  <si>
    <r>
      <t xml:space="preserve">T 9.02  Finanzierung des Gesundheitswesens in der Schweiz nach Direktzahler </t>
    </r>
    <r>
      <rPr>
        <b/>
        <vertAlign val="superscript"/>
        <sz val="12"/>
        <rFont val="Arial"/>
        <family val="2"/>
      </rPr>
      <t>6</t>
    </r>
    <r>
      <rPr>
        <b/>
        <sz val="12"/>
        <rFont val="Arial"/>
        <family val="2"/>
      </rPr>
      <t xml:space="preserve"> in Mio. Fr. ab 1999</t>
    </r>
  </si>
  <si>
    <t>Privatver-</t>
  </si>
  <si>
    <r>
      <t xml:space="preserve">VVG </t>
    </r>
    <r>
      <rPr>
        <vertAlign val="superscript"/>
        <sz val="11"/>
        <rFont val="Arial"/>
        <family val="2"/>
      </rPr>
      <t>3</t>
    </r>
  </si>
  <si>
    <t>1) Öffentliche Sicherheit, Rettungsdienste, Stationäre Betriebe, Ambulante Krankenpflege, Verwaltung, Prävention usw.</t>
  </si>
  <si>
    <t>2) Krankenversicherung KVG (Grundversicherung); Unfallversicherung UVG; AHV-IV; Militärversicherung.</t>
  </si>
  <si>
    <t>3) KVG-Versicherer und private Versicherer.</t>
  </si>
  <si>
    <t>4) Kostenbeteiligung und "Out of pocket".</t>
  </si>
  <si>
    <t xml:space="preserve">5) Spenden und Vermächtnisse an Institutionen ohne Erwerbscharakter (Pflegeheim, Institution für Behinderte, </t>
  </si>
  <si>
    <t xml:space="preserve">     Spitexorganisation usw.) </t>
  </si>
  <si>
    <r>
      <t>T 9.03  Kosten des Gesundheitswesens in der Schweiz nach Leistungserbringer</t>
    </r>
    <r>
      <rPr>
        <b/>
        <vertAlign val="superscript"/>
        <sz val="12"/>
        <rFont val="Arial"/>
        <family val="2"/>
      </rPr>
      <t xml:space="preserve"> 8</t>
    </r>
    <r>
      <rPr>
        <b/>
        <sz val="12"/>
        <rFont val="Arial"/>
        <family val="2"/>
      </rPr>
      <t xml:space="preserve"> in Mio. Fr. ab 1999</t>
    </r>
  </si>
  <si>
    <t>Kranken-</t>
  </si>
  <si>
    <t>Sozialme-</t>
  </si>
  <si>
    <t>Detail-</t>
  </si>
  <si>
    <r>
      <t xml:space="preserve">Staat </t>
    </r>
    <r>
      <rPr>
        <vertAlign val="superscript"/>
        <sz val="11"/>
        <rFont val="Arial"/>
        <family val="2"/>
      </rPr>
      <t>5</t>
    </r>
  </si>
  <si>
    <t>Organisa-</t>
  </si>
  <si>
    <r>
      <t xml:space="preserve">häuser </t>
    </r>
    <r>
      <rPr>
        <vertAlign val="superscript"/>
        <sz val="11"/>
        <rFont val="Arial"/>
        <family val="2"/>
      </rPr>
      <t>1</t>
    </r>
  </si>
  <si>
    <t>dizinische</t>
  </si>
  <si>
    <t>Versor-</t>
  </si>
  <si>
    <r>
      <t xml:space="preserve">handel </t>
    </r>
    <r>
      <rPr>
        <vertAlign val="superscript"/>
        <sz val="11"/>
        <rFont val="Arial"/>
        <family val="2"/>
      </rPr>
      <t>4</t>
    </r>
  </si>
  <si>
    <r>
      <t xml:space="preserve">cherer </t>
    </r>
    <r>
      <rPr>
        <vertAlign val="superscript"/>
        <sz val="11"/>
        <rFont val="Arial"/>
        <family val="2"/>
      </rPr>
      <t>6</t>
    </r>
  </si>
  <si>
    <t>tionen ohne</t>
  </si>
  <si>
    <t>Institu-</t>
  </si>
  <si>
    <r>
      <t xml:space="preserve">gung </t>
    </r>
    <r>
      <rPr>
        <vertAlign val="superscript"/>
        <sz val="11"/>
        <rFont val="Arial"/>
        <family val="2"/>
      </rPr>
      <t>3</t>
    </r>
  </si>
  <si>
    <t>Erwerbs-</t>
  </si>
  <si>
    <r>
      <t xml:space="preserve">tionen </t>
    </r>
    <r>
      <rPr>
        <vertAlign val="superscript"/>
        <sz val="11"/>
        <rFont val="Arial"/>
        <family val="2"/>
      </rPr>
      <t>2</t>
    </r>
  </si>
  <si>
    <t>charakter</t>
  </si>
  <si>
    <t>1) Allgemeine Krankenhäuser; Psychiatrische Kliniken; Rehabilitationskliniken; andere Spezialkliniken.</t>
  </si>
  <si>
    <t>2) Institutionen für Betagte und Chronischkranke; Institutionen für Behinderte und andere Institutionen.</t>
  </si>
  <si>
    <t>3) Ärzte, Zahnärzte, Physiotherapeuten, Psychotherapeuten, Spitexdienste, medizinische Labors usw.</t>
  </si>
  <si>
    <t>4) Apotheken, Drogerien und therapeutische Apparate.</t>
  </si>
  <si>
    <t>5) Bund, Kantone, Gemeinden.</t>
  </si>
  <si>
    <t>6) Krankenversicherer (KVG); Unfallversicherer (UVG); AHV-IV; Private Krankenversicherer (VVG).</t>
  </si>
  <si>
    <r>
      <t xml:space="preserve">8) Neue BFS-Berechnungsmethode im 2008 -&gt; vom BFS revidierte Werte für 1996-&gt;2006. </t>
    </r>
    <r>
      <rPr>
        <i/>
        <sz val="10"/>
        <rFont val="Arial"/>
        <family val="2"/>
      </rPr>
      <t>Vom BFS revidierte Werte für 2008 (9/11).</t>
    </r>
  </si>
  <si>
    <r>
      <t xml:space="preserve">T 9.04  Kosten des Gesundheitswesens in der Schweiz nach Leistungen </t>
    </r>
    <r>
      <rPr>
        <b/>
        <vertAlign val="superscript"/>
        <sz val="12"/>
        <rFont val="Arial"/>
        <family val="2"/>
      </rPr>
      <t>6</t>
    </r>
    <r>
      <rPr>
        <b/>
        <sz val="12"/>
        <rFont val="Arial"/>
        <family val="2"/>
      </rPr>
      <t xml:space="preserve"> in Mio. Fr. ab 1999</t>
    </r>
  </si>
  <si>
    <t>Stationäre und</t>
  </si>
  <si>
    <t>Verkauf</t>
  </si>
  <si>
    <r>
      <t xml:space="preserve">Prävention </t>
    </r>
    <r>
      <rPr>
        <vertAlign val="superscript"/>
        <sz val="11"/>
        <rFont val="Arial"/>
        <family val="2"/>
      </rPr>
      <t>4</t>
    </r>
  </si>
  <si>
    <t>Verwaltung</t>
  </si>
  <si>
    <t>teilstationäre</t>
  </si>
  <si>
    <t>Gesund-</t>
  </si>
  <si>
    <r>
      <t xml:space="preserve">Behandlung </t>
    </r>
    <r>
      <rPr>
        <vertAlign val="superscript"/>
        <sz val="11"/>
        <rFont val="Arial"/>
        <family val="2"/>
      </rPr>
      <t>1</t>
    </r>
  </si>
  <si>
    <r>
      <t xml:space="preserve">heitsgüter </t>
    </r>
    <r>
      <rPr>
        <vertAlign val="superscript"/>
        <sz val="11"/>
        <rFont val="Arial"/>
        <family val="2"/>
      </rPr>
      <t>3</t>
    </r>
  </si>
  <si>
    <r>
      <t xml:space="preserve">2010 </t>
    </r>
    <r>
      <rPr>
        <i/>
        <vertAlign val="superscript"/>
        <sz val="11"/>
        <rFont val="Arial"/>
        <family val="2"/>
      </rPr>
      <t>5</t>
    </r>
  </si>
  <si>
    <t>1) Akutbehandlung inkl. Psychiatrie; Rehabilitation; Langzeit; Andere.</t>
  </si>
  <si>
    <t>2) Medizinische Laboruntersuchungen (in medizinischen Labors); Radiologie; Transport und Rettung; Andere.</t>
  </si>
  <si>
    <t>3) Arzneimittel durch Detailhandel; Arzneimittel durch Ärzte; Therapeutische Apparate.</t>
  </si>
  <si>
    <t>4) Alkohol- und Drogenmissbrauch; Schulgesundheit, usw.</t>
  </si>
  <si>
    <t>5) Schätzung KOF Konjunkturforschungsstelle ETHZ [Medienmitteilung 11/11].</t>
  </si>
  <si>
    <r>
      <t>T 9.06 Kosten des Gesundheitswesens in der Schweiz aus der Sicht der Krankenversicherungs</t>
    </r>
    <r>
      <rPr>
        <b/>
        <i/>
        <sz val="12"/>
        <rFont val="Arial"/>
        <family val="2"/>
      </rPr>
      <t>prämien</t>
    </r>
    <r>
      <rPr>
        <b/>
        <vertAlign val="superscript"/>
        <sz val="12"/>
        <rFont val="Arial"/>
        <family val="2"/>
      </rPr>
      <t xml:space="preserve"> 15 </t>
    </r>
    <r>
      <rPr>
        <b/>
        <sz val="12"/>
        <rFont val="Arial"/>
        <family val="2"/>
      </rPr>
      <t>in Millionen Franken ab 1999</t>
    </r>
  </si>
  <si>
    <t>Finanzierungsträger</t>
  </si>
  <si>
    <t>Veränd.</t>
  </si>
  <si>
    <t>Durchschnittl.</t>
  </si>
  <si>
    <t>des Gesundheitswesens</t>
  </si>
  <si>
    <t>jährl.</t>
  </si>
  <si>
    <r>
      <t xml:space="preserve">2010 </t>
    </r>
    <r>
      <rPr>
        <b/>
        <i/>
        <vertAlign val="superscript"/>
        <sz val="10"/>
        <rFont val="Arial"/>
        <family val="2"/>
      </rPr>
      <t>14</t>
    </r>
  </si>
  <si>
    <r>
      <t xml:space="preserve">Staat </t>
    </r>
    <r>
      <rPr>
        <b/>
        <vertAlign val="superscript"/>
        <sz val="10"/>
        <rFont val="Arial"/>
        <family val="2"/>
      </rPr>
      <t>1</t>
    </r>
  </si>
  <si>
    <t xml:space="preserve">  Bund</t>
  </si>
  <si>
    <t xml:space="preserve">  Kantone</t>
  </si>
  <si>
    <t xml:space="preserve">  Gemeinden</t>
  </si>
  <si>
    <r>
      <t xml:space="preserve">Sozialversicherungen </t>
    </r>
    <r>
      <rPr>
        <b/>
        <vertAlign val="superscript"/>
        <sz val="10"/>
        <rFont val="Arial"/>
        <family val="2"/>
      </rPr>
      <t>2</t>
    </r>
  </si>
  <si>
    <t xml:space="preserve">  Unfallversicherung UVG</t>
  </si>
  <si>
    <r>
      <t xml:space="preserve">  AHV / IV </t>
    </r>
    <r>
      <rPr>
        <b/>
        <vertAlign val="superscript"/>
        <sz val="9"/>
        <rFont val="Arial"/>
        <family val="2"/>
      </rPr>
      <t>3</t>
    </r>
  </si>
  <si>
    <t xml:space="preserve">  Militärversicherung</t>
  </si>
  <si>
    <r>
      <t xml:space="preserve">Finanzierungssaldo für die Krankenversicherung </t>
    </r>
    <r>
      <rPr>
        <b/>
        <vertAlign val="superscript"/>
        <sz val="10"/>
        <rFont val="Arial"/>
        <family val="2"/>
      </rPr>
      <t>4</t>
    </r>
  </si>
  <si>
    <t>Übrige Systeme der sozialen Sicherheit</t>
  </si>
  <si>
    <r>
      <t xml:space="preserve">  Prämienverbilligung KVG </t>
    </r>
    <r>
      <rPr>
        <b/>
        <vertAlign val="superscript"/>
        <sz val="9"/>
        <rFont val="Arial"/>
        <family val="2"/>
      </rPr>
      <t>13</t>
    </r>
  </si>
  <si>
    <r>
      <t xml:space="preserve">  Ergänzungsleistungen </t>
    </r>
    <r>
      <rPr>
        <b/>
        <vertAlign val="superscript"/>
        <sz val="9"/>
        <rFont val="Arial"/>
        <family val="2"/>
      </rPr>
      <t>7</t>
    </r>
  </si>
  <si>
    <r>
      <t xml:space="preserve">  Sozialhilfe </t>
    </r>
    <r>
      <rPr>
        <b/>
        <vertAlign val="superscript"/>
        <sz val="9"/>
        <rFont val="Arial"/>
        <family val="2"/>
      </rPr>
      <t>7</t>
    </r>
  </si>
  <si>
    <r>
      <t xml:space="preserve">  Hilflosenentschädigungen </t>
    </r>
    <r>
      <rPr>
        <b/>
        <vertAlign val="superscript"/>
        <sz val="9"/>
        <rFont val="Arial"/>
        <family val="2"/>
      </rPr>
      <t>7</t>
    </r>
  </si>
  <si>
    <t xml:space="preserve">  Krankenversicherungsprämien </t>
  </si>
  <si>
    <r>
      <t xml:space="preserve">Nettoprämien der obligatorischen Krankenpflegeversicherung KVG </t>
    </r>
    <r>
      <rPr>
        <b/>
        <vertAlign val="superscript"/>
        <sz val="8"/>
        <rFont val="Arial"/>
        <family val="2"/>
      </rPr>
      <t>10</t>
    </r>
  </si>
  <si>
    <r>
      <t xml:space="preserve">Zusatzversicherungen VVG der KVG-Versicherer </t>
    </r>
    <r>
      <rPr>
        <b/>
        <vertAlign val="superscript"/>
        <sz val="8"/>
        <rFont val="Arial"/>
        <family val="2"/>
      </rPr>
      <t>5</t>
    </r>
  </si>
  <si>
    <r>
      <t xml:space="preserve">Zusatzversicherungen VVG der Privatversicherer </t>
    </r>
    <r>
      <rPr>
        <b/>
        <vertAlign val="superscript"/>
        <sz val="8"/>
        <rFont val="Arial"/>
        <family val="2"/>
      </rPr>
      <t>6</t>
    </r>
  </si>
  <si>
    <r>
      <t xml:space="preserve">  Kostenbeteiligung </t>
    </r>
    <r>
      <rPr>
        <b/>
        <vertAlign val="superscript"/>
        <sz val="9"/>
        <rFont val="Arial"/>
        <family val="2"/>
      </rPr>
      <t>11</t>
    </r>
  </si>
  <si>
    <t>Obligatorische Krankenpflegeversicherung KVG</t>
  </si>
  <si>
    <t xml:space="preserve">Zusatzversicherungen VVG der KVG-Versicherer </t>
  </si>
  <si>
    <r>
      <t xml:space="preserve">  Out of pocket </t>
    </r>
    <r>
      <rPr>
        <b/>
        <vertAlign val="superscript"/>
        <sz val="9"/>
        <rFont val="Arial"/>
        <family val="2"/>
      </rPr>
      <t>8</t>
    </r>
  </si>
  <si>
    <r>
      <t xml:space="preserve">Übrige private Finanzierung </t>
    </r>
    <r>
      <rPr>
        <b/>
        <vertAlign val="superscript"/>
        <sz val="10"/>
        <rFont val="Arial"/>
        <family val="2"/>
      </rPr>
      <t>9</t>
    </r>
  </si>
  <si>
    <r>
      <t xml:space="preserve">Total Kosten des Gesundheitswesens </t>
    </r>
    <r>
      <rPr>
        <b/>
        <vertAlign val="superscript"/>
        <sz val="10"/>
        <rFont val="Arial"/>
        <family val="2"/>
      </rPr>
      <t>12</t>
    </r>
  </si>
  <si>
    <t>1) - 15) und Quellen: siehe Fussnoten nach der Tabelle 9.08.</t>
  </si>
  <si>
    <r>
      <t>T 9.07 Kosten des Gesundheitswesens in der Schweiz aus der Sicht der Krankenversicherungs</t>
    </r>
    <r>
      <rPr>
        <b/>
        <i/>
        <sz val="12"/>
        <rFont val="Arial"/>
        <family val="2"/>
      </rPr>
      <t>leistungen</t>
    </r>
    <r>
      <rPr>
        <b/>
        <sz val="12"/>
        <rFont val="Arial"/>
        <family val="2"/>
      </rPr>
      <t xml:space="preserve"> </t>
    </r>
    <r>
      <rPr>
        <b/>
        <vertAlign val="superscript"/>
        <sz val="12"/>
        <rFont val="Arial"/>
        <family val="2"/>
      </rPr>
      <t>18</t>
    </r>
    <r>
      <rPr>
        <b/>
        <sz val="12"/>
        <rFont val="Arial"/>
        <family val="2"/>
      </rPr>
      <t xml:space="preserve"> in Millionen Franken ab 1999</t>
    </r>
  </si>
  <si>
    <r>
      <t xml:space="preserve">2010 </t>
    </r>
    <r>
      <rPr>
        <i/>
        <vertAlign val="superscript"/>
        <sz val="10"/>
        <rFont val="Arial"/>
        <family val="2"/>
      </rPr>
      <t>17</t>
    </r>
  </si>
  <si>
    <r>
      <t xml:space="preserve">     Ergänzungsleistungen </t>
    </r>
    <r>
      <rPr>
        <b/>
        <vertAlign val="superscript"/>
        <sz val="9"/>
        <rFont val="Arial"/>
        <family val="2"/>
      </rPr>
      <t>7</t>
    </r>
  </si>
  <si>
    <r>
      <t xml:space="preserve">     Sozialhilfe </t>
    </r>
    <r>
      <rPr>
        <b/>
        <vertAlign val="superscript"/>
        <sz val="9"/>
        <rFont val="Arial"/>
        <family val="2"/>
      </rPr>
      <t>7</t>
    </r>
  </si>
  <si>
    <r>
      <t xml:space="preserve">     Hilflosenentschädigungen </t>
    </r>
    <r>
      <rPr>
        <b/>
        <vertAlign val="superscript"/>
        <sz val="9"/>
        <rFont val="Arial"/>
        <family val="2"/>
      </rPr>
      <t>7</t>
    </r>
  </si>
  <si>
    <r>
      <t xml:space="preserve">Brutto Krankenversicherungleistungen </t>
    </r>
    <r>
      <rPr>
        <b/>
        <vertAlign val="superscript"/>
        <sz val="10"/>
        <rFont val="Arial"/>
        <family val="2"/>
      </rPr>
      <t>15</t>
    </r>
    <r>
      <rPr>
        <b/>
        <sz val="10"/>
        <rFont val="Arial"/>
        <family val="2"/>
      </rPr>
      <t xml:space="preserve"> </t>
    </r>
  </si>
  <si>
    <r>
      <t xml:space="preserve">       davon Kostenbeteiligung </t>
    </r>
    <r>
      <rPr>
        <b/>
        <vertAlign val="superscript"/>
        <sz val="8"/>
        <rFont val="Arial"/>
        <family val="2"/>
      </rPr>
      <t>11</t>
    </r>
  </si>
  <si>
    <r>
      <t xml:space="preserve">      davon Prämienverbilligung KVG </t>
    </r>
    <r>
      <rPr>
        <b/>
        <vertAlign val="superscript"/>
        <sz val="8"/>
        <rFont val="Arial"/>
        <family val="2"/>
      </rPr>
      <t>13</t>
    </r>
  </si>
  <si>
    <r>
      <t xml:space="preserve">Zusatzversicherungen VVG der KVG-Versicherer </t>
    </r>
    <r>
      <rPr>
        <vertAlign val="superscript"/>
        <sz val="9"/>
        <rFont val="Arial"/>
        <family val="2"/>
      </rPr>
      <t>5</t>
    </r>
  </si>
  <si>
    <r>
      <t xml:space="preserve">      davon Kostenbeteiligung </t>
    </r>
    <r>
      <rPr>
        <b/>
        <vertAlign val="superscript"/>
        <sz val="8"/>
        <rFont val="Arial"/>
        <family val="2"/>
      </rPr>
      <t>11</t>
    </r>
  </si>
  <si>
    <r>
      <t xml:space="preserve">Zusatzversicherungen VVG der Privatversicherer </t>
    </r>
    <r>
      <rPr>
        <vertAlign val="superscript"/>
        <sz val="9"/>
        <rFont val="Arial"/>
        <family val="2"/>
      </rPr>
      <t>6</t>
    </r>
  </si>
  <si>
    <r>
      <t xml:space="preserve">Andere </t>
    </r>
    <r>
      <rPr>
        <b/>
        <vertAlign val="superscript"/>
        <sz val="10"/>
        <rFont val="Arial"/>
        <family val="2"/>
      </rPr>
      <t>16</t>
    </r>
  </si>
  <si>
    <t xml:space="preserve"> Übriger Aufwand</t>
  </si>
  <si>
    <t xml:space="preserve"> Verwaltungskosten (inkl. Prävention) </t>
  </si>
  <si>
    <r>
      <t xml:space="preserve">Out of pocket (Haushalte) </t>
    </r>
    <r>
      <rPr>
        <b/>
        <vertAlign val="superscript"/>
        <sz val="10"/>
        <rFont val="Arial"/>
        <family val="2"/>
      </rPr>
      <t>8</t>
    </r>
  </si>
  <si>
    <t>1) - 18) und Quellen: siehe Fussnoten nach der Tabelle 9.08.</t>
  </si>
  <si>
    <t>T 9.08 Details des Finanzierungssaldos in Millionen Franken ab 1999</t>
  </si>
  <si>
    <t xml:space="preserve">Durchschnittl. </t>
  </si>
  <si>
    <r>
      <t xml:space="preserve">Krankenversicherung </t>
    </r>
    <r>
      <rPr>
        <b/>
        <i/>
        <vertAlign val="superscript"/>
        <sz val="10"/>
        <rFont val="Arial"/>
        <family val="2"/>
      </rPr>
      <t>1</t>
    </r>
  </si>
  <si>
    <r>
      <t xml:space="preserve">2010 </t>
    </r>
    <r>
      <rPr>
        <b/>
        <i/>
        <vertAlign val="superscript"/>
        <sz val="10"/>
        <rFont val="Arial"/>
        <family val="2"/>
      </rPr>
      <t>12</t>
    </r>
  </si>
  <si>
    <t>Krankenversicherer</t>
  </si>
  <si>
    <r>
      <t xml:space="preserve">  a) Leistungen der Krankenversicherer I </t>
    </r>
    <r>
      <rPr>
        <b/>
        <vertAlign val="superscript"/>
        <sz val="10"/>
        <rFont val="Arial"/>
        <family val="2"/>
      </rPr>
      <t>2</t>
    </r>
  </si>
  <si>
    <t>Zusatzversicherungen VVG der Privatversicherer</t>
  </si>
  <si>
    <r>
      <t xml:space="preserve">  b) Übriger Aufwand </t>
    </r>
    <r>
      <rPr>
        <b/>
        <vertAlign val="superscript"/>
        <sz val="10"/>
        <rFont val="Arial"/>
        <family val="2"/>
      </rPr>
      <t>3</t>
    </r>
  </si>
  <si>
    <r>
      <t xml:space="preserve">  c) Leistungen II </t>
    </r>
    <r>
      <rPr>
        <b/>
        <vertAlign val="superscript"/>
        <sz val="10"/>
        <rFont val="Arial"/>
        <family val="2"/>
      </rPr>
      <t>4</t>
    </r>
  </si>
  <si>
    <r>
      <t xml:space="preserve">  d) Verwaltungskosten (inkl. Prävention)  </t>
    </r>
    <r>
      <rPr>
        <b/>
        <vertAlign val="superscript"/>
        <sz val="10"/>
        <rFont val="Arial"/>
        <family val="2"/>
      </rPr>
      <t>5</t>
    </r>
  </si>
  <si>
    <r>
      <t xml:space="preserve">  e) Leistungen III  </t>
    </r>
    <r>
      <rPr>
        <b/>
        <vertAlign val="superscript"/>
        <sz val="10"/>
        <rFont val="Arial"/>
        <family val="2"/>
      </rPr>
      <t>6</t>
    </r>
  </si>
  <si>
    <r>
      <t xml:space="preserve">  f) Kostenbeteiligung </t>
    </r>
    <r>
      <rPr>
        <b/>
        <vertAlign val="superscript"/>
        <sz val="10"/>
        <rFont val="Arial"/>
        <family val="2"/>
      </rPr>
      <t>7</t>
    </r>
  </si>
  <si>
    <r>
      <t xml:space="preserve">  g) Gesamtleistungen  </t>
    </r>
    <r>
      <rPr>
        <b/>
        <vertAlign val="superscript"/>
        <sz val="10"/>
        <rFont val="Arial"/>
        <family val="2"/>
      </rPr>
      <t>8</t>
    </r>
  </si>
  <si>
    <r>
      <t xml:space="preserve">  h) Prämien der Haushalte </t>
    </r>
    <r>
      <rPr>
        <b/>
        <vertAlign val="superscript"/>
        <sz val="10"/>
        <rFont val="Arial"/>
        <family val="2"/>
      </rPr>
      <t>9</t>
    </r>
  </si>
  <si>
    <r>
      <t xml:space="preserve">Obligatorische Krankenpflegeversicherung KVG </t>
    </r>
    <r>
      <rPr>
        <vertAlign val="superscript"/>
        <sz val="8"/>
        <rFont val="Arial"/>
        <family val="2"/>
      </rPr>
      <t>3</t>
    </r>
  </si>
  <si>
    <r>
      <t xml:space="preserve">  i) Gesamtbeitrag </t>
    </r>
    <r>
      <rPr>
        <b/>
        <vertAlign val="superscript"/>
        <sz val="10"/>
        <rFont val="Arial"/>
        <family val="2"/>
      </rPr>
      <t>10</t>
    </r>
  </si>
  <si>
    <r>
      <t xml:space="preserve">j) Finanzierungssaldo </t>
    </r>
    <r>
      <rPr>
        <b/>
        <vertAlign val="superscript"/>
        <sz val="10"/>
        <rFont val="Arial"/>
        <family val="2"/>
      </rPr>
      <t>11</t>
    </r>
  </si>
  <si>
    <t>Fussnoten T 9.06:</t>
  </si>
  <si>
    <t xml:space="preserve">1) Subventionen oder direkte Leistungen an das Gesundheitswesen (an die Leistungserbringer (Spitäler), an die   </t>
  </si>
  <si>
    <t xml:space="preserve">   sozialmedizinischen Institutionen, an die Spitex- und Rettungsdienste) und die Öffentliche Gesundheit, Verwaltung und Prävention.   </t>
  </si>
  <si>
    <t xml:space="preserve">   Quelle: Kosten des Gesundheitswesens [nach Direktzahlern], BFS. Schätzungen: KOF [Medienmitteilung 11/11].   </t>
  </si>
  <si>
    <t>2) Leistungen/Zahlungen nur an das Gesundheitswesen.</t>
  </si>
  <si>
    <t xml:space="preserve">   Quelle: Kosten des Gesundheitswesens [aus der Sicht der sozialen Sicherheit], BFS. Schätzungen: BAG: Entwicklung gemäss jährl. Veränderung 2008-2009.   </t>
  </si>
  <si>
    <t xml:space="preserve">3) Individuelle Sachleistungen und Subventionen an die IV-Institutionen; von der AHV bezahlte Hilfsmittel.   </t>
  </si>
  <si>
    <t>4) Quelle: T 9.08.</t>
  </si>
  <si>
    <t xml:space="preserve">5) Ohne Prämien für Taggelder KVG oder VVG. Quelle: T 9.08.  </t>
  </si>
  <si>
    <t>6) Ohne Prämien für Taggelder für Verdienstausfall nach VVG. Quelle: T 9.08.</t>
  </si>
  <si>
    <t xml:space="preserve">7) Quelle: Kosten des Gesundheitswesens [aus der Sicht der sozialen Sicherheit], BFS.   </t>
  </si>
  <si>
    <t xml:space="preserve">     Schätzungen: BAG: Entwicklung gemäss jährl. Veränderung 1999-2009.   </t>
  </si>
  <si>
    <t xml:space="preserve">8) Zahnpflege, Pensionskosten in Pflegeheimen, Spitexdienste und rezeptfreie Medikamente  </t>
  </si>
  <si>
    <t xml:space="preserve">    ("over the counter") bilden die Hauptkosten zur vollen oder teilweisen Last der Haushalte.   </t>
  </si>
  <si>
    <t xml:space="preserve">   Wert berechnet wie das Total der Kosten des Gesundheitswesens - Summe der anderen Positionen.   </t>
  </si>
  <si>
    <t xml:space="preserve">9) Spenden und Legate an Organisationen ohne Erwerbszweck wie Pflegeheime für Betagte, Institutionen für Behinderte, Spitexorganisationen, Gesundheitsligen.   </t>
  </si>
  <si>
    <t xml:space="preserve">     Quelle: Kosten des Gesundheitswesens [nach Direktzahlern], BFS. Schätzungen: KOF [Medienmitteilung 11/11].   </t>
  </si>
  <si>
    <r>
      <t xml:space="preserve">10) Nettoprämien der Haushalte = Bruttoprämien obligatorische Krankenpflegeversicherung (T 9.08 </t>
    </r>
    <r>
      <rPr>
        <vertAlign val="superscript"/>
        <sz val="10"/>
        <rFont val="Arial"/>
        <family val="2"/>
      </rPr>
      <t>h</t>
    </r>
    <r>
      <rPr>
        <sz val="10"/>
        <rFont val="Arial"/>
        <family val="2"/>
      </rPr>
      <t xml:space="preserve"> ) - Prämienverbilligung KVG an Versicherte (T 9.06 </t>
    </r>
    <r>
      <rPr>
        <vertAlign val="superscript"/>
        <sz val="10"/>
        <rFont val="Arial"/>
        <family val="2"/>
      </rPr>
      <t>13</t>
    </r>
    <r>
      <rPr>
        <sz val="10"/>
        <rFont val="Arial"/>
        <family val="2"/>
      </rPr>
      <t xml:space="preserve"> ).   </t>
    </r>
  </si>
  <si>
    <t>11) Quelle: T 9.08.</t>
  </si>
  <si>
    <t xml:space="preserve">12) Quelle: Kosten des Gesundheitswesens [nach Direktzahlern], BFS. Schätzungen: KOF [Medienmitteilung 11/11].   </t>
  </si>
  <si>
    <t>13) Quelle: -&gt; 2007: T 4.07 (Subventionsbudget nach Kürzungen)   2008 -&gt; : T 4.01.</t>
  </si>
  <si>
    <r>
      <t xml:space="preserve">14) Schätzungen </t>
    </r>
    <r>
      <rPr>
        <i/>
        <sz val="10"/>
        <rFont val="Arial"/>
        <family val="2"/>
      </rPr>
      <t>(kursiv)</t>
    </r>
    <r>
      <rPr>
        <sz val="10"/>
        <rFont val="Arial"/>
        <family val="2"/>
      </rPr>
      <t xml:space="preserve"> [KOF und BAG].   </t>
    </r>
  </si>
  <si>
    <r>
      <t>15) Neue BFS-Berechnungsmethode im 2008 -&gt; vom BFS revidierte Werte für 1996-&gt;2006 [</t>
    </r>
    <r>
      <rPr>
        <vertAlign val="superscript"/>
        <sz val="10"/>
        <rFont val="Arial"/>
        <family val="2"/>
      </rPr>
      <t>1, 2, 7, 8, 9, 12</t>
    </r>
    <r>
      <rPr>
        <sz val="10"/>
        <rFont val="Arial"/>
        <family val="2"/>
      </rPr>
      <t xml:space="preserve">]. </t>
    </r>
    <r>
      <rPr>
        <i/>
        <sz val="10"/>
        <rFont val="Arial"/>
        <family val="2"/>
      </rPr>
      <t>Vom BFS revidierte Werte für 2008 (9/11).</t>
    </r>
  </si>
  <si>
    <t>Fussnoten T 9.07:</t>
  </si>
  <si>
    <t xml:space="preserve">1) - 13) Vgl. Fussnoten von Tabelle 9.06. </t>
  </si>
  <si>
    <t xml:space="preserve">14) Ohne Prämienverbilligung KVG (in den Bruttoprämien der obligatorischen Krankenpflegeversicherung enthalten).   </t>
  </si>
  <si>
    <t xml:space="preserve">15) Leistungen I der Krankenversicherer [T 9.08 a) ] + Kostenbeteiligung [T 9.08 f) ].   </t>
  </si>
  <si>
    <t xml:space="preserve">16) Siehe T 9.08: b) Übriger Aufwand und d) Verwaltungskosten (inkl. Prävention).   </t>
  </si>
  <si>
    <r>
      <t xml:space="preserve">17) Schätzungen </t>
    </r>
    <r>
      <rPr>
        <i/>
        <sz val="10"/>
        <rFont val="Arial"/>
        <family val="2"/>
      </rPr>
      <t>(kursiv)</t>
    </r>
    <r>
      <rPr>
        <sz val="10"/>
        <rFont val="Arial"/>
        <family val="2"/>
      </rPr>
      <t xml:space="preserve"> [KOF und BAG].   </t>
    </r>
  </si>
  <si>
    <r>
      <t>18) Neue BFS-Berechnungsmethode im 2008 -&gt; vom BFS revidierte Werte für 1996-&gt;2006  [</t>
    </r>
    <r>
      <rPr>
        <vertAlign val="superscript"/>
        <sz val="10"/>
        <rFont val="Arial"/>
        <family val="2"/>
      </rPr>
      <t>1, 2, 8, 9, 12</t>
    </r>
    <r>
      <rPr>
        <sz val="10"/>
        <rFont val="Arial"/>
        <family val="2"/>
      </rPr>
      <t xml:space="preserve">]. </t>
    </r>
    <r>
      <rPr>
        <i/>
        <sz val="10"/>
        <rFont val="Arial"/>
        <family val="2"/>
      </rPr>
      <t>Vom BFS revidierte Werte für 2008 (9/11).</t>
    </r>
  </si>
  <si>
    <t>Fussnoten T 9.08:</t>
  </si>
  <si>
    <t xml:space="preserve">1) Ohne Taggelder (für Verdienstausfall) KVG oder VVG.   </t>
  </si>
  <si>
    <t xml:space="preserve">2) Quelle: T 1.02 [30-33] und T 7.03 [30-33] ohne Taggeld VVG-Prämien oder T 9.18.  </t>
  </si>
  <si>
    <t xml:space="preserve">3) = c) - a). Übriger Versicherungsaufwand gemäss Kosten des Gesundheitswesens, BFS. Schätzungen [BAG]: T 1.02 [34] / T 7.03 [34] / 0.   </t>
  </si>
  <si>
    <t xml:space="preserve">4) = e) - d). Schätzungen [BAG] = a) + b).  </t>
  </si>
  <si>
    <t xml:space="preserve">5) Verwaltungskosten (inkl. Prävention). Quelle: Kosten des Gesundheitswesens [nach Leistungserbringern und Direktzahlern, interne detaillierte Version BFS]. Schätzungen [BAG]: basierend auf dem 2009 festgestellten Verhältnis [d) / a)].   </t>
  </si>
  <si>
    <t xml:space="preserve">6) Quelle: Kosten des Gesundheitswesens [nach Direktzahlern], BFS. Schätzungen [BAG] = c) + d).  </t>
  </si>
  <si>
    <t xml:space="preserve">7) Quelle: T 1.02 [32]; T 7.03 [32], keine Informationen für Privatversicherer {0}.  </t>
  </si>
  <si>
    <t xml:space="preserve">8) = e) + f)  </t>
  </si>
  <si>
    <t xml:space="preserve">9) Quelle: T 1.02 [60-65] (Bruttoprämien  inklusive Prämienverbilligung KVG) und T 7.03 [60-65] ohne Taggeld VVG-Prämien oder T 9.18.   </t>
  </si>
  <si>
    <t xml:space="preserve">10) = h) + f)  </t>
  </si>
  <si>
    <t xml:space="preserve">11) Finanzierungssaldo: Differenz zwischen den Leistungen III der Versicherer an das Gesundheitswesen und den Prämieneinzahlungen der Haushalte.   </t>
  </si>
  <si>
    <t xml:space="preserve">    Aus der Sicht des Finanzgleichgewichts handelt es sich um die Kapitaleinkommen, die ausserordentlichen Einkommen, die Gewinne und die Veränderungen von Reserven.   </t>
  </si>
  <si>
    <t xml:space="preserve">    Ein positiver Saldo bedeutet grundsätzlich einen Abbau, ein negativer Saldo eine Erhöhung der Reserven. = e) - h) oder g) - i).  </t>
  </si>
  <si>
    <r>
      <t xml:space="preserve">12) Schätzungen </t>
    </r>
    <r>
      <rPr>
        <i/>
        <sz val="10"/>
        <rFont val="Arial"/>
        <family val="2"/>
      </rPr>
      <t>(kursiv)</t>
    </r>
    <r>
      <rPr>
        <sz val="10"/>
        <rFont val="Arial"/>
        <family val="2"/>
      </rPr>
      <t xml:space="preserve"> [BAG].   </t>
    </r>
  </si>
  <si>
    <r>
      <t xml:space="preserve">T 9.11 KVG-Versicherer </t>
    </r>
    <r>
      <rPr>
        <b/>
        <vertAlign val="superscript"/>
        <sz val="12"/>
        <rFont val="Arial"/>
        <family val="2"/>
      </rPr>
      <t>1</t>
    </r>
    <r>
      <rPr>
        <b/>
        <sz val="12"/>
        <rFont val="Arial"/>
        <family val="2"/>
      </rPr>
      <t xml:space="preserve"> : Spitalzusatzversicherungen seit 2000 in % der OKP-Versicherten</t>
    </r>
  </si>
  <si>
    <r>
      <t xml:space="preserve">Versicherte mit Grundversicherung </t>
    </r>
    <r>
      <rPr>
        <sz val="11"/>
        <rFont val="Arial"/>
        <family val="2"/>
      </rPr>
      <t xml:space="preserve">(bei dem selben KVG-Versicherer) </t>
    </r>
    <r>
      <rPr>
        <vertAlign val="superscript"/>
        <sz val="11"/>
        <rFont val="Arial"/>
        <family val="2"/>
      </rPr>
      <t>2</t>
    </r>
  </si>
  <si>
    <r>
      <t xml:space="preserve">Versicherte ohne Grundversicherung </t>
    </r>
    <r>
      <rPr>
        <sz val="11"/>
        <rFont val="Arial"/>
        <family val="2"/>
      </rPr>
      <t xml:space="preserve">(bei dem selben KVG-Versicherer) </t>
    </r>
    <r>
      <rPr>
        <vertAlign val="superscript"/>
        <sz val="11"/>
        <rFont val="Arial"/>
        <family val="2"/>
      </rPr>
      <t>4</t>
    </r>
  </si>
  <si>
    <r>
      <t xml:space="preserve"> Privatversicherer </t>
    </r>
    <r>
      <rPr>
        <b/>
        <vertAlign val="superscript"/>
        <sz val="11"/>
        <rFont val="Arial"/>
        <family val="2"/>
      </rPr>
      <t>1</t>
    </r>
  </si>
  <si>
    <t xml:space="preserve">Total der </t>
  </si>
  <si>
    <r>
      <t xml:space="preserve">Versicherer </t>
    </r>
    <r>
      <rPr>
        <b/>
        <vertAlign val="superscript"/>
        <sz val="11"/>
        <rFont val="Arial"/>
        <family val="2"/>
      </rPr>
      <t>6</t>
    </r>
  </si>
  <si>
    <r>
      <t xml:space="preserve">OKP </t>
    </r>
    <r>
      <rPr>
        <vertAlign val="superscript"/>
        <sz val="11"/>
        <rFont val="Arial"/>
        <family val="2"/>
      </rPr>
      <t>3</t>
    </r>
  </si>
  <si>
    <t>Besondere</t>
  </si>
  <si>
    <t>Spital halbprivat,</t>
  </si>
  <si>
    <t>per 31.12</t>
  </si>
  <si>
    <t>allgemein</t>
  </si>
  <si>
    <t>halbprivat</t>
  </si>
  <si>
    <t>privat</t>
  </si>
  <si>
    <r>
      <t xml:space="preserve">Angebote </t>
    </r>
    <r>
      <rPr>
        <vertAlign val="superscript"/>
        <sz val="11"/>
        <rFont val="Arial"/>
        <family val="2"/>
      </rPr>
      <t>5</t>
    </r>
  </si>
  <si>
    <t>privat und gleich-</t>
  </si>
  <si>
    <t>ganze CH</t>
  </si>
  <si>
    <t>wertige Produkte</t>
  </si>
  <si>
    <t>1) KVG-Versicherer: nur Spitalzusatzversicherungen, die den Versicherten von den KVG-Versicherern angeboten werden,</t>
  </si>
  <si>
    <t xml:space="preserve">    zum Teil über Drittversicherer (Gesellschaften, die dem VVG unterstellt sind).</t>
  </si>
  <si>
    <t xml:space="preserve">   Angaben der Privatversicherer: seit 2008 publiziert die FINMA keine Versichertenbestände mehr. Die Angaben von BAG/FINMA zu den Jahren 1996 -&gt; 2007 sind in der KV-Statistik BAG 2008 ersichtlich.</t>
  </si>
  <si>
    <t xml:space="preserve">  Folglich weisen die in dieser Tabelle enthaltenen Prozentwerte nur einen Teil der Versicherten aus, die eine Spitalzusatzversicherung abgeschlossen haben.</t>
  </si>
  <si>
    <t xml:space="preserve">   Kantonale Angaben zu den Spitalzusatzversicherungen stehen nicht zur Verfügung.</t>
  </si>
  <si>
    <t>2) Quelle: Bundesamt für Gesundheit (BAG), Formular EF3.7.3.</t>
  </si>
  <si>
    <t xml:space="preserve">   Es werden nur Versicherte berücksichtigt, welche die Zusatzversicherung beim gleichen Versicherer abgeschlossen haben wie die obligatorische Krankenpflegeversicherung.</t>
  </si>
  <si>
    <t>3) Quelle: T 11.06.</t>
  </si>
  <si>
    <t>4) Quelle: Bundesamt für Gesundheit (BAG), Formular EF3.7.3.</t>
  </si>
  <si>
    <t xml:space="preserve">   Nur Versicherte, welche die Zusatzversicherung bei einem anderen Versicherer abgeschlossen haben als die obligatorische Krankenpflegeversicherung.</t>
  </si>
  <si>
    <t>5) Besondere Versicherungsangebote :</t>
  </si>
  <si>
    <t xml:space="preserve">- Flex-Versicherung, bei der Versicherte von Fall zu Fall die Abteilung, in der sie behandelt werden wollen, und die dazu gehörige Franchise. </t>
  </si>
  <si>
    <t xml:space="preserve">  bzw. Kostenbeteiligung für die halbprivate oder private Abteilung wählen können.</t>
  </si>
  <si>
    <t>- Spitalzimmerversicherung für die freie Wahl von Ein- oder Zweibettzimmern in der allgemeinen Spitalabteilung.</t>
  </si>
  <si>
    <t>- Taggeldversicherung im Zusammenhang mit Spitalaufenthalten, bei denen der Versicherte einen fixen Betrag pro Spitaltag erhält.</t>
  </si>
  <si>
    <t>- Behandlungskostenversicherung bei Spitalaufenthalten mit einem definierten Maximalbetrag pro Jahr.</t>
  </si>
  <si>
    <r>
      <t xml:space="preserve">T 9.12  Entwicklung der Preisindizes für Gesundheitspflege ab 2000  (1996 = 100) </t>
    </r>
    <r>
      <rPr>
        <b/>
        <vertAlign val="superscript"/>
        <sz val="12"/>
        <rFont val="Arial"/>
        <family val="2"/>
      </rPr>
      <t>1</t>
    </r>
  </si>
  <si>
    <t>Ärztliche Leistungen</t>
  </si>
  <si>
    <t>Zahnärztliche Leistungen</t>
  </si>
  <si>
    <t>Spital-leistungen</t>
  </si>
  <si>
    <t>Medizinische Apparate</t>
  </si>
  <si>
    <t>Andere Gesundheits-leistungen</t>
  </si>
  <si>
    <t>Gesundheits-pflege (Total)</t>
  </si>
  <si>
    <t>Landesindex der Konsu-mentenpreise 
(LIK)</t>
  </si>
  <si>
    <t>Vorjahresveränderung der Preisindizes für Gesundheitspflege</t>
  </si>
  <si>
    <t>Landesindex 
der Konsu-
mentenpreise 
(LIK)</t>
  </si>
  <si>
    <t>1) Basis des Indexes der Konsumentenpreise: Dezember 2005 = 100. Indizes neu berechnet auf der Basis Jahresdurchschnitt 1996 = 100.</t>
  </si>
  <si>
    <t>Methode zur Ermittlung des Index  "Gesundheitspflege":</t>
  </si>
  <si>
    <t>Gesundheitskosten: Gewichtung nach den 6 in der Folge aufgeführten Teilindizes:</t>
  </si>
  <si>
    <t xml:space="preserve"> - Medikamente: Kostenermittlung bei rund 200 Medikamenten in den 10 umsatzstärksten Behandlungskategorien.</t>
  </si>
  <si>
    <t xml:space="preserve"> - Ärztliche Leistungen: Gewichtung nach 26 kantonalen Indizes; </t>
  </si>
  <si>
    <t xml:space="preserve">   für jeden Kanton werden die 30 umsatzstärksten Tarifpositionen ermittelt.</t>
  </si>
  <si>
    <t xml:space="preserve"> - Zahnärztliche Leistungen: Kostenermittlung von 11 typischen Leistungsarten in 16 Gemeinden bei ca. 50 Zahnärzten.</t>
  </si>
  <si>
    <t xml:space="preserve"> - Spitalleistungen: Gewichtung nach 26 kantonalen Indizes unter Berücksichtigung der Tarife für stationäre und ambulante Dienste.</t>
  </si>
  <si>
    <t xml:space="preserve">   Betrachtet wurden öffentliche und private Akutspitäler und Psychiatrieeinrichtungen.</t>
  </si>
  <si>
    <t xml:space="preserve"> - Medizinische Geräte: Kostenermittlung nach den typischen Leistungen in den Bereichen Augenoptik (Brillen und </t>
  </si>
  <si>
    <t xml:space="preserve">   Kontaktlinsen in 16 Gemeinden), Hörgeräte (Kostenfeststellung nach den 6 - nach BAG-Tarif - meistverkauften Geräten)</t>
  </si>
  <si>
    <t xml:space="preserve">   und andere medizinische Geräte (z.B. Gehhilfen, Stützen usw.).</t>
  </si>
  <si>
    <t xml:space="preserve"> - Andere Gesundheitsleistungen: Kostenermittlung nach den typischen Leistungen in den Bereichen Physiotherapie, Labor und Spitex. </t>
  </si>
  <si>
    <t>Quelle: BFS, Sektion Preise.</t>
  </si>
  <si>
    <t>T 9.13 Index der Krankenversicherungsprämien je versicherte Person nach Versicherungsart ab 2000 (Basis 1999 = 100)</t>
  </si>
  <si>
    <r>
      <t xml:space="preserve">Obligatorische Krankenpflegeversicherung (OKP) </t>
    </r>
    <r>
      <rPr>
        <b/>
        <vertAlign val="superscript"/>
        <sz val="11"/>
        <rFont val="Arial"/>
        <family val="2"/>
      </rPr>
      <t>2</t>
    </r>
  </si>
  <si>
    <r>
      <t xml:space="preserve">Spitalzusatzversicherungen </t>
    </r>
    <r>
      <rPr>
        <b/>
        <vertAlign val="superscript"/>
        <sz val="11"/>
        <rFont val="Arial"/>
        <family val="2"/>
      </rPr>
      <t>3</t>
    </r>
  </si>
  <si>
    <t xml:space="preserve">Kinder </t>
  </si>
  <si>
    <t>(ganze CH)</t>
  </si>
  <si>
    <t>Veränderung gegenüber dem Vorjahr</t>
  </si>
  <si>
    <t>Einfluss auf das</t>
  </si>
  <si>
    <t>verfügbares</t>
  </si>
  <si>
    <t>Einkommen</t>
  </si>
  <si>
    <r>
      <t xml:space="preserve">in %  </t>
    </r>
    <r>
      <rPr>
        <vertAlign val="superscript"/>
        <sz val="10"/>
        <rFont val="Arial"/>
        <family val="2"/>
      </rPr>
      <t>1</t>
    </r>
  </si>
  <si>
    <r>
      <t xml:space="preserve">2011 </t>
    </r>
    <r>
      <rPr>
        <vertAlign val="superscript"/>
        <sz val="11"/>
        <rFont val="Arial"/>
        <family val="2"/>
      </rPr>
      <t>4</t>
    </r>
  </si>
  <si>
    <t>1) Auswirkung der Prämienentwicklung auf das Wachstum des verfügbaren Einkommens der Haushalte in %. Quelle: Siehe 3).</t>
  </si>
  <si>
    <r>
      <t xml:space="preserve">2) Quelle: T 3.12. </t>
    </r>
    <r>
      <rPr>
        <u/>
        <sz val="10"/>
        <rFont val="55 Helvetica Roman"/>
      </rPr>
      <t>Effektive</t>
    </r>
    <r>
      <rPr>
        <sz val="10"/>
        <rFont val="55 Helvetica Roman"/>
      </rPr>
      <t xml:space="preserve"> Erhöhungen für alle Versicherungsarten.</t>
    </r>
  </si>
  <si>
    <r>
      <t xml:space="preserve">Werte der </t>
    </r>
    <r>
      <rPr>
        <u/>
        <sz val="10"/>
        <rFont val="Arial"/>
        <family val="2"/>
      </rPr>
      <t>geschätzten</t>
    </r>
    <r>
      <rPr>
        <sz val="10"/>
        <rFont val="Arial"/>
        <family val="2"/>
      </rPr>
      <t xml:space="preserve"> Erhöhung der Prämien pro Altersgruppe für die ordentliche Franchise: vgl. T 3.01.</t>
    </r>
  </si>
  <si>
    <t>3) Quelle: BFS, Sektion Preise. Krankenversicherungsprämienindex (KVPI) [Medienmitteilung 11/11].</t>
  </si>
  <si>
    <r>
      <t xml:space="preserve">4) OKP: </t>
    </r>
    <r>
      <rPr>
        <i/>
        <sz val="10"/>
        <rFont val="Arial"/>
        <family val="2"/>
      </rPr>
      <t>Schätzung:</t>
    </r>
    <r>
      <rPr>
        <sz val="10"/>
        <rFont val="Arial"/>
        <family val="2"/>
      </rPr>
      <t xml:space="preserve"> Quelle: Siehe 3). Siehe auch Beilage J (Schätzung, pro versicherte Person).</t>
    </r>
  </si>
  <si>
    <r>
      <t xml:space="preserve">T 9.15 Gesamtbeitrag je versicherte Person (Prämie + Kostenbeteiligung </t>
    </r>
    <r>
      <rPr>
        <b/>
        <vertAlign val="superscript"/>
        <sz val="12"/>
        <rFont val="Arial"/>
        <family val="2"/>
      </rPr>
      <t xml:space="preserve">1 </t>
    </r>
    <r>
      <rPr>
        <b/>
        <sz val="12"/>
        <rFont val="Arial"/>
        <family val="2"/>
      </rPr>
      <t>) nach Versicherungsform ab 2000</t>
    </r>
  </si>
  <si>
    <t>Quelle: T 3.12 + 2.02</t>
  </si>
  <si>
    <t>Zusätzliche Angaben nach Altersgruppe</t>
  </si>
  <si>
    <t>Gesamtbeitrag je versicherte Person nach Versicherungsform in der OKP ab 2000</t>
  </si>
  <si>
    <t>Gesundheitskosten ausgewählter OECD–Länder ab 2000</t>
  </si>
  <si>
    <t>T 9.16 Erkrankte, Spitaleinweisungen und Spitaltage ab 2000</t>
  </si>
  <si>
    <r>
      <t xml:space="preserve">Erkrankte </t>
    </r>
    <r>
      <rPr>
        <vertAlign val="superscript"/>
        <sz val="11"/>
        <rFont val="Arial"/>
        <family val="2"/>
      </rPr>
      <t>1</t>
    </r>
  </si>
  <si>
    <t>Einwei-</t>
  </si>
  <si>
    <t>Spitaltage</t>
  </si>
  <si>
    <t>sungen</t>
  </si>
  <si>
    <t>1) Anzahl versicherte Personen, welche im Berichtsjahr mindestens einmal ambulante oder stationäre Kosten verursacht haben.</t>
  </si>
  <si>
    <t xml:space="preserve"> (2008: Unvollständige Daten - 79 Versicherer - geschätzte Werte)</t>
  </si>
  <si>
    <t>Quelle: T 9.20</t>
  </si>
  <si>
    <t>T 9.17 Taggeldversicherung KVG / VVG ab 2000 in Mio. Fr.</t>
  </si>
  <si>
    <r>
      <t xml:space="preserve">Prämien </t>
    </r>
    <r>
      <rPr>
        <b/>
        <vertAlign val="superscript"/>
        <sz val="11"/>
        <rFont val="Arial"/>
        <family val="2"/>
      </rPr>
      <t>4</t>
    </r>
  </si>
  <si>
    <r>
      <t xml:space="preserve">Leistungen </t>
    </r>
    <r>
      <rPr>
        <b/>
        <vertAlign val="superscript"/>
        <sz val="11"/>
        <rFont val="Arial"/>
        <family val="2"/>
      </rPr>
      <t>4</t>
    </r>
  </si>
  <si>
    <t>KVG-Versicherer</t>
  </si>
  <si>
    <t>Privat-versicherer</t>
  </si>
  <si>
    <t>freiwillige</t>
  </si>
  <si>
    <r>
      <t xml:space="preserve">VVG </t>
    </r>
    <r>
      <rPr>
        <vertAlign val="superscript"/>
        <sz val="11"/>
        <rFont val="Arial"/>
        <family val="2"/>
      </rPr>
      <t>2</t>
    </r>
  </si>
  <si>
    <r>
      <t xml:space="preserve">KVG </t>
    </r>
    <r>
      <rPr>
        <vertAlign val="superscript"/>
        <sz val="11"/>
        <rFont val="Arial"/>
        <family val="2"/>
      </rPr>
      <t>1</t>
    </r>
  </si>
  <si>
    <t>1) Quelle: T 6.04 Brutto-Prämien [60-65] und bezahlte Leistungen [30-33]. Mit Unfallversicherung.</t>
  </si>
  <si>
    <t>2) Quelle: T 7.03 Krankentaggeld VVG (BAG). Mit Unfallversicherung.</t>
  </si>
  <si>
    <t xml:space="preserve">     (-&gt; 2003: Bundesamt für Privatversicherungen [BPV]. Ohne Unfallversicherung)</t>
  </si>
  <si>
    <t>3) Quelle: Die privaten Versicherungseinrichtungen in der Schweiz (FINMA), Total der Tabelle AS03N [Ohne Unfallversicherung] - Total KVG Versicherer für die VVG Versicherung [Spalte 2].</t>
  </si>
  <si>
    <t xml:space="preserve">    (-&gt; 2007: Die privaten Versicherungseinrichtungen in der Schweiz (BPV), detaillierte Fassung der Tabelle AS03N. Ohne Unfallversicherung)</t>
  </si>
  <si>
    <t xml:space="preserve">    Die Zusatzversicherungen gemäss VVG der KVG-Versicherer (Krankenkassen) sind nicht in diesen Zahlen inbegriffen (siehe Spalte 2).</t>
  </si>
  <si>
    <t>4) Prämien = verdiente Prämien brutto; Leistungen = Zahlungen für Versicherungsfälle.</t>
  </si>
  <si>
    <r>
      <t xml:space="preserve">T 9.18  Krankenversicherung </t>
    </r>
    <r>
      <rPr>
        <b/>
        <vertAlign val="superscript"/>
        <sz val="12"/>
        <rFont val="Arial"/>
        <family val="2"/>
      </rPr>
      <t>1</t>
    </r>
    <r>
      <rPr>
        <b/>
        <sz val="12"/>
        <rFont val="Arial"/>
        <family val="2"/>
      </rPr>
      <t xml:space="preserve"> (KVG-Versicherer und Privatversicherer) ab 2000 in Mio. Fr.</t>
    </r>
  </si>
  <si>
    <r>
      <t xml:space="preserve">Privat-versicherer </t>
    </r>
    <r>
      <rPr>
        <b/>
        <vertAlign val="superscript"/>
        <sz val="11"/>
        <rFont val="Arial"/>
        <family val="2"/>
      </rPr>
      <t>2</t>
    </r>
  </si>
  <si>
    <t>Grund-</t>
  </si>
  <si>
    <r>
      <t>versicherung</t>
    </r>
    <r>
      <rPr>
        <sz val="10"/>
        <rFont val="Arial"/>
        <family val="2"/>
      </rPr>
      <t xml:space="preserve"> </t>
    </r>
    <r>
      <rPr>
        <vertAlign val="superscript"/>
        <sz val="10"/>
        <rFont val="Arial"/>
        <family val="2"/>
      </rPr>
      <t>4</t>
    </r>
  </si>
  <si>
    <r>
      <t xml:space="preserve">sicherung </t>
    </r>
    <r>
      <rPr>
        <vertAlign val="superscript"/>
        <sz val="11"/>
        <rFont val="Arial"/>
        <family val="2"/>
      </rPr>
      <t>3</t>
    </r>
  </si>
  <si>
    <r>
      <t>1) Krankenpflegeversicherung ohne Taggeldversicherung</t>
    </r>
    <r>
      <rPr>
        <sz val="10"/>
        <rFont val="Arial"/>
        <family val="2"/>
      </rPr>
      <t>.</t>
    </r>
  </si>
  <si>
    <t>2) Quelle: Die privaten Versicherungseinrichtungen in der Schweiz (FINMA), Total der Tabelle AS03N [Ohne Unfallversicherung] - Total KVG Versicherer Versicherung VVG [Spalte 2].</t>
  </si>
  <si>
    <t>3) VVG Zusatzversicherungen der KVG-Versicherer (Krankenkassen). Mit Unfallversicherung.</t>
  </si>
  <si>
    <t xml:space="preserve">   Quelle: T 7.03 Brutto-Prämien [60-65] und bezahlte Leistungen [30-33] (BAG) - Krankentaggeld VVG.</t>
  </si>
  <si>
    <t xml:space="preserve">   (-&gt; 2003: Bundesamt für Privatversicherungen [BPV]).</t>
  </si>
  <si>
    <t>4) Quelle: T 1.02 Brutto-Prämien [60-65] und bezahlte Leistungen [30-33]. Mit Unfallversicherung.</t>
  </si>
  <si>
    <t>T 9.19  Gesundheitskosten ausgewählter OECD–Länder ab 2000</t>
  </si>
  <si>
    <t>A. in % des BIP</t>
  </si>
  <si>
    <t>Land</t>
  </si>
  <si>
    <t>Australien</t>
  </si>
  <si>
    <t>Österreich</t>
  </si>
  <si>
    <t>Belgien</t>
  </si>
  <si>
    <t>Dänemark</t>
  </si>
  <si>
    <t>Finnland</t>
  </si>
  <si>
    <t>Frankreich</t>
  </si>
  <si>
    <t>Deutschland</t>
  </si>
  <si>
    <t>Italien</t>
  </si>
  <si>
    <t>Japan</t>
  </si>
  <si>
    <t>Niederlande</t>
  </si>
  <si>
    <t>Norwegen</t>
  </si>
  <si>
    <t>Spanien</t>
  </si>
  <si>
    <t>Schweden</t>
  </si>
  <si>
    <t>Grossbritannien</t>
  </si>
  <si>
    <t>USA</t>
  </si>
  <si>
    <r>
      <t xml:space="preserve">Schweiz * </t>
    </r>
    <r>
      <rPr>
        <b/>
        <vertAlign val="superscript"/>
        <sz val="11"/>
        <rFont val="Arial"/>
        <family val="2"/>
      </rPr>
      <t>1</t>
    </r>
  </si>
  <si>
    <r>
      <t xml:space="preserve">* davon Kosten OKP </t>
    </r>
    <r>
      <rPr>
        <b/>
        <vertAlign val="superscript"/>
        <sz val="11"/>
        <rFont val="Arial"/>
        <family val="2"/>
      </rPr>
      <t>2</t>
    </r>
  </si>
  <si>
    <r>
      <t xml:space="preserve">B. in CHF pro Person </t>
    </r>
    <r>
      <rPr>
        <b/>
        <vertAlign val="superscript"/>
        <sz val="12"/>
        <rFont val="Arial"/>
        <family val="2"/>
      </rPr>
      <t>3</t>
    </r>
  </si>
  <si>
    <t xml:space="preserve">1) 2010: Schätzung. </t>
  </si>
  <si>
    <t xml:space="preserve">2) nur die Kosten im Zusammenhang mit der obligatorischen Krankenpflegeversicherung, also Bruttoleistungen (bezahlte </t>
  </si>
  <si>
    <t xml:space="preserve">    Leistungen und Kostenbeteiligung) sowie Verwaltungskosten und Abschreibungen der KVG-Versicherer. Quelle: T 1.01 / BIP BFS.</t>
  </si>
  <si>
    <t>3) Umrechnung von US$ in CHF mit dem Kurs des betrachteten Jahres, Kaufkraftbereinigt gemäss den OECD-Kaufkraftparitäten.</t>
  </si>
  <si>
    <t>Quelle: www.oecd.org -&gt; Topics: Health -&gt; OECD Health Data 2011 Version: November 2011.</t>
  </si>
  <si>
    <t xml:space="preserve">Topics &gt; OECD &gt; Themes &gt; Health Expenditure and Financing &gt;  total health expenditure &gt; total expenditure HC1-HC9,HCR1; HF1-HF3; HP1-HP9, </t>
  </si>
  <si>
    <t xml:space="preserve">% gross domestic product,    /capita, national currency unit (CH),   /capita, US$ purchasing power parity. </t>
  </si>
  <si>
    <t>Topics &gt; OECD &gt; Themes &gt; National accounts  &gt;  annual National accounts &gt; main aggregates &gt; PPP and exchange rates</t>
  </si>
  <si>
    <t>exchange rate and national currency per US dollar.</t>
  </si>
  <si>
    <t>Datenstand: 15.11.11</t>
  </si>
  <si>
    <t>Datenstand: 1.12.11</t>
  </si>
  <si>
    <t>Datenstand: 14.11.11</t>
  </si>
  <si>
    <t>2008-2009</t>
  </si>
  <si>
    <t>1999-2009</t>
  </si>
  <si>
    <t>9.12.11: 9.01-&gt;9.04, 9.06-&gt;9.08, 9.11-&gt;9.13, 9.15-&gt;9.19</t>
  </si>
  <si>
    <t>Versichertenbestand und Wohnbevölkerung ab 1996</t>
  </si>
  <si>
    <r>
      <t>T 11.04 Versichertenbestand und Wohnbevölkerung</t>
    </r>
    <r>
      <rPr>
        <b/>
        <vertAlign val="superscript"/>
        <sz val="12"/>
        <rFont val="Arial"/>
        <family val="2"/>
      </rPr>
      <t xml:space="preserve"> </t>
    </r>
    <r>
      <rPr>
        <b/>
        <sz val="12"/>
        <rFont val="Arial"/>
        <family val="2"/>
      </rPr>
      <t>ab 1996</t>
    </r>
  </si>
  <si>
    <t>Durchschnittlicher</t>
  </si>
  <si>
    <t xml:space="preserve"> per 1.1</t>
  </si>
  <si>
    <t xml:space="preserve"> per 31.12</t>
  </si>
  <si>
    <t>Wohnbevölke-</t>
  </si>
  <si>
    <r>
      <t xml:space="preserve">EF </t>
    </r>
    <r>
      <rPr>
        <vertAlign val="superscript"/>
        <sz val="11"/>
        <rFont val="Arial"/>
        <family val="2"/>
      </rPr>
      <t>1</t>
    </r>
  </si>
  <si>
    <r>
      <t xml:space="preserve">RA </t>
    </r>
    <r>
      <rPr>
        <vertAlign val="superscript"/>
        <sz val="11"/>
        <rFont val="Arial"/>
        <family val="2"/>
      </rPr>
      <t>2</t>
    </r>
  </si>
  <si>
    <r>
      <t xml:space="preserve">EF </t>
    </r>
    <r>
      <rPr>
        <vertAlign val="superscript"/>
        <sz val="11"/>
        <rFont val="Arial"/>
        <family val="2"/>
      </rPr>
      <t>3</t>
    </r>
  </si>
  <si>
    <r>
      <t xml:space="preserve">rung BFS </t>
    </r>
    <r>
      <rPr>
        <vertAlign val="superscript"/>
        <sz val="11"/>
        <rFont val="Arial"/>
        <family val="2"/>
      </rPr>
      <t>4</t>
    </r>
  </si>
  <si>
    <t>1) Durchschnittlicher Versichertenbestand im Formular EF123: Stand aller Monate zusammengezählt und geteilt durch 12.</t>
  </si>
  <si>
    <t xml:space="preserve">2) Für den Risikoausgleich (RA) gelten im Vergleich zu den EF123-Formularen zum Teil unterschiedliche Regelungen in Bezug auf die </t>
  </si>
  <si>
    <t>gegenüber den Angaben im Formular EF123 der Versicherer.</t>
  </si>
  <si>
    <t xml:space="preserve">Mit dem in Kraft treten des Personenfreizügigkeitsabkommens mit den EG-Staaten bzw. dem revidierten </t>
  </si>
  <si>
    <t>welche Wohnsitz in einem EG-Staat bzw. in Island oder Norwegen haben.</t>
  </si>
  <si>
    <t xml:space="preserve">Mit der Änderung vom 16. Dezember 2005 des Asylgesetzes vom 26. Juni 1998 (Artikel 82a Asylgesetz) sowie des KVG (Artikel 105a) wurden </t>
  </si>
  <si>
    <t xml:space="preserve">Asylsuchende, vorläufig Aufgenommene und Schutzbedürftige ohne Aufenthaltsbewilligung, welche sich in der Schweiz aufhalten und Sozialhilfe </t>
  </si>
  <si>
    <t xml:space="preserve">beziehen, vom massgebenden Versichertenbestand des Risikoausgleichs (Art. 4 Abs. 1 VORA) ausgenommen. Die Änderung ist per 1. Januar </t>
  </si>
  <si>
    <t xml:space="preserve">2007 in Kraft getreten. In den Daten des Jahres 2007 sind diese Versicherten somit erstmals nicht berücksichtigt. Diese Änderung gilt nicht für </t>
  </si>
  <si>
    <t>anerkannte Flüchtlinge (Personen mit positivem Asylentscheid) sowie für "Sans-Papiers".</t>
  </si>
  <si>
    <t>3) Versichertenbestand per 1.1 und per 31.12. im Formular EF123.</t>
  </si>
  <si>
    <t>4) Durchschnittliche Wohnbevölkerung in einem bestimmten Gebiet nach wirtschaftlichem Wohnsitz (BFS).</t>
  </si>
  <si>
    <t>Quelle:  T 11.01, Statistik des Risikoausgleiches - Gemeinsame Einrichtung KVG, T 11.12, T 11.02, T 9.10</t>
  </si>
  <si>
    <t>T 9.14 Index der Krankenpflegekosten, der Krankenversicherungsausgaben der Versicherten sowie der Löhne ab 1996  (1996 = 100)</t>
  </si>
  <si>
    <t>Pflege-</t>
  </si>
  <si>
    <t>Gesundheits-</t>
  </si>
  <si>
    <t>Ausgaben der</t>
  </si>
  <si>
    <t>OKP-</t>
  </si>
  <si>
    <t>BFS-Lohn-</t>
  </si>
  <si>
    <t>kosten-</t>
  </si>
  <si>
    <t>wesen Kosten-</t>
  </si>
  <si>
    <t>Versicherten</t>
  </si>
  <si>
    <r>
      <t xml:space="preserve">index </t>
    </r>
    <r>
      <rPr>
        <vertAlign val="superscript"/>
        <sz val="11"/>
        <rFont val="Arial"/>
        <family val="2"/>
      </rPr>
      <t>5</t>
    </r>
  </si>
  <si>
    <t>index</t>
  </si>
  <si>
    <r>
      <t xml:space="preserve">index </t>
    </r>
    <r>
      <rPr>
        <vertAlign val="superscript"/>
        <sz val="11"/>
        <rFont val="Arial"/>
        <family val="2"/>
      </rPr>
      <t>2</t>
    </r>
  </si>
  <si>
    <t>in der OKP</t>
  </si>
  <si>
    <t>OKP</t>
  </si>
  <si>
    <t>(nominal)</t>
  </si>
  <si>
    <r>
      <t xml:space="preserve">OKP </t>
    </r>
    <r>
      <rPr>
        <vertAlign val="superscript"/>
        <sz val="11"/>
        <rFont val="Arial"/>
        <family val="2"/>
      </rPr>
      <t>1</t>
    </r>
  </si>
  <si>
    <r>
      <t xml:space="preserve">Index </t>
    </r>
    <r>
      <rPr>
        <vertAlign val="superscript"/>
        <sz val="11"/>
        <rFont val="Arial"/>
        <family val="2"/>
      </rPr>
      <t>3</t>
    </r>
  </si>
  <si>
    <r>
      <t xml:space="preserve">Index </t>
    </r>
    <r>
      <rPr>
        <vertAlign val="superscript"/>
        <sz val="11"/>
        <rFont val="Arial"/>
        <family val="2"/>
      </rPr>
      <t>6</t>
    </r>
  </si>
  <si>
    <r>
      <t xml:space="preserve">Index </t>
    </r>
    <r>
      <rPr>
        <vertAlign val="superscript"/>
        <sz val="11"/>
        <rFont val="Arial"/>
        <family val="2"/>
      </rPr>
      <t>4</t>
    </r>
  </si>
  <si>
    <t>1) Quelle: T 2.15. Entwicklung der Leistungen pro Versicherte(n) (erfasst mit der Kostenbeteiligung der Versicherten).</t>
  </si>
  <si>
    <r>
      <t xml:space="preserve">2) Quelle: T 9.05. Entwicklung pro Einwohner. </t>
    </r>
    <r>
      <rPr>
        <i/>
        <sz val="10"/>
        <rFont val="Arial"/>
        <family val="2"/>
      </rPr>
      <t>2010: Schätzung [KOF, Medienmitteilung 11/11]. Vom BFS revidierte Werte für 2008 (9/11).</t>
    </r>
  </si>
  <si>
    <t>3) Quelle: T 9.15. OKP Ausgaben = Prämien + Kostenbeteiligung (berücksichtigt nur die beim Versicherer eingereichten Rechnungen).</t>
  </si>
  <si>
    <t>4) Quelle: T 2.02. Berücksichtigt nur die bei dem Versicherer eingereichten Rechnungen.</t>
  </si>
  <si>
    <t>5) Quelle: BFS, Sektion Löhne und Arbeitsbedingungen.</t>
  </si>
  <si>
    <t>6) Quelle: T 3.12. Entwicklung pro versicherte Person für alle Versicherungsmodelle.</t>
  </si>
  <si>
    <r>
      <t xml:space="preserve">T 9.05 Finanzierung des Gesundheitswesens in der Schweiz aus der Sicht der Volkswirtschaft </t>
    </r>
    <r>
      <rPr>
        <b/>
        <vertAlign val="superscript"/>
        <sz val="12"/>
        <rFont val="Arial"/>
        <family val="2"/>
      </rPr>
      <t>5</t>
    </r>
    <r>
      <rPr>
        <b/>
        <sz val="12"/>
        <rFont val="Arial"/>
        <family val="2"/>
      </rPr>
      <t xml:space="preserve"> in Mio. Fr. und Kosten pro Einwohner in Fr. ab 1999</t>
    </r>
  </si>
  <si>
    <t>Unter-</t>
  </si>
  <si>
    <t>Total pro</t>
  </si>
  <si>
    <r>
      <t xml:space="preserve">nehmungen </t>
    </r>
    <r>
      <rPr>
        <vertAlign val="superscript"/>
        <sz val="11"/>
        <rFont val="Arial"/>
        <family val="2"/>
      </rPr>
      <t>2</t>
    </r>
  </si>
  <si>
    <r>
      <t xml:space="preserve">Haushalte </t>
    </r>
    <r>
      <rPr>
        <vertAlign val="superscript"/>
        <sz val="11"/>
        <rFont val="Arial"/>
        <family val="2"/>
      </rPr>
      <t>3</t>
    </r>
  </si>
  <si>
    <r>
      <t xml:space="preserve">Einwohner </t>
    </r>
    <r>
      <rPr>
        <vertAlign val="superscript"/>
        <sz val="11"/>
        <rFont val="Arial"/>
        <family val="2"/>
      </rPr>
      <t>6</t>
    </r>
  </si>
  <si>
    <r>
      <t xml:space="preserve">2010 </t>
    </r>
    <r>
      <rPr>
        <i/>
        <vertAlign val="superscript"/>
        <sz val="11"/>
        <rFont val="Arial"/>
        <family val="2"/>
      </rPr>
      <t>4</t>
    </r>
  </si>
  <si>
    <r>
      <t xml:space="preserve">2011 </t>
    </r>
    <r>
      <rPr>
        <i/>
        <vertAlign val="superscript"/>
        <sz val="11"/>
        <rFont val="Arial"/>
        <family val="2"/>
      </rPr>
      <t>4</t>
    </r>
  </si>
  <si>
    <r>
      <t xml:space="preserve">2012 </t>
    </r>
    <r>
      <rPr>
        <i/>
        <vertAlign val="superscript"/>
        <sz val="11"/>
        <rFont val="Arial"/>
        <family val="2"/>
      </rPr>
      <t>4</t>
    </r>
  </si>
  <si>
    <t>1) Beiträge an Leistungserbringer; Gesundheitswesen,Verwaltung und Prävention; Verbilligung KVG-Prämien; Andere Soziale Sicherheit.</t>
  </si>
  <si>
    <t>2) Unfallversicherung UVG und AHV-IV: Beiträge und Prämien der Arbeitgeber, der Arbeitnehmer und der Selbständigerwerbenden.</t>
  </si>
  <si>
    <t>3) Aufwand der Krankenversicherung (Betrag der Zahlungen der Krankenversicherung an das Gesundheitswesen, abzüglich Beiträge</t>
  </si>
  <si>
    <t xml:space="preserve"> an die Versicherten für die Prämienverbilligung); Kostenbeteiligung; "Out of pocket"; Andere private Finanzierung.</t>
  </si>
  <si>
    <t>4) Schätzung KOF Konjunkturforschungsstelle ETHZ [Medienmitteilung 11/11].</t>
  </si>
  <si>
    <r>
      <t>5) Neue BFS-Berechnungsmethode im 2008 -&gt; vom BFS revidierte Werte für 1996-&gt;2006.</t>
    </r>
    <r>
      <rPr>
        <i/>
        <sz val="10"/>
        <rFont val="Arial"/>
        <family val="2"/>
      </rPr>
      <t xml:space="preserve"> Vom BFS revidierte Werte für 2008 (9/11).</t>
    </r>
  </si>
  <si>
    <t>6) Anzahl Einwohner: durchschnittliche Wohnbevölkerung in einem bestimmten Gebiet nach wirtschaftlichem Wohnsitz (vgl. T 9.09 und 9.10).</t>
  </si>
  <si>
    <t>T 9.10  Entwicklung der Wohnbevölkerung, der Ärzte mit Praxistätigkeit und der Apotheken ab 2000</t>
  </si>
  <si>
    <t xml:space="preserve"> Ärzte-</t>
  </si>
  <si>
    <r>
      <t xml:space="preserve">Veränderung </t>
    </r>
    <r>
      <rPr>
        <vertAlign val="superscript"/>
        <sz val="11"/>
        <rFont val="Arial"/>
        <family val="2"/>
      </rPr>
      <t>3</t>
    </r>
  </si>
  <si>
    <t>Apo-</t>
  </si>
  <si>
    <t>Wohn-</t>
  </si>
  <si>
    <r>
      <t xml:space="preserve">Ärzte </t>
    </r>
    <r>
      <rPr>
        <vertAlign val="superscript"/>
        <sz val="11"/>
        <rFont val="Arial"/>
        <family val="2"/>
      </rPr>
      <t>1</t>
    </r>
  </si>
  <si>
    <r>
      <t xml:space="preserve">dichte </t>
    </r>
    <r>
      <rPr>
        <vertAlign val="superscript"/>
        <sz val="11"/>
        <rFont val="Arial"/>
        <family val="2"/>
      </rPr>
      <t>2</t>
    </r>
  </si>
  <si>
    <t>Apothe-</t>
  </si>
  <si>
    <t>theken-</t>
  </si>
  <si>
    <t>bevölke-</t>
  </si>
  <si>
    <r>
      <t xml:space="preserve">ken </t>
    </r>
    <r>
      <rPr>
        <vertAlign val="superscript"/>
        <sz val="11"/>
        <rFont val="Arial"/>
        <family val="2"/>
      </rPr>
      <t>1</t>
    </r>
  </si>
  <si>
    <r>
      <t xml:space="preserve">dichte </t>
    </r>
    <r>
      <rPr>
        <vertAlign val="superscript"/>
        <sz val="11"/>
        <rFont val="Arial"/>
        <family val="2"/>
      </rPr>
      <t>4</t>
    </r>
  </si>
  <si>
    <r>
      <t xml:space="preserve">rung </t>
    </r>
    <r>
      <rPr>
        <vertAlign val="superscript"/>
        <sz val="11"/>
        <rFont val="Arial"/>
        <family val="2"/>
      </rPr>
      <t>1</t>
    </r>
  </si>
  <si>
    <t>1) Quelle: T 9.09.</t>
  </si>
  <si>
    <t xml:space="preserve">    Ab 2008 ohne die Ärzte, die weder im ambulanten noch im stationären Sektor arbeiten (Versicherungen, Bundesverwaltung usw.).</t>
  </si>
  <si>
    <t>2) Anzahl Ärzte mit Praxistätigkeit pro 1'000 Einwohner.</t>
  </si>
  <si>
    <t>3) Veränderung der Dichte.</t>
  </si>
  <si>
    <t>4) Anzahl Apotheken (öffentliche Apotheken) pro 10'000 Einwohner.</t>
  </si>
  <si>
    <r>
      <t xml:space="preserve">T 9.09  Wohnbevölkerung, Ärzte mit Praxistätigkeit </t>
    </r>
    <r>
      <rPr>
        <b/>
        <sz val="12"/>
        <rFont val="Arial"/>
        <family val="2"/>
      </rPr>
      <t xml:space="preserve">und Apotheken nach Kanton </t>
    </r>
  </si>
  <si>
    <t>Ärzte:</t>
  </si>
  <si>
    <t>Medika-</t>
  </si>
  <si>
    <t>Allge-</t>
  </si>
  <si>
    <t>Spezial-</t>
  </si>
  <si>
    <t>Ärzte mit</t>
  </si>
  <si>
    <r>
      <t xml:space="preserve">dichte </t>
    </r>
    <r>
      <rPr>
        <vertAlign val="superscript"/>
        <sz val="11"/>
        <rFont val="Arial"/>
        <family val="2"/>
      </rPr>
      <t>5</t>
    </r>
  </si>
  <si>
    <t>menten-</t>
  </si>
  <si>
    <t>mein-</t>
  </si>
  <si>
    <t>ärzte</t>
  </si>
  <si>
    <t>Praxistä-</t>
  </si>
  <si>
    <r>
      <t>ken</t>
    </r>
    <r>
      <rPr>
        <vertAlign val="superscript"/>
        <sz val="11"/>
        <rFont val="Arial"/>
        <family val="2"/>
      </rPr>
      <t xml:space="preserve"> 6</t>
    </r>
  </si>
  <si>
    <r>
      <t xml:space="preserve">verkauf </t>
    </r>
    <r>
      <rPr>
        <vertAlign val="superscript"/>
        <sz val="11"/>
        <rFont val="Arial"/>
        <family val="2"/>
      </rPr>
      <t>8</t>
    </r>
  </si>
  <si>
    <r>
      <t xml:space="preserve">dichte </t>
    </r>
    <r>
      <rPr>
        <vertAlign val="superscript"/>
        <sz val="11"/>
        <rFont val="Arial"/>
        <family val="2"/>
      </rPr>
      <t>7</t>
    </r>
  </si>
  <si>
    <r>
      <t xml:space="preserve">praktiker </t>
    </r>
    <r>
      <rPr>
        <vertAlign val="superscript"/>
        <sz val="11"/>
        <rFont val="Arial"/>
        <family val="2"/>
      </rPr>
      <t>2</t>
    </r>
  </si>
  <si>
    <r>
      <t xml:space="preserve">FMH </t>
    </r>
    <r>
      <rPr>
        <vertAlign val="superscript"/>
        <sz val="11"/>
        <rFont val="Arial"/>
        <family val="2"/>
      </rPr>
      <t>3</t>
    </r>
  </si>
  <si>
    <r>
      <t xml:space="preserve">tigkeit </t>
    </r>
    <r>
      <rPr>
        <vertAlign val="superscript"/>
        <sz val="11"/>
        <rFont val="Arial"/>
        <family val="2"/>
      </rPr>
      <t>4</t>
    </r>
  </si>
  <si>
    <t>1) Durchschnittliche Wohnbevölkerung in einem bestimmten Gebiet nach wirtschaftlichem Wohnsitz.</t>
  </si>
  <si>
    <t xml:space="preserve">    Quelle: BFS Sektion Bevölkerungsentwicklung.</t>
  </si>
  <si>
    <t>2) Summe der Ärzte (mit Praxistätigkeit) mit Facharzttitel in Allgemeinmedizin und der Ärzte (mit Praxistätigkeit) ohne Facharzttitel.</t>
  </si>
  <si>
    <t xml:space="preserve">    Inklusiv Fachärzte für innere Medizin, die als Grundversorger tätig sind.</t>
  </si>
  <si>
    <t>3) Ohne Fachärzte für innere Medizin, die als Grundversorger tätig sind.</t>
  </si>
  <si>
    <t>4) Quelle: FMH, Ärztestatistik.</t>
  </si>
  <si>
    <t>5) Anzahl Ärzte mit Praxistätigkeit pro 1'000 Einwohner.</t>
  </si>
  <si>
    <t>6) Quelle: pharmaSuisse, Schweizerischer Apothekerverein SAV.</t>
  </si>
  <si>
    <t>7) Anzahl Apotheken (öffentliche Apotheken) pro 10'000 Einwohner.</t>
  </si>
  <si>
    <t>8) Selbstdispensation (Medikamentenverkauf durch Ärzte): 1: flächendeckend im Kanton / 2: Mischformen / 3: reines Rezeptursystem.</t>
  </si>
  <si>
    <t xml:space="preserve">    Quelle: pharmaSuisse, Schweizerischer Apothekerverein SAV.</t>
  </si>
  <si>
    <t>Datenstand: 9.12.11</t>
  </si>
  <si>
    <t>Quelle: 1996-2009: Statistisches Lexikon BFS, Kosten des Gesundheitswesens / 2010: Prognose der Gesundheitsausgaben, KOF / T 9.10.</t>
  </si>
  <si>
    <t>21.12.11: 9.05, 9.09, 9.10, 9.14, 11.04</t>
  </si>
  <si>
    <t>28.9.11: 7.01-&gt;7.05, 8.01-&gt;8.12, 11.05-&gt;11.07, 11.13</t>
  </si>
  <si>
    <t>13.1.12: 11.10 -&gt; 11.12</t>
  </si>
  <si>
    <r>
      <t xml:space="preserve">T 2.11 Kostenbeteiligung </t>
    </r>
    <r>
      <rPr>
        <b/>
        <vertAlign val="superscript"/>
        <sz val="12"/>
        <rFont val="Arial"/>
        <family val="2"/>
      </rPr>
      <t xml:space="preserve">1 </t>
    </r>
    <r>
      <rPr>
        <b/>
        <sz val="12"/>
        <rFont val="Arial"/>
        <family val="2"/>
      </rPr>
      <t>nach Altersklasse und Geschlecht</t>
    </r>
  </si>
  <si>
    <t>in Fr. pro</t>
  </si>
  <si>
    <t>Quelle: Formular EF 3.17 und 3.11 (-&gt;2008: Statistik des Risikoausgleiches - Gemeinsame Einrichtung KVG)</t>
  </si>
  <si>
    <r>
      <t xml:space="preserve">T 2.09 Nettoleistungen </t>
    </r>
    <r>
      <rPr>
        <b/>
        <vertAlign val="superscript"/>
        <sz val="12"/>
        <rFont val="Arial"/>
        <family val="2"/>
      </rPr>
      <t xml:space="preserve">1 </t>
    </r>
    <r>
      <rPr>
        <b/>
        <sz val="12"/>
        <rFont val="Arial"/>
        <family val="2"/>
      </rPr>
      <t>nach Altersklasse und Geschlecht</t>
    </r>
  </si>
  <si>
    <t>Quelle: T 2.06 - T 2.11  (-&gt;2008: Statistik des Risikoausgleiches - Gemeinsame Einrichtung KVG)</t>
  </si>
  <si>
    <r>
      <t xml:space="preserve">T 2.06 Bruttoleistungen </t>
    </r>
    <r>
      <rPr>
        <b/>
        <vertAlign val="superscript"/>
        <sz val="12"/>
        <rFont val="Arial"/>
        <family val="2"/>
      </rPr>
      <t xml:space="preserve">1 </t>
    </r>
    <r>
      <rPr>
        <b/>
        <sz val="12"/>
        <rFont val="Arial"/>
        <family val="2"/>
      </rPr>
      <t>nach Altersklasse und Geschlecht</t>
    </r>
  </si>
  <si>
    <t>Quelle: Formular EF 3.20 und 3.11 (-&gt;2008: Statistik des Risikoausgleiches - Gemeinsame Einrichtung KVG)</t>
  </si>
  <si>
    <r>
      <t>Alters</t>
    </r>
    <r>
      <rPr>
        <sz val="11"/>
        <color indexed="10"/>
        <rFont val="Arial"/>
        <family val="2"/>
      </rPr>
      <t>klasse</t>
    </r>
  </si>
  <si>
    <t xml:space="preserve">Versicherteneintritte und Versichertenaustritte KVG nach Alter und Geschlecht </t>
  </si>
  <si>
    <t>Versichertenbestand KVG nach Geschlecht im 2009, 2010 und 2011</t>
  </si>
  <si>
    <t>Durchschnittlicher Versichertenbestand KVG und Durchschnittsalter der Versicherten</t>
  </si>
  <si>
    <t xml:space="preserve">T 11.10  Versicherteneintritte und Versichertenaustritte KVG nach Alter und Geschlecht </t>
  </si>
  <si>
    <t xml:space="preserve">a. Versicherteneintritte </t>
  </si>
  <si>
    <t xml:space="preserve">In % des durch- </t>
  </si>
  <si>
    <t>schnittlichen Ver-</t>
  </si>
  <si>
    <t>sichertenbestandes</t>
  </si>
  <si>
    <t>E</t>
  </si>
  <si>
    <t>* davon Neugeborene</t>
  </si>
  <si>
    <t>F</t>
  </si>
  <si>
    <r>
      <t xml:space="preserve">* davon Eintritte </t>
    </r>
    <r>
      <rPr>
        <i/>
        <vertAlign val="superscript"/>
        <sz val="11"/>
        <rFont val="Arial"/>
        <family val="2"/>
      </rPr>
      <t>1</t>
    </r>
    <r>
      <rPr>
        <i/>
        <sz val="11"/>
        <rFont val="Arial"/>
        <family val="2"/>
      </rPr>
      <t xml:space="preserve"> am 1.1.10</t>
    </r>
  </si>
  <si>
    <t xml:space="preserve">b. Versichertenaustritte </t>
  </si>
  <si>
    <t>G</t>
  </si>
  <si>
    <t>* davon gestorben</t>
  </si>
  <si>
    <t>H</t>
  </si>
  <si>
    <r>
      <t xml:space="preserve">* davon Austritte </t>
    </r>
    <r>
      <rPr>
        <i/>
        <vertAlign val="superscript"/>
        <sz val="11"/>
        <rFont val="Arial"/>
        <family val="2"/>
      </rPr>
      <t>1</t>
    </r>
    <r>
      <rPr>
        <i/>
        <sz val="11"/>
        <rFont val="Arial"/>
        <family val="2"/>
      </rPr>
      <t xml:space="preserve"> am 31.12.10</t>
    </r>
  </si>
  <si>
    <t>J</t>
  </si>
  <si>
    <t xml:space="preserve">Siehe Grafik G 11d     ↑   </t>
  </si>
  <si>
    <t>Quelle: Formular EF 3.8.3 (a), 3.8.4 (b) und T 11.13</t>
  </si>
  <si>
    <r>
      <rPr>
        <sz val="10"/>
        <rFont val="Arial"/>
        <family val="2"/>
      </rPr>
      <t>1) C und J:</t>
    </r>
    <r>
      <rPr>
        <i/>
        <sz val="10"/>
        <rFont val="Arial"/>
        <family val="2"/>
      </rPr>
      <t xml:space="preserve"> Schätzungen BAG.</t>
    </r>
  </si>
  <si>
    <t>T 11.12 Versichertenbestand KVG nach Geschlecht 2009, 2010 und 2011</t>
  </si>
  <si>
    <t>a. Versichertenbestand am 1.1.11</t>
  </si>
  <si>
    <r>
      <t xml:space="preserve">Total </t>
    </r>
    <r>
      <rPr>
        <b/>
        <vertAlign val="superscript"/>
        <sz val="11"/>
        <rFont val="Arial"/>
        <family val="2"/>
      </rPr>
      <t>1</t>
    </r>
  </si>
  <si>
    <t>L</t>
  </si>
  <si>
    <r>
      <t xml:space="preserve">* davon Eintritte </t>
    </r>
    <r>
      <rPr>
        <i/>
        <vertAlign val="superscript"/>
        <sz val="11"/>
        <rFont val="Arial"/>
        <family val="2"/>
      </rPr>
      <t>2</t>
    </r>
    <r>
      <rPr>
        <i/>
        <sz val="11"/>
        <rFont val="Arial"/>
        <family val="2"/>
      </rPr>
      <t xml:space="preserve"> am 1.1.11</t>
    </r>
  </si>
  <si>
    <t>K</t>
  </si>
  <si>
    <t>b. Versichertenbestand am 31.12.09</t>
  </si>
  <si>
    <t>* davon Austritte am 31.12.09</t>
  </si>
  <si>
    <t>c. Versichertenbestand am 31.12.10</t>
  </si>
  <si>
    <t>I</t>
  </si>
  <si>
    <t>d. Versichertenbestand am 1.1.10</t>
  </si>
  <si>
    <t xml:space="preserve">Siehe Grafik G 11d    ↑   </t>
  </si>
  <si>
    <t>Quelle: Formular EF 3.8.2 (a), EF 3.1 2009 (A), 3.8.5 (B), EF 3.1 (I), T 11.12 STAT 2009 (D)</t>
  </si>
  <si>
    <t xml:space="preserve">1) Versichertenbestand KVG, Personen mit Wohnsitz in der Schweiz und schweizerischer Prämie </t>
  </si>
  <si>
    <t>(inkl. Versicherte gemäss Art. 4 und 5 KVV).</t>
  </si>
  <si>
    <r>
      <t>2) K:</t>
    </r>
    <r>
      <rPr>
        <i/>
        <sz val="10"/>
        <rFont val="Arial"/>
        <family val="2"/>
      </rPr>
      <t xml:space="preserve"> Schätzungen BAG.</t>
    </r>
  </si>
  <si>
    <r>
      <t>T 11.11  Zahlungsausstände für OKP-Prämien</t>
    </r>
    <r>
      <rPr>
        <b/>
        <vertAlign val="superscript"/>
        <sz val="12"/>
        <rFont val="Arial"/>
        <family val="2"/>
      </rPr>
      <t xml:space="preserve"> </t>
    </r>
    <r>
      <rPr>
        <b/>
        <sz val="12"/>
        <rFont val="Arial"/>
        <family val="2"/>
      </rPr>
      <t>ab 2000</t>
    </r>
  </si>
  <si>
    <t xml:space="preserve">Versicherte </t>
  </si>
  <si>
    <t>Prämienvolumen</t>
  </si>
  <si>
    <t>Versicherte mit</t>
  </si>
  <si>
    <r>
      <t xml:space="preserve">mit Betreibung </t>
    </r>
    <r>
      <rPr>
        <vertAlign val="superscript"/>
        <sz val="11"/>
        <rFont val="Arial"/>
        <family val="2"/>
      </rPr>
      <t>1</t>
    </r>
  </si>
  <si>
    <t>pro Betreibung</t>
  </si>
  <si>
    <t>sistierten</t>
  </si>
  <si>
    <t>pro Versicherten</t>
  </si>
  <si>
    <r>
      <t xml:space="preserve"> in Franken </t>
    </r>
    <r>
      <rPr>
        <i/>
        <vertAlign val="superscript"/>
        <sz val="11"/>
        <rFont val="Arial"/>
        <family val="2"/>
      </rPr>
      <t>2</t>
    </r>
  </si>
  <si>
    <r>
      <t xml:space="preserve"> Leistungen </t>
    </r>
    <r>
      <rPr>
        <vertAlign val="superscript"/>
        <sz val="11"/>
        <rFont val="Arial"/>
        <family val="2"/>
      </rPr>
      <t>3</t>
    </r>
  </si>
  <si>
    <t xml:space="preserve"> mit sistierten Leis-</t>
  </si>
  <si>
    <r>
      <t xml:space="preserve"> tungen in Franken </t>
    </r>
    <r>
      <rPr>
        <i/>
        <vertAlign val="superscript"/>
        <sz val="11"/>
        <rFont val="Arial"/>
        <family val="2"/>
      </rPr>
      <t>4, 5</t>
    </r>
  </si>
  <si>
    <t>Quelle: Formular EF 3.10.4</t>
  </si>
  <si>
    <t xml:space="preserve">1) Anzahl Versicherte, die im betrachteten Jahr betrieben wurden sowie das den Betreibungen unterliegende Prämienvolumen, </t>
  </si>
  <si>
    <t xml:space="preserve">    unabhängig davon, ob die Prämien schlussendlich durch das Betreibungsverfahren eingebracht werden konnten. </t>
  </si>
  <si>
    <t xml:space="preserve">    Daten teilweise unvollständig (siehe Punkt 2).</t>
  </si>
  <si>
    <t>2) Schätzungen aufgrund der Versicherer, die vollständige Angaben &lt;&gt; 0 geliefert haben (Versicherer: 2005-&gt;2010: 70-75-82-79-75-79).</t>
  </si>
  <si>
    <t>3) „Versicherte mit sistierten Leistungen“ sind Versicherte für die ein Leistungsstopp verhängt wurde, weil sie ihre Prämien nicht bezahlt haben.</t>
  </si>
  <si>
    <t xml:space="preserve">4) Angegeben ist auch das Total der ausstehenden Prämien dieser Versicherten in Franken. </t>
  </si>
  <si>
    <t xml:space="preserve">     Personen, die Militärdienst leisten und deshalb sistiert wurden, sind in dieser Tabelle nicht aufgeführt.</t>
  </si>
  <si>
    <t xml:space="preserve">     Daten teilweise unvollständig (siehe Punkt 5).</t>
  </si>
  <si>
    <t>5) Schätzungen aufgrund der Versicherer, die vollständige Angaben &lt;&gt; 0 geliefert haben (Versicherer: 2005-&gt;2010: 22-50-56-53-57-60).</t>
  </si>
  <si>
    <r>
      <t xml:space="preserve">T 11.13 Durchschnittlicher Versichertenbestand </t>
    </r>
    <r>
      <rPr>
        <b/>
        <vertAlign val="superscript"/>
        <sz val="12"/>
        <rFont val="Arial"/>
        <family val="2"/>
      </rPr>
      <t>1</t>
    </r>
    <r>
      <rPr>
        <b/>
        <sz val="12"/>
        <rFont val="Arial"/>
        <family val="2"/>
      </rPr>
      <t xml:space="preserve"> und Durchschnittsalter </t>
    </r>
    <r>
      <rPr>
        <b/>
        <sz val="12"/>
        <color indexed="10"/>
        <rFont val="Arial"/>
        <family val="2"/>
      </rPr>
      <t>der Versicherten</t>
    </r>
    <r>
      <rPr>
        <b/>
        <sz val="12"/>
        <rFont val="Arial"/>
        <family val="2"/>
      </rPr>
      <t xml:space="preserve"> der obligatorischen Krankenpflegeversicherung gemäss Art. 29 KVV</t>
    </r>
  </si>
  <si>
    <r>
      <t xml:space="preserve">a. KVG-Versicherte mit Wohnsitz in der Schweiz und mit schweizerischer Prämie (inkl. Versicherte gemäss Art. 4 und 5 KVV) </t>
    </r>
    <r>
      <rPr>
        <b/>
        <vertAlign val="superscript"/>
        <sz val="12"/>
        <rFont val="55 Helvetica Roman"/>
      </rPr>
      <t>2</t>
    </r>
  </si>
  <si>
    <t>Durchschnittsalter</t>
  </si>
  <si>
    <r>
      <t xml:space="preserve">b. KVG-Versicherte mit Wohnsitz in einem EG-Staat, in Island oder in Norwegen, inklusive Grenzgänger </t>
    </r>
    <r>
      <rPr>
        <b/>
        <vertAlign val="superscript"/>
        <sz val="12"/>
        <rFont val="Arial"/>
        <family val="2"/>
      </rPr>
      <t>3</t>
    </r>
  </si>
  <si>
    <r>
      <t xml:space="preserve">c. KVG-Versicherte mit Wohnsitz in einem EG-Staat, in Island oder in Norwegen, nur Grenzgänger </t>
    </r>
    <r>
      <rPr>
        <b/>
        <vertAlign val="superscript"/>
        <sz val="12"/>
        <rFont val="Arial"/>
        <family val="2"/>
      </rPr>
      <t>4</t>
    </r>
  </si>
  <si>
    <t>1) Durchschnittsbestand = Stand aller Monate zusammengezählt und geteilt durch 12.</t>
  </si>
  <si>
    <t>2) Versichertenbestand per 31.12: siehe T 11.02.</t>
  </si>
  <si>
    <t>3) Betriebsrechnung: siehe T 1.07.</t>
  </si>
  <si>
    <t>4) Grenzgänger, sowie ihre nichterwerbstätigen Familienangehörigen (Versicherte gemäss Art. 3 KVV).</t>
  </si>
  <si>
    <t>Quelle: A: Formular EF 3.1 und 3.8.1 / B: Formular EF 1.12 D / C: Formular EF 1.12 E</t>
  </si>
  <si>
    <t>13.1.12: 2.06, 2.09, 2.11, 11.13</t>
  </si>
  <si>
    <t>201-226</t>
  </si>
  <si>
    <t>Nettoleistungen je versicherte Person nach Kanton ab 1996</t>
  </si>
  <si>
    <t>Bruttoleistungen je versicherte Person nach Kanton</t>
  </si>
  <si>
    <t>Nettoleistungen je versicherte Person nach Versicherungsform</t>
  </si>
  <si>
    <t>Nettoleistungen je versicherte Person nach Kanton</t>
  </si>
  <si>
    <t>Kostenbeteiligung je versicherte Person nach Kanton</t>
  </si>
  <si>
    <t>Bruttoleistungen je versicherte Person nach Kanton ab 1996</t>
  </si>
  <si>
    <t>Kostenbeteiligung je versicherte Person nach Kanton ab 1996</t>
  </si>
  <si>
    <r>
      <t xml:space="preserve">T 2.03 Nettoleistungen </t>
    </r>
    <r>
      <rPr>
        <b/>
        <vertAlign val="superscript"/>
        <sz val="12"/>
        <rFont val="Arial"/>
        <family val="2"/>
      </rPr>
      <t xml:space="preserve">1 2 </t>
    </r>
    <r>
      <rPr>
        <b/>
        <sz val="12"/>
        <rFont val="Arial"/>
        <family val="2"/>
      </rPr>
      <t xml:space="preserve"> je versicherte Person nach Kanton in Franken ab 1996</t>
    </r>
  </si>
  <si>
    <r>
      <t xml:space="preserve">1999 -&gt; 2008: Prämiengenehmigungsverfahren BAG, Werte korrigiert auf der Basis des CH-Bestandes in T 1.01 / 2009 -&gt;: T 2.12  </t>
    </r>
    <r>
      <rPr>
        <i/>
        <sz val="10"/>
        <rFont val="Arial"/>
        <family val="2"/>
      </rPr>
      <t>(Werte 1996 -&gt; 2008 revidiert)</t>
    </r>
  </si>
  <si>
    <t>1) Für alle Versicherten für alle Versicherungsformen.</t>
  </si>
  <si>
    <r>
      <t xml:space="preserve">    Nettoleistungen = bezahlte Leistungen der Versicherer in der OKP </t>
    </r>
    <r>
      <rPr>
        <b/>
        <sz val="10"/>
        <rFont val="Arial"/>
        <family val="2"/>
      </rPr>
      <t>ohne</t>
    </r>
    <r>
      <rPr>
        <sz val="10"/>
        <rFont val="Arial"/>
        <family val="2"/>
      </rPr>
      <t xml:space="preserve"> Kostenbeteiligungen der Versicherten.</t>
    </r>
  </si>
  <si>
    <t>2) Zusätzliche Angaben nach Altersgruppe pro Kanton: www.bag.admin.ch/pyramiden</t>
  </si>
  <si>
    <t>Quelle: CH T 1.01   /  Kantone 1996 -&gt; 1998: Prämiengenehmigungsverfahren BAG mit mit Versichertenbestand des Risikoausgleichs, Werte korrigiert auf der Basis des CH-Wertes in T 1.01   /</t>
  </si>
  <si>
    <r>
      <t xml:space="preserve">T 2.25 Bruttoleistungen </t>
    </r>
    <r>
      <rPr>
        <b/>
        <vertAlign val="superscript"/>
        <sz val="12"/>
        <rFont val="Arial"/>
        <family val="2"/>
      </rPr>
      <t xml:space="preserve">1 2 </t>
    </r>
    <r>
      <rPr>
        <b/>
        <sz val="12"/>
        <rFont val="Arial"/>
        <family val="2"/>
      </rPr>
      <t xml:space="preserve"> je versicherte Person nach Kanton in Franken ab 1996</t>
    </r>
  </si>
  <si>
    <t>Quelle: CH T 1.01   /  Kantone 1996 -&gt; 1998: Prämiengenehmigungsverfahren BAG mit Versichertenbestand des Risikoausgleichs, Werte korrigiert auf der Basis des CH-Wertes in T 1.01   /</t>
  </si>
  <si>
    <r>
      <t xml:space="preserve">1999 -&gt; 2008: Prämiengenehmigungsverfahren BAG, Werte korrigiert auf der Basis des CH-Bestandes in T 1.01 / 2009 -&gt;: T 2.05  </t>
    </r>
    <r>
      <rPr>
        <i/>
        <sz val="10"/>
        <rFont val="Arial"/>
        <family val="2"/>
      </rPr>
      <t>(Werte 1996 -&gt; 2008 revidiert)</t>
    </r>
  </si>
  <si>
    <r>
      <t xml:space="preserve">T 2.26 Kostenbeteiligung </t>
    </r>
    <r>
      <rPr>
        <b/>
        <vertAlign val="superscript"/>
        <sz val="12"/>
        <rFont val="Arial"/>
        <family val="2"/>
      </rPr>
      <t xml:space="preserve">1 2 </t>
    </r>
    <r>
      <rPr>
        <b/>
        <sz val="12"/>
        <rFont val="Arial"/>
        <family val="2"/>
      </rPr>
      <t xml:space="preserve"> je versicherte Person nach Kanton in Franken ab 1996</t>
    </r>
  </si>
  <si>
    <r>
      <t xml:space="preserve">Quelle: CH T 1.01   /  Kantone: 1996 -&gt; 1998:  T 2.25 - T 2.03   /  2009 -&gt;: T 2.13  </t>
    </r>
    <r>
      <rPr>
        <i/>
        <sz val="10"/>
        <rFont val="Arial"/>
        <family val="2"/>
      </rPr>
      <t>(Werte 1996 -&gt; 2008 revidiert)</t>
    </r>
  </si>
  <si>
    <r>
      <t xml:space="preserve">T 3.08  Prämiensoll in Franken je versicherte Person </t>
    </r>
    <r>
      <rPr>
        <b/>
        <vertAlign val="superscript"/>
        <sz val="12"/>
        <rFont val="Arial"/>
        <family val="2"/>
      </rPr>
      <t xml:space="preserve">1 </t>
    </r>
    <r>
      <rPr>
        <b/>
        <sz val="12"/>
        <rFont val="Arial"/>
        <family val="2"/>
      </rPr>
      <t xml:space="preserve"> nach Kanton ab 1996</t>
    </r>
  </si>
  <si>
    <r>
      <t xml:space="preserve">1999 -&gt; 2008: Prämiengenehmigungsverfahren BAG, Werte korrigiert auf der Basis des CH-Bestandes in T 1.01 / 2009 -&gt;: T 3.13  </t>
    </r>
    <r>
      <rPr>
        <i/>
        <sz val="10"/>
        <rFont val="Arial"/>
        <family val="2"/>
      </rPr>
      <t>(Werte 1997 -&gt; 2008 revidiert)</t>
    </r>
  </si>
  <si>
    <t>Prämiensoll je versicherte Person nach Kanton ab 1996</t>
  </si>
  <si>
    <t>Prämiensoll je versicherte Person nach Kanton</t>
  </si>
  <si>
    <t>Beilage F1</t>
  </si>
  <si>
    <t>Entwicklung der Franchisen, Prämienrabatte und Selbstbehalte ab 1996 (Erwachsene)</t>
  </si>
  <si>
    <r>
      <t xml:space="preserve">Erwachsene (ab 19 Jahren) </t>
    </r>
    <r>
      <rPr>
        <b/>
        <i/>
        <vertAlign val="superscript"/>
        <sz val="9"/>
        <rFont val="Arial"/>
        <family val="2"/>
      </rPr>
      <t>1</t>
    </r>
  </si>
  <si>
    <t>1996-1997</t>
  </si>
  <si>
    <t>Selbstbehalt</t>
  </si>
  <si>
    <t>10% max. 600.-</t>
  </si>
  <si>
    <t>Franchise</t>
  </si>
  <si>
    <t>maximaler Prämienrabatt in %</t>
  </si>
  <si>
    <t>ordentlich 150.-</t>
  </si>
  <si>
    <t>1) 300.-</t>
  </si>
  <si>
    <t>2) 600.-</t>
  </si>
  <si>
    <t>3) 1200.-</t>
  </si>
  <si>
    <t>4) 1500.-</t>
  </si>
  <si>
    <t>1998-2000</t>
  </si>
  <si>
    <r>
      <t xml:space="preserve">ordentlich </t>
    </r>
    <r>
      <rPr>
        <b/>
        <i/>
        <sz val="10"/>
        <rFont val="Arial"/>
        <family val="2"/>
      </rPr>
      <t>230</t>
    </r>
    <r>
      <rPr>
        <b/>
        <sz val="10"/>
        <rFont val="Arial"/>
        <family val="2"/>
      </rPr>
      <t>.-</t>
    </r>
  </si>
  <si>
    <r>
      <t xml:space="preserve">1) </t>
    </r>
    <r>
      <rPr>
        <b/>
        <i/>
        <sz val="10"/>
        <rFont val="Arial"/>
        <family val="2"/>
      </rPr>
      <t>400.-</t>
    </r>
  </si>
  <si>
    <t>2001-2003</t>
  </si>
  <si>
    <t>jedoch höchstens Fr. pro Jahr</t>
  </si>
  <si>
    <t>(Differenz zwischen wählbarer und ordentlicher Franchise)</t>
  </si>
  <si>
    <t>ordentlich 230.-</t>
  </si>
  <si>
    <t>1) 400.-</t>
  </si>
  <si>
    <r>
      <t xml:space="preserve">10% </t>
    </r>
    <r>
      <rPr>
        <i/>
        <sz val="10"/>
        <rFont val="Arial"/>
        <family val="2"/>
      </rPr>
      <t>max</t>
    </r>
    <r>
      <rPr>
        <b/>
        <i/>
        <sz val="10"/>
        <rFont val="Arial"/>
        <family val="2"/>
      </rPr>
      <t>. 700.-</t>
    </r>
  </si>
  <si>
    <t>(80% der Differenz zwischen wählbarer und ordentlicher Franchise)</t>
  </si>
  <si>
    <r>
      <t xml:space="preserve">ordentlich </t>
    </r>
    <r>
      <rPr>
        <b/>
        <i/>
        <sz val="10"/>
        <rFont val="Arial"/>
        <family val="2"/>
      </rPr>
      <t>300</t>
    </r>
    <r>
      <rPr>
        <b/>
        <sz val="10"/>
        <rFont val="Arial"/>
        <family val="2"/>
      </rPr>
      <t>.-</t>
    </r>
  </si>
  <si>
    <t>10% max. 700.-</t>
  </si>
  <si>
    <t>ordentlich 300.-</t>
  </si>
  <si>
    <t>1) 500.-</t>
  </si>
  <si>
    <t>2) 1000.-</t>
  </si>
  <si>
    <t>3) 1500.-</t>
  </si>
  <si>
    <t>4) 2000.-</t>
  </si>
  <si>
    <t>5) 2500.-</t>
  </si>
  <si>
    <t>2006-2009</t>
  </si>
  <si>
    <r>
      <t>10%</t>
    </r>
    <r>
      <rPr>
        <sz val="10"/>
        <rFont val="Arial"/>
        <family val="2"/>
      </rPr>
      <t xml:space="preserve"> </t>
    </r>
    <r>
      <rPr>
        <vertAlign val="superscript"/>
        <sz val="10"/>
        <rFont val="Arial"/>
        <family val="2"/>
      </rPr>
      <t>2</t>
    </r>
    <r>
      <rPr>
        <sz val="10"/>
        <rFont val="Arial"/>
        <family val="2"/>
      </rPr>
      <t xml:space="preserve"> </t>
    </r>
    <r>
      <rPr>
        <i/>
        <sz val="10"/>
        <rFont val="Arial"/>
        <family val="2"/>
      </rPr>
      <t>max. 700.-</t>
    </r>
  </si>
  <si>
    <t>2010-</t>
  </si>
  <si>
    <t>(70% der Differenz zwischen wählbarer und ordentlicher Franchise)</t>
  </si>
  <si>
    <t>Datenstand: 8.10.11</t>
  </si>
  <si>
    <t>Quelle: BAG</t>
  </si>
  <si>
    <t>1) Erwachsene (ab 19 Jahren) = junge Erwachsene (19-25 Jahre) + Erwachsene (ab 26 Jahren)</t>
  </si>
  <si>
    <t xml:space="preserve">2) Ausnahme: Erhöhung des Selbstbehaltes auf 20 % für Originalpräparate, von welchen </t>
  </si>
  <si>
    <t xml:space="preserve">    ein mindestens 20 % billigeres Generikum in der Spezialitätenliste angeführt ist (Art. 38a KLV).</t>
  </si>
  <si>
    <t>(Änderungen grau)</t>
  </si>
  <si>
    <t>Beilage F2</t>
  </si>
  <si>
    <t>Entwicklung der Franchisen, Prämienrabatte und Selbstbehalte ab 1996 (Kinder)</t>
  </si>
  <si>
    <t>10% max. 300.-</t>
  </si>
  <si>
    <t>ordentlich 0.-</t>
  </si>
  <si>
    <t>1) 150.-</t>
  </si>
  <si>
    <t>2) 300.-</t>
  </si>
  <si>
    <t>3) 375.-</t>
  </si>
  <si>
    <r>
      <t xml:space="preserve">10% </t>
    </r>
    <r>
      <rPr>
        <i/>
        <sz val="10"/>
        <rFont val="Arial"/>
        <family val="2"/>
      </rPr>
      <t xml:space="preserve">max. </t>
    </r>
    <r>
      <rPr>
        <b/>
        <i/>
        <sz val="10"/>
        <rFont val="Arial"/>
        <family val="2"/>
      </rPr>
      <t>350.-</t>
    </r>
  </si>
  <si>
    <t>10% max. 350.-</t>
  </si>
  <si>
    <t>1) 100.-</t>
  </si>
  <si>
    <t>2) 200.-</t>
  </si>
  <si>
    <t>3) 300.-</t>
  </si>
  <si>
    <t>4) 400.-</t>
  </si>
  <si>
    <t>5) 500.-</t>
  </si>
  <si>
    <t>6) 600.-</t>
  </si>
  <si>
    <r>
      <t>10%</t>
    </r>
    <r>
      <rPr>
        <sz val="10"/>
        <rFont val="Arial"/>
        <family val="2"/>
      </rPr>
      <t xml:space="preserve"> </t>
    </r>
    <r>
      <rPr>
        <vertAlign val="superscript"/>
        <sz val="10"/>
        <rFont val="Arial"/>
        <family val="2"/>
      </rPr>
      <t>1</t>
    </r>
    <r>
      <rPr>
        <sz val="10"/>
        <rFont val="Arial"/>
        <family val="2"/>
      </rPr>
      <t xml:space="preserve"> </t>
    </r>
    <r>
      <rPr>
        <i/>
        <sz val="10"/>
        <rFont val="Arial"/>
        <family val="2"/>
      </rPr>
      <t xml:space="preserve">max. </t>
    </r>
    <r>
      <rPr>
        <sz val="10"/>
        <rFont val="Arial"/>
        <family val="2"/>
      </rPr>
      <t>350</t>
    </r>
    <r>
      <rPr>
        <i/>
        <sz val="10"/>
        <rFont val="Arial"/>
        <family val="2"/>
      </rPr>
      <t>.-</t>
    </r>
  </si>
  <si>
    <t xml:space="preserve">1) Ausnahme: Erhöhung des Selbstbehaltes auf 20 % für Originalpräparate, von welchen </t>
  </si>
  <si>
    <t>Beilage F3</t>
  </si>
  <si>
    <r>
      <t xml:space="preserve">Zunahme der Gesamtausgaben </t>
    </r>
    <r>
      <rPr>
        <b/>
        <vertAlign val="superscript"/>
        <sz val="11"/>
        <rFont val="Arial"/>
        <family val="2"/>
      </rPr>
      <t>1</t>
    </r>
    <r>
      <rPr>
        <b/>
        <sz val="11"/>
        <rFont val="Arial"/>
        <family val="2"/>
      </rPr>
      <t xml:space="preserve"> der Versicherten (Prämien + Kostenbeteiligung) als Folge der Änderungen der Franchisen, der Prämienrabatte und des Selbstbehalts </t>
    </r>
  </si>
  <si>
    <t>Erwachsene (ab 26 Jahren) : effektive Zunahme 2012</t>
  </si>
  <si>
    <r>
      <t xml:space="preserve">Durchschnittsprämie CH </t>
    </r>
    <r>
      <rPr>
        <b/>
        <i/>
        <vertAlign val="superscript"/>
        <sz val="10"/>
        <rFont val="Arial"/>
        <family val="2"/>
      </rPr>
      <t>2</t>
    </r>
    <r>
      <rPr>
        <b/>
        <i/>
        <sz val="10"/>
        <rFont val="Arial"/>
        <family val="2"/>
      </rPr>
      <t xml:space="preserve"> : 382.00</t>
    </r>
  </si>
  <si>
    <t>Gesamtausgaben in Fr. :</t>
  </si>
  <si>
    <t>Max. Gewinn (+) / Verlust (-) in Fr. / % gegenüber der ordentlichen Franchise :</t>
  </si>
  <si>
    <t>mit Leistungen von 0.-</t>
  </si>
  <si>
    <t>mit Leistungen von 9500.-</t>
  </si>
  <si>
    <t xml:space="preserve">ordentlich 300.- </t>
  </si>
  <si>
    <t xml:space="preserve">1) 500.- </t>
  </si>
  <si>
    <t xml:space="preserve">2) 1000.- </t>
  </si>
  <si>
    <t>Junge Erwachsene (19-25 Jahre) : effektive Zunahme 2012</t>
  </si>
  <si>
    <r>
      <t xml:space="preserve">Durchschnittsprämie CH </t>
    </r>
    <r>
      <rPr>
        <b/>
        <i/>
        <vertAlign val="superscript"/>
        <sz val="10"/>
        <rFont val="Arial"/>
        <family val="2"/>
      </rPr>
      <t>2</t>
    </r>
    <r>
      <rPr>
        <b/>
        <i/>
        <sz val="10"/>
        <rFont val="Arial"/>
        <family val="2"/>
      </rPr>
      <t xml:space="preserve"> : 343.10</t>
    </r>
  </si>
  <si>
    <t>Kinder (0-18 Jahre) : effektive Zunahme 2012</t>
  </si>
  <si>
    <r>
      <t xml:space="preserve">Durchschnittsprämie CH </t>
    </r>
    <r>
      <rPr>
        <b/>
        <i/>
        <vertAlign val="superscript"/>
        <sz val="10"/>
        <rFont val="Arial"/>
        <family val="2"/>
      </rPr>
      <t>2</t>
    </r>
    <r>
      <rPr>
        <b/>
        <i/>
        <sz val="10"/>
        <rFont val="Arial"/>
        <family val="2"/>
      </rPr>
      <t xml:space="preserve"> : 90.60</t>
    </r>
  </si>
  <si>
    <t>Gesamtausgaben in Fr.  :</t>
  </si>
  <si>
    <t>Max. Gewinn (+) / Verlust (-) in Fr. / %  gegenüber der ordentlichen Franchise :</t>
  </si>
  <si>
    <t>mit Leistungen von 4100.-</t>
  </si>
  <si>
    <t xml:space="preserve">4) 400.- </t>
  </si>
  <si>
    <t xml:space="preserve">6) 600.- </t>
  </si>
  <si>
    <t>Quelle: T 3.01; Anhang F1 und F2.</t>
  </si>
  <si>
    <t xml:space="preserve">1) Der tatsächliche Anstieg ist abhängig von der Prämienhöhe und den Leistungen. Hier wird er angegeben für die schweizerische Durchschnittsprämie für </t>
  </si>
  <si>
    <t>null Leistungen (0.-) und maximale Leistungen (ab diesem Betrag nehmen die Ausgaben der Versicherten mit der höchsten Franchise nicht mehr zu).</t>
  </si>
  <si>
    <t>Es wird von der Hypothese ausgegangen, dass der gesetzlich maximale Prämienrabatt für die wählbaren Franchisen gewährt wird.</t>
  </si>
  <si>
    <t xml:space="preserve">Ist dem nicht so, sieht der tatsächliche Anstieg anders aus. </t>
  </si>
  <si>
    <t>Berechnungsmethode:</t>
  </si>
  <si>
    <t>- Man berechnet den Gesamtanstieg (Prämie + Kostenbeteiligung, d.h. Franchise + Selbstbehalt [10 % vereinfacht gesagt]) für jede Franchisenhöhe gemäss Leistungen;</t>
  </si>
  <si>
    <t>- danach wird der effektive Anstieg in % im Vergleich zum Vorjahr bestimmt;</t>
  </si>
  <si>
    <t>- der maximale Gewinn oder Verlust für das laufende Jahr berechnet sich aus dem Gesamtanstieg für die ordentliche Franchise.</t>
  </si>
  <si>
    <t>Anstieg 1996-&gt;2011: siehe STAT KV 03-&gt;09 (Beilagen).</t>
  </si>
  <si>
    <t xml:space="preserve">2) Es handelt sich um eine Schätzung der monatlichen Durchschnittsprämie in Franken ausgehend von den Versicherungstarifen mit ordentlicher Franchise </t>
  </si>
  <si>
    <t>einschliesslich Unfalldeckung und den Versichertenbeständen nach Kantonen und Prämienregion.</t>
  </si>
  <si>
    <t>input (coller valeurs depuis onglet f et modifier manuellement les années 2007 -&gt; 2008 )</t>
  </si>
  <si>
    <t>8.3.12: 2.03, 2.25, 2.26, 3.08, F1-&gt;F3</t>
  </si>
  <si>
    <t>vollständig (133 / 133 T.)</t>
  </si>
  <si>
    <t>Datenstand: 8.3.12</t>
  </si>
  <si>
    <t>Beilage B: Übergangsschlüssel Tabellen T  2009 -&gt; 2010 / 2010 -&gt; 2009</t>
  </si>
  <si>
    <t>Publikation 2010</t>
  </si>
  <si>
    <t>(133 Tabellen)</t>
  </si>
  <si>
    <t>Neuheiten im Jahr 2010 (6)</t>
  </si>
  <si>
    <t>nicht vorhanden</t>
  </si>
  <si>
    <t>Daten pro Kanton (33)</t>
  </si>
  <si>
    <t>neu im Jahr 2010 (2)</t>
  </si>
  <si>
    <t>Übergangsschlüssel Tabellen 2010 -&gt; 1996 : siehe Beilage B1 Version STAT KV 2010 Tabellen XLS auf dem www.</t>
  </si>
  <si>
    <t>Übergangsschlüssel Tabellen *  2010 -&gt; 1996</t>
  </si>
  <si>
    <t>Zeitreihen 2000 (1996) -&gt;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</si>
</sst>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88" formatCode="0.0"/>
    <numFmt numFmtId="189" formatCode="#,##0.0"/>
    <numFmt numFmtId="190" formatCode="0.0%"/>
    <numFmt numFmtId="211" formatCode="#,##0.000"/>
  </numFmts>
  <fonts count="112">
    <font>
      <sz val="10"/>
      <name val="55 Helvetica Roman"/>
    </font>
    <font>
      <sz val="12"/>
      <name val="Arial"/>
      <family val="2"/>
    </font>
    <font>
      <b/>
      <sz val="12"/>
      <name val="Arial"/>
      <family val="2"/>
    </font>
    <font>
      <sz val="11"/>
      <name val="Arial"/>
      <family val="2"/>
    </font>
    <font>
      <sz val="10"/>
      <name val="Arial"/>
      <family val="2"/>
    </font>
    <font>
      <b/>
      <sz val="11"/>
      <name val="Arial"/>
      <family val="2"/>
    </font>
    <font>
      <b/>
      <i/>
      <sz val="22"/>
      <name val="Arial"/>
      <family val="2"/>
    </font>
    <font>
      <b/>
      <i/>
      <sz val="18"/>
      <name val="Arial"/>
      <family val="2"/>
    </font>
    <font>
      <b/>
      <sz val="10"/>
      <name val="Arial"/>
      <family val="2"/>
    </font>
    <font>
      <i/>
      <sz val="12"/>
      <name val="55 Helvetica Roman"/>
    </font>
    <font>
      <sz val="12"/>
      <name val="55 Helvetica Roman"/>
    </font>
    <font>
      <b/>
      <sz val="10"/>
      <color indexed="9"/>
      <name val="55 Helvetica Roman"/>
    </font>
    <font>
      <b/>
      <sz val="20"/>
      <name val="55 Helvetica Roman"/>
    </font>
    <font>
      <b/>
      <sz val="10"/>
      <name val="55 Helvetica Roman"/>
    </font>
    <font>
      <b/>
      <sz val="12"/>
      <color indexed="10"/>
      <name val="55 Helvetica Roman"/>
    </font>
    <font>
      <i/>
      <sz val="11"/>
      <name val="55 Helvetica Roman"/>
    </font>
    <font>
      <sz val="12"/>
      <color indexed="8"/>
      <name val="Arial"/>
      <family val="2"/>
    </font>
    <font>
      <b/>
      <sz val="14"/>
      <name val="55 Helvetica Roman"/>
    </font>
    <font>
      <sz val="9"/>
      <name val="Arial"/>
      <family val="2"/>
    </font>
    <font>
      <b/>
      <i/>
      <sz val="24"/>
      <name val="Logo BAG"/>
      <family val="1"/>
    </font>
    <font>
      <b/>
      <i/>
      <sz val="12"/>
      <name val="55 Helvetica Roman"/>
    </font>
    <font>
      <b/>
      <sz val="11"/>
      <color indexed="9"/>
      <name val="55 Helvetica Roman"/>
    </font>
    <font>
      <b/>
      <sz val="12"/>
      <name val="55 Helvetica Roman"/>
    </font>
    <font>
      <sz val="8"/>
      <name val="Arial"/>
      <family val="2"/>
    </font>
    <font>
      <sz val="9"/>
      <name val="Geneva"/>
      <family val="2"/>
    </font>
    <font>
      <i/>
      <sz val="10"/>
      <name val="55 Helvetica Roman"/>
    </font>
    <font>
      <i/>
      <sz val="10"/>
      <name val="Arial"/>
      <family val="2"/>
    </font>
    <font>
      <sz val="10"/>
      <color indexed="10"/>
      <name val="55 Helvetica Roman"/>
    </font>
    <font>
      <b/>
      <sz val="9"/>
      <name val="55 Helvetica Roman"/>
    </font>
    <font>
      <sz val="9"/>
      <name val="55 Helvetica Roman"/>
    </font>
    <font>
      <sz val="10"/>
      <name val="Arial"/>
      <family val="2"/>
    </font>
    <font>
      <sz val="11"/>
      <name val="55 Helvetica Roman"/>
    </font>
    <font>
      <b/>
      <sz val="8"/>
      <name val="Arial"/>
      <family val="2"/>
    </font>
    <font>
      <b/>
      <sz val="7"/>
      <name val="Arial"/>
      <family val="2"/>
    </font>
    <font>
      <sz val="7"/>
      <name val="Arial"/>
      <family val="2"/>
    </font>
    <font>
      <i/>
      <sz val="7"/>
      <name val="Arial"/>
      <family val="2"/>
    </font>
    <font>
      <b/>
      <sz val="12"/>
      <color indexed="12"/>
      <name val="Arial"/>
      <family val="2"/>
    </font>
    <font>
      <sz val="10"/>
      <name val="55 Helvetica Roman"/>
    </font>
    <font>
      <b/>
      <sz val="9"/>
      <name val="Arial"/>
      <family val="2"/>
    </font>
    <font>
      <b/>
      <sz val="11"/>
      <color indexed="42"/>
      <name val="Arial"/>
      <family val="2"/>
    </font>
    <font>
      <sz val="6"/>
      <name val="Arial"/>
      <family val="2"/>
    </font>
    <font>
      <b/>
      <sz val="11"/>
      <name val="55 Helvetica Roman"/>
    </font>
    <font>
      <sz val="11"/>
      <color indexed="10"/>
      <name val="55 Helvetica Roman"/>
    </font>
    <font>
      <i/>
      <sz val="11"/>
      <name val="Arial"/>
      <family val="2"/>
    </font>
    <font>
      <b/>
      <sz val="11"/>
      <color indexed="10"/>
      <name val="Arial"/>
      <family val="2"/>
    </font>
    <font>
      <sz val="8"/>
      <name val="55 Helvetica Roman"/>
    </font>
    <font>
      <sz val="10"/>
      <color indexed="10"/>
      <name val="Arial"/>
      <family val="2"/>
    </font>
    <font>
      <sz val="9"/>
      <name val="Arial"/>
      <family val="2"/>
    </font>
    <font>
      <b/>
      <vertAlign val="superscript"/>
      <sz val="12"/>
      <name val="Arial"/>
      <family val="2"/>
    </font>
    <font>
      <i/>
      <sz val="12"/>
      <name val="Arial"/>
      <family val="2"/>
    </font>
    <font>
      <b/>
      <i/>
      <sz val="11"/>
      <name val="Arial"/>
      <family val="2"/>
    </font>
    <font>
      <b/>
      <sz val="14"/>
      <name val="Arial"/>
      <family val="2"/>
    </font>
    <font>
      <b/>
      <i/>
      <sz val="10"/>
      <name val="Arial"/>
      <family val="2"/>
    </font>
    <font>
      <vertAlign val="superscript"/>
      <sz val="11"/>
      <name val="Arial"/>
      <family val="2"/>
    </font>
    <font>
      <i/>
      <sz val="9"/>
      <name val="Arial"/>
      <family val="2"/>
    </font>
    <font>
      <i/>
      <vertAlign val="superscript"/>
      <sz val="11"/>
      <name val="Arial"/>
      <family val="2"/>
    </font>
    <font>
      <b/>
      <vertAlign val="superscript"/>
      <sz val="11"/>
      <name val="Arial"/>
      <family val="2"/>
    </font>
    <font>
      <sz val="10"/>
      <name val="Arial"/>
      <family val="2"/>
    </font>
    <font>
      <b/>
      <sz val="12"/>
      <color indexed="8"/>
      <name val="Arial"/>
      <family val="2"/>
    </font>
    <font>
      <b/>
      <sz val="10"/>
      <color indexed="8"/>
      <name val="Arial"/>
      <family val="2"/>
    </font>
    <font>
      <sz val="10"/>
      <color indexed="8"/>
      <name val="Arial"/>
      <family val="2"/>
    </font>
    <font>
      <i/>
      <sz val="10"/>
      <color indexed="8"/>
      <name val="Arial"/>
      <family val="2"/>
    </font>
    <font>
      <b/>
      <i/>
      <u/>
      <sz val="11"/>
      <name val="Arial"/>
      <family val="2"/>
    </font>
    <font>
      <vertAlign val="superscript"/>
      <sz val="10"/>
      <name val="Arial"/>
      <family val="2"/>
    </font>
    <font>
      <u/>
      <sz val="10"/>
      <name val="Arial"/>
      <family val="2"/>
    </font>
    <font>
      <b/>
      <sz val="8"/>
      <color indexed="81"/>
      <name val="Tahoma"/>
      <family val="2"/>
    </font>
    <font>
      <sz val="8"/>
      <color indexed="81"/>
      <name val="Tahoma"/>
      <family val="2"/>
    </font>
    <font>
      <u/>
      <sz val="9"/>
      <name val="Arial"/>
      <family val="2"/>
    </font>
    <font>
      <u/>
      <vertAlign val="superscript"/>
      <sz val="9"/>
      <name val="Arial"/>
      <family val="2"/>
    </font>
    <font>
      <i/>
      <vertAlign val="superscript"/>
      <sz val="9"/>
      <name val="Arial"/>
      <family val="2"/>
    </font>
    <font>
      <vertAlign val="superscript"/>
      <sz val="9"/>
      <name val="Arial"/>
      <family val="2"/>
    </font>
    <font>
      <i/>
      <sz val="8"/>
      <color indexed="10"/>
      <name val="Arial"/>
      <family val="2"/>
    </font>
    <font>
      <i/>
      <sz val="9"/>
      <color indexed="10"/>
      <name val="Arial"/>
      <family val="2"/>
    </font>
    <font>
      <i/>
      <sz val="8"/>
      <name val="Arial"/>
      <family val="2"/>
    </font>
    <font>
      <u/>
      <sz val="8"/>
      <name val="Arial"/>
      <family val="2"/>
    </font>
    <font>
      <sz val="9"/>
      <color indexed="48"/>
      <name val="Arial"/>
      <family val="2"/>
    </font>
    <font>
      <sz val="10"/>
      <name val="Arial"/>
      <family val="2"/>
    </font>
    <font>
      <b/>
      <vertAlign val="superscript"/>
      <sz val="10"/>
      <name val="Arial"/>
      <family val="2"/>
    </font>
    <font>
      <sz val="10"/>
      <name val="Arial"/>
      <family val="2"/>
    </font>
    <font>
      <sz val="10"/>
      <name val="Tms Rmn"/>
    </font>
    <font>
      <b/>
      <i/>
      <sz val="12"/>
      <name val="Arial"/>
      <family val="2"/>
    </font>
    <font>
      <b/>
      <sz val="10"/>
      <name val="Tms Rmn"/>
    </font>
    <font>
      <b/>
      <i/>
      <vertAlign val="superscript"/>
      <sz val="10"/>
      <name val="Arial"/>
      <family val="2"/>
    </font>
    <font>
      <sz val="8"/>
      <color indexed="10"/>
      <name val="Arial"/>
      <family val="2"/>
    </font>
    <font>
      <sz val="8"/>
      <name val="Tms Rmn"/>
    </font>
    <font>
      <b/>
      <vertAlign val="superscript"/>
      <sz val="9"/>
      <name val="Arial"/>
      <family val="2"/>
    </font>
    <font>
      <b/>
      <vertAlign val="superscript"/>
      <sz val="8"/>
      <name val="Arial"/>
      <family val="2"/>
    </font>
    <font>
      <i/>
      <vertAlign val="superscript"/>
      <sz val="10"/>
      <name val="Arial"/>
      <family val="2"/>
    </font>
    <font>
      <sz val="9"/>
      <name val="Tms Rmn"/>
    </font>
    <font>
      <b/>
      <sz val="12"/>
      <name val="Times New Roman"/>
      <family val="1"/>
    </font>
    <font>
      <b/>
      <i/>
      <sz val="8"/>
      <name val="Arial"/>
      <family val="2"/>
    </font>
    <font>
      <vertAlign val="superscript"/>
      <sz val="8"/>
      <name val="Arial"/>
      <family val="2"/>
    </font>
    <font>
      <b/>
      <u/>
      <sz val="10"/>
      <name val="Arial"/>
      <family val="2"/>
    </font>
    <font>
      <b/>
      <sz val="10"/>
      <color indexed="56"/>
      <name val="Arial"/>
      <family val="2"/>
    </font>
    <font>
      <u/>
      <sz val="10"/>
      <name val="55 Helvetica Roman"/>
    </font>
    <font>
      <sz val="10"/>
      <color indexed="9"/>
      <name val="Arial"/>
      <family val="2"/>
    </font>
    <font>
      <sz val="11"/>
      <color indexed="10"/>
      <name val="Arial"/>
      <family val="2"/>
    </font>
    <font>
      <u/>
      <sz val="12"/>
      <color indexed="12"/>
      <name val="55 Helvetica Roman"/>
    </font>
    <font>
      <b/>
      <sz val="12"/>
      <color indexed="10"/>
      <name val="Arial"/>
      <family val="2"/>
    </font>
    <font>
      <b/>
      <vertAlign val="superscript"/>
      <sz val="12"/>
      <name val="55 Helvetica Roman"/>
    </font>
    <font>
      <sz val="10"/>
      <name val="Arial"/>
      <family val="2"/>
    </font>
    <font>
      <b/>
      <i/>
      <sz val="9"/>
      <name val="Arial"/>
      <family val="2"/>
    </font>
    <font>
      <b/>
      <i/>
      <vertAlign val="superscript"/>
      <sz val="9"/>
      <name val="Arial"/>
      <family val="2"/>
    </font>
    <font>
      <b/>
      <sz val="14"/>
      <name val="Times New Roman"/>
      <family val="1"/>
    </font>
    <font>
      <sz val="14"/>
      <name val="Times New Roman"/>
      <family val="1"/>
    </font>
    <font>
      <sz val="10"/>
      <name val="Times New Roman"/>
      <family val="1"/>
    </font>
    <font>
      <sz val="8"/>
      <name val="Times New Roman"/>
      <family val="1"/>
    </font>
    <font>
      <sz val="11"/>
      <color rgb="FFFF0000"/>
      <name val="Arial"/>
      <family val="2"/>
    </font>
    <font>
      <b/>
      <sz val="11"/>
      <color theme="1"/>
      <name val="Calibri"/>
      <family val="2"/>
      <scheme val="minor"/>
    </font>
    <font>
      <b/>
      <sz val="11"/>
      <color rgb="FFFF0000"/>
      <name val="Arial"/>
      <family val="2"/>
    </font>
    <font>
      <b/>
      <i/>
      <sz val="11"/>
      <color rgb="FFFF0000"/>
      <name val="Arial"/>
      <family val="2"/>
    </font>
    <font>
      <sz val="10"/>
      <color rgb="FFFF0000"/>
      <name val="55 Helvetica Roman"/>
    </font>
  </fonts>
  <fills count="19">
    <fill>
      <patternFill patternType="none"/>
    </fill>
    <fill>
      <patternFill patternType="gray125"/>
    </fill>
    <fill>
      <patternFill patternType="solid">
        <fgColor indexed="42"/>
        <bgColor indexed="64"/>
      </patternFill>
    </fill>
    <fill>
      <patternFill patternType="solid">
        <fgColor indexed="22"/>
        <bgColor indexed="64"/>
      </patternFill>
    </fill>
    <fill>
      <patternFill patternType="solid">
        <fgColor indexed="44"/>
        <bgColor indexed="64"/>
      </patternFill>
    </fill>
    <fill>
      <patternFill patternType="solid">
        <fgColor indexed="43"/>
        <bgColor indexed="64"/>
      </patternFill>
    </fill>
    <fill>
      <patternFill patternType="solid">
        <fgColor indexed="47"/>
        <bgColor indexed="64"/>
      </patternFill>
    </fill>
    <fill>
      <patternFill patternType="solid">
        <fgColor indexed="9"/>
        <bgColor indexed="64"/>
      </patternFill>
    </fill>
    <fill>
      <patternFill patternType="lightGray">
        <fgColor indexed="22"/>
        <bgColor indexed="22"/>
      </patternFill>
    </fill>
    <fill>
      <patternFill patternType="solid">
        <fgColor indexed="47"/>
        <bgColor indexed="47"/>
      </patternFill>
    </fill>
    <fill>
      <patternFill patternType="solid">
        <fgColor indexed="41"/>
        <bgColor indexed="64"/>
      </patternFill>
    </fill>
    <fill>
      <patternFill patternType="solid">
        <fgColor indexed="55"/>
        <bgColor indexed="64"/>
      </patternFill>
    </fill>
    <fill>
      <patternFill patternType="solid">
        <fgColor theme="0"/>
        <bgColor indexed="64"/>
      </patternFill>
    </fill>
    <fill>
      <patternFill patternType="solid">
        <fgColor rgb="FF00B05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FCC99"/>
        <bgColor indexed="64"/>
      </patternFill>
    </fill>
    <fill>
      <patternFill patternType="solid">
        <fgColor theme="0" tint="-4.9989318521683403E-2"/>
        <bgColor indexed="64"/>
      </patternFill>
    </fill>
    <fill>
      <patternFill patternType="solid">
        <fgColor theme="8" tint="0.59999389629810485"/>
        <bgColor indexed="64"/>
      </patternFill>
    </fill>
  </fills>
  <borders count="51">
    <border>
      <left/>
      <right/>
      <top/>
      <bottom/>
      <diagonal/>
    </border>
    <border>
      <left style="hair">
        <color indexed="64"/>
      </left>
      <right style="hair">
        <color indexed="64"/>
      </right>
      <top style="hair">
        <color indexed="64"/>
      </top>
      <bottom/>
      <diagonal/>
    </border>
    <border>
      <left style="thin">
        <color indexed="64"/>
      </left>
      <right/>
      <top/>
      <bottom/>
      <diagonal/>
    </border>
    <border>
      <left/>
      <right/>
      <top style="thin">
        <color indexed="64"/>
      </top>
      <bottom/>
      <diagonal/>
    </border>
    <border>
      <left/>
      <right/>
      <top/>
      <bottom style="thin">
        <color indexed="64"/>
      </bottom>
      <diagonal/>
    </border>
    <border>
      <left/>
      <right/>
      <top style="thin">
        <color indexed="64"/>
      </top>
      <bottom style="medium">
        <color indexed="9"/>
      </bottom>
      <diagonal/>
    </border>
    <border>
      <left/>
      <right/>
      <top style="medium">
        <color indexed="9"/>
      </top>
      <bottom style="medium">
        <color indexed="9"/>
      </bottom>
      <diagonal/>
    </border>
    <border>
      <left/>
      <right/>
      <top style="medium">
        <color indexed="64"/>
      </top>
      <bottom/>
      <diagonal/>
    </border>
    <border>
      <left/>
      <right/>
      <top style="medium">
        <color indexed="9"/>
      </top>
      <bottom style="medium">
        <color indexed="64"/>
      </bottom>
      <diagonal/>
    </border>
    <border>
      <left/>
      <right/>
      <top/>
      <bottom style="medium">
        <color indexed="9"/>
      </bottom>
      <diagonal/>
    </border>
    <border>
      <left/>
      <right/>
      <top/>
      <bottom style="medium">
        <color indexed="64"/>
      </bottom>
      <diagonal/>
    </border>
    <border>
      <left/>
      <right/>
      <top style="hair">
        <color indexed="64"/>
      </top>
      <bottom style="hair">
        <color indexed="64"/>
      </bottom>
      <diagonal/>
    </border>
    <border>
      <left/>
      <right/>
      <top style="hair">
        <color indexed="8"/>
      </top>
      <bottom style="hair">
        <color indexed="8"/>
      </bottom>
      <diagonal/>
    </border>
    <border>
      <left/>
      <right/>
      <top style="medium">
        <color indexed="9"/>
      </top>
      <bottom/>
      <diagonal/>
    </border>
    <border>
      <left style="thin">
        <color indexed="64"/>
      </left>
      <right/>
      <top style="medium">
        <color indexed="9"/>
      </top>
      <bottom style="medium">
        <color indexed="9"/>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9"/>
      </top>
      <bottom style="thin">
        <color indexed="64"/>
      </bottom>
      <diagonal/>
    </border>
    <border>
      <left/>
      <right/>
      <top style="thin">
        <color indexed="64"/>
      </top>
      <bottom style="medium">
        <color indexed="64"/>
      </bottom>
      <diagonal/>
    </border>
    <border>
      <left/>
      <right/>
      <top style="thin">
        <color indexed="64"/>
      </top>
      <bottom style="thin">
        <color indexed="64"/>
      </bottom>
      <diagonal/>
    </border>
    <border>
      <left style="medium">
        <color indexed="64"/>
      </left>
      <right/>
      <top/>
      <bottom/>
      <diagonal/>
    </border>
    <border>
      <left style="medium">
        <color indexed="64"/>
      </left>
      <right/>
      <top style="thin">
        <color indexed="64"/>
      </top>
      <bottom/>
      <diagonal/>
    </border>
    <border>
      <left/>
      <right/>
      <top style="thin">
        <color indexed="8"/>
      </top>
      <bottom style="medium">
        <color indexed="9"/>
      </bottom>
      <diagonal/>
    </border>
    <border>
      <left style="medium">
        <color indexed="64"/>
      </left>
      <right/>
      <top style="thin">
        <color indexed="8"/>
      </top>
      <bottom style="medium">
        <color indexed="9"/>
      </bottom>
      <diagonal/>
    </border>
    <border>
      <left/>
      <right style="medium">
        <color indexed="64"/>
      </right>
      <top style="medium">
        <color indexed="9"/>
      </top>
      <bottom style="medium">
        <color indexed="9"/>
      </bottom>
      <diagonal/>
    </border>
    <border>
      <left/>
      <right style="medium">
        <color indexed="64"/>
      </right>
      <top style="thin">
        <color indexed="8"/>
      </top>
      <bottom style="medium">
        <color indexed="9"/>
      </bottom>
      <diagonal/>
    </border>
    <border>
      <left style="medium">
        <color indexed="64"/>
      </left>
      <right/>
      <top style="thin">
        <color indexed="8"/>
      </top>
      <bottom style="medium">
        <color indexed="64"/>
      </bottom>
      <diagonal/>
    </border>
    <border>
      <left style="medium">
        <color indexed="64"/>
      </left>
      <right/>
      <top style="medium">
        <color indexed="9"/>
      </top>
      <bottom style="medium">
        <color indexed="64"/>
      </bottom>
      <diagonal/>
    </border>
    <border>
      <left style="medium">
        <color indexed="64"/>
      </left>
      <right/>
      <top style="thin">
        <color indexed="64"/>
      </top>
      <bottom style="medium">
        <color indexed="9"/>
      </bottom>
      <diagonal/>
    </border>
    <border>
      <left style="medium">
        <color indexed="64"/>
      </left>
      <right/>
      <top style="medium">
        <color indexed="9"/>
      </top>
      <bottom style="medium">
        <color indexed="9"/>
      </bottom>
      <diagonal/>
    </border>
    <border>
      <left style="medium">
        <color indexed="64"/>
      </left>
      <right/>
      <top/>
      <bottom style="medium">
        <color indexed="9"/>
      </bottom>
      <diagonal/>
    </border>
    <border>
      <left style="medium">
        <color indexed="64"/>
      </left>
      <right/>
      <top style="medium">
        <color indexed="9"/>
      </top>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bottom style="medium">
        <color indexed="64"/>
      </bottom>
      <diagonal/>
    </border>
    <border>
      <left/>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medium">
        <color theme="0"/>
      </bottom>
      <diagonal/>
    </border>
    <border>
      <left/>
      <right/>
      <top style="medium">
        <color theme="0"/>
      </top>
      <bottom style="medium">
        <color theme="0"/>
      </bottom>
      <diagonal/>
    </border>
    <border>
      <left/>
      <right/>
      <top style="medium">
        <color theme="0"/>
      </top>
      <bottom style="medium">
        <color indexed="9"/>
      </bottom>
      <diagonal/>
    </border>
    <border>
      <left/>
      <right/>
      <top style="medium">
        <color indexed="9"/>
      </top>
      <bottom style="medium">
        <color theme="0"/>
      </bottom>
      <diagonal/>
    </border>
  </borders>
  <cellStyleXfs count="17">
    <xf numFmtId="0" fontId="0" fillId="0" borderId="0"/>
    <xf numFmtId="0" fontId="97" fillId="0" borderId="0" applyNumberFormat="0" applyFill="0" applyBorder="0" applyAlignment="0" applyProtection="0">
      <alignment vertical="top"/>
      <protection locked="0"/>
    </xf>
    <xf numFmtId="0" fontId="30" fillId="0" borderId="0"/>
    <xf numFmtId="0" fontId="4" fillId="0" borderId="0"/>
    <xf numFmtId="0" fontId="57" fillId="0" borderId="0"/>
    <xf numFmtId="0" fontId="4" fillId="0" borderId="0"/>
    <xf numFmtId="0" fontId="76" fillId="0" borderId="0"/>
    <xf numFmtId="0" fontId="78" fillId="0" borderId="0"/>
    <xf numFmtId="0" fontId="79" fillId="0" borderId="0"/>
    <xf numFmtId="0" fontId="100" fillId="0" borderId="0"/>
    <xf numFmtId="0" fontId="4" fillId="0" borderId="0"/>
    <xf numFmtId="0" fontId="57" fillId="0" borderId="0"/>
    <xf numFmtId="0" fontId="37" fillId="0" borderId="0"/>
    <xf numFmtId="0" fontId="4" fillId="0" borderId="0"/>
    <xf numFmtId="0" fontId="37" fillId="0" borderId="0"/>
    <xf numFmtId="0" fontId="30" fillId="0" borderId="0"/>
    <xf numFmtId="0" fontId="22" fillId="1" borderId="1" applyNumberFormat="0" applyFont="0" applyFill="0" applyBorder="0" applyAlignment="0">
      <alignment horizontal="right" vertical="top" wrapText="1"/>
    </xf>
  </cellStyleXfs>
  <cellXfs count="1839">
    <xf numFmtId="0" fontId="0" fillId="0" borderId="0" xfId="0"/>
    <xf numFmtId="0" fontId="8" fillId="0" borderId="4" xfId="13" applyFont="1" applyBorder="1" applyAlignment="1">
      <alignment horizontal="center"/>
    </xf>
    <xf numFmtId="0" fontId="1" fillId="0" borderId="0" xfId="0" applyFont="1"/>
    <xf numFmtId="0" fontId="4" fillId="0" borderId="0" xfId="0" applyFont="1"/>
    <xf numFmtId="0" fontId="4" fillId="0" borderId="0" xfId="0" applyFont="1" applyFill="1"/>
    <xf numFmtId="0" fontId="6" fillId="0" borderId="0" xfId="0" applyFont="1" applyAlignment="1">
      <alignment horizontal="left"/>
    </xf>
    <xf numFmtId="0" fontId="7" fillId="0" borderId="0" xfId="0" applyFont="1" applyAlignment="1">
      <alignment horizontal="left"/>
    </xf>
    <xf numFmtId="0" fontId="9" fillId="0" borderId="0" xfId="0" applyFont="1" applyAlignment="1">
      <alignment horizontal="left"/>
    </xf>
    <xf numFmtId="3" fontId="4" fillId="0" borderId="0" xfId="0" applyNumberFormat="1" applyFont="1"/>
    <xf numFmtId="3" fontId="3" fillId="0" borderId="0" xfId="0" applyNumberFormat="1" applyFont="1" applyBorder="1" applyAlignment="1">
      <alignment horizontal="right"/>
    </xf>
    <xf numFmtId="0" fontId="12" fillId="2" borderId="0" xfId="0" applyFont="1" applyFill="1"/>
    <xf numFmtId="0" fontId="0" fillId="2" borderId="0" xfId="0" applyFill="1"/>
    <xf numFmtId="0" fontId="4" fillId="2" borderId="0" xfId="0" applyFont="1" applyFill="1"/>
    <xf numFmtId="0" fontId="10" fillId="0" borderId="0" xfId="0" applyFont="1"/>
    <xf numFmtId="2" fontId="2" fillId="0" borderId="0" xfId="0" applyNumberFormat="1" applyFont="1"/>
    <xf numFmtId="2" fontId="10" fillId="0" borderId="0" xfId="0" applyNumberFormat="1" applyFont="1"/>
    <xf numFmtId="0" fontId="4" fillId="3" borderId="0" xfId="0" applyFont="1" applyFill="1"/>
    <xf numFmtId="0" fontId="2" fillId="0" borderId="0" xfId="0" applyFont="1"/>
    <xf numFmtId="0" fontId="11" fillId="4" borderId="0" xfId="0" applyFont="1" applyFill="1"/>
    <xf numFmtId="0" fontId="5" fillId="4" borderId="0" xfId="0" applyFont="1" applyFill="1"/>
    <xf numFmtId="0" fontId="19" fillId="0" borderId="0" xfId="0" applyFont="1"/>
    <xf numFmtId="0" fontId="4" fillId="5" borderId="0" xfId="0" applyFont="1" applyFill="1"/>
    <xf numFmtId="0" fontId="14" fillId="0" borderId="0" xfId="0" applyFont="1" applyFill="1"/>
    <xf numFmtId="14" fontId="4" fillId="5" borderId="0" xfId="0" applyNumberFormat="1" applyFont="1" applyFill="1"/>
    <xf numFmtId="0" fontId="0" fillId="0" borderId="0" xfId="0" applyFill="1"/>
    <xf numFmtId="9" fontId="26" fillId="0" borderId="0" xfId="0" applyNumberFormat="1" applyFont="1" applyFill="1" applyAlignment="1">
      <alignment horizontal="right"/>
    </xf>
    <xf numFmtId="2" fontId="4" fillId="5" borderId="0" xfId="0" applyNumberFormat="1" applyFont="1" applyFill="1" applyAlignment="1">
      <alignment horizontal="left"/>
    </xf>
    <xf numFmtId="0" fontId="12" fillId="0" borderId="0" xfId="0" applyFont="1" applyFill="1"/>
    <xf numFmtId="0" fontId="13" fillId="0" borderId="0" xfId="0" applyFont="1" applyFill="1"/>
    <xf numFmtId="0" fontId="28" fillId="2" borderId="0" xfId="0" applyFont="1" applyFill="1"/>
    <xf numFmtId="0" fontId="29" fillId="2" borderId="0" xfId="0" applyFont="1" applyFill="1"/>
    <xf numFmtId="0" fontId="18" fillId="2" borderId="0" xfId="0" applyFont="1" applyFill="1"/>
    <xf numFmtId="14" fontId="4" fillId="0" borderId="0" xfId="0" applyNumberFormat="1" applyFont="1" applyFill="1"/>
    <xf numFmtId="2" fontId="4" fillId="0" borderId="0" xfId="0" applyNumberFormat="1" applyFont="1" applyFill="1" applyAlignment="1">
      <alignment horizontal="left"/>
    </xf>
    <xf numFmtId="0" fontId="4" fillId="0" borderId="2" xfId="0" applyFont="1" applyBorder="1"/>
    <xf numFmtId="0" fontId="22" fillId="0" borderId="0" xfId="0" applyFont="1" applyFill="1"/>
    <xf numFmtId="0" fontId="29" fillId="0" borderId="0" xfId="0" applyFont="1" applyFill="1"/>
    <xf numFmtId="0" fontId="18" fillId="0" borderId="0" xfId="0" applyFont="1" applyFill="1"/>
    <xf numFmtId="0" fontId="25" fillId="0" borderId="0" xfId="0" applyFont="1" applyFill="1"/>
    <xf numFmtId="0" fontId="36" fillId="0" borderId="0" xfId="0" applyFont="1"/>
    <xf numFmtId="0" fontId="39" fillId="2" borderId="0" xfId="0" applyFont="1" applyFill="1"/>
    <xf numFmtId="0" fontId="13" fillId="2" borderId="0" xfId="0" applyFont="1" applyFill="1"/>
    <xf numFmtId="14" fontId="29" fillId="2" borderId="0" xfId="0" applyNumberFormat="1" applyFont="1" applyFill="1"/>
    <xf numFmtId="0" fontId="38" fillId="2" borderId="0" xfId="0" applyFont="1" applyFill="1"/>
    <xf numFmtId="0" fontId="38" fillId="0" borderId="0" xfId="0" applyFont="1" applyFill="1"/>
    <xf numFmtId="0" fontId="41" fillId="5" borderId="0" xfId="0" applyFont="1" applyFill="1"/>
    <xf numFmtId="3" fontId="1" fillId="0" borderId="0" xfId="0" applyNumberFormat="1" applyFont="1" applyFill="1"/>
    <xf numFmtId="0" fontId="2" fillId="0" borderId="0" xfId="0" applyFont="1" applyBorder="1" applyAlignment="1">
      <alignment vertical="top"/>
    </xf>
    <xf numFmtId="0" fontId="4" fillId="0" borderId="0" xfId="0" applyFont="1" applyFill="1" applyAlignment="1">
      <alignment horizontal="center"/>
    </xf>
    <xf numFmtId="0" fontId="4" fillId="0" borderId="0" xfId="0" applyFont="1" applyAlignment="1">
      <alignment horizontal="center"/>
    </xf>
    <xf numFmtId="0" fontId="4" fillId="0" borderId="0" xfId="0" applyNumberFormat="1" applyFont="1"/>
    <xf numFmtId="1" fontId="4" fillId="0" borderId="0" xfId="0" applyNumberFormat="1" applyFont="1"/>
    <xf numFmtId="0" fontId="26" fillId="0" borderId="0" xfId="0" applyFont="1"/>
    <xf numFmtId="0" fontId="37" fillId="0" borderId="0" xfId="0" applyFont="1" applyFill="1"/>
    <xf numFmtId="0" fontId="27" fillId="0" borderId="0" xfId="0" applyFont="1" applyFill="1"/>
    <xf numFmtId="0" fontId="4" fillId="0" borderId="0" xfId="12" applyFont="1" applyAlignment="1">
      <alignment horizontal="right"/>
    </xf>
    <xf numFmtId="0" fontId="31" fillId="0" borderId="0" xfId="12" applyFont="1"/>
    <xf numFmtId="0" fontId="8" fillId="0" borderId="0" xfId="0" applyFont="1" applyFill="1"/>
    <xf numFmtId="0" fontId="44" fillId="2" borderId="0" xfId="0" applyFont="1" applyFill="1"/>
    <xf numFmtId="0" fontId="26" fillId="0" borderId="2" xfId="0" applyFont="1" applyBorder="1"/>
    <xf numFmtId="14" fontId="45" fillId="2" borderId="0" xfId="0" applyNumberFormat="1" applyFont="1" applyFill="1"/>
    <xf numFmtId="0" fontId="13" fillId="4" borderId="0" xfId="0" applyFont="1" applyFill="1"/>
    <xf numFmtId="0" fontId="8" fillId="4" borderId="0" xfId="0" applyFont="1" applyFill="1"/>
    <xf numFmtId="0" fontId="46" fillId="2" borderId="0" xfId="0" applyFont="1" applyFill="1"/>
    <xf numFmtId="0" fontId="23" fillId="0" borderId="0" xfId="0" applyFont="1"/>
    <xf numFmtId="14" fontId="45" fillId="5" borderId="0" xfId="0" applyNumberFormat="1" applyFont="1" applyFill="1"/>
    <xf numFmtId="14" fontId="23" fillId="5" borderId="0" xfId="0" applyNumberFormat="1" applyFont="1" applyFill="1"/>
    <xf numFmtId="2" fontId="23" fillId="5" borderId="0" xfId="0" applyNumberFormat="1" applyFont="1" applyFill="1" applyAlignment="1">
      <alignment horizontal="left"/>
    </xf>
    <xf numFmtId="0" fontId="39" fillId="2" borderId="0" xfId="0" applyFont="1" applyFill="1" applyAlignment="1">
      <alignment horizontal="right"/>
    </xf>
    <xf numFmtId="14" fontId="45" fillId="0" borderId="0" xfId="0" applyNumberFormat="1" applyFont="1" applyFill="1"/>
    <xf numFmtId="0" fontId="26" fillId="0" borderId="0" xfId="0" applyFont="1" applyFill="1"/>
    <xf numFmtId="0" fontId="2" fillId="0" borderId="0" xfId="0" applyFont="1" applyAlignment="1">
      <alignment vertical="top"/>
    </xf>
    <xf numFmtId="0" fontId="3" fillId="3" borderId="3" xfId="0" applyFont="1" applyFill="1" applyBorder="1" applyAlignment="1">
      <alignment horizontal="left"/>
    </xf>
    <xf numFmtId="0" fontId="3" fillId="6" borderId="3" xfId="0" applyFont="1" applyFill="1" applyBorder="1" applyAlignment="1">
      <alignment horizontal="right"/>
    </xf>
    <xf numFmtId="0" fontId="3" fillId="3" borderId="3" xfId="0" applyFont="1" applyFill="1" applyBorder="1" applyAlignment="1">
      <alignment horizontal="right"/>
    </xf>
    <xf numFmtId="0" fontId="3" fillId="3" borderId="0" xfId="0" applyFont="1" applyFill="1" applyBorder="1" applyAlignment="1">
      <alignment horizontal="center"/>
    </xf>
    <xf numFmtId="0" fontId="3" fillId="6" borderId="0" xfId="0" applyFont="1" applyFill="1" applyBorder="1" applyAlignment="1">
      <alignment horizontal="right"/>
    </xf>
    <xf numFmtId="0" fontId="3" fillId="3" borderId="0" xfId="0" applyFont="1" applyFill="1" applyBorder="1" applyAlignment="1">
      <alignment horizontal="right"/>
    </xf>
    <xf numFmtId="0" fontId="3" fillId="6" borderId="0" xfId="0" applyFont="1" applyFill="1" applyBorder="1" applyAlignment="1">
      <alignment horizontal="center"/>
    </xf>
    <xf numFmtId="0" fontId="3" fillId="3" borderId="4" xfId="0" applyFont="1" applyFill="1" applyBorder="1" applyAlignment="1">
      <alignment horizontal="center" vertical="top"/>
    </xf>
    <xf numFmtId="0" fontId="3" fillId="6" borderId="4" xfId="0" applyFont="1" applyFill="1" applyBorder="1" applyAlignment="1">
      <alignment horizontal="center" vertical="top"/>
    </xf>
    <xf numFmtId="0" fontId="3" fillId="3" borderId="4" xfId="0" applyFont="1" applyFill="1" applyBorder="1" applyAlignment="1">
      <alignment horizontal="right" vertical="top"/>
    </xf>
    <xf numFmtId="0" fontId="3" fillId="6" borderId="4" xfId="0" applyFont="1" applyFill="1" applyBorder="1" applyAlignment="1">
      <alignment horizontal="right" vertical="top"/>
    </xf>
    <xf numFmtId="0" fontId="3" fillId="0" borderId="0" xfId="0" applyFont="1"/>
    <xf numFmtId="0" fontId="3" fillId="3" borderId="5" xfId="0" applyFont="1" applyFill="1" applyBorder="1" applyAlignment="1">
      <alignment horizontal="left"/>
    </xf>
    <xf numFmtId="3" fontId="3" fillId="6" borderId="5" xfId="0" applyNumberFormat="1" applyFont="1" applyFill="1" applyBorder="1"/>
    <xf numFmtId="3" fontId="3" fillId="3" borderId="5" xfId="0" applyNumberFormat="1" applyFont="1" applyFill="1" applyBorder="1"/>
    <xf numFmtId="190" fontId="3" fillId="6" borderId="5" xfId="0" applyNumberFormat="1" applyFont="1" applyFill="1" applyBorder="1" applyAlignment="1">
      <alignment horizontal="center"/>
    </xf>
    <xf numFmtId="3" fontId="3" fillId="0" borderId="0" xfId="0" applyNumberFormat="1" applyFont="1"/>
    <xf numFmtId="0" fontId="3" fillId="3" borderId="6" xfId="0" applyFont="1" applyFill="1" applyBorder="1" applyAlignment="1">
      <alignment horizontal="left"/>
    </xf>
    <xf numFmtId="0" fontId="3" fillId="3" borderId="6" xfId="0" applyFont="1" applyFill="1" applyBorder="1" applyAlignment="1">
      <alignment horizontal="left" vertical="center"/>
    </xf>
    <xf numFmtId="0" fontId="5" fillId="3" borderId="0" xfId="0" applyFont="1" applyFill="1" applyBorder="1" applyAlignment="1">
      <alignment horizontal="left" vertical="center"/>
    </xf>
    <xf numFmtId="3" fontId="5" fillId="6" borderId="5" xfId="0" applyNumberFormat="1" applyFont="1" applyFill="1" applyBorder="1" applyAlignment="1">
      <alignment vertical="center"/>
    </xf>
    <xf numFmtId="3" fontId="5" fillId="3" borderId="5" xfId="0" applyNumberFormat="1" applyFont="1" applyFill="1" applyBorder="1" applyAlignment="1">
      <alignment vertical="center"/>
    </xf>
    <xf numFmtId="190" fontId="5" fillId="6" borderId="5" xfId="0" applyNumberFormat="1" applyFont="1" applyFill="1" applyBorder="1" applyAlignment="1">
      <alignment horizontal="center" vertical="center"/>
    </xf>
    <xf numFmtId="0" fontId="4" fillId="0" borderId="7" xfId="0" applyFont="1" applyBorder="1"/>
    <xf numFmtId="0" fontId="4" fillId="0" borderId="0" xfId="0" applyFont="1" applyBorder="1"/>
    <xf numFmtId="0" fontId="49" fillId="0" borderId="0" xfId="0" applyFont="1"/>
    <xf numFmtId="3" fontId="50" fillId="3" borderId="8" xfId="0" applyNumberFormat="1" applyFont="1" applyFill="1" applyBorder="1" applyAlignment="1">
      <alignment vertical="center"/>
    </xf>
    <xf numFmtId="0" fontId="4" fillId="7" borderId="0" xfId="0" applyFont="1" applyFill="1" applyBorder="1" applyProtection="1"/>
    <xf numFmtId="3" fontId="1" fillId="0" borderId="0" xfId="0" applyNumberFormat="1" applyFont="1"/>
    <xf numFmtId="0" fontId="1" fillId="0" borderId="0" xfId="0" applyFont="1" applyAlignment="1">
      <alignment horizontal="right"/>
    </xf>
    <xf numFmtId="0" fontId="2" fillId="0" borderId="0" xfId="0" applyFont="1" applyAlignment="1">
      <alignment horizontal="right" vertical="top"/>
    </xf>
    <xf numFmtId="3" fontId="3" fillId="6" borderId="3" xfId="0" applyNumberFormat="1" applyFont="1" applyFill="1" applyBorder="1" applyAlignment="1">
      <alignment horizontal="right"/>
    </xf>
    <xf numFmtId="3" fontId="3" fillId="3" borderId="3" xfId="0" applyNumberFormat="1" applyFont="1" applyFill="1" applyBorder="1" applyAlignment="1">
      <alignment horizontal="right"/>
    </xf>
    <xf numFmtId="3" fontId="3" fillId="6" borderId="0" xfId="0" applyNumberFormat="1" applyFont="1" applyFill="1" applyBorder="1" applyAlignment="1">
      <alignment horizontal="right"/>
    </xf>
    <xf numFmtId="3" fontId="3" fillId="3" borderId="0" xfId="0" applyNumberFormat="1" applyFont="1" applyFill="1" applyBorder="1" applyAlignment="1">
      <alignment horizontal="right"/>
    </xf>
    <xf numFmtId="3" fontId="3" fillId="6" borderId="4" xfId="0" applyNumberFormat="1" applyFont="1" applyFill="1" applyBorder="1" applyAlignment="1">
      <alignment horizontal="center" vertical="top"/>
    </xf>
    <xf numFmtId="3" fontId="3" fillId="3" borderId="4" xfId="0" applyNumberFormat="1" applyFont="1" applyFill="1" applyBorder="1" applyAlignment="1">
      <alignment horizontal="center" vertical="top"/>
    </xf>
    <xf numFmtId="3" fontId="3" fillId="3" borderId="4" xfId="0" applyNumberFormat="1" applyFont="1" applyFill="1" applyBorder="1" applyAlignment="1">
      <alignment horizontal="right" vertical="top"/>
    </xf>
    <xf numFmtId="3" fontId="3" fillId="6" borderId="4" xfId="0" applyNumberFormat="1" applyFont="1" applyFill="1" applyBorder="1" applyAlignment="1">
      <alignment horizontal="right" vertical="top"/>
    </xf>
    <xf numFmtId="3" fontId="3" fillId="6" borderId="9" xfId="0" applyNumberFormat="1" applyFont="1" applyFill="1" applyBorder="1"/>
    <xf numFmtId="3" fontId="3" fillId="3" borderId="9" xfId="0" applyNumberFormat="1" applyFont="1" applyFill="1" applyBorder="1"/>
    <xf numFmtId="3" fontId="5" fillId="6" borderId="9" xfId="0" applyNumberFormat="1" applyFont="1" applyFill="1" applyBorder="1" applyAlignment="1">
      <alignment vertical="center"/>
    </xf>
    <xf numFmtId="3" fontId="5" fillId="3" borderId="9" xfId="0" applyNumberFormat="1" applyFont="1" applyFill="1" applyBorder="1" applyAlignment="1">
      <alignment vertical="center"/>
    </xf>
    <xf numFmtId="0" fontId="8" fillId="0" borderId="0" xfId="0" applyFont="1" applyAlignment="1">
      <alignment vertical="center"/>
    </xf>
    <xf numFmtId="3" fontId="5" fillId="0" borderId="0" xfId="0" applyNumberFormat="1" applyFont="1" applyAlignment="1">
      <alignment vertical="center"/>
    </xf>
    <xf numFmtId="3" fontId="4" fillId="0" borderId="7" xfId="0" applyNumberFormat="1" applyFont="1" applyBorder="1"/>
    <xf numFmtId="0" fontId="4" fillId="0" borderId="7" xfId="0" applyFont="1" applyBorder="1" applyAlignment="1">
      <alignment horizontal="right"/>
    </xf>
    <xf numFmtId="3" fontId="4" fillId="0" borderId="0" xfId="0" applyNumberFormat="1" applyFont="1" applyBorder="1"/>
    <xf numFmtId="0" fontId="4" fillId="0" borderId="0" xfId="0" applyFont="1" applyBorder="1" applyAlignment="1">
      <alignment horizontal="right"/>
    </xf>
    <xf numFmtId="0" fontId="4" fillId="0" borderId="0" xfId="0" applyFont="1" applyAlignment="1">
      <alignment horizontal="right"/>
    </xf>
    <xf numFmtId="3" fontId="1" fillId="0" borderId="0" xfId="0" applyNumberFormat="1" applyFont="1" applyAlignment="1">
      <alignment horizontal="right"/>
    </xf>
    <xf numFmtId="3" fontId="3" fillId="6" borderId="9" xfId="0" applyNumberFormat="1" applyFont="1" applyFill="1" applyBorder="1" applyAlignment="1">
      <alignment horizontal="right"/>
    </xf>
    <xf numFmtId="3" fontId="3" fillId="3" borderId="9" xfId="0" applyNumberFormat="1" applyFont="1" applyFill="1" applyBorder="1" applyAlignment="1">
      <alignment horizontal="right"/>
    </xf>
    <xf numFmtId="3" fontId="5" fillId="6" borderId="9" xfId="0" applyNumberFormat="1" applyFont="1" applyFill="1" applyBorder="1" applyAlignment="1">
      <alignment horizontal="right" vertical="center"/>
    </xf>
    <xf numFmtId="3" fontId="4" fillId="0" borderId="7" xfId="0" applyNumberFormat="1" applyFont="1" applyBorder="1" applyAlignment="1">
      <alignment horizontal="right"/>
    </xf>
    <xf numFmtId="3" fontId="4" fillId="0" borderId="0" xfId="0" applyNumberFormat="1" applyFont="1" applyBorder="1" applyAlignment="1">
      <alignment horizontal="right"/>
    </xf>
    <xf numFmtId="3" fontId="4" fillId="0" borderId="0" xfId="0" applyNumberFormat="1" applyFont="1" applyAlignment="1">
      <alignment horizontal="right"/>
    </xf>
    <xf numFmtId="0" fontId="2" fillId="0" borderId="4" xfId="0" applyFont="1" applyBorder="1" applyAlignment="1">
      <alignment vertical="top"/>
    </xf>
    <xf numFmtId="3" fontId="3" fillId="3" borderId="5" xfId="0" applyNumberFormat="1" applyFont="1" applyFill="1" applyBorder="1" applyAlignment="1">
      <alignment horizontal="right"/>
    </xf>
    <xf numFmtId="3" fontId="3" fillId="6" borderId="5" xfId="0" applyNumberFormat="1" applyFont="1" applyFill="1" applyBorder="1" applyAlignment="1">
      <alignment horizontal="right"/>
    </xf>
    <xf numFmtId="3" fontId="3" fillId="3" borderId="6" xfId="0" applyNumberFormat="1" applyFont="1" applyFill="1" applyBorder="1" applyAlignment="1">
      <alignment horizontal="right"/>
    </xf>
    <xf numFmtId="3" fontId="3" fillId="6" borderId="6" xfId="0" applyNumberFormat="1" applyFont="1" applyFill="1" applyBorder="1" applyAlignment="1">
      <alignment horizontal="right"/>
    </xf>
    <xf numFmtId="3" fontId="5" fillId="3" borderId="8" xfId="0" applyNumberFormat="1" applyFont="1" applyFill="1" applyBorder="1" applyAlignment="1">
      <alignment horizontal="right" vertical="center"/>
    </xf>
    <xf numFmtId="3" fontId="3" fillId="0" borderId="7" xfId="0" applyNumberFormat="1" applyFont="1" applyBorder="1" applyAlignment="1">
      <alignment horizontal="right" vertical="top"/>
    </xf>
    <xf numFmtId="3" fontId="3" fillId="0" borderId="0" xfId="0" applyNumberFormat="1" applyFont="1" applyBorder="1" applyAlignment="1">
      <alignment horizontal="right" vertical="top"/>
    </xf>
    <xf numFmtId="0" fontId="0" fillId="0" borderId="4" xfId="0" applyBorder="1" applyAlignment="1">
      <alignment wrapText="1"/>
    </xf>
    <xf numFmtId="0" fontId="4" fillId="12" borderId="0" xfId="0" applyFont="1" applyFill="1"/>
    <xf numFmtId="0" fontId="4" fillId="4" borderId="0" xfId="0" applyFont="1" applyFill="1"/>
    <xf numFmtId="0" fontId="51" fillId="0" borderId="0" xfId="13" applyFont="1"/>
    <xf numFmtId="0" fontId="4" fillId="0" borderId="0" xfId="13"/>
    <xf numFmtId="0" fontId="4" fillId="0" borderId="0" xfId="13" applyBorder="1"/>
    <xf numFmtId="0" fontId="8" fillId="0" borderId="0" xfId="13" applyFont="1" applyBorder="1"/>
    <xf numFmtId="0" fontId="8" fillId="0" borderId="10" xfId="13" applyFont="1" applyBorder="1"/>
    <xf numFmtId="0" fontId="4" fillId="0" borderId="10" xfId="13" applyBorder="1"/>
    <xf numFmtId="0" fontId="8" fillId="0" borderId="0" xfId="13" applyFont="1" applyBorder="1" applyAlignment="1">
      <alignment horizontal="center"/>
    </xf>
    <xf numFmtId="0" fontId="4" fillId="0" borderId="0" xfId="13" applyAlignment="1">
      <alignment horizontal="center"/>
    </xf>
    <xf numFmtId="0" fontId="4" fillId="0" borderId="4" xfId="13" applyBorder="1"/>
    <xf numFmtId="0" fontId="4" fillId="0" borderId="4" xfId="13" applyBorder="1" applyAlignment="1">
      <alignment horizontal="center"/>
    </xf>
    <xf numFmtId="49" fontId="4" fillId="0" borderId="0" xfId="13" applyNumberFormat="1" applyBorder="1" applyAlignment="1">
      <alignment horizontal="center"/>
    </xf>
    <xf numFmtId="0" fontId="4" fillId="0" borderId="0" xfId="13" applyBorder="1" applyAlignment="1">
      <alignment horizontal="center"/>
    </xf>
    <xf numFmtId="49" fontId="4" fillId="0" borderId="0" xfId="13" applyNumberFormat="1" applyAlignment="1">
      <alignment horizontal="center"/>
    </xf>
    <xf numFmtId="49" fontId="4" fillId="0" borderId="4" xfId="13" applyNumberFormat="1" applyBorder="1" applyAlignment="1">
      <alignment horizontal="center"/>
    </xf>
    <xf numFmtId="49" fontId="26" fillId="0" borderId="10" xfId="13" applyNumberFormat="1" applyFont="1" applyBorder="1" applyAlignment="1">
      <alignment horizontal="center"/>
    </xf>
    <xf numFmtId="49" fontId="4" fillId="0" borderId="10" xfId="13" applyNumberFormat="1" applyBorder="1" applyAlignment="1">
      <alignment horizontal="center"/>
    </xf>
    <xf numFmtId="0" fontId="4" fillId="0" borderId="10" xfId="13" applyBorder="1" applyAlignment="1">
      <alignment horizontal="center"/>
    </xf>
    <xf numFmtId="0" fontId="52" fillId="0" borderId="0" xfId="13" applyFont="1"/>
    <xf numFmtId="0" fontId="4" fillId="0" borderId="0" xfId="13" applyAlignment="1">
      <alignment horizontal="left"/>
    </xf>
    <xf numFmtId="0" fontId="4" fillId="0" borderId="0" xfId="13" applyFont="1"/>
    <xf numFmtId="0" fontId="4" fillId="0" borderId="0" xfId="13" quotePrefix="1" applyAlignment="1">
      <alignment horizontal="left"/>
    </xf>
    <xf numFmtId="14" fontId="4" fillId="0" borderId="0" xfId="13" quotePrefix="1" applyNumberFormat="1" applyAlignment="1">
      <alignment horizontal="left"/>
    </xf>
    <xf numFmtId="0" fontId="43" fillId="13" borderId="0" xfId="0" applyFont="1" applyFill="1" applyAlignment="1">
      <alignment horizontal="left"/>
    </xf>
    <xf numFmtId="0" fontId="43" fillId="13" borderId="0" xfId="0" applyFont="1" applyFill="1"/>
    <xf numFmtId="0" fontId="26" fillId="13" borderId="0" xfId="0" applyFont="1" applyFill="1"/>
    <xf numFmtId="0" fontId="3" fillId="13" borderId="0" xfId="0" applyFont="1" applyFill="1" applyAlignment="1">
      <alignment horizontal="left"/>
    </xf>
    <xf numFmtId="0" fontId="3" fillId="13" borderId="0" xfId="0" applyFont="1" applyFill="1"/>
    <xf numFmtId="0" fontId="4" fillId="13" borderId="0" xfId="0" applyFont="1" applyFill="1"/>
    <xf numFmtId="0" fontId="2" fillId="0" borderId="0" xfId="2" applyFont="1"/>
    <xf numFmtId="0" fontId="30" fillId="0" borderId="0" xfId="2"/>
    <xf numFmtId="2" fontId="47" fillId="0" borderId="0" xfId="2" applyNumberFormat="1" applyFont="1"/>
    <xf numFmtId="0" fontId="47" fillId="0" borderId="0" xfId="2" applyFont="1"/>
    <xf numFmtId="0" fontId="47" fillId="0" borderId="0" xfId="2" applyFont="1" applyAlignment="1"/>
    <xf numFmtId="0" fontId="4" fillId="0" borderId="0" xfId="2" quotePrefix="1" applyFont="1" applyAlignment="1">
      <alignment horizontal="right"/>
    </xf>
    <xf numFmtId="0" fontId="4" fillId="0" borderId="0" xfId="2" applyFont="1" applyAlignment="1"/>
    <xf numFmtId="0" fontId="23" fillId="0" borderId="0" xfId="2" applyFont="1"/>
    <xf numFmtId="0" fontId="51" fillId="7" borderId="0" xfId="0" applyFont="1" applyFill="1" applyAlignment="1">
      <alignment vertical="top"/>
    </xf>
    <xf numFmtId="0" fontId="18" fillId="7" borderId="0" xfId="0" applyFont="1" applyFill="1"/>
    <xf numFmtId="0" fontId="8" fillId="7" borderId="0" xfId="0" applyFont="1" applyFill="1"/>
    <xf numFmtId="0" fontId="51" fillId="7" borderId="4" xfId="0" applyFont="1" applyFill="1" applyBorder="1" applyAlignment="1">
      <alignment vertical="top"/>
    </xf>
    <xf numFmtId="0" fontId="18" fillId="7" borderId="4" xfId="0" applyFont="1" applyFill="1" applyBorder="1" applyAlignment="1">
      <alignment vertical="center"/>
    </xf>
    <xf numFmtId="0" fontId="4" fillId="7" borderId="4" xfId="0" applyFont="1" applyFill="1" applyBorder="1" applyAlignment="1">
      <alignment vertical="center"/>
    </xf>
    <xf numFmtId="0" fontId="8" fillId="7" borderId="4" xfId="0" applyFont="1" applyFill="1" applyBorder="1" applyAlignment="1">
      <alignment vertical="center"/>
    </xf>
    <xf numFmtId="0" fontId="8" fillId="0" borderId="4" xfId="0" applyFont="1" applyFill="1" applyBorder="1" applyAlignment="1">
      <alignment vertical="center"/>
    </xf>
    <xf numFmtId="0" fontId="4" fillId="0" borderId="4" xfId="0" applyFont="1" applyBorder="1"/>
    <xf numFmtId="0" fontId="32" fillId="6" borderId="0" xfId="0" applyFont="1" applyFill="1" applyBorder="1" applyAlignment="1">
      <alignment horizontal="center"/>
    </xf>
    <xf numFmtId="0" fontId="5" fillId="6" borderId="0" xfId="0" applyFont="1" applyFill="1" applyBorder="1"/>
    <xf numFmtId="0" fontId="5" fillId="3" borderId="0" xfId="0" applyFont="1" applyFill="1" applyBorder="1"/>
    <xf numFmtId="0" fontId="5" fillId="6" borderId="0" xfId="0" applyFont="1" applyFill="1" applyBorder="1" applyAlignment="1">
      <alignment horizontal="right"/>
    </xf>
    <xf numFmtId="0" fontId="5" fillId="3" borderId="0" xfId="0" applyFont="1" applyFill="1" applyBorder="1" applyAlignment="1">
      <alignment horizontal="right"/>
    </xf>
    <xf numFmtId="0" fontId="5" fillId="0" borderId="0" xfId="0" applyFont="1" applyFill="1" applyBorder="1" applyAlignment="1">
      <alignment horizontal="right"/>
    </xf>
    <xf numFmtId="0" fontId="18" fillId="6" borderId="0" xfId="0" applyFont="1" applyFill="1" applyBorder="1" applyAlignment="1">
      <alignment horizontal="center" wrapText="1"/>
    </xf>
    <xf numFmtId="0" fontId="18" fillId="3" borderId="0" xfId="0" applyFont="1" applyFill="1" applyBorder="1" applyAlignment="1">
      <alignment horizontal="center" wrapText="1"/>
    </xf>
    <xf numFmtId="0" fontId="18" fillId="0" borderId="0" xfId="0" applyFont="1" applyFill="1" applyBorder="1" applyAlignment="1">
      <alignment horizontal="right" wrapText="1"/>
    </xf>
    <xf numFmtId="0" fontId="38" fillId="3" borderId="0" xfId="0" applyFont="1" applyFill="1" applyBorder="1"/>
    <xf numFmtId="0" fontId="5" fillId="0" borderId="0" xfId="0" applyFont="1" applyFill="1" applyBorder="1"/>
    <xf numFmtId="0" fontId="32" fillId="6" borderId="4" xfId="0" applyFont="1" applyFill="1" applyBorder="1" applyAlignment="1">
      <alignment horizontal="center"/>
    </xf>
    <xf numFmtId="0" fontId="5" fillId="6" borderId="4" xfId="0" applyFont="1" applyFill="1" applyBorder="1" applyAlignment="1">
      <alignment vertical="top"/>
    </xf>
    <xf numFmtId="0" fontId="5" fillId="3" borderId="4" xfId="0" applyFont="1" applyFill="1" applyBorder="1" applyAlignment="1">
      <alignment vertical="top"/>
    </xf>
    <xf numFmtId="0" fontId="5" fillId="6" borderId="4" xfId="0" applyFont="1" applyFill="1" applyBorder="1" applyAlignment="1">
      <alignment horizontal="right" vertical="top"/>
    </xf>
    <xf numFmtId="0" fontId="5" fillId="3" borderId="4" xfId="0" applyFont="1" applyFill="1" applyBorder="1"/>
    <xf numFmtId="0" fontId="5" fillId="3" borderId="4" xfId="0" applyFont="1" applyFill="1" applyBorder="1" applyAlignment="1">
      <alignment horizontal="right" vertical="top"/>
    </xf>
    <xf numFmtId="0" fontId="5" fillId="0" borderId="4" xfId="0" applyFont="1" applyFill="1" applyBorder="1" applyAlignment="1">
      <alignment horizontal="right" vertical="top"/>
    </xf>
    <xf numFmtId="0" fontId="5" fillId="6" borderId="4" xfId="0" applyFont="1" applyFill="1" applyBorder="1"/>
    <xf numFmtId="0" fontId="23" fillId="6" borderId="9" xfId="0" applyFont="1" applyFill="1" applyBorder="1" applyAlignment="1">
      <alignment horizontal="center"/>
    </xf>
    <xf numFmtId="0" fontId="3" fillId="6" borderId="9" xfId="0" applyFont="1" applyFill="1" applyBorder="1" applyAlignment="1"/>
    <xf numFmtId="3" fontId="3" fillId="3" borderId="9" xfId="0" applyNumberFormat="1" applyFont="1" applyFill="1" applyBorder="1" applyAlignment="1"/>
    <xf numFmtId="3" fontId="3" fillId="6" borderId="9" xfId="0" applyNumberFormat="1" applyFont="1" applyFill="1" applyBorder="1" applyAlignment="1"/>
    <xf numFmtId="3" fontId="5" fillId="3" borderId="9" xfId="0" applyNumberFormat="1" applyFont="1" applyFill="1" applyBorder="1" applyAlignment="1"/>
    <xf numFmtId="3" fontId="3" fillId="0" borderId="9" xfId="0" applyNumberFormat="1" applyFont="1" applyFill="1" applyBorder="1" applyAlignment="1"/>
    <xf numFmtId="190" fontId="4" fillId="6" borderId="9" xfId="0" applyNumberFormat="1" applyFont="1" applyFill="1" applyBorder="1" applyAlignment="1">
      <alignment horizontal="center"/>
    </xf>
    <xf numFmtId="190" fontId="4" fillId="3" borderId="9" xfId="0" applyNumberFormat="1" applyFont="1" applyFill="1" applyBorder="1" applyAlignment="1">
      <alignment horizontal="center"/>
    </xf>
    <xf numFmtId="190" fontId="4" fillId="0" borderId="0" xfId="0" applyNumberFormat="1" applyFont="1" applyFill="1" applyBorder="1" applyAlignment="1">
      <alignment horizontal="center"/>
    </xf>
    <xf numFmtId="0" fontId="23" fillId="6" borderId="6" xfId="0" applyFont="1" applyFill="1" applyBorder="1" applyAlignment="1">
      <alignment horizontal="center"/>
    </xf>
    <xf numFmtId="0" fontId="3" fillId="6" borderId="6" xfId="0" applyFont="1" applyFill="1" applyBorder="1" applyAlignment="1"/>
    <xf numFmtId="3" fontId="3" fillId="3" borderId="6" xfId="0" applyNumberFormat="1" applyFont="1" applyFill="1" applyBorder="1" applyAlignment="1"/>
    <xf numFmtId="3" fontId="3" fillId="6" borderId="6" xfId="0" applyNumberFormat="1" applyFont="1" applyFill="1" applyBorder="1" applyAlignment="1"/>
    <xf numFmtId="3" fontId="5" fillId="3" borderId="6" xfId="0" applyNumberFormat="1" applyFont="1" applyFill="1" applyBorder="1" applyAlignment="1"/>
    <xf numFmtId="189" fontId="3" fillId="3" borderId="6" xfId="0" applyNumberFormat="1" applyFont="1" applyFill="1" applyBorder="1" applyAlignment="1"/>
    <xf numFmtId="189" fontId="3" fillId="6" borderId="6" xfId="0" applyNumberFormat="1" applyFont="1" applyFill="1" applyBorder="1" applyAlignment="1"/>
    <xf numFmtId="188" fontId="3" fillId="3" borderId="6" xfId="0" applyNumberFormat="1" applyFont="1" applyFill="1" applyBorder="1" applyAlignment="1">
      <alignment horizontal="right"/>
    </xf>
    <xf numFmtId="189" fontId="5" fillId="3" borderId="6" xfId="0" applyNumberFormat="1" applyFont="1" applyFill="1" applyBorder="1" applyAlignment="1"/>
    <xf numFmtId="189" fontId="3" fillId="0" borderId="9" xfId="0" applyNumberFormat="1" applyFont="1" applyFill="1" applyBorder="1" applyAlignment="1"/>
    <xf numFmtId="0" fontId="4" fillId="6" borderId="6" xfId="0" applyFont="1" applyFill="1" applyBorder="1" applyAlignment="1"/>
    <xf numFmtId="190" fontId="3" fillId="3" borderId="6" xfId="0" applyNumberFormat="1" applyFont="1" applyFill="1" applyBorder="1" applyAlignment="1"/>
    <xf numFmtId="190" fontId="3" fillId="6" borderId="6" xfId="0" applyNumberFormat="1" applyFont="1" applyFill="1" applyBorder="1" applyAlignment="1"/>
    <xf numFmtId="190" fontId="5" fillId="3" borderId="6" xfId="0" applyNumberFormat="1" applyFont="1" applyFill="1" applyBorder="1" applyAlignment="1"/>
    <xf numFmtId="0" fontId="23" fillId="6" borderId="8" xfId="0" applyFont="1" applyFill="1" applyBorder="1" applyAlignment="1">
      <alignment horizontal="center" vertical="center"/>
    </xf>
    <xf numFmtId="0" fontId="3" fillId="6" borderId="8" xfId="0" applyFont="1" applyFill="1" applyBorder="1" applyAlignment="1">
      <alignment vertical="center"/>
    </xf>
    <xf numFmtId="190" fontId="3" fillId="3" borderId="8" xfId="0" applyNumberFormat="1" applyFont="1" applyFill="1" applyBorder="1" applyAlignment="1">
      <alignment vertical="center"/>
    </xf>
    <xf numFmtId="190" fontId="3" fillId="6" borderId="8" xfId="0" applyNumberFormat="1" applyFont="1" applyFill="1" applyBorder="1" applyAlignment="1">
      <alignment vertical="center"/>
    </xf>
    <xf numFmtId="190" fontId="5" fillId="3" borderId="8" xfId="0" applyNumberFormat="1" applyFont="1" applyFill="1" applyBorder="1" applyAlignment="1">
      <alignment vertical="center"/>
    </xf>
    <xf numFmtId="190" fontId="3" fillId="0" borderId="8" xfId="0" applyNumberFormat="1" applyFont="1" applyFill="1" applyBorder="1" applyAlignment="1">
      <alignment vertical="center"/>
    </xf>
    <xf numFmtId="190" fontId="4" fillId="6" borderId="8" xfId="0" applyNumberFormat="1" applyFont="1" applyFill="1" applyBorder="1" applyAlignment="1">
      <alignment horizontal="center" vertical="center"/>
    </xf>
    <xf numFmtId="190" fontId="4" fillId="3" borderId="8" xfId="0" applyNumberFormat="1" applyFont="1" applyFill="1" applyBorder="1" applyAlignment="1">
      <alignment horizontal="center" vertical="center"/>
    </xf>
    <xf numFmtId="190" fontId="4" fillId="0" borderId="0" xfId="0" applyNumberFormat="1" applyFont="1" applyFill="1" applyBorder="1" applyAlignment="1">
      <alignment horizontal="center" vertical="center"/>
    </xf>
    <xf numFmtId="0" fontId="4" fillId="0" borderId="0" xfId="0" applyFont="1" applyAlignment="1">
      <alignment vertical="center"/>
    </xf>
    <xf numFmtId="0" fontId="4" fillId="0" borderId="7" xfId="0" applyFont="1" applyFill="1" applyBorder="1" applyAlignment="1"/>
    <xf numFmtId="190" fontId="3" fillId="0" borderId="7" xfId="0" applyNumberFormat="1" applyFont="1" applyFill="1" applyBorder="1" applyAlignment="1"/>
    <xf numFmtId="190" fontId="5" fillId="0" borderId="7" xfId="0" applyNumberFormat="1" applyFont="1" applyFill="1" applyBorder="1" applyAlignment="1"/>
    <xf numFmtId="190" fontId="5" fillId="0" borderId="0" xfId="0" applyNumberFormat="1" applyFont="1" applyFill="1" applyBorder="1" applyAlignment="1"/>
    <xf numFmtId="0" fontId="8" fillId="0" borderId="0" xfId="0" applyFont="1" applyBorder="1"/>
    <xf numFmtId="0" fontId="1" fillId="7" borderId="0" xfId="0" applyFont="1" applyFill="1"/>
    <xf numFmtId="0" fontId="2" fillId="7" borderId="0" xfId="0" applyFont="1" applyFill="1"/>
    <xf numFmtId="0" fontId="3" fillId="0" borderId="0" xfId="0" applyFont="1" applyFill="1" applyBorder="1"/>
    <xf numFmtId="3" fontId="1" fillId="0" borderId="0" xfId="0" applyNumberFormat="1" applyFont="1" applyFill="1" applyBorder="1"/>
    <xf numFmtId="0" fontId="1" fillId="0" borderId="0" xfId="0" applyFont="1" applyBorder="1"/>
    <xf numFmtId="0" fontId="2" fillId="0" borderId="0" xfId="0" applyFont="1" applyBorder="1"/>
    <xf numFmtId="0" fontId="8" fillId="0" borderId="0" xfId="0" applyFont="1"/>
    <xf numFmtId="0" fontId="18" fillId="0" borderId="0" xfId="0" applyFont="1"/>
    <xf numFmtId="0" fontId="54" fillId="0" borderId="0" xfId="0" applyFont="1" applyFill="1" applyAlignment="1">
      <alignment horizontal="center"/>
    </xf>
    <xf numFmtId="0" fontId="52" fillId="0" borderId="0" xfId="0" applyFont="1"/>
    <xf numFmtId="0" fontId="4" fillId="0" borderId="11" xfId="0" applyFont="1" applyBorder="1" applyAlignment="1">
      <alignment horizontal="center"/>
    </xf>
    <xf numFmtId="0" fontId="4" fillId="0" borderId="11" xfId="0" applyFont="1" applyFill="1" applyBorder="1"/>
    <xf numFmtId="0" fontId="4" fillId="0" borderId="11" xfId="0" applyFont="1" applyFill="1" applyBorder="1" applyAlignment="1">
      <alignment horizontal="right"/>
    </xf>
    <xf numFmtId="0" fontId="4" fillId="0" borderId="11" xfId="0" quotePrefix="1" applyFont="1" applyBorder="1"/>
    <xf numFmtId="0" fontId="4" fillId="0" borderId="11" xfId="0" applyFont="1" applyBorder="1"/>
    <xf numFmtId="0" fontId="8" fillId="0" borderId="11" xfId="0" applyFont="1" applyBorder="1"/>
    <xf numFmtId="0" fontId="4" fillId="0" borderId="12" xfId="14" applyFont="1" applyFill="1" applyBorder="1"/>
    <xf numFmtId="0" fontId="4" fillId="0" borderId="11" xfId="0" applyFont="1" applyBorder="1" applyAlignment="1">
      <alignment horizontal="right"/>
    </xf>
    <xf numFmtId="0" fontId="4" fillId="0" borderId="11" xfId="0" quotePrefix="1" applyFont="1" applyBorder="1" applyAlignment="1">
      <alignment horizontal="center"/>
    </xf>
    <xf numFmtId="0" fontId="1" fillId="0" borderId="0" xfId="0" applyFont="1" applyAlignment="1">
      <alignment horizontal="center"/>
    </xf>
    <xf numFmtId="3" fontId="5" fillId="6" borderId="3" xfId="0" applyNumberFormat="1" applyFont="1" applyFill="1" applyBorder="1" applyAlignment="1">
      <alignment horizontal="right"/>
    </xf>
    <xf numFmtId="0" fontId="3" fillId="3" borderId="4" xfId="0" applyFont="1" applyFill="1" applyBorder="1" applyAlignment="1">
      <alignment horizontal="left"/>
    </xf>
    <xf numFmtId="0" fontId="3" fillId="3" borderId="4" xfId="0" applyFont="1" applyFill="1" applyBorder="1" applyAlignment="1">
      <alignment horizontal="center"/>
    </xf>
    <xf numFmtId="3" fontId="5" fillId="6" borderId="4" xfId="0" applyNumberFormat="1" applyFont="1" applyFill="1" applyBorder="1" applyAlignment="1">
      <alignment horizontal="right" vertical="top"/>
    </xf>
    <xf numFmtId="3" fontId="5" fillId="6" borderId="5" xfId="0" applyNumberFormat="1" applyFont="1" applyFill="1" applyBorder="1" applyAlignment="1">
      <alignment horizontal="right"/>
    </xf>
    <xf numFmtId="3" fontId="5" fillId="6" borderId="6" xfId="0" applyNumberFormat="1" applyFont="1" applyFill="1" applyBorder="1" applyAlignment="1">
      <alignment horizontal="right"/>
    </xf>
    <xf numFmtId="3" fontId="3" fillId="6" borderId="6" xfId="0" applyNumberFormat="1" applyFont="1" applyFill="1" applyBorder="1" applyAlignment="1">
      <alignment horizontal="right" vertical="center"/>
    </xf>
    <xf numFmtId="3" fontId="3" fillId="3" borderId="6" xfId="0" applyNumberFormat="1" applyFont="1" applyFill="1" applyBorder="1" applyAlignment="1">
      <alignment horizontal="right" vertical="center"/>
    </xf>
    <xf numFmtId="3" fontId="5" fillId="6" borderId="6" xfId="0" applyNumberFormat="1" applyFont="1" applyFill="1" applyBorder="1" applyAlignment="1">
      <alignment horizontal="right" vertical="center"/>
    </xf>
    <xf numFmtId="0" fontId="3" fillId="3" borderId="10" xfId="0" applyFont="1" applyFill="1" applyBorder="1" applyAlignment="1">
      <alignment horizontal="left" vertical="center"/>
    </xf>
    <xf numFmtId="3" fontId="3" fillId="6" borderId="10" xfId="0" applyNumberFormat="1" applyFont="1" applyFill="1" applyBorder="1" applyAlignment="1">
      <alignment horizontal="right" vertical="center"/>
    </xf>
    <xf numFmtId="3" fontId="3" fillId="3" borderId="10" xfId="0" applyNumberFormat="1" applyFont="1" applyFill="1" applyBorder="1" applyAlignment="1">
      <alignment horizontal="right" vertical="center"/>
    </xf>
    <xf numFmtId="3" fontId="5" fillId="6" borderId="10" xfId="0" applyNumberFormat="1" applyFont="1" applyFill="1" applyBorder="1" applyAlignment="1">
      <alignment horizontal="right" vertical="center"/>
    </xf>
    <xf numFmtId="0" fontId="23" fillId="7" borderId="0" xfId="0" applyFont="1" applyFill="1" applyBorder="1"/>
    <xf numFmtId="0" fontId="5" fillId="3" borderId="3" xfId="0" applyFont="1" applyFill="1" applyBorder="1" applyAlignment="1">
      <alignment horizontal="left"/>
    </xf>
    <xf numFmtId="0" fontId="3" fillId="3" borderId="3" xfId="0" applyFont="1" applyFill="1" applyBorder="1" applyAlignment="1">
      <alignment horizontal="center"/>
    </xf>
    <xf numFmtId="3" fontId="5" fillId="6" borderId="9" xfId="0" applyNumberFormat="1" applyFont="1" applyFill="1" applyBorder="1" applyAlignment="1">
      <alignment horizontal="right"/>
    </xf>
    <xf numFmtId="0" fontId="3" fillId="3" borderId="9" xfId="0" applyFont="1" applyFill="1" applyBorder="1" applyAlignment="1">
      <alignment horizontal="left"/>
    </xf>
    <xf numFmtId="0" fontId="3" fillId="3" borderId="8" xfId="0" applyFont="1" applyFill="1" applyBorder="1" applyAlignment="1">
      <alignment horizontal="left" vertical="center"/>
    </xf>
    <xf numFmtId="3" fontId="3" fillId="6" borderId="8" xfId="0" applyNumberFormat="1" applyFont="1" applyFill="1" applyBorder="1" applyAlignment="1">
      <alignment horizontal="right"/>
    </xf>
    <xf numFmtId="3" fontId="3" fillId="3" borderId="8" xfId="0" applyNumberFormat="1" applyFont="1" applyFill="1" applyBorder="1" applyAlignment="1">
      <alignment horizontal="right"/>
    </xf>
    <xf numFmtId="3" fontId="5" fillId="6" borderId="8" xfId="0" applyNumberFormat="1" applyFont="1" applyFill="1" applyBorder="1" applyAlignment="1">
      <alignment horizontal="right"/>
    </xf>
    <xf numFmtId="0" fontId="3" fillId="0" borderId="0" xfId="0" applyFont="1" applyFill="1" applyBorder="1" applyAlignment="1">
      <alignment horizontal="left" vertical="center"/>
    </xf>
    <xf numFmtId="3" fontId="3" fillId="0" borderId="0" xfId="0" applyNumberFormat="1" applyFont="1" applyFill="1" applyBorder="1" applyAlignment="1">
      <alignment horizontal="right" vertical="center"/>
    </xf>
    <xf numFmtId="3" fontId="5" fillId="0" borderId="0" xfId="0" applyNumberFormat="1" applyFont="1" applyFill="1" applyBorder="1" applyAlignment="1">
      <alignment horizontal="right" vertical="center"/>
    </xf>
    <xf numFmtId="0" fontId="2" fillId="0" borderId="4" xfId="0" applyFont="1" applyBorder="1" applyAlignment="1">
      <alignment vertical="center"/>
    </xf>
    <xf numFmtId="0" fontId="0" fillId="0" borderId="4" xfId="0" applyBorder="1" applyAlignment="1">
      <alignment vertical="center"/>
    </xf>
    <xf numFmtId="0" fontId="3" fillId="3" borderId="9" xfId="0" applyFont="1" applyFill="1" applyBorder="1" applyAlignment="1">
      <alignment horizontal="left" vertical="center"/>
    </xf>
    <xf numFmtId="3" fontId="3" fillId="6" borderId="9" xfId="0" applyNumberFormat="1" applyFont="1" applyFill="1" applyBorder="1" applyAlignment="1">
      <alignment horizontal="right" vertical="center"/>
    </xf>
    <xf numFmtId="3" fontId="3" fillId="3" borderId="9" xfId="0" applyNumberFormat="1" applyFont="1" applyFill="1" applyBorder="1" applyAlignment="1">
      <alignment horizontal="right" vertical="center"/>
    </xf>
    <xf numFmtId="0" fontId="4" fillId="0" borderId="7" xfId="0" applyFont="1" applyBorder="1" applyAlignment="1">
      <alignment horizontal="center"/>
    </xf>
    <xf numFmtId="3" fontId="8" fillId="0" borderId="7" xfId="0" applyNumberFormat="1" applyFont="1" applyBorder="1"/>
    <xf numFmtId="3" fontId="8" fillId="0" borderId="0" xfId="0" applyNumberFormat="1" applyFont="1"/>
    <xf numFmtId="0" fontId="4" fillId="0" borderId="0" xfId="15" applyFont="1"/>
    <xf numFmtId="0" fontId="18" fillId="0" borderId="0" xfId="2" applyFont="1" applyAlignment="1"/>
    <xf numFmtId="0" fontId="18" fillId="0" borderId="0" xfId="2" applyFont="1"/>
    <xf numFmtId="0" fontId="18" fillId="0" borderId="0" xfId="2" quotePrefix="1" applyFont="1" applyAlignment="1">
      <alignment horizontal="right"/>
    </xf>
    <xf numFmtId="0" fontId="3" fillId="6" borderId="3" xfId="0" applyFont="1" applyFill="1" applyBorder="1" applyAlignment="1">
      <alignment horizontal="center"/>
    </xf>
    <xf numFmtId="190" fontId="3" fillId="6" borderId="9" xfId="0" applyNumberFormat="1" applyFont="1" applyFill="1" applyBorder="1" applyAlignment="1">
      <alignment horizontal="center"/>
    </xf>
    <xf numFmtId="190" fontId="3" fillId="6" borderId="6" xfId="0" applyNumberFormat="1" applyFont="1" applyFill="1" applyBorder="1" applyAlignment="1">
      <alignment horizontal="center"/>
    </xf>
    <xf numFmtId="190" fontId="5" fillId="6" borderId="6" xfId="0" applyNumberFormat="1" applyFont="1" applyFill="1" applyBorder="1" applyAlignment="1">
      <alignment horizontal="center" vertical="center"/>
    </xf>
    <xf numFmtId="0" fontId="2" fillId="0" borderId="0" xfId="0" applyFont="1" applyAlignment="1">
      <alignment vertical="center"/>
    </xf>
    <xf numFmtId="3" fontId="2" fillId="0" borderId="0" xfId="0" applyNumberFormat="1" applyFont="1" applyAlignment="1">
      <alignment horizontal="left" vertical="center"/>
    </xf>
    <xf numFmtId="3" fontId="2" fillId="7" borderId="4" xfId="0" applyNumberFormat="1" applyFont="1" applyFill="1" applyBorder="1" applyAlignment="1">
      <alignment horizontal="left" vertical="top"/>
    </xf>
    <xf numFmtId="0" fontId="0" fillId="0" borderId="4" xfId="0" applyBorder="1" applyAlignment="1"/>
    <xf numFmtId="0" fontId="2" fillId="7" borderId="0" xfId="0" applyFont="1" applyFill="1" applyAlignment="1">
      <alignment horizontal="right" vertical="top"/>
    </xf>
    <xf numFmtId="189" fontId="3" fillId="6" borderId="9" xfId="0" applyNumberFormat="1" applyFont="1" applyFill="1" applyBorder="1" applyAlignment="1">
      <alignment horizontal="right"/>
    </xf>
    <xf numFmtId="190" fontId="3" fillId="3" borderId="9" xfId="0" applyNumberFormat="1" applyFont="1" applyFill="1" applyBorder="1" applyAlignment="1">
      <alignment horizontal="center"/>
    </xf>
    <xf numFmtId="0" fontId="50" fillId="3" borderId="6" xfId="0" applyFont="1" applyFill="1" applyBorder="1" applyAlignment="1">
      <alignment horizontal="left"/>
    </xf>
    <xf numFmtId="189" fontId="50" fillId="6" borderId="9" xfId="0" applyNumberFormat="1" applyFont="1" applyFill="1" applyBorder="1" applyAlignment="1">
      <alignment horizontal="right"/>
    </xf>
    <xf numFmtId="190" fontId="50" fillId="3" borderId="9" xfId="0" applyNumberFormat="1" applyFont="1" applyFill="1" applyBorder="1" applyAlignment="1">
      <alignment horizontal="center"/>
    </xf>
    <xf numFmtId="189" fontId="5" fillId="6" borderId="6" xfId="0" applyNumberFormat="1" applyFont="1" applyFill="1" applyBorder="1" applyAlignment="1">
      <alignment horizontal="right" vertical="center"/>
    </xf>
    <xf numFmtId="190" fontId="5" fillId="3" borderId="6" xfId="0" applyNumberFormat="1" applyFont="1" applyFill="1" applyBorder="1" applyAlignment="1">
      <alignment horizontal="center" vertical="center"/>
    </xf>
    <xf numFmtId="1" fontId="8" fillId="0" borderId="0" xfId="0" applyNumberFormat="1" applyFont="1"/>
    <xf numFmtId="0" fontId="4" fillId="0" borderId="0" xfId="0" applyFont="1" applyBorder="1" applyAlignment="1">
      <alignment horizontal="center"/>
    </xf>
    <xf numFmtId="0" fontId="2" fillId="7" borderId="0" xfId="0" applyFont="1" applyFill="1" applyAlignment="1">
      <alignment vertical="center"/>
    </xf>
    <xf numFmtId="3" fontId="3" fillId="6" borderId="6" xfId="0" applyNumberFormat="1" applyFont="1" applyFill="1" applyBorder="1"/>
    <xf numFmtId="3" fontId="3" fillId="3" borderId="6" xfId="0" applyNumberFormat="1" applyFont="1" applyFill="1" applyBorder="1"/>
    <xf numFmtId="3" fontId="5" fillId="6" borderId="6" xfId="0" applyNumberFormat="1" applyFont="1" applyFill="1" applyBorder="1" applyAlignment="1">
      <alignment vertical="center"/>
    </xf>
    <xf numFmtId="3" fontId="5" fillId="3" borderId="6" xfId="0" applyNumberFormat="1" applyFont="1" applyFill="1" applyBorder="1" applyAlignment="1">
      <alignment vertical="center"/>
    </xf>
    <xf numFmtId="3" fontId="5" fillId="3" borderId="6" xfId="0" applyNumberFormat="1" applyFont="1" applyFill="1" applyBorder="1" applyAlignment="1">
      <alignment horizontal="right" vertical="center"/>
    </xf>
    <xf numFmtId="0" fontId="0" fillId="0" borderId="0" xfId="0" applyBorder="1"/>
    <xf numFmtId="0" fontId="4" fillId="0" borderId="0" xfId="0" applyFont="1" applyFill="1" applyBorder="1"/>
    <xf numFmtId="3" fontId="4" fillId="0" borderId="0" xfId="0" applyNumberFormat="1" applyFont="1" applyFill="1" applyBorder="1" applyAlignment="1">
      <alignment horizontal="right"/>
    </xf>
    <xf numFmtId="0" fontId="4" fillId="0" borderId="0" xfId="0" applyFont="1" applyFill="1" applyBorder="1" applyAlignment="1">
      <alignment vertical="top"/>
    </xf>
    <xf numFmtId="0" fontId="5" fillId="3" borderId="3" xfId="0" applyFont="1" applyFill="1" applyBorder="1" applyAlignment="1">
      <alignment horizontal="right"/>
    </xf>
    <xf numFmtId="0" fontId="3" fillId="3" borderId="0" xfId="0" applyFont="1" applyFill="1" applyBorder="1" applyAlignment="1">
      <alignment horizontal="left"/>
    </xf>
    <xf numFmtId="0" fontId="3" fillId="3" borderId="4" xfId="0" applyFont="1" applyFill="1" applyBorder="1" applyAlignment="1">
      <alignment horizontal="left" vertical="top"/>
    </xf>
    <xf numFmtId="0" fontId="3" fillId="3" borderId="5" xfId="0" quotePrefix="1" applyFont="1" applyFill="1" applyBorder="1" applyAlignment="1">
      <alignment horizontal="left"/>
    </xf>
    <xf numFmtId="3" fontId="5" fillId="3" borderId="5" xfId="0" applyNumberFormat="1" applyFont="1" applyFill="1" applyBorder="1" applyAlignment="1">
      <alignment horizontal="right"/>
    </xf>
    <xf numFmtId="190" fontId="3" fillId="6" borderId="5" xfId="0" applyNumberFormat="1" applyFont="1" applyFill="1" applyBorder="1" applyAlignment="1">
      <alignment horizontal="right"/>
    </xf>
    <xf numFmtId="0" fontId="3" fillId="3" borderId="6" xfId="0" quotePrefix="1" applyFont="1" applyFill="1" applyBorder="1" applyAlignment="1">
      <alignment horizontal="left"/>
    </xf>
    <xf numFmtId="3" fontId="5" fillId="3" borderId="6" xfId="0" applyNumberFormat="1" applyFont="1" applyFill="1" applyBorder="1" applyAlignment="1">
      <alignment horizontal="right"/>
    </xf>
    <xf numFmtId="190" fontId="3" fillId="6" borderId="6" xfId="0" applyNumberFormat="1" applyFont="1" applyFill="1" applyBorder="1" applyAlignment="1">
      <alignment horizontal="right"/>
    </xf>
    <xf numFmtId="0" fontId="3" fillId="3" borderId="8" xfId="0" quotePrefix="1" applyFont="1" applyFill="1" applyBorder="1" applyAlignment="1">
      <alignment horizontal="left" vertical="center"/>
    </xf>
    <xf numFmtId="3" fontId="3" fillId="6" borderId="8" xfId="0" applyNumberFormat="1" applyFont="1" applyFill="1" applyBorder="1" applyAlignment="1">
      <alignment horizontal="right" vertical="center"/>
    </xf>
    <xf numFmtId="3" fontId="3" fillId="3" borderId="8" xfId="0" applyNumberFormat="1" applyFont="1" applyFill="1" applyBorder="1" applyAlignment="1">
      <alignment horizontal="right" vertical="center"/>
    </xf>
    <xf numFmtId="190" fontId="3" fillId="6" borderId="8" xfId="0" applyNumberFormat="1" applyFont="1" applyFill="1" applyBorder="1" applyAlignment="1">
      <alignment horizontal="right" vertical="center"/>
    </xf>
    <xf numFmtId="0" fontId="3" fillId="0" borderId="0" xfId="0" quotePrefix="1" applyFont="1" applyFill="1" applyBorder="1" applyAlignment="1">
      <alignment horizontal="left" vertical="center"/>
    </xf>
    <xf numFmtId="190" fontId="3" fillId="0" borderId="0" xfId="0" applyNumberFormat="1" applyFont="1" applyFill="1" applyBorder="1" applyAlignment="1">
      <alignment horizontal="right" vertical="center"/>
    </xf>
    <xf numFmtId="0" fontId="43" fillId="3" borderId="5" xfId="0" quotePrefix="1" applyFont="1" applyFill="1" applyBorder="1" applyAlignment="1">
      <alignment horizontal="left" vertical="center"/>
    </xf>
    <xf numFmtId="3" fontId="43" fillId="6" borderId="5" xfId="0" applyNumberFormat="1" applyFont="1" applyFill="1" applyBorder="1" applyAlignment="1">
      <alignment horizontal="right" vertical="center"/>
    </xf>
    <xf numFmtId="3" fontId="43" fillId="3" borderId="5" xfId="0" applyNumberFormat="1" applyFont="1" applyFill="1" applyBorder="1" applyAlignment="1">
      <alignment horizontal="right" vertical="center"/>
    </xf>
    <xf numFmtId="3" fontId="50" fillId="3" borderId="5" xfId="0" applyNumberFormat="1" applyFont="1" applyFill="1" applyBorder="1" applyAlignment="1">
      <alignment horizontal="right" vertical="center"/>
    </xf>
    <xf numFmtId="190" fontId="43" fillId="6" borderId="5" xfId="0" applyNumberFormat="1" applyFont="1" applyFill="1" applyBorder="1" applyAlignment="1">
      <alignment horizontal="right" vertical="center"/>
    </xf>
    <xf numFmtId="0" fontId="43" fillId="3" borderId="10" xfId="0" quotePrefix="1" applyFont="1" applyFill="1" applyBorder="1" applyAlignment="1">
      <alignment horizontal="left" vertical="center" wrapText="1"/>
    </xf>
    <xf numFmtId="3" fontId="43" fillId="6" borderId="10" xfId="0" applyNumberFormat="1" applyFont="1" applyFill="1" applyBorder="1" applyAlignment="1">
      <alignment horizontal="right" vertical="center"/>
    </xf>
    <xf numFmtId="3" fontId="43" fillId="3" borderId="10" xfId="0" applyNumberFormat="1" applyFont="1" applyFill="1" applyBorder="1" applyAlignment="1">
      <alignment horizontal="right" vertical="center"/>
    </xf>
    <xf numFmtId="3" fontId="50" fillId="3" borderId="10" xfId="0" applyNumberFormat="1" applyFont="1" applyFill="1" applyBorder="1" applyAlignment="1">
      <alignment horizontal="right" vertical="center"/>
    </xf>
    <xf numFmtId="190" fontId="43" fillId="6" borderId="10" xfId="0" applyNumberFormat="1" applyFont="1" applyFill="1" applyBorder="1" applyAlignment="1">
      <alignment horizontal="right" vertical="center"/>
    </xf>
    <xf numFmtId="0" fontId="4" fillId="7" borderId="0" xfId="0" applyFont="1" applyFill="1" applyBorder="1"/>
    <xf numFmtId="0" fontId="3" fillId="0" borderId="0" xfId="0" applyFont="1" applyFill="1" applyBorder="1" applyAlignment="1">
      <alignment horizontal="left"/>
    </xf>
    <xf numFmtId="3" fontId="5" fillId="3" borderId="0" xfId="0" applyNumberFormat="1" applyFont="1" applyFill="1" applyBorder="1" applyAlignment="1">
      <alignment horizontal="right"/>
    </xf>
    <xf numFmtId="3" fontId="5" fillId="3" borderId="4" xfId="0" applyNumberFormat="1" applyFont="1" applyFill="1" applyBorder="1" applyAlignment="1">
      <alignment horizontal="right" vertical="top"/>
    </xf>
    <xf numFmtId="3" fontId="5" fillId="0" borderId="7" xfId="0" applyNumberFormat="1" applyFont="1" applyBorder="1" applyAlignment="1">
      <alignment horizontal="right" vertical="top"/>
    </xf>
    <xf numFmtId="3" fontId="5" fillId="0" borderId="0" xfId="0" applyNumberFormat="1" applyFont="1" applyBorder="1" applyAlignment="1">
      <alignment horizontal="right" vertical="top"/>
    </xf>
    <xf numFmtId="0" fontId="2" fillId="0" borderId="0" xfId="0" applyFont="1" applyFill="1" applyAlignment="1">
      <alignment horizontal="right" vertical="top"/>
    </xf>
    <xf numFmtId="0" fontId="3" fillId="6" borderId="4" xfId="0" applyFont="1" applyFill="1" applyBorder="1" applyAlignment="1">
      <alignment horizontal="right"/>
    </xf>
    <xf numFmtId="0" fontId="3" fillId="3" borderId="4" xfId="0" applyFont="1" applyFill="1" applyBorder="1" applyAlignment="1">
      <alignment horizontal="right"/>
    </xf>
    <xf numFmtId="0" fontId="3" fillId="3" borderId="9" xfId="0" applyFont="1" applyFill="1" applyBorder="1" applyAlignment="1">
      <alignment vertical="center" wrapText="1"/>
    </xf>
    <xf numFmtId="190" fontId="3" fillId="6" borderId="9" xfId="0" applyNumberFormat="1" applyFont="1" applyFill="1" applyBorder="1"/>
    <xf numFmtId="190" fontId="3" fillId="3" borderId="9" xfId="0" applyNumberFormat="1" applyFont="1" applyFill="1" applyBorder="1"/>
    <xf numFmtId="3" fontId="3" fillId="3" borderId="0" xfId="0" applyNumberFormat="1" applyFont="1" applyFill="1" applyBorder="1"/>
    <xf numFmtId="0" fontId="5" fillId="3" borderId="0" xfId="0" applyFont="1" applyFill="1" applyBorder="1" applyAlignment="1">
      <alignment vertical="center"/>
    </xf>
    <xf numFmtId="3" fontId="5" fillId="6" borderId="0" xfId="0" applyNumberFormat="1" applyFont="1" applyFill="1" applyBorder="1" applyAlignment="1">
      <alignment vertical="center"/>
    </xf>
    <xf numFmtId="3" fontId="5" fillId="3" borderId="0" xfId="0" applyNumberFormat="1" applyFont="1" applyFill="1" applyBorder="1" applyAlignment="1">
      <alignment vertical="center"/>
    </xf>
    <xf numFmtId="190" fontId="5" fillId="6" borderId="0" xfId="0" applyNumberFormat="1" applyFont="1" applyFill="1" applyBorder="1" applyAlignment="1">
      <alignment vertical="center"/>
    </xf>
    <xf numFmtId="190" fontId="5" fillId="3" borderId="0" xfId="0" applyNumberFormat="1" applyFont="1" applyFill="1" applyBorder="1" applyAlignment="1">
      <alignment vertical="center"/>
    </xf>
    <xf numFmtId="3" fontId="3" fillId="3" borderId="0" xfId="0" applyNumberFormat="1" applyFont="1" applyFill="1" applyBorder="1" applyAlignment="1">
      <alignment vertical="center"/>
    </xf>
    <xf numFmtId="0" fontId="2" fillId="7" borderId="0" xfId="0" applyFont="1" applyFill="1" applyAlignment="1">
      <alignment vertical="top"/>
    </xf>
    <xf numFmtId="0" fontId="2" fillId="7" borderId="4" xfId="0" applyFont="1" applyFill="1" applyBorder="1" applyAlignment="1">
      <alignment vertical="top"/>
    </xf>
    <xf numFmtId="0" fontId="1" fillId="7" borderId="4" xfId="0" applyFont="1" applyFill="1" applyBorder="1"/>
    <xf numFmtId="0" fontId="5" fillId="3" borderId="0" xfId="0" applyFont="1" applyFill="1" applyBorder="1" applyAlignment="1">
      <alignment vertical="center" wrapText="1"/>
    </xf>
    <xf numFmtId="0" fontId="5" fillId="6" borderId="0" xfId="0" applyFont="1" applyFill="1" applyBorder="1" applyAlignment="1">
      <alignment vertical="center" wrapText="1"/>
    </xf>
    <xf numFmtId="0" fontId="3" fillId="3" borderId="0" xfId="0" applyFont="1" applyFill="1" applyBorder="1" applyAlignment="1">
      <alignment horizontal="center" vertical="center" wrapText="1"/>
    </xf>
    <xf numFmtId="0" fontId="3" fillId="6" borderId="0" xfId="0" applyFont="1" applyFill="1" applyBorder="1" applyAlignment="1">
      <alignment horizontal="center" vertical="center" wrapText="1"/>
    </xf>
    <xf numFmtId="0" fontId="3" fillId="6" borderId="0" xfId="0" applyFont="1" applyFill="1" applyBorder="1" applyAlignment="1">
      <alignment horizontal="right" vertical="center" wrapText="1"/>
    </xf>
    <xf numFmtId="0" fontId="5" fillId="3" borderId="4" xfId="0" applyFont="1" applyFill="1" applyBorder="1" applyAlignment="1">
      <alignment horizontal="left"/>
    </xf>
    <xf numFmtId="0" fontId="5" fillId="6" borderId="4" xfId="0" applyFont="1" applyFill="1" applyBorder="1" applyAlignment="1">
      <alignment horizontal="left"/>
    </xf>
    <xf numFmtId="0" fontId="5" fillId="3" borderId="0" xfId="0" applyFont="1" applyFill="1" applyBorder="1" applyAlignment="1">
      <alignment horizontal="left" vertical="center" wrapText="1"/>
    </xf>
    <xf numFmtId="0" fontId="5" fillId="6" borderId="5" xfId="0" applyFont="1" applyFill="1" applyBorder="1" applyAlignment="1">
      <alignment horizontal="left" vertical="center"/>
    </xf>
    <xf numFmtId="0" fontId="3" fillId="6" borderId="6" xfId="0" applyFont="1" applyFill="1" applyBorder="1" applyAlignment="1">
      <alignment horizontal="left" vertical="center"/>
    </xf>
    <xf numFmtId="3" fontId="3" fillId="3" borderId="6" xfId="0" applyNumberFormat="1" applyFont="1" applyFill="1" applyBorder="1" applyAlignment="1">
      <alignment vertical="center"/>
    </xf>
    <xf numFmtId="3" fontId="3" fillId="6" borderId="6" xfId="0" applyNumberFormat="1" applyFont="1" applyFill="1" applyBorder="1" applyAlignment="1">
      <alignment vertical="center"/>
    </xf>
    <xf numFmtId="0" fontId="5" fillId="3" borderId="13" xfId="0" applyFont="1" applyFill="1" applyBorder="1" applyAlignment="1">
      <alignment horizontal="left" vertical="center" wrapText="1"/>
    </xf>
    <xf numFmtId="0" fontId="5" fillId="6" borderId="14" xfId="0" applyFont="1" applyFill="1" applyBorder="1" applyAlignment="1">
      <alignment horizontal="left" vertical="center"/>
    </xf>
    <xf numFmtId="0" fontId="5" fillId="3" borderId="15" xfId="0" applyFont="1" applyFill="1" applyBorder="1" applyAlignment="1">
      <alignment horizontal="left" vertical="center"/>
    </xf>
    <xf numFmtId="0" fontId="5" fillId="3" borderId="9" xfId="0" applyFont="1" applyFill="1" applyBorder="1" applyAlignment="1">
      <alignment horizontal="left" vertical="center"/>
    </xf>
    <xf numFmtId="0" fontId="5" fillId="3" borderId="6" xfId="0" applyFont="1" applyFill="1" applyBorder="1" applyAlignment="1">
      <alignment horizontal="left" vertical="center"/>
    </xf>
    <xf numFmtId="0" fontId="5" fillId="6" borderId="6" xfId="0" applyFont="1" applyFill="1" applyBorder="1" applyAlignment="1">
      <alignment horizontal="left" vertical="center"/>
    </xf>
    <xf numFmtId="0" fontId="43" fillId="3" borderId="0" xfId="0" applyFont="1" applyFill="1" applyBorder="1" applyAlignment="1">
      <alignment horizontal="left" vertical="center" wrapText="1"/>
    </xf>
    <xf numFmtId="0" fontId="43" fillId="6" borderId="14" xfId="0" applyFont="1" applyFill="1" applyBorder="1" applyAlignment="1">
      <alignment horizontal="left" vertical="center" wrapText="1"/>
    </xf>
    <xf numFmtId="3" fontId="43" fillId="3" borderId="6" xfId="0" applyNumberFormat="1" applyFont="1" applyFill="1" applyBorder="1" applyAlignment="1">
      <alignment vertical="center"/>
    </xf>
    <xf numFmtId="3" fontId="43" fillId="6" borderId="6" xfId="0" applyNumberFormat="1" applyFont="1" applyFill="1" applyBorder="1" applyAlignment="1">
      <alignment vertical="center"/>
    </xf>
    <xf numFmtId="0" fontId="43" fillId="6" borderId="14" xfId="0" applyFont="1" applyFill="1" applyBorder="1" applyAlignment="1">
      <alignment vertical="center" wrapText="1"/>
    </xf>
    <xf numFmtId="0" fontId="43" fillId="3" borderId="9" xfId="0" applyFont="1" applyFill="1" applyBorder="1" applyAlignment="1">
      <alignment vertical="center" wrapText="1"/>
    </xf>
    <xf numFmtId="0" fontId="5" fillId="3" borderId="6" xfId="0" applyFont="1" applyFill="1" applyBorder="1" applyAlignment="1">
      <alignment vertical="center"/>
    </xf>
    <xf numFmtId="0" fontId="5" fillId="6" borderId="6" xfId="0" applyFont="1" applyFill="1" applyBorder="1" applyAlignment="1">
      <alignment vertical="center"/>
    </xf>
    <xf numFmtId="0" fontId="5" fillId="3" borderId="8" xfId="0" applyFont="1" applyFill="1" applyBorder="1" applyAlignment="1">
      <alignment vertical="center"/>
    </xf>
    <xf numFmtId="0" fontId="5" fillId="6" borderId="8" xfId="0" applyFont="1" applyFill="1" applyBorder="1" applyAlignment="1">
      <alignment vertical="center"/>
    </xf>
    <xf numFmtId="3" fontId="5" fillId="3" borderId="8" xfId="0" applyNumberFormat="1" applyFont="1" applyFill="1" applyBorder="1" applyAlignment="1">
      <alignment vertical="center"/>
    </xf>
    <xf numFmtId="3" fontId="5" fillId="6" borderId="8" xfId="0" applyNumberFormat="1" applyFont="1" applyFill="1" applyBorder="1" applyAlignment="1">
      <alignment vertical="center"/>
    </xf>
    <xf numFmtId="3" fontId="8" fillId="0" borderId="0" xfId="0" quotePrefix="1" applyNumberFormat="1" applyFont="1" applyFill="1"/>
    <xf numFmtId="3" fontId="4" fillId="0" borderId="0" xfId="0" applyNumberFormat="1" applyFont="1" applyFill="1" applyAlignment="1">
      <alignment horizontal="center"/>
    </xf>
    <xf numFmtId="3" fontId="8" fillId="0" borderId="0" xfId="0" applyNumberFormat="1" applyFont="1" applyFill="1"/>
    <xf numFmtId="3" fontId="8" fillId="0" borderId="0" xfId="0" applyNumberFormat="1" applyFont="1" applyFill="1" applyAlignment="1">
      <alignment horizontal="center"/>
    </xf>
    <xf numFmtId="3" fontId="3" fillId="6" borderId="9" xfId="0" applyNumberFormat="1" applyFont="1" applyFill="1" applyBorder="1" applyAlignment="1">
      <alignment vertical="center"/>
    </xf>
    <xf numFmtId="3" fontId="3" fillId="3" borderId="9" xfId="0" applyNumberFormat="1" applyFont="1" applyFill="1" applyBorder="1" applyAlignment="1">
      <alignment vertical="center"/>
    </xf>
    <xf numFmtId="190" fontId="3" fillId="6" borderId="9" xfId="0" applyNumberFormat="1" applyFont="1" applyFill="1" applyBorder="1" applyAlignment="1">
      <alignment horizontal="center" vertical="center"/>
    </xf>
    <xf numFmtId="190" fontId="3" fillId="3" borderId="9" xfId="0" applyNumberFormat="1" applyFont="1" applyFill="1" applyBorder="1" applyAlignment="1">
      <alignment horizontal="center" vertical="center"/>
    </xf>
    <xf numFmtId="190" fontId="5" fillId="6" borderId="0" xfId="0" applyNumberFormat="1" applyFont="1" applyFill="1" applyBorder="1" applyAlignment="1">
      <alignment horizontal="center" vertical="center"/>
    </xf>
    <xf numFmtId="190" fontId="5" fillId="3" borderId="0" xfId="0" applyNumberFormat="1" applyFont="1" applyFill="1" applyBorder="1" applyAlignment="1">
      <alignment horizontal="center" vertical="center"/>
    </xf>
    <xf numFmtId="190" fontId="4" fillId="0" borderId="0" xfId="0" applyNumberFormat="1" applyFont="1"/>
    <xf numFmtId="3" fontId="50" fillId="6" borderId="9" xfId="0" applyNumberFormat="1" applyFont="1" applyFill="1" applyBorder="1" applyAlignment="1">
      <alignment horizontal="right"/>
    </xf>
    <xf numFmtId="0" fontId="2" fillId="7" borderId="4" xfId="0" applyFont="1" applyFill="1" applyBorder="1" applyAlignment="1">
      <alignment horizontal="right" vertical="top"/>
    </xf>
    <xf numFmtId="0" fontId="43" fillId="3" borderId="0" xfId="0" applyFont="1" applyFill="1" applyBorder="1" applyAlignment="1">
      <alignment horizontal="right" vertical="center" wrapText="1"/>
    </xf>
    <xf numFmtId="0" fontId="43" fillId="6" borderId="0" xfId="0" applyFont="1" applyFill="1" applyBorder="1" applyAlignment="1">
      <alignment horizontal="right" vertical="center" wrapText="1"/>
    </xf>
    <xf numFmtId="0" fontId="43" fillId="3" borderId="4" xfId="0" applyFont="1" applyFill="1" applyBorder="1" applyAlignment="1">
      <alignment horizontal="right"/>
    </xf>
    <xf numFmtId="0" fontId="3" fillId="6" borderId="4" xfId="0" applyFont="1" applyFill="1" applyBorder="1"/>
    <xf numFmtId="3" fontId="43" fillId="3" borderId="9" xfId="0" applyNumberFormat="1" applyFont="1" applyFill="1" applyBorder="1" applyAlignment="1">
      <alignment horizontal="right" vertical="center"/>
    </xf>
    <xf numFmtId="3" fontId="43" fillId="6" borderId="9" xfId="0" applyNumberFormat="1" applyFont="1" applyFill="1" applyBorder="1" applyAlignment="1">
      <alignment vertical="center"/>
    </xf>
    <xf numFmtId="3" fontId="43" fillId="6" borderId="6" xfId="0" applyNumberFormat="1" applyFont="1" applyFill="1" applyBorder="1" applyAlignment="1">
      <alignment horizontal="right" vertical="center"/>
    </xf>
    <xf numFmtId="3" fontId="50" fillId="6" borderId="8" xfId="0" applyNumberFormat="1" applyFont="1" applyFill="1" applyBorder="1" applyAlignment="1">
      <alignment vertical="center"/>
    </xf>
    <xf numFmtId="3" fontId="4" fillId="0" borderId="0" xfId="0" applyNumberFormat="1" applyFont="1" applyFill="1" applyAlignment="1">
      <alignment horizontal="right"/>
    </xf>
    <xf numFmtId="0" fontId="39" fillId="12" borderId="0" xfId="0" applyFont="1" applyFill="1"/>
    <xf numFmtId="0" fontId="3" fillId="3" borderId="9" xfId="0" quotePrefix="1" applyFont="1" applyFill="1" applyBorder="1" applyAlignment="1">
      <alignment horizontal="left"/>
    </xf>
    <xf numFmtId="189" fontId="3" fillId="3" borderId="9" xfId="0" applyNumberFormat="1" applyFont="1" applyFill="1" applyBorder="1" applyAlignment="1">
      <alignment horizontal="right"/>
    </xf>
    <xf numFmtId="189" fontId="3" fillId="6" borderId="6" xfId="0" applyNumberFormat="1" applyFont="1" applyFill="1" applyBorder="1" applyAlignment="1">
      <alignment horizontal="right"/>
    </xf>
    <xf numFmtId="189" fontId="3" fillId="3" borderId="6" xfId="0" applyNumberFormat="1" applyFont="1" applyFill="1" applyBorder="1" applyAlignment="1">
      <alignment horizontal="right"/>
    </xf>
    <xf numFmtId="0" fontId="5" fillId="3" borderId="0" xfId="0" quotePrefix="1" applyFont="1" applyFill="1" applyBorder="1" applyAlignment="1">
      <alignment horizontal="left" vertical="center"/>
    </xf>
    <xf numFmtId="189" fontId="5" fillId="6" borderId="0" xfId="0" applyNumberFormat="1" applyFont="1" applyFill="1" applyBorder="1" applyAlignment="1">
      <alignment horizontal="right" vertical="center"/>
    </xf>
    <xf numFmtId="189" fontId="5" fillId="3" borderId="0" xfId="0" applyNumberFormat="1" applyFont="1" applyFill="1" applyBorder="1" applyAlignment="1">
      <alignment horizontal="right" vertical="center"/>
    </xf>
    <xf numFmtId="0" fontId="4" fillId="0" borderId="0" xfId="0" applyFont="1" applyAlignment="1">
      <alignment vertical="top"/>
    </xf>
    <xf numFmtId="3" fontId="5" fillId="6" borderId="0" xfId="0" applyNumberFormat="1" applyFont="1" applyFill="1" applyBorder="1" applyAlignment="1">
      <alignment horizontal="right" vertical="center"/>
    </xf>
    <xf numFmtId="3" fontId="5" fillId="3" borderId="0" xfId="0" applyNumberFormat="1" applyFont="1" applyFill="1" applyBorder="1" applyAlignment="1">
      <alignment horizontal="right" vertical="center"/>
    </xf>
    <xf numFmtId="0" fontId="2" fillId="0" borderId="4" xfId="0" applyFont="1" applyFill="1" applyBorder="1" applyAlignment="1">
      <alignment horizontal="right" vertical="top"/>
    </xf>
    <xf numFmtId="0" fontId="3" fillId="6" borderId="0" xfId="0" applyFont="1" applyFill="1" applyBorder="1" applyAlignment="1">
      <alignment horizontal="right" wrapText="1"/>
    </xf>
    <xf numFmtId="0" fontId="3" fillId="3" borderId="0" xfId="0" applyFont="1" applyFill="1" applyBorder="1" applyAlignment="1">
      <alignment horizontal="right" wrapText="1"/>
    </xf>
    <xf numFmtId="0" fontId="3" fillId="6" borderId="0" xfId="0" applyFont="1" applyFill="1" applyBorder="1" applyAlignment="1">
      <alignment horizontal="right" vertical="top"/>
    </xf>
    <xf numFmtId="1" fontId="3" fillId="3" borderId="9" xfId="0" applyNumberFormat="1" applyFont="1" applyFill="1" applyBorder="1" applyAlignment="1">
      <alignment horizontal="left"/>
    </xf>
    <xf numFmtId="211" fontId="3" fillId="6" borderId="9" xfId="0" applyNumberFormat="1" applyFont="1" applyFill="1" applyBorder="1" applyAlignment="1">
      <alignment horizontal="right"/>
    </xf>
    <xf numFmtId="190" fontId="3" fillId="3" borderId="9" xfId="0" applyNumberFormat="1" applyFont="1" applyFill="1" applyBorder="1" applyAlignment="1">
      <alignment horizontal="right"/>
    </xf>
    <xf numFmtId="1" fontId="3" fillId="3" borderId="6" xfId="0" applyNumberFormat="1" applyFont="1" applyFill="1" applyBorder="1" applyAlignment="1">
      <alignment horizontal="left"/>
    </xf>
    <xf numFmtId="211" fontId="3" fillId="6" borderId="6" xfId="0" applyNumberFormat="1" applyFont="1" applyFill="1" applyBorder="1" applyAlignment="1">
      <alignment horizontal="right"/>
    </xf>
    <xf numFmtId="190" fontId="3" fillId="3" borderId="5" xfId="0" applyNumberFormat="1" applyFont="1" applyFill="1" applyBorder="1" applyAlignment="1">
      <alignment horizontal="right"/>
    </xf>
    <xf numFmtId="1" fontId="5" fillId="3" borderId="0" xfId="0" applyNumberFormat="1" applyFont="1" applyFill="1" applyBorder="1" applyAlignment="1">
      <alignment horizontal="left" vertical="center"/>
    </xf>
    <xf numFmtId="211" fontId="5" fillId="6" borderId="0" xfId="0" applyNumberFormat="1" applyFont="1" applyFill="1" applyBorder="1" applyAlignment="1">
      <alignment horizontal="right" vertical="center"/>
    </xf>
    <xf numFmtId="190" fontId="5" fillId="3" borderId="5" xfId="0" applyNumberFormat="1" applyFont="1" applyFill="1" applyBorder="1" applyAlignment="1">
      <alignment horizontal="right" vertical="center"/>
    </xf>
    <xf numFmtId="189" fontId="5" fillId="6" borderId="8" xfId="0" applyNumberFormat="1" applyFont="1" applyFill="1" applyBorder="1" applyAlignment="1">
      <alignment horizontal="right" vertical="center"/>
    </xf>
    <xf numFmtId="3" fontId="0" fillId="0" borderId="0" xfId="0" applyNumberFormat="1"/>
    <xf numFmtId="190" fontId="3" fillId="3" borderId="6" xfId="0" applyNumberFormat="1" applyFont="1" applyFill="1" applyBorder="1" applyAlignment="1">
      <alignment horizontal="center"/>
    </xf>
    <xf numFmtId="190" fontId="1" fillId="0" borderId="0" xfId="0" applyNumberFormat="1" applyFont="1"/>
    <xf numFmtId="0" fontId="2" fillId="0" borderId="0" xfId="0" applyFont="1" applyFill="1" applyBorder="1" applyAlignment="1">
      <alignment horizontal="right" vertical="top"/>
    </xf>
    <xf numFmtId="190" fontId="3" fillId="3" borderId="3" xfId="0" applyNumberFormat="1" applyFont="1" applyFill="1" applyBorder="1" applyAlignment="1">
      <alignment horizontal="right"/>
    </xf>
    <xf numFmtId="190" fontId="3" fillId="6" borderId="3" xfId="0" applyNumberFormat="1" applyFont="1" applyFill="1" applyBorder="1" applyAlignment="1">
      <alignment horizontal="right"/>
    </xf>
    <xf numFmtId="0" fontId="3" fillId="0" borderId="0" xfId="0" applyFont="1" applyFill="1" applyBorder="1" applyAlignment="1">
      <alignment horizontal="right"/>
    </xf>
    <xf numFmtId="190" fontId="3" fillId="3" borderId="0" xfId="0" applyNumberFormat="1" applyFont="1" applyFill="1" applyBorder="1" applyAlignment="1">
      <alignment horizontal="right"/>
    </xf>
    <xf numFmtId="190" fontId="3" fillId="6" borderId="0" xfId="0" applyNumberFormat="1" applyFont="1" applyFill="1" applyBorder="1" applyAlignment="1">
      <alignment horizontal="right"/>
    </xf>
    <xf numFmtId="190" fontId="3" fillId="6" borderId="4" xfId="0" applyNumberFormat="1" applyFont="1" applyFill="1" applyBorder="1" applyAlignment="1">
      <alignment horizontal="right" vertical="top"/>
    </xf>
    <xf numFmtId="0" fontId="3" fillId="0" borderId="0" xfId="0" applyFont="1" applyFill="1" applyBorder="1" applyAlignment="1">
      <alignment horizontal="right" vertical="top"/>
    </xf>
    <xf numFmtId="190" fontId="3" fillId="6" borderId="9" xfId="0" applyNumberFormat="1" applyFont="1" applyFill="1" applyBorder="1" applyAlignment="1">
      <alignment horizontal="right"/>
    </xf>
    <xf numFmtId="190" fontId="3" fillId="0" borderId="0" xfId="0" applyNumberFormat="1" applyFont="1" applyFill="1" applyBorder="1" applyAlignment="1">
      <alignment horizontal="right"/>
    </xf>
    <xf numFmtId="190" fontId="3" fillId="3" borderId="6" xfId="0" applyNumberFormat="1" applyFont="1" applyFill="1" applyBorder="1" applyAlignment="1">
      <alignment horizontal="right"/>
    </xf>
    <xf numFmtId="190" fontId="5" fillId="3" borderId="6" xfId="0" applyNumberFormat="1" applyFont="1" applyFill="1" applyBorder="1" applyAlignment="1">
      <alignment horizontal="right" vertical="center"/>
    </xf>
    <xf numFmtId="190" fontId="5" fillId="6" borderId="0" xfId="0" applyNumberFormat="1" applyFont="1" applyFill="1" applyBorder="1" applyAlignment="1">
      <alignment horizontal="right" vertical="center"/>
    </xf>
    <xf numFmtId="190" fontId="5" fillId="0" borderId="0" xfId="0" applyNumberFormat="1" applyFont="1" applyFill="1" applyBorder="1" applyAlignment="1">
      <alignment horizontal="right" vertical="center"/>
    </xf>
    <xf numFmtId="190" fontId="4" fillId="0" borderId="7" xfId="0" applyNumberFormat="1" applyFont="1" applyBorder="1"/>
    <xf numFmtId="190" fontId="4" fillId="0" borderId="0" xfId="0" applyNumberFormat="1" applyFont="1" applyBorder="1"/>
    <xf numFmtId="0" fontId="4" fillId="7" borderId="7" xfId="0" applyFont="1" applyFill="1" applyBorder="1"/>
    <xf numFmtId="0" fontId="5" fillId="0" borderId="0" xfId="0" applyFont="1" applyFill="1"/>
    <xf numFmtId="3" fontId="5" fillId="0" borderId="0" xfId="0" applyNumberFormat="1" applyFont="1" applyFill="1"/>
    <xf numFmtId="0" fontId="2" fillId="0" borderId="0" xfId="4" applyFont="1"/>
    <xf numFmtId="0" fontId="57" fillId="0" borderId="0" xfId="4"/>
    <xf numFmtId="0" fontId="4" fillId="0" borderId="0" xfId="4" applyFont="1"/>
    <xf numFmtId="0" fontId="23" fillId="0" borderId="0" xfId="4" applyFont="1"/>
    <xf numFmtId="0" fontId="1" fillId="0" borderId="0" xfId="0" applyNumberFormat="1" applyFont="1" applyAlignment="1">
      <alignment horizontal="center"/>
    </xf>
    <xf numFmtId="0" fontId="1" fillId="0" borderId="0" xfId="0" applyFont="1" applyFill="1" applyAlignment="1">
      <alignment horizontal="center"/>
    </xf>
    <xf numFmtId="0" fontId="1" fillId="0" borderId="0" xfId="0" applyFont="1" applyFill="1"/>
    <xf numFmtId="0" fontId="2" fillId="0" borderId="0" xfId="0" applyNumberFormat="1" applyFont="1" applyAlignment="1">
      <alignment horizontal="right"/>
    </xf>
    <xf numFmtId="0" fontId="1" fillId="0" borderId="4" xfId="0" applyNumberFormat="1" applyFont="1" applyBorder="1" applyAlignment="1">
      <alignment horizontal="center"/>
    </xf>
    <xf numFmtId="0" fontId="1" fillId="0" borderId="4" xfId="0" applyFont="1" applyBorder="1"/>
    <xf numFmtId="0" fontId="4" fillId="3" borderId="3" xfId="0" applyFont="1" applyFill="1" applyBorder="1" applyAlignment="1">
      <alignment horizontal="left"/>
    </xf>
    <xf numFmtId="0" fontId="4" fillId="6" borderId="3" xfId="0" applyFont="1" applyFill="1" applyBorder="1" applyAlignment="1">
      <alignment horizontal="center"/>
    </xf>
    <xf numFmtId="0" fontId="4" fillId="3" borderId="3" xfId="0" applyFont="1" applyFill="1" applyBorder="1" applyAlignment="1">
      <alignment horizontal="center"/>
    </xf>
    <xf numFmtId="3" fontId="4" fillId="3" borderId="3" xfId="0" applyNumberFormat="1" applyFont="1" applyFill="1" applyBorder="1" applyAlignment="1">
      <alignment horizontal="center"/>
    </xf>
    <xf numFmtId="3" fontId="4" fillId="6" borderId="3" xfId="0" applyNumberFormat="1" applyFont="1" applyFill="1" applyBorder="1" applyAlignment="1">
      <alignment horizontal="center"/>
    </xf>
    <xf numFmtId="0" fontId="4" fillId="3" borderId="0" xfId="0" applyFont="1" applyFill="1" applyBorder="1" applyAlignment="1">
      <alignment horizontal="center"/>
    </xf>
    <xf numFmtId="0" fontId="4" fillId="3" borderId="0" xfId="0" applyFont="1" applyFill="1" applyAlignment="1">
      <alignment horizontal="center"/>
    </xf>
    <xf numFmtId="0" fontId="4" fillId="3" borderId="0" xfId="0" applyFont="1" applyFill="1" applyBorder="1" applyAlignment="1">
      <alignment horizontal="left"/>
    </xf>
    <xf numFmtId="0" fontId="4" fillId="6" borderId="0" xfId="0" applyFont="1" applyFill="1" applyBorder="1" applyAlignment="1">
      <alignment horizontal="center"/>
    </xf>
    <xf numFmtId="3" fontId="4" fillId="3" borderId="0" xfId="0" applyNumberFormat="1" applyFont="1" applyFill="1" applyBorder="1" applyAlignment="1">
      <alignment horizontal="center"/>
    </xf>
    <xf numFmtId="3" fontId="4" fillId="6" borderId="0" xfId="0" applyNumberFormat="1" applyFont="1" applyFill="1" applyBorder="1" applyAlignment="1">
      <alignment horizontal="center"/>
    </xf>
    <xf numFmtId="0" fontId="18" fillId="6" borderId="0" xfId="0" applyFont="1" applyFill="1" applyBorder="1" applyAlignment="1">
      <alignment horizontal="center"/>
    </xf>
    <xf numFmtId="0" fontId="4" fillId="6" borderId="0" xfId="0" applyFont="1" applyFill="1" applyBorder="1" applyAlignment="1">
      <alignment horizontal="right"/>
    </xf>
    <xf numFmtId="0" fontId="4" fillId="3" borderId="4" xfId="0" applyFont="1" applyFill="1" applyBorder="1" applyAlignment="1">
      <alignment horizontal="center" vertical="center"/>
    </xf>
    <xf numFmtId="0" fontId="4" fillId="6" borderId="4" xfId="0" applyFont="1" applyFill="1" applyBorder="1" applyAlignment="1">
      <alignment horizontal="right" vertical="center"/>
    </xf>
    <xf numFmtId="0" fontId="4" fillId="3" borderId="4" xfId="0" applyFont="1" applyFill="1" applyBorder="1" applyAlignment="1">
      <alignment horizontal="right" vertical="center"/>
    </xf>
    <xf numFmtId="3" fontId="4" fillId="3" borderId="4" xfId="0" applyNumberFormat="1" applyFont="1" applyFill="1" applyBorder="1" applyAlignment="1">
      <alignment horizontal="right" vertical="center"/>
    </xf>
    <xf numFmtId="3" fontId="4" fillId="6" borderId="4" xfId="0" applyNumberFormat="1" applyFont="1" applyFill="1" applyBorder="1" applyAlignment="1">
      <alignment horizontal="right" vertical="center"/>
    </xf>
    <xf numFmtId="1" fontId="4" fillId="3" borderId="9" xfId="0" applyNumberFormat="1" applyFont="1" applyFill="1" applyBorder="1" applyAlignment="1">
      <alignment horizontal="center" vertical="center"/>
    </xf>
    <xf numFmtId="1" fontId="4" fillId="3" borderId="9" xfId="0" applyNumberFormat="1" applyFont="1" applyFill="1" applyBorder="1" applyAlignment="1">
      <alignment horizontal="left" vertical="center"/>
    </xf>
    <xf numFmtId="3" fontId="4" fillId="6" borderId="9" xfId="0" applyNumberFormat="1" applyFont="1" applyFill="1" applyBorder="1" applyAlignment="1">
      <alignment vertical="center"/>
    </xf>
    <xf numFmtId="3" fontId="4" fillId="3" borderId="9" xfId="0" applyNumberFormat="1" applyFont="1" applyFill="1" applyBorder="1" applyAlignment="1">
      <alignment horizontal="right" vertical="center"/>
    </xf>
    <xf numFmtId="3" fontId="4" fillId="3" borderId="9" xfId="0" applyNumberFormat="1" applyFont="1" applyFill="1" applyBorder="1" applyAlignment="1">
      <alignment vertical="center"/>
    </xf>
    <xf numFmtId="190" fontId="4" fillId="6" borderId="9" xfId="0" applyNumberFormat="1" applyFont="1" applyFill="1" applyBorder="1" applyAlignment="1">
      <alignment horizontal="right" vertical="center"/>
    </xf>
    <xf numFmtId="189" fontId="4" fillId="3" borderId="9" xfId="0" applyNumberFormat="1" applyFont="1" applyFill="1" applyBorder="1" applyAlignment="1">
      <alignment horizontal="right" vertical="center"/>
    </xf>
    <xf numFmtId="189" fontId="4" fillId="3" borderId="6" xfId="0" applyNumberFormat="1" applyFont="1" applyFill="1" applyBorder="1" applyAlignment="1">
      <alignment horizontal="right" vertical="center"/>
    </xf>
    <xf numFmtId="189" fontId="4" fillId="3" borderId="13" xfId="0" applyNumberFormat="1" applyFont="1" applyFill="1" applyBorder="1" applyAlignment="1">
      <alignment horizontal="right" vertical="center"/>
    </xf>
    <xf numFmtId="1" fontId="38" fillId="3" borderId="8" xfId="0" applyNumberFormat="1" applyFont="1" applyFill="1" applyBorder="1" applyAlignment="1">
      <alignment horizontal="left" vertical="center"/>
    </xf>
    <xf numFmtId="1" fontId="8" fillId="3" borderId="8" xfId="0" applyNumberFormat="1" applyFont="1" applyFill="1" applyBorder="1" applyAlignment="1">
      <alignment horizontal="left" vertical="center"/>
    </xf>
    <xf numFmtId="3" fontId="8" fillId="6" borderId="8" xfId="0" applyNumberFormat="1" applyFont="1" applyFill="1" applyBorder="1" applyAlignment="1">
      <alignment vertical="center"/>
    </xf>
    <xf numFmtId="3" fontId="8" fillId="3" borderId="8" xfId="0" applyNumberFormat="1" applyFont="1" applyFill="1" applyBorder="1" applyAlignment="1">
      <alignment horizontal="right" vertical="center"/>
    </xf>
    <xf numFmtId="3" fontId="8" fillId="3" borderId="8" xfId="0" quotePrefix="1" applyNumberFormat="1" applyFont="1" applyFill="1" applyBorder="1" applyAlignment="1">
      <alignment horizontal="right" vertical="center"/>
    </xf>
    <xf numFmtId="3" fontId="8" fillId="3" borderId="8" xfId="0" applyNumberFormat="1" applyFont="1" applyFill="1" applyBorder="1" applyAlignment="1">
      <alignment vertical="center"/>
    </xf>
    <xf numFmtId="190" fontId="8" fillId="6" borderId="8" xfId="0" applyNumberFormat="1" applyFont="1" applyFill="1" applyBorder="1" applyAlignment="1">
      <alignment horizontal="right" vertical="center"/>
    </xf>
    <xf numFmtId="189" fontId="8" fillId="3" borderId="8" xfId="0" applyNumberFormat="1" applyFont="1" applyFill="1" applyBorder="1" applyAlignment="1">
      <alignment horizontal="right" vertical="center"/>
    </xf>
    <xf numFmtId="1" fontId="4" fillId="0" borderId="0" xfId="0" applyNumberFormat="1" applyFont="1" applyAlignment="1">
      <alignment horizontal="left"/>
    </xf>
    <xf numFmtId="3" fontId="4" fillId="0" borderId="6" xfId="0" applyNumberFormat="1" applyFont="1" applyFill="1" applyBorder="1" applyAlignment="1"/>
    <xf numFmtId="189" fontId="4" fillId="0" borderId="6" xfId="0" applyNumberFormat="1" applyFont="1" applyFill="1" applyBorder="1" applyAlignment="1">
      <alignment horizontal="right"/>
    </xf>
    <xf numFmtId="190" fontId="4" fillId="0" borderId="6" xfId="0" applyNumberFormat="1" applyFont="1" applyFill="1" applyBorder="1" applyAlignment="1">
      <alignment horizontal="right"/>
    </xf>
    <xf numFmtId="3" fontId="4" fillId="0" borderId="6" xfId="0" applyNumberFormat="1" applyFont="1" applyFill="1" applyBorder="1" applyAlignment="1">
      <alignment horizontal="left"/>
    </xf>
    <xf numFmtId="190" fontId="4" fillId="0" borderId="6" xfId="0" applyNumberFormat="1" applyFont="1" applyFill="1" applyBorder="1" applyAlignment="1"/>
    <xf numFmtId="3" fontId="4" fillId="0" borderId="6" xfId="0" applyNumberFormat="1" applyFont="1" applyFill="1" applyBorder="1" applyAlignment="1">
      <alignment horizontal="right"/>
    </xf>
    <xf numFmtId="0" fontId="4" fillId="0" borderId="0" xfId="0" applyNumberFormat="1" applyFont="1" applyAlignment="1">
      <alignment horizontal="center"/>
    </xf>
    <xf numFmtId="0" fontId="4" fillId="0" borderId="0" xfId="0" applyFont="1" applyAlignment="1">
      <alignment horizontal="left"/>
    </xf>
    <xf numFmtId="0" fontId="0" fillId="0" borderId="0" xfId="0" applyAlignment="1">
      <alignment vertical="top"/>
    </xf>
    <xf numFmtId="0" fontId="22" fillId="0" borderId="0" xfId="0" applyFont="1" applyAlignment="1">
      <alignment vertical="top"/>
    </xf>
    <xf numFmtId="0" fontId="58" fillId="0" borderId="0" xfId="0" applyFont="1" applyAlignment="1"/>
    <xf numFmtId="0" fontId="59" fillId="0" borderId="0" xfId="0" applyFont="1" applyAlignment="1"/>
    <xf numFmtId="0" fontId="60" fillId="0" borderId="0" xfId="0" applyFont="1" applyFill="1" applyAlignment="1">
      <alignment horizontal="left"/>
    </xf>
    <xf numFmtId="0" fontId="60" fillId="0" borderId="0" xfId="0" applyFont="1" applyAlignment="1"/>
    <xf numFmtId="0" fontId="0" fillId="0" borderId="0" xfId="0" applyAlignment="1"/>
    <xf numFmtId="0" fontId="4" fillId="0" borderId="16" xfId="0" applyFont="1" applyBorder="1" applyAlignment="1">
      <alignment horizontal="center" vertical="top" wrapText="1"/>
    </xf>
    <xf numFmtId="0" fontId="60" fillId="0" borderId="17" xfId="0" applyFont="1" applyBorder="1" applyAlignment="1">
      <alignment horizontal="justify" vertical="top" wrapText="1"/>
    </xf>
    <xf numFmtId="0" fontId="60" fillId="0" borderId="16" xfId="0" applyFont="1" applyBorder="1" applyAlignment="1">
      <alignment horizontal="justify" vertical="top" wrapText="1"/>
    </xf>
    <xf numFmtId="0" fontId="61" fillId="0" borderId="18" xfId="0" applyFont="1" applyBorder="1" applyAlignment="1">
      <alignment horizontal="center" vertical="top" wrapText="1"/>
    </xf>
    <xf numFmtId="9" fontId="61" fillId="0" borderId="19" xfId="0" applyNumberFormat="1" applyFont="1" applyBorder="1" applyAlignment="1">
      <alignment horizontal="justify" vertical="top" wrapText="1"/>
    </xf>
    <xf numFmtId="0" fontId="4" fillId="0" borderId="16" xfId="0" applyFont="1" applyBorder="1" applyAlignment="1">
      <alignment horizontal="right" vertical="top" wrapText="1"/>
    </xf>
    <xf numFmtId="0" fontId="26" fillId="0" borderId="16" xfId="0" applyFont="1" applyBorder="1" applyAlignment="1">
      <alignment horizontal="center" vertical="top" wrapText="1"/>
    </xf>
    <xf numFmtId="0" fontId="26" fillId="0" borderId="16" xfId="0" applyFont="1" applyBorder="1" applyAlignment="1">
      <alignment horizontal="right" vertical="top" wrapText="1"/>
    </xf>
    <xf numFmtId="9" fontId="26" fillId="0" borderId="16" xfId="0" applyNumberFormat="1" applyFont="1" applyBorder="1" applyAlignment="1">
      <alignment horizontal="right" vertical="top" wrapText="1"/>
    </xf>
    <xf numFmtId="0" fontId="26" fillId="0" borderId="16" xfId="0" applyFont="1" applyFill="1" applyBorder="1" applyAlignment="1">
      <alignment horizontal="center" vertical="top" wrapText="1"/>
    </xf>
    <xf numFmtId="0" fontId="26" fillId="0" borderId="16" xfId="0" applyFont="1" applyFill="1" applyBorder="1" applyAlignment="1">
      <alignment horizontal="right" vertical="top" wrapText="1"/>
    </xf>
    <xf numFmtId="9" fontId="26" fillId="0" borderId="16" xfId="0" applyNumberFormat="1" applyFont="1" applyFill="1" applyBorder="1" applyAlignment="1">
      <alignment horizontal="right" vertical="top" wrapText="1"/>
    </xf>
    <xf numFmtId="0" fontId="8" fillId="0" borderId="16" xfId="0" applyFont="1" applyFill="1" applyBorder="1" applyAlignment="1">
      <alignment horizontal="center" vertical="top" wrapText="1"/>
    </xf>
    <xf numFmtId="0" fontId="8" fillId="0" borderId="16" xfId="0" applyFont="1" applyFill="1" applyBorder="1" applyAlignment="1">
      <alignment horizontal="right" vertical="top" wrapText="1"/>
    </xf>
    <xf numFmtId="9" fontId="8" fillId="0" borderId="16" xfId="0" applyNumberFormat="1" applyFont="1" applyFill="1" applyBorder="1" applyAlignment="1">
      <alignment horizontal="right" vertical="top" wrapText="1"/>
    </xf>
    <xf numFmtId="0" fontId="60" fillId="0" borderId="0" xfId="0" applyFont="1"/>
    <xf numFmtId="0" fontId="59" fillId="0" borderId="0" xfId="0" applyFont="1"/>
    <xf numFmtId="0" fontId="60" fillId="0" borderId="0" xfId="0" applyNumberFormat="1" applyFont="1" applyAlignment="1"/>
    <xf numFmtId="0" fontId="4" fillId="0" borderId="0" xfId="0" applyFont="1" applyAlignment="1"/>
    <xf numFmtId="1" fontId="62" fillId="0" borderId="0" xfId="0" applyNumberFormat="1" applyFont="1" applyFill="1" applyBorder="1" applyAlignment="1"/>
    <xf numFmtId="0" fontId="8" fillId="0" borderId="0" xfId="0" applyFont="1" applyFill="1" applyBorder="1" applyAlignment="1">
      <alignment horizontal="center"/>
    </xf>
    <xf numFmtId="0" fontId="18" fillId="0" borderId="0" xfId="0" applyFont="1" applyFill="1" applyBorder="1"/>
    <xf numFmtId="0" fontId="8" fillId="0" borderId="0" xfId="0" quotePrefix="1" applyFont="1" applyFill="1" applyBorder="1" applyAlignment="1">
      <alignment horizontal="center"/>
    </xf>
    <xf numFmtId="0" fontId="18" fillId="0" borderId="0" xfId="0" quotePrefix="1" applyFont="1" applyFill="1" applyBorder="1"/>
    <xf numFmtId="16" fontId="8" fillId="0" borderId="0" xfId="0" quotePrefix="1" applyNumberFormat="1" applyFont="1" applyFill="1" applyBorder="1" applyAlignment="1">
      <alignment horizontal="center"/>
    </xf>
    <xf numFmtId="0" fontId="8" fillId="0" borderId="0" xfId="0" applyFont="1" applyBorder="1" applyAlignment="1">
      <alignment horizontal="center"/>
    </xf>
    <xf numFmtId="0" fontId="18" fillId="0" borderId="0" xfId="0" applyFont="1" applyBorder="1"/>
    <xf numFmtId="18" fontId="8" fillId="0" borderId="0" xfId="0" quotePrefix="1" applyNumberFormat="1" applyFont="1" applyFill="1" applyBorder="1" applyAlignment="1">
      <alignment horizontal="center"/>
    </xf>
    <xf numFmtId="1" fontId="4" fillId="0" borderId="0" xfId="0" applyNumberFormat="1" applyFont="1" applyBorder="1" applyAlignment="1">
      <alignment horizontal="left"/>
    </xf>
    <xf numFmtId="0" fontId="4" fillId="0" borderId="0" xfId="0" applyFont="1" applyBorder="1" applyAlignment="1">
      <alignment horizontal="left"/>
    </xf>
    <xf numFmtId="0" fontId="2" fillId="0" borderId="0" xfId="0" applyFont="1" applyFill="1" applyAlignment="1">
      <alignment vertical="top"/>
    </xf>
    <xf numFmtId="0" fontId="1" fillId="0" borderId="10" xfId="0" applyFont="1" applyBorder="1"/>
    <xf numFmtId="0" fontId="1" fillId="0" borderId="10" xfId="0" applyFont="1" applyBorder="1" applyAlignment="1">
      <alignment horizontal="center"/>
    </xf>
    <xf numFmtId="3" fontId="1" fillId="0" borderId="10" xfId="0" applyNumberFormat="1" applyFont="1" applyBorder="1"/>
    <xf numFmtId="0" fontId="4" fillId="3" borderId="4" xfId="0" applyFont="1" applyFill="1" applyBorder="1" applyAlignment="1">
      <alignment horizontal="center"/>
    </xf>
    <xf numFmtId="0" fontId="4" fillId="6" borderId="4" xfId="0" applyFont="1" applyFill="1" applyBorder="1" applyAlignment="1">
      <alignment horizontal="center" vertical="top"/>
    </xf>
    <xf numFmtId="0" fontId="4" fillId="3" borderId="4" xfId="0" applyFont="1" applyFill="1" applyBorder="1" applyAlignment="1">
      <alignment horizontal="center" vertical="top"/>
    </xf>
    <xf numFmtId="3" fontId="4" fillId="3" borderId="4" xfId="0" applyNumberFormat="1" applyFont="1" applyFill="1" applyBorder="1" applyAlignment="1">
      <alignment horizontal="center" vertical="top"/>
    </xf>
    <xf numFmtId="3" fontId="4" fillId="6" borderId="4" xfId="0" applyNumberFormat="1" applyFont="1" applyFill="1" applyBorder="1" applyAlignment="1">
      <alignment horizontal="center" vertical="top"/>
    </xf>
    <xf numFmtId="1" fontId="4" fillId="3" borderId="47" xfId="0" applyNumberFormat="1" applyFont="1" applyFill="1" applyBorder="1" applyAlignment="1">
      <alignment horizontal="center" vertical="center"/>
    </xf>
    <xf numFmtId="1" fontId="4" fillId="3" borderId="47" xfId="0" applyNumberFormat="1" applyFont="1" applyFill="1" applyBorder="1" applyAlignment="1">
      <alignment horizontal="left" vertical="center"/>
    </xf>
    <xf numFmtId="3" fontId="4" fillId="6" borderId="47" xfId="0" applyNumberFormat="1" applyFont="1" applyFill="1" applyBorder="1" applyAlignment="1">
      <alignment horizontal="center" vertical="center"/>
    </xf>
    <xf numFmtId="189" fontId="4" fillId="3" borderId="47" xfId="0" applyNumberFormat="1" applyFont="1" applyFill="1" applyBorder="1" applyAlignment="1">
      <alignment horizontal="right" vertical="center"/>
    </xf>
    <xf numFmtId="189" fontId="4" fillId="6" borderId="47" xfId="0" applyNumberFormat="1" applyFont="1" applyFill="1" applyBorder="1" applyAlignment="1">
      <alignment horizontal="right" vertical="center"/>
    </xf>
    <xf numFmtId="189" fontId="4" fillId="6" borderId="47" xfId="0" applyNumberFormat="1" applyFont="1" applyFill="1" applyBorder="1" applyAlignment="1">
      <alignment vertical="center"/>
    </xf>
    <xf numFmtId="1" fontId="4" fillId="14" borderId="47" xfId="0" applyNumberFormat="1" applyFont="1" applyFill="1" applyBorder="1" applyAlignment="1">
      <alignment horizontal="center" vertical="center"/>
    </xf>
    <xf numFmtId="3" fontId="4" fillId="14" borderId="47" xfId="0" applyNumberFormat="1" applyFont="1" applyFill="1" applyBorder="1" applyAlignment="1">
      <alignment horizontal="left" vertical="center"/>
    </xf>
    <xf numFmtId="3" fontId="4" fillId="6" borderId="48" xfId="0" applyNumberFormat="1" applyFont="1" applyFill="1" applyBorder="1" applyAlignment="1">
      <alignment horizontal="center" vertical="center"/>
    </xf>
    <xf numFmtId="189" fontId="4" fillId="3" borderId="48" xfId="0" applyNumberFormat="1" applyFont="1" applyFill="1" applyBorder="1" applyAlignment="1">
      <alignment horizontal="right" vertical="center"/>
    </xf>
    <xf numFmtId="189" fontId="4" fillId="6" borderId="48" xfId="0" applyNumberFormat="1" applyFont="1" applyFill="1" applyBorder="1" applyAlignment="1">
      <alignment horizontal="right" vertical="center"/>
    </xf>
    <xf numFmtId="189" fontId="4" fillId="6" borderId="48" xfId="0" applyNumberFormat="1" applyFont="1" applyFill="1" applyBorder="1" applyAlignment="1">
      <alignment vertical="center"/>
    </xf>
    <xf numFmtId="3" fontId="4" fillId="6" borderId="9" xfId="0" applyNumberFormat="1" applyFont="1" applyFill="1" applyBorder="1" applyAlignment="1">
      <alignment horizontal="center" vertical="center"/>
    </xf>
    <xf numFmtId="189" fontId="4" fillId="6" borderId="9" xfId="0" applyNumberFormat="1" applyFont="1" applyFill="1" applyBorder="1" applyAlignment="1">
      <alignment horizontal="right" vertical="center"/>
    </xf>
    <xf numFmtId="189" fontId="4" fillId="6" borderId="9" xfId="0" applyNumberFormat="1" applyFont="1" applyFill="1" applyBorder="1" applyAlignment="1">
      <alignment vertical="center"/>
    </xf>
    <xf numFmtId="3" fontId="4" fillId="6" borderId="0" xfId="0" applyNumberFormat="1" applyFont="1" applyFill="1" applyBorder="1" applyAlignment="1">
      <alignment horizontal="center" vertical="center"/>
    </xf>
    <xf numFmtId="189" fontId="4" fillId="3" borderId="0" xfId="0" applyNumberFormat="1" applyFont="1" applyFill="1" applyBorder="1" applyAlignment="1">
      <alignment horizontal="right" vertical="center"/>
    </xf>
    <xf numFmtId="189" fontId="4" fillId="6" borderId="0" xfId="0" applyNumberFormat="1" applyFont="1" applyFill="1" applyBorder="1" applyAlignment="1">
      <alignment horizontal="right" vertical="center"/>
    </xf>
    <xf numFmtId="189" fontId="4" fillId="6" borderId="0" xfId="0" applyNumberFormat="1" applyFont="1" applyFill="1" applyBorder="1" applyAlignment="1">
      <alignment vertical="center"/>
    </xf>
    <xf numFmtId="3" fontId="4" fillId="6" borderId="49" xfId="0" applyNumberFormat="1" applyFont="1" applyFill="1" applyBorder="1" applyAlignment="1">
      <alignment horizontal="center" vertical="center"/>
    </xf>
    <xf numFmtId="189" fontId="4" fillId="3" borderId="49" xfId="0" applyNumberFormat="1" applyFont="1" applyFill="1" applyBorder="1" applyAlignment="1">
      <alignment horizontal="right" vertical="center"/>
    </xf>
    <xf numFmtId="189" fontId="4" fillId="6" borderId="49" xfId="0" applyNumberFormat="1" applyFont="1" applyFill="1" applyBorder="1" applyAlignment="1">
      <alignment horizontal="right" vertical="center"/>
    </xf>
    <xf numFmtId="189" fontId="4" fillId="6" borderId="49" xfId="0" applyNumberFormat="1" applyFont="1" applyFill="1" applyBorder="1" applyAlignment="1">
      <alignment vertical="center"/>
    </xf>
    <xf numFmtId="1" fontId="8" fillId="3" borderId="8" xfId="0" applyNumberFormat="1" applyFont="1" applyFill="1" applyBorder="1" applyAlignment="1">
      <alignment horizontal="right" vertical="center"/>
    </xf>
    <xf numFmtId="0" fontId="8" fillId="3" borderId="8" xfId="0" applyFont="1" applyFill="1" applyBorder="1" applyAlignment="1">
      <alignment horizontal="left" vertical="center"/>
    </xf>
    <xf numFmtId="3" fontId="8" fillId="6" borderId="8" xfId="0" applyNumberFormat="1" applyFont="1" applyFill="1" applyBorder="1" applyAlignment="1">
      <alignment horizontal="center" vertical="center"/>
    </xf>
    <xf numFmtId="189" fontId="8" fillId="6" borderId="8" xfId="0" applyNumberFormat="1" applyFont="1" applyFill="1" applyBorder="1" applyAlignment="1">
      <alignment horizontal="right" vertical="center"/>
    </xf>
    <xf numFmtId="189" fontId="8" fillId="6" borderId="8" xfId="0" applyNumberFormat="1" applyFont="1" applyFill="1" applyBorder="1" applyAlignment="1">
      <alignment vertical="center"/>
    </xf>
    <xf numFmtId="3" fontId="4" fillId="0" borderId="6" xfId="0" applyNumberFormat="1" applyFont="1" applyFill="1" applyBorder="1" applyAlignment="1">
      <alignment horizontal="center"/>
    </xf>
    <xf numFmtId="0" fontId="1" fillId="0" borderId="0" xfId="0" applyNumberFormat="1" applyFont="1" applyFill="1"/>
    <xf numFmtId="0" fontId="2" fillId="0" borderId="0" xfId="0" applyFont="1" applyFill="1"/>
    <xf numFmtId="0" fontId="4" fillId="3" borderId="3" xfId="0" applyNumberFormat="1" applyFont="1" applyFill="1" applyBorder="1" applyAlignment="1">
      <alignment horizontal="left"/>
    </xf>
    <xf numFmtId="0" fontId="4" fillId="3" borderId="0" xfId="0" applyNumberFormat="1" applyFont="1" applyFill="1" applyBorder="1" applyAlignment="1">
      <alignment horizontal="left"/>
    </xf>
    <xf numFmtId="0" fontId="4" fillId="3" borderId="0" xfId="0" applyNumberFormat="1" applyFont="1" applyFill="1" applyBorder="1" applyAlignment="1">
      <alignment horizontal="center"/>
    </xf>
    <xf numFmtId="0" fontId="4" fillId="3" borderId="4" xfId="0" applyFont="1" applyFill="1" applyBorder="1" applyAlignment="1">
      <alignment horizontal="left"/>
    </xf>
    <xf numFmtId="0" fontId="4" fillId="3" borderId="4" xfId="0" applyNumberFormat="1" applyFont="1" applyFill="1" applyBorder="1" applyAlignment="1">
      <alignment horizontal="center" vertical="top"/>
    </xf>
    <xf numFmtId="14" fontId="4" fillId="6" borderId="9" xfId="0" quotePrefix="1" applyNumberFormat="1" applyFont="1" applyFill="1" applyBorder="1" applyAlignment="1">
      <alignment horizontal="center" vertical="center"/>
    </xf>
    <xf numFmtId="189" fontId="4" fillId="3" borderId="9" xfId="0" applyNumberFormat="1" applyFont="1" applyFill="1" applyBorder="1" applyAlignment="1">
      <alignment horizontal="center" vertical="center" wrapText="1"/>
    </xf>
    <xf numFmtId="189" fontId="4" fillId="6" borderId="9" xfId="0" applyNumberFormat="1" applyFont="1" applyFill="1" applyBorder="1" applyAlignment="1">
      <alignment horizontal="center" vertical="center" wrapText="1"/>
    </xf>
    <xf numFmtId="1" fontId="4" fillId="3" borderId="9" xfId="0" applyNumberFormat="1" applyFont="1" applyFill="1" applyBorder="1" applyAlignment="1">
      <alignment vertical="center" wrapText="1"/>
    </xf>
    <xf numFmtId="189" fontId="18" fillId="6" borderId="9" xfId="0" applyNumberFormat="1" applyFont="1" applyFill="1" applyBorder="1" applyAlignment="1">
      <alignment horizontal="center" vertical="center" wrapText="1"/>
    </xf>
    <xf numFmtId="0" fontId="4" fillId="3" borderId="9" xfId="0" applyNumberFormat="1" applyFont="1" applyFill="1" applyBorder="1" applyAlignment="1">
      <alignment horizontal="center" vertical="center" wrapText="1"/>
    </xf>
    <xf numFmtId="189" fontId="4" fillId="3" borderId="9" xfId="0" applyNumberFormat="1" applyFont="1" applyFill="1" applyBorder="1" applyAlignment="1">
      <alignment horizontal="left" vertical="center" wrapText="1"/>
    </xf>
    <xf numFmtId="1" fontId="4" fillId="3" borderId="9" xfId="0" applyNumberFormat="1" applyFont="1" applyFill="1" applyBorder="1" applyAlignment="1">
      <alignment horizontal="left" vertical="center" wrapText="1"/>
    </xf>
    <xf numFmtId="189" fontId="34" fillId="6" borderId="9" xfId="0" applyNumberFormat="1" applyFont="1" applyFill="1" applyBorder="1" applyAlignment="1">
      <alignment horizontal="center" vertical="center" wrapText="1"/>
    </xf>
    <xf numFmtId="189" fontId="4" fillId="3" borderId="9" xfId="0" applyNumberFormat="1" applyFont="1" applyFill="1" applyBorder="1" applyAlignment="1">
      <alignment vertical="center" wrapText="1"/>
    </xf>
    <xf numFmtId="0" fontId="8" fillId="0" borderId="0" xfId="0" applyNumberFormat="1" applyFont="1" applyAlignment="1">
      <alignment horizontal="center"/>
    </xf>
    <xf numFmtId="14" fontId="4" fillId="6" borderId="9" xfId="0" applyNumberFormat="1" applyFont="1" applyFill="1" applyBorder="1" applyAlignment="1">
      <alignment horizontal="center" vertical="center"/>
    </xf>
    <xf numFmtId="0" fontId="8" fillId="3" borderId="8" xfId="0" applyNumberFormat="1" applyFont="1" applyFill="1" applyBorder="1" applyAlignment="1">
      <alignment horizontal="center" vertical="center"/>
    </xf>
    <xf numFmtId="0" fontId="8" fillId="3" borderId="8" xfId="0" applyNumberFormat="1" applyFont="1" applyFill="1" applyBorder="1" applyAlignment="1">
      <alignment horizontal="left" vertical="center"/>
    </xf>
    <xf numFmtId="0" fontId="8" fillId="6" borderId="8" xfId="0" applyNumberFormat="1" applyFont="1" applyFill="1" applyBorder="1" applyAlignment="1">
      <alignment horizontal="center" vertical="center"/>
    </xf>
    <xf numFmtId="0" fontId="8" fillId="6" borderId="8" xfId="0" quotePrefix="1" applyNumberFormat="1" applyFont="1" applyFill="1" applyBorder="1" applyAlignment="1">
      <alignment horizontal="center" vertical="center"/>
    </xf>
    <xf numFmtId="1" fontId="4" fillId="0" borderId="0" xfId="0" applyNumberFormat="1" applyFont="1" applyFill="1" applyAlignment="1">
      <alignment horizontal="left"/>
    </xf>
    <xf numFmtId="0" fontId="4" fillId="0" borderId="0" xfId="0" applyFont="1" applyFill="1" applyAlignment="1">
      <alignment horizontal="left"/>
    </xf>
    <xf numFmtId="0" fontId="2" fillId="0" borderId="0" xfId="0" applyNumberFormat="1" applyFont="1" applyAlignment="1"/>
    <xf numFmtId="0" fontId="4" fillId="6" borderId="0" xfId="0" applyFont="1" applyFill="1"/>
    <xf numFmtId="0" fontId="4" fillId="6" borderId="0" xfId="0" applyFont="1" applyFill="1" applyAlignment="1">
      <alignment horizontal="center"/>
    </xf>
    <xf numFmtId="3" fontId="4" fillId="6" borderId="9" xfId="0" applyNumberFormat="1" applyFont="1" applyFill="1" applyBorder="1" applyAlignment="1">
      <alignment horizontal="right" vertical="center"/>
    </xf>
    <xf numFmtId="3" fontId="4" fillId="6" borderId="6" xfId="0" applyNumberFormat="1" applyFont="1" applyFill="1" applyBorder="1" applyAlignment="1">
      <alignment horizontal="right" vertical="center"/>
    </xf>
    <xf numFmtId="3" fontId="4" fillId="3" borderId="6" xfId="0" applyNumberFormat="1" applyFont="1" applyFill="1" applyBorder="1" applyAlignment="1">
      <alignment horizontal="right" vertical="center"/>
    </xf>
    <xf numFmtId="3" fontId="4" fillId="6" borderId="13" xfId="0" applyNumberFormat="1" applyFont="1" applyFill="1" applyBorder="1" applyAlignment="1">
      <alignment horizontal="right" vertical="center"/>
    </xf>
    <xf numFmtId="3" fontId="4" fillId="3" borderId="13" xfId="0" applyNumberFormat="1" applyFont="1" applyFill="1" applyBorder="1" applyAlignment="1">
      <alignment horizontal="right" vertical="center"/>
    </xf>
    <xf numFmtId="3" fontId="8" fillId="6" borderId="8" xfId="0" applyNumberFormat="1" applyFont="1" applyFill="1" applyBorder="1" applyAlignment="1">
      <alignment horizontal="right" vertical="center"/>
    </xf>
    <xf numFmtId="3" fontId="4" fillId="0" borderId="0" xfId="0" applyNumberFormat="1" applyFont="1" applyFill="1" applyBorder="1" applyAlignment="1"/>
    <xf numFmtId="189" fontId="4" fillId="0" borderId="0" xfId="0" applyNumberFormat="1" applyFont="1" applyFill="1" applyBorder="1" applyAlignment="1">
      <alignment horizontal="right"/>
    </xf>
    <xf numFmtId="190" fontId="4" fillId="0" borderId="0" xfId="0" applyNumberFormat="1" applyFont="1" applyFill="1" applyBorder="1" applyAlignment="1">
      <alignment horizontal="right"/>
    </xf>
    <xf numFmtId="3" fontId="4" fillId="0" borderId="0" xfId="0" applyNumberFormat="1" applyFont="1" applyFill="1" applyBorder="1" applyAlignment="1">
      <alignment horizontal="left"/>
    </xf>
    <xf numFmtId="190" fontId="4" fillId="0" borderId="0" xfId="0" applyNumberFormat="1" applyFont="1" applyFill="1" applyBorder="1" applyAlignment="1"/>
    <xf numFmtId="0" fontId="22" fillId="0" borderId="0" xfId="4" applyFont="1"/>
    <xf numFmtId="0" fontId="4" fillId="0" borderId="0" xfId="4" applyFont="1" applyAlignment="1"/>
    <xf numFmtId="0" fontId="18" fillId="0" borderId="0" xfId="4" applyFont="1"/>
    <xf numFmtId="189" fontId="3" fillId="6" borderId="9" xfId="0" applyNumberFormat="1" applyFont="1" applyFill="1" applyBorder="1" applyAlignment="1"/>
    <xf numFmtId="0" fontId="3" fillId="3" borderId="9" xfId="0" applyNumberFormat="1" applyFont="1" applyFill="1" applyBorder="1" applyAlignment="1">
      <alignment horizontal="center"/>
    </xf>
    <xf numFmtId="0" fontId="3" fillId="3" borderId="6" xfId="0" applyNumberFormat="1" applyFont="1" applyFill="1" applyBorder="1" applyAlignment="1">
      <alignment horizontal="center"/>
    </xf>
    <xf numFmtId="0" fontId="5" fillId="3" borderId="6" xfId="0" quotePrefix="1" applyFont="1" applyFill="1" applyBorder="1" applyAlignment="1">
      <alignment horizontal="left" vertical="center"/>
    </xf>
    <xf numFmtId="189" fontId="5" fillId="6" borderId="6" xfId="0" applyNumberFormat="1" applyFont="1" applyFill="1" applyBorder="1" applyAlignment="1">
      <alignment vertical="center"/>
    </xf>
    <xf numFmtId="0" fontId="5" fillId="3" borderId="6" xfId="0" applyNumberFormat="1" applyFont="1" applyFill="1" applyBorder="1" applyAlignment="1">
      <alignment horizontal="center" vertical="center"/>
    </xf>
    <xf numFmtId="190" fontId="1" fillId="0" borderId="0" xfId="0" applyNumberFormat="1" applyFont="1" applyAlignment="1">
      <alignment horizontal="center"/>
    </xf>
    <xf numFmtId="0" fontId="5" fillId="6" borderId="3" xfId="0" applyFont="1" applyFill="1" applyBorder="1" applyAlignment="1">
      <alignment horizontal="right"/>
    </xf>
    <xf numFmtId="190" fontId="3" fillId="3" borderId="3" xfId="0" applyNumberFormat="1" applyFont="1" applyFill="1" applyBorder="1" applyAlignment="1">
      <alignment horizontal="center"/>
    </xf>
    <xf numFmtId="190" fontId="3" fillId="3" borderId="0" xfId="0" applyNumberFormat="1" applyFont="1" applyFill="1" applyBorder="1" applyAlignment="1">
      <alignment horizontal="center"/>
    </xf>
    <xf numFmtId="190" fontId="3" fillId="3" borderId="4" xfId="0" applyNumberFormat="1" applyFont="1" applyFill="1" applyBorder="1" applyAlignment="1">
      <alignment horizontal="center" vertical="top"/>
    </xf>
    <xf numFmtId="0" fontId="3" fillId="0" borderId="0" xfId="0" applyFont="1" applyAlignment="1">
      <alignment horizontal="right"/>
    </xf>
    <xf numFmtId="0" fontId="5" fillId="3" borderId="5" xfId="0" quotePrefix="1" applyFont="1" applyFill="1" applyBorder="1" applyAlignment="1"/>
    <xf numFmtId="190" fontId="5" fillId="3" borderId="9" xfId="0" applyNumberFormat="1" applyFont="1" applyFill="1" applyBorder="1" applyAlignment="1">
      <alignment horizontal="center"/>
    </xf>
    <xf numFmtId="0" fontId="5" fillId="3" borderId="6" xfId="0" quotePrefix="1" applyFont="1" applyFill="1" applyBorder="1" applyAlignment="1"/>
    <xf numFmtId="190" fontId="5" fillId="3" borderId="6" xfId="0" applyNumberFormat="1" applyFont="1" applyFill="1" applyBorder="1" applyAlignment="1">
      <alignment horizontal="center"/>
    </xf>
    <xf numFmtId="0" fontId="5" fillId="3" borderId="6" xfId="0" quotePrefix="1" applyFont="1" applyFill="1" applyBorder="1" applyAlignment="1">
      <alignment wrapText="1"/>
    </xf>
    <xf numFmtId="0" fontId="3" fillId="3" borderId="0" xfId="0" quotePrefix="1" applyFont="1" applyFill="1" applyBorder="1" applyAlignment="1">
      <alignment vertical="center"/>
    </xf>
    <xf numFmtId="190" fontId="3" fillId="3" borderId="6" xfId="0" applyNumberFormat="1" applyFont="1" applyFill="1" applyBorder="1" applyAlignment="1">
      <alignment horizontal="center" vertical="center"/>
    </xf>
    <xf numFmtId="3" fontId="3" fillId="6" borderId="0" xfId="0" applyNumberFormat="1" applyFont="1" applyFill="1" applyBorder="1" applyAlignment="1">
      <alignment horizontal="right" vertical="center"/>
    </xf>
    <xf numFmtId="0" fontId="8" fillId="0" borderId="7" xfId="0" applyFont="1" applyBorder="1"/>
    <xf numFmtId="190" fontId="4" fillId="0" borderId="7" xfId="0" applyNumberFormat="1" applyFont="1" applyBorder="1" applyAlignment="1">
      <alignment horizontal="center"/>
    </xf>
    <xf numFmtId="190" fontId="4" fillId="0" borderId="0" xfId="0" applyNumberFormat="1" applyFont="1" applyBorder="1" applyAlignment="1">
      <alignment horizontal="center"/>
    </xf>
    <xf numFmtId="190" fontId="4" fillId="0" borderId="0" xfId="0" applyNumberFormat="1" applyFont="1" applyAlignment="1">
      <alignment horizontal="center"/>
    </xf>
    <xf numFmtId="3" fontId="2" fillId="0" borderId="0" xfId="0" applyNumberFormat="1" applyFont="1"/>
    <xf numFmtId="0" fontId="3" fillId="3" borderId="0" xfId="0" applyFont="1" applyFill="1" applyBorder="1" applyAlignment="1">
      <alignment horizontal="left" vertical="center"/>
    </xf>
    <xf numFmtId="0" fontId="3" fillId="3" borderId="5" xfId="0" applyFont="1" applyFill="1" applyBorder="1" applyAlignment="1">
      <alignment horizontal="left" vertical="center"/>
    </xf>
    <xf numFmtId="3" fontId="8" fillId="0" borderId="0" xfId="0" applyNumberFormat="1" applyFont="1" applyBorder="1"/>
    <xf numFmtId="0" fontId="22" fillId="0" borderId="0" xfId="5" applyFont="1"/>
    <xf numFmtId="0" fontId="4" fillId="0" borderId="0" xfId="5"/>
    <xf numFmtId="0" fontId="2" fillId="0" borderId="0" xfId="5" applyFont="1"/>
    <xf numFmtId="0" fontId="4" fillId="0" borderId="0" xfId="5" applyFont="1"/>
    <xf numFmtId="0" fontId="4" fillId="0" borderId="0" xfId="5" applyFont="1" applyAlignment="1"/>
    <xf numFmtId="0" fontId="18" fillId="0" borderId="0" xfId="5" applyFont="1"/>
    <xf numFmtId="0" fontId="2" fillId="0" borderId="0" xfId="0" applyFont="1" applyBorder="1" applyAlignment="1">
      <alignment horizontal="center" vertical="top"/>
    </xf>
    <xf numFmtId="0" fontId="53" fillId="6" borderId="0" xfId="0" applyFont="1" applyFill="1" applyBorder="1" applyAlignment="1">
      <alignment horizontal="center"/>
    </xf>
    <xf numFmtId="0" fontId="3" fillId="3" borderId="5" xfId="0" quotePrefix="1" applyFont="1" applyFill="1" applyBorder="1" applyAlignment="1">
      <alignment horizontal="left" vertical="center"/>
    </xf>
    <xf numFmtId="3" fontId="5" fillId="3" borderId="9" xfId="0" applyNumberFormat="1" applyFont="1" applyFill="1" applyBorder="1" applyAlignment="1">
      <alignment horizontal="right" vertical="center"/>
    </xf>
    <xf numFmtId="190" fontId="3" fillId="6" borderId="6" xfId="0" applyNumberFormat="1" applyFont="1" applyFill="1" applyBorder="1" applyAlignment="1">
      <alignment horizontal="center" vertical="center"/>
    </xf>
    <xf numFmtId="0" fontId="3" fillId="3" borderId="0" xfId="0" quotePrefix="1" applyFont="1" applyFill="1" applyBorder="1" applyAlignment="1">
      <alignment horizontal="left" vertical="center"/>
    </xf>
    <xf numFmtId="3" fontId="4" fillId="0" borderId="0" xfId="0" applyNumberFormat="1" applyFont="1" applyFill="1"/>
    <xf numFmtId="0" fontId="4" fillId="0" borderId="0" xfId="0" quotePrefix="1" applyFont="1" applyFill="1" applyAlignment="1">
      <alignment horizontal="center"/>
    </xf>
    <xf numFmtId="0" fontId="18" fillId="7" borderId="0" xfId="0" applyFont="1" applyFill="1" applyBorder="1"/>
    <xf numFmtId="2" fontId="18" fillId="0" borderId="0" xfId="4" applyNumberFormat="1" applyFont="1"/>
    <xf numFmtId="0" fontId="18" fillId="0" borderId="0" xfId="4" applyFont="1" applyAlignment="1"/>
    <xf numFmtId="0" fontId="18" fillId="0" borderId="0" xfId="11" applyFont="1"/>
    <xf numFmtId="0" fontId="18" fillId="0" borderId="0" xfId="4" applyFont="1" applyFill="1" applyBorder="1"/>
    <xf numFmtId="0" fontId="1" fillId="0" borderId="4" xfId="0" applyFont="1" applyBorder="1" applyAlignment="1">
      <alignment horizontal="center"/>
    </xf>
    <xf numFmtId="0" fontId="3" fillId="6" borderId="3" xfId="0" applyFont="1" applyFill="1" applyBorder="1" applyAlignment="1">
      <alignment horizontal="left"/>
    </xf>
    <xf numFmtId="0" fontId="3" fillId="6" borderId="0" xfId="0" applyFont="1" applyFill="1" applyBorder="1" applyAlignment="1">
      <alignment horizontal="left"/>
    </xf>
    <xf numFmtId="0" fontId="3" fillId="6" borderId="4" xfId="0" applyFont="1" applyFill="1" applyBorder="1" applyAlignment="1">
      <alignment horizontal="left" vertical="top"/>
    </xf>
    <xf numFmtId="0" fontId="3" fillId="6" borderId="9" xfId="0" applyFont="1" applyFill="1" applyBorder="1" applyAlignment="1">
      <alignment horizontal="left"/>
    </xf>
    <xf numFmtId="3" fontId="3" fillId="3" borderId="9" xfId="0" applyNumberFormat="1" applyFont="1" applyFill="1" applyBorder="1" applyAlignment="1">
      <alignment horizontal="center" vertical="center"/>
    </xf>
    <xf numFmtId="3" fontId="3" fillId="6" borderId="9" xfId="0" applyNumberFormat="1" applyFont="1" applyFill="1" applyBorder="1" applyAlignment="1">
      <alignment horizontal="center" vertical="center"/>
    </xf>
    <xf numFmtId="0" fontId="3" fillId="6" borderId="6" xfId="0" applyFont="1" applyFill="1" applyBorder="1" applyAlignment="1">
      <alignment horizontal="left"/>
    </xf>
    <xf numFmtId="3" fontId="3" fillId="3" borderId="6" xfId="0" applyNumberFormat="1" applyFont="1" applyFill="1" applyBorder="1" applyAlignment="1">
      <alignment horizontal="center" vertical="center"/>
    </xf>
    <xf numFmtId="3" fontId="3" fillId="6" borderId="6" xfId="0" applyNumberFormat="1" applyFont="1" applyFill="1" applyBorder="1" applyAlignment="1">
      <alignment horizontal="center" vertical="center"/>
    </xf>
    <xf numFmtId="0" fontId="5" fillId="6" borderId="0" xfId="0" applyFont="1" applyFill="1" applyBorder="1" applyAlignment="1">
      <alignment horizontal="left" vertical="center"/>
    </xf>
    <xf numFmtId="3" fontId="5" fillId="3" borderId="0" xfId="0" applyNumberFormat="1" applyFont="1" applyFill="1" applyBorder="1" applyAlignment="1">
      <alignment horizontal="center" vertical="center"/>
    </xf>
    <xf numFmtId="3" fontId="5" fillId="3" borderId="9" xfId="0" applyNumberFormat="1" applyFont="1" applyFill="1" applyBorder="1" applyAlignment="1">
      <alignment horizontal="center" vertical="center"/>
    </xf>
    <xf numFmtId="3" fontId="5" fillId="6" borderId="0" xfId="0" applyNumberFormat="1" applyFont="1" applyFill="1" applyBorder="1" applyAlignment="1">
      <alignment horizontal="center" vertical="center"/>
    </xf>
    <xf numFmtId="3" fontId="5" fillId="6" borderId="8" xfId="0" applyNumberFormat="1" applyFont="1" applyFill="1" applyBorder="1" applyAlignment="1">
      <alignment horizontal="center" vertical="center"/>
    </xf>
    <xf numFmtId="0" fontId="3" fillId="8" borderId="3" xfId="0" applyFont="1" applyFill="1" applyBorder="1" applyAlignment="1">
      <alignment horizontal="left"/>
    </xf>
    <xf numFmtId="0" fontId="3" fillId="9" borderId="3" xfId="0" applyFont="1" applyFill="1" applyBorder="1" applyAlignment="1">
      <alignment horizontal="right"/>
    </xf>
    <xf numFmtId="0" fontId="3" fillId="8" borderId="3" xfId="0" applyFont="1" applyFill="1" applyBorder="1" applyAlignment="1">
      <alignment horizontal="right"/>
    </xf>
    <xf numFmtId="0" fontId="3" fillId="8" borderId="3" xfId="0" applyFont="1" applyFill="1" applyBorder="1" applyAlignment="1">
      <alignment horizontal="center"/>
    </xf>
    <xf numFmtId="0" fontId="3" fillId="8" borderId="0" xfId="0" applyFont="1" applyFill="1" applyBorder="1" applyAlignment="1">
      <alignment horizontal="left"/>
    </xf>
    <xf numFmtId="0" fontId="3" fillId="9" borderId="0" xfId="0" applyFont="1" applyFill="1" applyBorder="1" applyAlignment="1">
      <alignment horizontal="right"/>
    </xf>
    <xf numFmtId="3" fontId="3" fillId="8" borderId="0" xfId="0" applyNumberFormat="1" applyFont="1" applyFill="1" applyBorder="1" applyAlignment="1">
      <alignment horizontal="right"/>
    </xf>
    <xf numFmtId="0" fontId="3" fillId="8" borderId="0" xfId="0" applyFont="1" applyFill="1" applyBorder="1" applyAlignment="1">
      <alignment horizontal="center"/>
    </xf>
    <xf numFmtId="0" fontId="3" fillId="8" borderId="0" xfId="0" applyFont="1" applyFill="1" applyBorder="1" applyAlignment="1">
      <alignment horizontal="right"/>
    </xf>
    <xf numFmtId="0" fontId="3" fillId="8" borderId="4" xfId="0" applyFont="1" applyFill="1" applyBorder="1" applyAlignment="1">
      <alignment horizontal="left" vertical="top"/>
    </xf>
    <xf numFmtId="0" fontId="3" fillId="9" borderId="4" xfId="0" applyFont="1" applyFill="1" applyBorder="1" applyAlignment="1">
      <alignment horizontal="right" vertical="top"/>
    </xf>
    <xf numFmtId="0" fontId="3" fillId="8" borderId="4" xfId="0" applyFont="1" applyFill="1" applyBorder="1" applyAlignment="1">
      <alignment horizontal="right" vertical="top"/>
    </xf>
    <xf numFmtId="0" fontId="3" fillId="8" borderId="4" xfId="0" applyFont="1" applyFill="1" applyBorder="1" applyAlignment="1">
      <alignment horizontal="center" vertical="top"/>
    </xf>
    <xf numFmtId="0" fontId="3" fillId="8" borderId="9" xfId="0" quotePrefix="1" applyFont="1" applyFill="1" applyBorder="1" applyAlignment="1">
      <alignment horizontal="left"/>
    </xf>
    <xf numFmtId="3" fontId="3" fillId="9" borderId="9" xfId="0" applyNumberFormat="1" applyFont="1" applyFill="1" applyBorder="1" applyAlignment="1">
      <alignment horizontal="right"/>
    </xf>
    <xf numFmtId="0" fontId="3" fillId="8" borderId="9" xfId="0" quotePrefix="1" applyFont="1" applyFill="1" applyBorder="1" applyAlignment="1">
      <alignment horizontal="right"/>
    </xf>
    <xf numFmtId="190" fontId="3" fillId="8" borderId="9" xfId="0" quotePrefix="1" applyNumberFormat="1" applyFont="1" applyFill="1" applyBorder="1" applyAlignment="1">
      <alignment horizontal="center"/>
    </xf>
    <xf numFmtId="0" fontId="3" fillId="8" borderId="6" xfId="0" quotePrefix="1" applyFont="1" applyFill="1" applyBorder="1" applyAlignment="1">
      <alignment horizontal="left"/>
    </xf>
    <xf numFmtId="3" fontId="3" fillId="9" borderId="6" xfId="0" applyNumberFormat="1" applyFont="1" applyFill="1" applyBorder="1" applyAlignment="1">
      <alignment horizontal="right"/>
    </xf>
    <xf numFmtId="0" fontId="3" fillId="8" borderId="6" xfId="0" quotePrefix="1" applyFont="1" applyFill="1" applyBorder="1" applyAlignment="1">
      <alignment horizontal="right"/>
    </xf>
    <xf numFmtId="190" fontId="3" fillId="8" borderId="6" xfId="0" quotePrefix="1" applyNumberFormat="1" applyFont="1" applyFill="1" applyBorder="1" applyAlignment="1">
      <alignment horizontal="center"/>
    </xf>
    <xf numFmtId="0" fontId="5" fillId="8" borderId="0" xfId="0" quotePrefix="1" applyFont="1" applyFill="1" applyBorder="1" applyAlignment="1">
      <alignment horizontal="left" vertical="center"/>
    </xf>
    <xf numFmtId="3" fontId="5" fillId="9" borderId="0" xfId="0" applyNumberFormat="1" applyFont="1" applyFill="1" applyBorder="1" applyAlignment="1">
      <alignment horizontal="right" vertical="center"/>
    </xf>
    <xf numFmtId="0" fontId="5" fillId="8" borderId="0" xfId="0" quotePrefix="1" applyFont="1" applyFill="1" applyBorder="1" applyAlignment="1">
      <alignment horizontal="right" vertical="center"/>
    </xf>
    <xf numFmtId="190" fontId="5" fillId="8" borderId="6" xfId="0" quotePrefix="1" applyNumberFormat="1" applyFont="1" applyFill="1" applyBorder="1" applyAlignment="1">
      <alignment horizontal="center" vertical="center"/>
    </xf>
    <xf numFmtId="188" fontId="3" fillId="0" borderId="7" xfId="0" applyNumberFormat="1" applyFont="1" applyBorder="1" applyAlignment="1">
      <alignment horizontal="right" vertical="top"/>
    </xf>
    <xf numFmtId="188" fontId="3" fillId="0" borderId="0" xfId="0" applyNumberFormat="1" applyFont="1" applyBorder="1" applyAlignment="1">
      <alignment horizontal="right" vertical="top"/>
    </xf>
    <xf numFmtId="190" fontId="1" fillId="7" borderId="0" xfId="0" applyNumberFormat="1" applyFont="1" applyFill="1" applyAlignment="1">
      <alignment horizontal="center"/>
    </xf>
    <xf numFmtId="0" fontId="2" fillId="7" borderId="0" xfId="0" applyFont="1" applyFill="1" applyBorder="1" applyAlignment="1">
      <alignment vertical="top"/>
    </xf>
    <xf numFmtId="0" fontId="3" fillId="3" borderId="3" xfId="0" applyFont="1" applyFill="1" applyBorder="1" applyAlignment="1">
      <alignment horizontal="left" vertical="center"/>
    </xf>
    <xf numFmtId="0" fontId="18" fillId="3" borderId="0" xfId="0" applyFont="1" applyFill="1" applyBorder="1" applyAlignment="1">
      <alignment horizontal="center"/>
    </xf>
    <xf numFmtId="0" fontId="54" fillId="3" borderId="0" xfId="0" applyFont="1" applyFill="1" applyBorder="1" applyAlignment="1">
      <alignment horizontal="right"/>
    </xf>
    <xf numFmtId="190" fontId="18" fillId="6" borderId="0" xfId="0" applyNumberFormat="1" applyFont="1" applyFill="1" applyBorder="1" applyAlignment="1">
      <alignment horizontal="center"/>
    </xf>
    <xf numFmtId="190" fontId="18" fillId="6" borderId="4" xfId="0" applyNumberFormat="1" applyFont="1" applyFill="1" applyBorder="1" applyAlignment="1">
      <alignment horizontal="center" vertical="top"/>
    </xf>
    <xf numFmtId="0" fontId="18" fillId="6" borderId="4" xfId="0" applyFont="1" applyFill="1" applyBorder="1" applyAlignment="1">
      <alignment horizontal="center" vertical="top"/>
    </xf>
    <xf numFmtId="190" fontId="54" fillId="6" borderId="4" xfId="0" applyNumberFormat="1" applyFont="1" applyFill="1" applyBorder="1" applyAlignment="1">
      <alignment horizontal="center" vertical="top"/>
    </xf>
    <xf numFmtId="0" fontId="43" fillId="3" borderId="4" xfId="0" applyFont="1" applyFill="1" applyBorder="1" applyAlignment="1">
      <alignment horizontal="right" vertical="top"/>
    </xf>
    <xf numFmtId="3" fontId="3" fillId="6" borderId="9" xfId="0" quotePrefix="1" applyNumberFormat="1" applyFont="1" applyFill="1" applyBorder="1" applyAlignment="1">
      <alignment horizontal="right"/>
    </xf>
    <xf numFmtId="3" fontId="3" fillId="3" borderId="9" xfId="0" quotePrefix="1" applyNumberFormat="1" applyFont="1" applyFill="1" applyBorder="1" applyAlignment="1">
      <alignment horizontal="right"/>
    </xf>
    <xf numFmtId="3" fontId="43" fillId="6" borderId="9" xfId="0" quotePrefix="1" applyNumberFormat="1" applyFont="1" applyFill="1" applyBorder="1" applyAlignment="1">
      <alignment horizontal="right"/>
    </xf>
    <xf numFmtId="3" fontId="43" fillId="3" borderId="9" xfId="0" quotePrefix="1" applyNumberFormat="1" applyFont="1" applyFill="1" applyBorder="1" applyAlignment="1">
      <alignment horizontal="right"/>
    </xf>
    <xf numFmtId="3" fontId="3" fillId="6" borderId="6" xfId="0" quotePrefix="1" applyNumberFormat="1" applyFont="1" applyFill="1" applyBorder="1" applyAlignment="1">
      <alignment horizontal="right"/>
    </xf>
    <xf numFmtId="3" fontId="3" fillId="3" borderId="6" xfId="0" quotePrefix="1" applyNumberFormat="1" applyFont="1" applyFill="1" applyBorder="1" applyAlignment="1">
      <alignment horizontal="right"/>
    </xf>
    <xf numFmtId="3" fontId="43" fillId="6" borderId="6" xfId="0" quotePrefix="1" applyNumberFormat="1" applyFont="1" applyFill="1" applyBorder="1" applyAlignment="1">
      <alignment horizontal="right"/>
    </xf>
    <xf numFmtId="3" fontId="43" fillId="3" borderId="6" xfId="0" quotePrefix="1" applyNumberFormat="1" applyFont="1" applyFill="1" applyBorder="1" applyAlignment="1">
      <alignment horizontal="right"/>
    </xf>
    <xf numFmtId="3" fontId="43" fillId="6" borderId="6" xfId="0" applyNumberFormat="1" applyFont="1" applyFill="1" applyBorder="1" applyAlignment="1">
      <alignment horizontal="right"/>
    </xf>
    <xf numFmtId="3" fontId="43" fillId="3" borderId="6" xfId="0" applyNumberFormat="1" applyFont="1" applyFill="1" applyBorder="1" applyAlignment="1">
      <alignment horizontal="right"/>
    </xf>
    <xf numFmtId="3" fontId="5" fillId="6" borderId="0" xfId="0" quotePrefix="1" applyNumberFormat="1" applyFont="1" applyFill="1" applyBorder="1" applyAlignment="1">
      <alignment horizontal="right" vertical="center"/>
    </xf>
    <xf numFmtId="189" fontId="5" fillId="3" borderId="8" xfId="0" applyNumberFormat="1" applyFont="1" applyFill="1" applyBorder="1" applyAlignment="1">
      <alignment horizontal="right" vertical="center"/>
    </xf>
    <xf numFmtId="3" fontId="50" fillId="6" borderId="8" xfId="0" applyNumberFormat="1" applyFont="1" applyFill="1" applyBorder="1" applyAlignment="1">
      <alignment horizontal="right" vertical="center"/>
    </xf>
    <xf numFmtId="3" fontId="50" fillId="3" borderId="8" xfId="0" applyNumberFormat="1" applyFont="1" applyFill="1" applyBorder="1" applyAlignment="1">
      <alignment horizontal="right" vertical="center"/>
    </xf>
    <xf numFmtId="190" fontId="4" fillId="7" borderId="7" xfId="0" applyNumberFormat="1" applyFont="1" applyFill="1" applyBorder="1" applyAlignment="1">
      <alignment horizontal="center"/>
    </xf>
    <xf numFmtId="190" fontId="4" fillId="7" borderId="0" xfId="0" applyNumberFormat="1" applyFont="1" applyFill="1" applyBorder="1" applyAlignment="1">
      <alignment horizontal="center"/>
    </xf>
    <xf numFmtId="3" fontId="4" fillId="0" borderId="0" xfId="0" applyNumberFormat="1" applyFont="1" applyAlignment="1">
      <alignment vertical="center"/>
    </xf>
    <xf numFmtId="3" fontId="1" fillId="0" borderId="0" xfId="0" applyNumberFormat="1" applyFont="1" applyAlignment="1">
      <alignment horizontal="center"/>
    </xf>
    <xf numFmtId="3" fontId="3" fillId="3" borderId="3" xfId="0" applyNumberFormat="1" applyFont="1" applyFill="1" applyBorder="1" applyAlignment="1">
      <alignment horizontal="center"/>
    </xf>
    <xf numFmtId="0" fontId="3" fillId="3" borderId="6" xfId="0" applyFont="1" applyFill="1" applyBorder="1" applyAlignment="1">
      <alignment horizontal="left" vertical="center" wrapText="1"/>
    </xf>
    <xf numFmtId="189" fontId="3" fillId="3" borderId="6" xfId="0" applyNumberFormat="1" applyFont="1" applyFill="1" applyBorder="1" applyAlignment="1">
      <alignment horizontal="center" vertical="center"/>
    </xf>
    <xf numFmtId="189" fontId="3" fillId="3" borderId="0" xfId="0" applyNumberFormat="1" applyFont="1" applyFill="1" applyBorder="1" applyAlignment="1">
      <alignment horizontal="center" vertical="center"/>
    </xf>
    <xf numFmtId="3" fontId="4" fillId="0" borderId="7" xfId="0" applyNumberFormat="1" applyFont="1" applyBorder="1" applyAlignment="1">
      <alignment horizontal="center"/>
    </xf>
    <xf numFmtId="3" fontId="4" fillId="0" borderId="0" xfId="0" applyNumberFormat="1" applyFont="1" applyBorder="1" applyAlignment="1">
      <alignment horizontal="center"/>
    </xf>
    <xf numFmtId="3" fontId="4" fillId="0" borderId="0" xfId="0" applyNumberFormat="1" applyFont="1" applyAlignment="1">
      <alignment horizontal="center"/>
    </xf>
    <xf numFmtId="189" fontId="5" fillId="3" borderId="6" xfId="0" applyNumberFormat="1" applyFont="1" applyFill="1" applyBorder="1" applyAlignment="1">
      <alignment horizontal="right" vertical="center"/>
    </xf>
    <xf numFmtId="190" fontId="3" fillId="6" borderId="3" xfId="0" applyNumberFormat="1" applyFont="1" applyFill="1" applyBorder="1" applyAlignment="1">
      <alignment horizontal="center"/>
    </xf>
    <xf numFmtId="190" fontId="3" fillId="6" borderId="0" xfId="0" applyNumberFormat="1" applyFont="1" applyFill="1" applyBorder="1" applyAlignment="1">
      <alignment horizontal="center"/>
    </xf>
    <xf numFmtId="190" fontId="3" fillId="6" borderId="4" xfId="0" applyNumberFormat="1" applyFont="1" applyFill="1" applyBorder="1" applyAlignment="1">
      <alignment horizontal="center" vertical="top"/>
    </xf>
    <xf numFmtId="190" fontId="5" fillId="6" borderId="8" xfId="0" applyNumberFormat="1" applyFont="1" applyFill="1" applyBorder="1" applyAlignment="1">
      <alignment horizontal="center" vertical="center"/>
    </xf>
    <xf numFmtId="0" fontId="5" fillId="3" borderId="5" xfId="0" applyFont="1" applyFill="1" applyBorder="1" applyAlignment="1">
      <alignment horizontal="left"/>
    </xf>
    <xf numFmtId="0" fontId="43" fillId="3" borderId="6" xfId="0" applyFont="1" applyFill="1" applyBorder="1" applyAlignment="1">
      <alignment horizontal="left"/>
    </xf>
    <xf numFmtId="3" fontId="43" fillId="6" borderId="9" xfId="0" applyNumberFormat="1" applyFont="1" applyFill="1" applyBorder="1" applyAlignment="1">
      <alignment horizontal="right"/>
    </xf>
    <xf numFmtId="0" fontId="3" fillId="3" borderId="6" xfId="0" applyFont="1" applyFill="1" applyBorder="1" applyAlignment="1">
      <alignment horizontal="left" wrapText="1"/>
    </xf>
    <xf numFmtId="0" fontId="5" fillId="3" borderId="6" xfId="0" applyFont="1" applyFill="1" applyBorder="1" applyAlignment="1">
      <alignment horizontal="left"/>
    </xf>
    <xf numFmtId="0" fontId="43" fillId="3" borderId="6" xfId="0" applyFont="1" applyFill="1" applyBorder="1" applyAlignment="1">
      <alignment horizontal="left" vertical="center"/>
    </xf>
    <xf numFmtId="0" fontId="4" fillId="0" borderId="0" xfId="0" applyFont="1" applyAlignment="1">
      <alignment wrapText="1"/>
    </xf>
    <xf numFmtId="0" fontId="43" fillId="3" borderId="6" xfId="0" applyFont="1" applyFill="1" applyBorder="1" applyAlignment="1">
      <alignment horizontal="center" wrapText="1"/>
    </xf>
    <xf numFmtId="0" fontId="43" fillId="3" borderId="6" xfId="0" applyFont="1" applyFill="1" applyBorder="1" applyAlignment="1">
      <alignment horizontal="left" wrapText="1"/>
    </xf>
    <xf numFmtId="0" fontId="43" fillId="3" borderId="6" xfId="0" applyFont="1" applyFill="1" applyBorder="1" applyAlignment="1">
      <alignment horizontal="center"/>
    </xf>
    <xf numFmtId="190" fontId="5" fillId="3" borderId="9" xfId="0" applyNumberFormat="1" applyFont="1" applyFill="1" applyBorder="1" applyAlignment="1">
      <alignment horizontal="center" vertical="center"/>
    </xf>
    <xf numFmtId="0" fontId="50" fillId="3" borderId="5" xfId="0" applyFont="1" applyFill="1" applyBorder="1" applyAlignment="1">
      <alignment horizontal="left"/>
    </xf>
    <xf numFmtId="0" fontId="50" fillId="3" borderId="5" xfId="0" applyFont="1" applyFill="1" applyBorder="1" applyAlignment="1">
      <alignment horizontal="left" wrapText="1"/>
    </xf>
    <xf numFmtId="3" fontId="5" fillId="6" borderId="5" xfId="0" applyNumberFormat="1" applyFont="1" applyFill="1" applyBorder="1" applyAlignment="1">
      <alignment horizontal="left"/>
    </xf>
    <xf numFmtId="190" fontId="5" fillId="3" borderId="5" xfId="0" applyNumberFormat="1" applyFont="1" applyFill="1" applyBorder="1" applyAlignment="1">
      <alignment horizontal="center"/>
    </xf>
    <xf numFmtId="190" fontId="3" fillId="3" borderId="5" xfId="0" applyNumberFormat="1" applyFont="1" applyFill="1" applyBorder="1" applyAlignment="1">
      <alignment horizontal="center"/>
    </xf>
    <xf numFmtId="0" fontId="3" fillId="3" borderId="6" xfId="0" applyFont="1" applyFill="1" applyBorder="1" applyAlignment="1">
      <alignment horizontal="center"/>
    </xf>
    <xf numFmtId="0" fontId="3" fillId="3" borderId="6" xfId="0" applyFont="1" applyFill="1" applyBorder="1" applyAlignment="1">
      <alignment horizontal="center" wrapText="1"/>
    </xf>
    <xf numFmtId="3" fontId="3" fillId="6" borderId="6" xfId="0" applyNumberFormat="1" applyFont="1" applyFill="1" applyBorder="1" applyAlignment="1">
      <alignment horizontal="right" wrapText="1"/>
    </xf>
    <xf numFmtId="0" fontId="50" fillId="3" borderId="6" xfId="0" applyFont="1" applyFill="1" applyBorder="1" applyAlignment="1">
      <alignment horizontal="left" wrapText="1"/>
    </xf>
    <xf numFmtId="0" fontId="5" fillId="3" borderId="6" xfId="0" applyFont="1" applyFill="1" applyBorder="1" applyAlignment="1">
      <alignment horizontal="left" vertical="center" wrapText="1"/>
    </xf>
    <xf numFmtId="190" fontId="5" fillId="3" borderId="5" xfId="0" applyNumberFormat="1" applyFont="1" applyFill="1" applyBorder="1" applyAlignment="1">
      <alignment horizontal="center" vertical="center"/>
    </xf>
    <xf numFmtId="3" fontId="3" fillId="6" borderId="3" xfId="0" applyNumberFormat="1" applyFont="1" applyFill="1" applyBorder="1" applyAlignment="1">
      <alignment horizontal="center"/>
    </xf>
    <xf numFmtId="3" fontId="62" fillId="6" borderId="6" xfId="0" applyNumberFormat="1" applyFont="1" applyFill="1" applyBorder="1" applyAlignment="1">
      <alignment horizontal="center" wrapText="1"/>
    </xf>
    <xf numFmtId="190" fontId="62" fillId="3" borderId="5" xfId="0" applyNumberFormat="1" applyFont="1" applyFill="1" applyBorder="1" applyAlignment="1">
      <alignment horizontal="center" wrapText="1"/>
    </xf>
    <xf numFmtId="3" fontId="3" fillId="3" borderId="5" xfId="0" applyNumberFormat="1" applyFont="1" applyFill="1" applyBorder="1" applyAlignment="1">
      <alignment horizontal="center"/>
    </xf>
    <xf numFmtId="0" fontId="5" fillId="3" borderId="6" xfId="0" applyFont="1" applyFill="1" applyBorder="1" applyAlignment="1">
      <alignment horizontal="center"/>
    </xf>
    <xf numFmtId="0" fontId="3" fillId="3" borderId="9" xfId="0" applyFont="1" applyFill="1" applyBorder="1" applyAlignment="1">
      <alignment wrapText="1"/>
    </xf>
    <xf numFmtId="0" fontId="43" fillId="3" borderId="9" xfId="0" applyFont="1" applyFill="1" applyBorder="1" applyAlignment="1">
      <alignment wrapText="1"/>
    </xf>
    <xf numFmtId="3" fontId="43" fillId="3" borderId="9" xfId="0" applyNumberFormat="1" applyFont="1" applyFill="1" applyBorder="1" applyAlignment="1">
      <alignment horizontal="right"/>
    </xf>
    <xf numFmtId="3" fontId="43" fillId="3" borderId="9" xfId="0" applyNumberFormat="1" applyFont="1" applyFill="1" applyBorder="1"/>
    <xf numFmtId="190" fontId="43" fillId="6" borderId="9" xfId="0" applyNumberFormat="1" applyFont="1" applyFill="1" applyBorder="1"/>
    <xf numFmtId="190" fontId="43" fillId="3" borderId="9" xfId="0" applyNumberFormat="1" applyFont="1" applyFill="1" applyBorder="1" applyAlignment="1">
      <alignment horizontal="center"/>
    </xf>
    <xf numFmtId="190" fontId="5" fillId="6" borderId="9" xfId="0" applyNumberFormat="1" applyFont="1" applyFill="1" applyBorder="1" applyAlignment="1">
      <alignment vertical="center"/>
    </xf>
    <xf numFmtId="190" fontId="5" fillId="3" borderId="0" xfId="0" applyNumberFormat="1" applyFont="1" applyFill="1" applyBorder="1" applyAlignment="1">
      <alignment horizontal="right" vertical="center"/>
    </xf>
    <xf numFmtId="190" fontId="3" fillId="3" borderId="4" xfId="0" applyNumberFormat="1" applyFont="1" applyFill="1" applyBorder="1" applyAlignment="1">
      <alignment horizontal="right" vertical="top"/>
    </xf>
    <xf numFmtId="190" fontId="3" fillId="3" borderId="9" xfId="0" applyNumberFormat="1" applyFont="1" applyFill="1" applyBorder="1" applyAlignment="1">
      <alignment vertical="center"/>
    </xf>
    <xf numFmtId="0" fontId="37" fillId="0" borderId="0" xfId="0" applyFont="1"/>
    <xf numFmtId="0" fontId="31" fillId="13" borderId="0" xfId="0" applyFont="1" applyFill="1" applyAlignment="1">
      <alignment horizontal="left"/>
    </xf>
    <xf numFmtId="2" fontId="15" fillId="13" borderId="0" xfId="0" applyNumberFormat="1" applyFont="1" applyFill="1" applyAlignment="1">
      <alignment horizontal="center"/>
    </xf>
    <xf numFmtId="0" fontId="16" fillId="13" borderId="0" xfId="0" applyFont="1" applyFill="1" applyAlignment="1"/>
    <xf numFmtId="0" fontId="15" fillId="13" borderId="0" xfId="0" applyNumberFormat="1" applyFont="1" applyFill="1" applyAlignment="1">
      <alignment horizontal="center"/>
    </xf>
    <xf numFmtId="0" fontId="57" fillId="0" borderId="0" xfId="4" applyFont="1"/>
    <xf numFmtId="0" fontId="57" fillId="0" borderId="0" xfId="4" applyAlignment="1"/>
    <xf numFmtId="0" fontId="57" fillId="0" borderId="0" xfId="4" applyFont="1" applyAlignment="1"/>
    <xf numFmtId="0" fontId="1" fillId="0" borderId="0" xfId="0" applyFont="1" applyFill="1" applyBorder="1"/>
    <xf numFmtId="3" fontId="3" fillId="6" borderId="0" xfId="0" applyNumberFormat="1" applyFont="1" applyFill="1" applyBorder="1" applyAlignment="1">
      <alignment horizontal="center"/>
    </xf>
    <xf numFmtId="0" fontId="3" fillId="0" borderId="0" xfId="0" applyFont="1" applyFill="1" applyBorder="1" applyAlignment="1">
      <alignment horizontal="center"/>
    </xf>
    <xf numFmtId="188" fontId="3" fillId="3" borderId="5" xfId="0" applyNumberFormat="1" applyFont="1" applyFill="1" applyBorder="1" applyAlignment="1">
      <alignment horizontal="left"/>
    </xf>
    <xf numFmtId="3" fontId="3" fillId="6" borderId="5" xfId="0" applyNumberFormat="1" applyFont="1" applyFill="1" applyBorder="1" applyAlignment="1">
      <alignment horizontal="center"/>
    </xf>
    <xf numFmtId="3" fontId="5" fillId="3" borderId="5" xfId="0" applyNumberFormat="1" applyFont="1" applyFill="1" applyBorder="1"/>
    <xf numFmtId="190" fontId="3" fillId="0" borderId="0" xfId="0" applyNumberFormat="1" applyFont="1" applyFill="1" applyBorder="1" applyAlignment="1">
      <alignment horizontal="center"/>
    </xf>
    <xf numFmtId="188" fontId="3" fillId="3" borderId="6" xfId="0" applyNumberFormat="1" applyFont="1" applyFill="1" applyBorder="1" applyAlignment="1">
      <alignment horizontal="left"/>
    </xf>
    <xf numFmtId="3" fontId="3" fillId="6" borderId="6" xfId="0" applyNumberFormat="1" applyFont="1" applyFill="1" applyBorder="1" applyAlignment="1">
      <alignment horizontal="center"/>
    </xf>
    <xf numFmtId="3" fontId="3" fillId="6" borderId="6" xfId="0" quotePrefix="1" applyNumberFormat="1" applyFont="1" applyFill="1" applyBorder="1"/>
    <xf numFmtId="3" fontId="5" fillId="3" borderId="6" xfId="0" applyNumberFormat="1" applyFont="1" applyFill="1" applyBorder="1"/>
    <xf numFmtId="3" fontId="108" fillId="0" borderId="0" xfId="0" applyNumberFormat="1" applyFont="1" applyAlignment="1">
      <alignment horizontal="right"/>
    </xf>
    <xf numFmtId="188" fontId="5" fillId="3" borderId="0" xfId="0" applyNumberFormat="1" applyFont="1" applyFill="1" applyBorder="1" applyAlignment="1">
      <alignment horizontal="left" vertical="center"/>
    </xf>
    <xf numFmtId="190" fontId="5" fillId="0" borderId="0" xfId="0" applyNumberFormat="1" applyFont="1" applyFill="1" applyBorder="1" applyAlignment="1">
      <alignment horizontal="center" vertical="center"/>
    </xf>
    <xf numFmtId="2" fontId="4" fillId="0" borderId="7" xfId="0" applyNumberFormat="1" applyFont="1" applyBorder="1"/>
    <xf numFmtId="3" fontId="3" fillId="0" borderId="7" xfId="0" applyNumberFormat="1" applyFont="1" applyBorder="1" applyAlignment="1">
      <alignment horizontal="center" vertical="top"/>
    </xf>
    <xf numFmtId="2" fontId="4" fillId="0" borderId="0" xfId="0" applyNumberFormat="1" applyFont="1" applyBorder="1"/>
    <xf numFmtId="3" fontId="3" fillId="0" borderId="0" xfId="0" applyNumberFormat="1" applyFont="1" applyBorder="1" applyAlignment="1">
      <alignment horizontal="center" vertical="top"/>
    </xf>
    <xf numFmtId="188" fontId="4" fillId="0" borderId="0" xfId="0" applyNumberFormat="1" applyFont="1" applyBorder="1"/>
    <xf numFmtId="190" fontId="5" fillId="3" borderId="8" xfId="0" applyNumberFormat="1" applyFont="1" applyFill="1" applyBorder="1" applyAlignment="1">
      <alignment horizontal="center" vertical="center"/>
    </xf>
    <xf numFmtId="0" fontId="2" fillId="0" borderId="0" xfId="0" applyFont="1" applyFill="1" applyBorder="1" applyAlignment="1">
      <alignment vertical="center"/>
    </xf>
    <xf numFmtId="0" fontId="5" fillId="3" borderId="0" xfId="0" applyFont="1" applyFill="1" applyBorder="1" applyAlignment="1">
      <alignment horizontal="left"/>
    </xf>
    <xf numFmtId="3" fontId="3" fillId="3" borderId="9" xfId="0" applyNumberFormat="1" applyFont="1" applyFill="1" applyBorder="1" applyAlignment="1">
      <alignment horizontal="center"/>
    </xf>
    <xf numFmtId="0" fontId="5" fillId="3" borderId="8" xfId="0" quotePrefix="1" applyFont="1" applyFill="1" applyBorder="1" applyAlignment="1">
      <alignment horizontal="left" vertical="center"/>
    </xf>
    <xf numFmtId="3" fontId="5" fillId="6" borderId="8" xfId="0" quotePrefix="1" applyNumberFormat="1" applyFont="1" applyFill="1" applyBorder="1" applyAlignment="1">
      <alignment horizontal="right" vertical="center"/>
    </xf>
    <xf numFmtId="3" fontId="5" fillId="6" borderId="8" xfId="0" applyNumberFormat="1" applyFont="1" applyFill="1" applyBorder="1" applyAlignment="1">
      <alignment horizontal="right" vertical="center"/>
    </xf>
    <xf numFmtId="3" fontId="3" fillId="3" borderId="6" xfId="0" applyNumberFormat="1" applyFont="1" applyFill="1" applyBorder="1" applyAlignment="1">
      <alignment horizontal="center"/>
    </xf>
    <xf numFmtId="190" fontId="1" fillId="7" borderId="0" xfId="0" applyNumberFormat="1" applyFont="1" applyFill="1"/>
    <xf numFmtId="0" fontId="23" fillId="0" borderId="0" xfId="0" applyFont="1" applyAlignment="1">
      <alignment horizontal="left" wrapText="1"/>
    </xf>
    <xf numFmtId="0" fontId="26" fillId="6" borderId="0" xfId="0" applyFont="1" applyFill="1" applyBorder="1" applyAlignment="1">
      <alignment horizontal="right"/>
    </xf>
    <xf numFmtId="190" fontId="26" fillId="3" borderId="0" xfId="0" applyNumberFormat="1" applyFont="1" applyFill="1" applyBorder="1" applyAlignment="1">
      <alignment horizontal="right"/>
    </xf>
    <xf numFmtId="0" fontId="3" fillId="3" borderId="0" xfId="0" applyFont="1" applyFill="1" applyBorder="1" applyAlignment="1">
      <alignment horizontal="left" vertical="top"/>
    </xf>
    <xf numFmtId="190" fontId="3" fillId="3" borderId="0" xfId="0" applyNumberFormat="1" applyFont="1" applyFill="1" applyBorder="1" applyAlignment="1">
      <alignment horizontal="center" vertical="top"/>
    </xf>
    <xf numFmtId="0" fontId="26" fillId="6" borderId="0" xfId="0" applyFont="1" applyFill="1" applyBorder="1" applyAlignment="1">
      <alignment horizontal="right" vertical="top"/>
    </xf>
    <xf numFmtId="190" fontId="26" fillId="3" borderId="0" xfId="0" applyNumberFormat="1" applyFont="1" applyFill="1" applyBorder="1" applyAlignment="1">
      <alignment horizontal="right" vertical="top"/>
    </xf>
    <xf numFmtId="190" fontId="3" fillId="3" borderId="0" xfId="0" applyNumberFormat="1" applyFont="1" applyFill="1" applyBorder="1" applyAlignment="1">
      <alignment horizontal="right" vertical="top"/>
    </xf>
    <xf numFmtId="0" fontId="4" fillId="0" borderId="0" xfId="0" applyFont="1" applyFill="1" applyAlignment="1">
      <alignment vertical="center"/>
    </xf>
    <xf numFmtId="0" fontId="8" fillId="0" borderId="0" xfId="0" applyFont="1" applyFill="1" applyAlignment="1">
      <alignment vertical="center"/>
    </xf>
    <xf numFmtId="3" fontId="3" fillId="0" borderId="0" xfId="0" applyNumberFormat="1" applyFont="1" applyFill="1" applyBorder="1" applyAlignment="1">
      <alignment horizontal="right" vertical="top"/>
    </xf>
    <xf numFmtId="190" fontId="3" fillId="0" borderId="0" xfId="0" applyNumberFormat="1" applyFont="1" applyFill="1" applyBorder="1" applyAlignment="1">
      <alignment horizontal="right" vertical="top"/>
    </xf>
    <xf numFmtId="0" fontId="18" fillId="3" borderId="8" xfId="0" applyFont="1" applyFill="1" applyBorder="1" applyAlignment="1">
      <alignment horizontal="left" vertical="center" wrapText="1"/>
    </xf>
    <xf numFmtId="190" fontId="3" fillId="3" borderId="8" xfId="0" applyNumberFormat="1" applyFont="1" applyFill="1" applyBorder="1" applyAlignment="1">
      <alignment horizontal="center" vertical="center"/>
    </xf>
    <xf numFmtId="190" fontId="3" fillId="3" borderId="8" xfId="0" applyNumberFormat="1" applyFont="1" applyFill="1" applyBorder="1" applyAlignment="1">
      <alignment horizontal="right" vertical="center"/>
    </xf>
    <xf numFmtId="3" fontId="3" fillId="0" borderId="4" xfId="0" applyNumberFormat="1" applyFont="1" applyFill="1" applyBorder="1" applyAlignment="1">
      <alignment horizontal="right" vertical="top"/>
    </xf>
    <xf numFmtId="0" fontId="26" fillId="6" borderId="0" xfId="0" applyFont="1" applyFill="1" applyBorder="1" applyAlignment="1">
      <alignment horizontal="right" vertical="center"/>
    </xf>
    <xf numFmtId="190" fontId="26" fillId="3" borderId="0" xfId="0" applyNumberFormat="1" applyFont="1" applyFill="1" applyBorder="1" applyAlignment="1">
      <alignment horizontal="right" vertical="center"/>
    </xf>
    <xf numFmtId="0" fontId="54" fillId="6" borderId="0" xfId="0" applyFont="1" applyFill="1" applyBorder="1" applyAlignment="1">
      <alignment horizontal="right" vertical="top"/>
    </xf>
    <xf numFmtId="190" fontId="54" fillId="3" borderId="0" xfId="0" applyNumberFormat="1" applyFont="1" applyFill="1" applyBorder="1" applyAlignment="1">
      <alignment horizontal="right" vertical="top"/>
    </xf>
    <xf numFmtId="190" fontId="4" fillId="0" borderId="0" xfId="0" applyNumberFormat="1" applyFont="1" applyFill="1"/>
    <xf numFmtId="190" fontId="5" fillId="3" borderId="13" xfId="0" applyNumberFormat="1" applyFont="1" applyFill="1" applyBorder="1" applyAlignment="1">
      <alignment horizontal="center" vertical="center"/>
    </xf>
    <xf numFmtId="3" fontId="5" fillId="3" borderId="13" xfId="0" applyNumberFormat="1" applyFont="1" applyFill="1" applyBorder="1" applyAlignment="1">
      <alignment horizontal="right" vertical="center"/>
    </xf>
    <xf numFmtId="3" fontId="5" fillId="6" borderId="13" xfId="0" applyNumberFormat="1" applyFont="1" applyFill="1" applyBorder="1" applyAlignment="1">
      <alignment horizontal="right" vertical="center"/>
    </xf>
    <xf numFmtId="190" fontId="3" fillId="0" borderId="0" xfId="0" applyNumberFormat="1" applyFont="1" applyFill="1" applyBorder="1" applyAlignment="1">
      <alignment horizontal="center" vertical="top"/>
    </xf>
    <xf numFmtId="190" fontId="3" fillId="6" borderId="10" xfId="0" applyNumberFormat="1" applyFont="1" applyFill="1" applyBorder="1" applyAlignment="1">
      <alignment horizontal="right" vertical="center"/>
    </xf>
    <xf numFmtId="0" fontId="8" fillId="0" borderId="0" xfId="0" applyFont="1" applyAlignment="1">
      <alignment horizontal="center"/>
    </xf>
    <xf numFmtId="0" fontId="5" fillId="3" borderId="13" xfId="0" quotePrefix="1" applyFont="1" applyFill="1" applyBorder="1" applyAlignment="1">
      <alignment horizontal="left" vertical="center"/>
    </xf>
    <xf numFmtId="189" fontId="5" fillId="6" borderId="13" xfId="0" applyNumberFormat="1" applyFont="1" applyFill="1" applyBorder="1" applyAlignment="1">
      <alignment horizontal="right" vertical="center"/>
    </xf>
    <xf numFmtId="189" fontId="5" fillId="3" borderId="13" xfId="0" applyNumberFormat="1" applyFont="1" applyFill="1" applyBorder="1" applyAlignment="1">
      <alignment horizontal="right" vertical="center"/>
    </xf>
    <xf numFmtId="0" fontId="18" fillId="7" borderId="0" xfId="0" applyFont="1" applyFill="1" applyBorder="1" applyProtection="1"/>
    <xf numFmtId="9" fontId="5" fillId="6" borderId="3" xfId="0" applyNumberFormat="1" applyFont="1" applyFill="1" applyBorder="1" applyAlignment="1">
      <alignment horizontal="right" wrapText="1"/>
    </xf>
    <xf numFmtId="9" fontId="5" fillId="3" borderId="3" xfId="0" applyNumberFormat="1" applyFont="1" applyFill="1" applyBorder="1" applyAlignment="1">
      <alignment horizontal="right" wrapText="1"/>
    </xf>
    <xf numFmtId="9" fontId="3" fillId="3" borderId="3" xfId="0" applyNumberFormat="1" applyFont="1" applyFill="1" applyBorder="1" applyAlignment="1">
      <alignment horizontal="center" vertical="center" wrapText="1"/>
    </xf>
    <xf numFmtId="9" fontId="3" fillId="6" borderId="3" xfId="0" applyNumberFormat="1" applyFont="1" applyFill="1" applyBorder="1" applyAlignment="1">
      <alignment horizontal="center" vertical="center" wrapText="1"/>
    </xf>
    <xf numFmtId="9" fontId="3" fillId="6" borderId="0" xfId="0" applyNumberFormat="1" applyFont="1" applyFill="1" applyBorder="1" applyAlignment="1">
      <alignment horizontal="right" wrapText="1"/>
    </xf>
    <xf numFmtId="9" fontId="3" fillId="3" borderId="0" xfId="0" applyNumberFormat="1" applyFont="1" applyFill="1" applyBorder="1" applyAlignment="1">
      <alignment horizontal="right" wrapText="1"/>
    </xf>
    <xf numFmtId="9" fontId="5" fillId="6" borderId="0" xfId="0" applyNumberFormat="1" applyFont="1" applyFill="1" applyBorder="1" applyAlignment="1">
      <alignment horizontal="right" wrapText="1"/>
    </xf>
    <xf numFmtId="9" fontId="3" fillId="3" borderId="0" xfId="0" applyNumberFormat="1" applyFont="1" applyFill="1" applyBorder="1" applyAlignment="1">
      <alignment horizontal="center" vertical="center" wrapText="1"/>
    </xf>
    <xf numFmtId="9" fontId="3" fillId="6" borderId="0" xfId="0" applyNumberFormat="1" applyFont="1" applyFill="1" applyBorder="1" applyAlignment="1">
      <alignment horizontal="center" vertical="center" wrapText="1"/>
    </xf>
    <xf numFmtId="0" fontId="3" fillId="3" borderId="0" xfId="0" applyFont="1" applyFill="1" applyBorder="1" applyAlignment="1">
      <alignment horizontal="center" vertical="center"/>
    </xf>
    <xf numFmtId="3" fontId="3" fillId="6" borderId="0" xfId="0" applyNumberFormat="1" applyFont="1" applyFill="1" applyBorder="1" applyAlignment="1">
      <alignment horizontal="center" vertical="center"/>
    </xf>
    <xf numFmtId="0" fontId="3" fillId="3" borderId="4" xfId="0" applyFont="1" applyFill="1" applyBorder="1" applyAlignment="1">
      <alignment horizontal="center" vertical="center"/>
    </xf>
    <xf numFmtId="3" fontId="3" fillId="6" borderId="4" xfId="0" applyNumberFormat="1" applyFont="1" applyFill="1" applyBorder="1" applyAlignment="1">
      <alignment horizontal="center" vertical="center"/>
    </xf>
    <xf numFmtId="189" fontId="5" fillId="6" borderId="9" xfId="0" applyNumberFormat="1" applyFont="1" applyFill="1" applyBorder="1" applyAlignment="1">
      <alignment horizontal="right"/>
    </xf>
    <xf numFmtId="189" fontId="5" fillId="6" borderId="6" xfId="0" applyNumberFormat="1" applyFont="1" applyFill="1" applyBorder="1" applyAlignment="1">
      <alignment horizontal="right"/>
    </xf>
    <xf numFmtId="3" fontId="3" fillId="7" borderId="7" xfId="0" applyNumberFormat="1" applyFont="1" applyFill="1" applyBorder="1" applyAlignment="1">
      <alignment horizontal="right" vertical="top"/>
    </xf>
    <xf numFmtId="3" fontId="3" fillId="7" borderId="0" xfId="0" applyNumberFormat="1" applyFont="1" applyFill="1" applyBorder="1" applyAlignment="1">
      <alignment horizontal="right" vertical="top"/>
    </xf>
    <xf numFmtId="0" fontId="3" fillId="3" borderId="0" xfId="0" applyFont="1" applyFill="1" applyBorder="1" applyAlignment="1">
      <alignment horizontal="right" vertical="top"/>
    </xf>
    <xf numFmtId="3" fontId="3" fillId="6" borderId="0" xfId="0" applyNumberFormat="1" applyFont="1" applyFill="1" applyBorder="1" applyAlignment="1">
      <alignment horizontal="right" vertical="top"/>
    </xf>
    <xf numFmtId="188" fontId="3" fillId="6" borderId="9" xfId="0" applyNumberFormat="1" applyFont="1" applyFill="1" applyBorder="1" applyAlignment="1">
      <alignment horizontal="right"/>
    </xf>
    <xf numFmtId="188" fontId="3" fillId="6" borderId="6" xfId="0" applyNumberFormat="1" applyFont="1" applyFill="1" applyBorder="1" applyAlignment="1">
      <alignment horizontal="right"/>
    </xf>
    <xf numFmtId="188" fontId="5" fillId="6" borderId="0" xfId="0" applyNumberFormat="1" applyFont="1" applyFill="1" applyBorder="1" applyAlignment="1">
      <alignment horizontal="right" vertical="center"/>
    </xf>
    <xf numFmtId="188" fontId="4" fillId="0" borderId="0" xfId="0" applyNumberFormat="1" applyFont="1"/>
    <xf numFmtId="188" fontId="0" fillId="0" borderId="0" xfId="0" applyNumberFormat="1" applyFont="1"/>
    <xf numFmtId="0" fontId="32" fillId="0" borderId="0" xfId="5" applyFont="1"/>
    <xf numFmtId="0" fontId="18" fillId="0" borderId="0" xfId="5" applyFont="1" applyAlignment="1">
      <alignment horizontal="center"/>
    </xf>
    <xf numFmtId="0" fontId="23" fillId="0" borderId="0" xfId="5" applyFont="1" applyAlignment="1">
      <alignment horizontal="center"/>
    </xf>
    <xf numFmtId="0" fontId="23" fillId="0" borderId="0" xfId="5" applyFont="1"/>
    <xf numFmtId="0" fontId="71" fillId="0" borderId="0" xfId="5" applyFont="1"/>
    <xf numFmtId="0" fontId="72" fillId="0" borderId="0" xfId="5" applyFont="1" applyAlignment="1">
      <alignment horizontal="center"/>
    </xf>
    <xf numFmtId="0" fontId="4" fillId="10" borderId="0" xfId="5" applyFont="1" applyFill="1"/>
    <xf numFmtId="0" fontId="26" fillId="10" borderId="0" xfId="5" applyFont="1" applyFill="1"/>
    <xf numFmtId="0" fontId="38" fillId="10" borderId="0" xfId="5" applyFont="1" applyFill="1" applyAlignment="1">
      <alignment horizontal="center" wrapText="1"/>
    </xf>
    <xf numFmtId="0" fontId="8" fillId="0" borderId="0" xfId="5" applyFont="1"/>
    <xf numFmtId="3" fontId="18" fillId="0" borderId="0" xfId="5" applyNumberFormat="1" applyFont="1" applyAlignment="1">
      <alignment horizontal="right"/>
    </xf>
    <xf numFmtId="3" fontId="18" fillId="0" borderId="0" xfId="5" applyNumberFormat="1" applyFont="1"/>
    <xf numFmtId="3" fontId="54" fillId="0" borderId="0" xfId="5" applyNumberFormat="1" applyFont="1" applyAlignment="1">
      <alignment horizontal="right"/>
    </xf>
    <xf numFmtId="10" fontId="18" fillId="0" borderId="0" xfId="5" applyNumberFormat="1" applyFont="1" applyAlignment="1">
      <alignment horizontal="center"/>
    </xf>
    <xf numFmtId="0" fontId="73" fillId="0" borderId="0" xfId="5" applyFont="1"/>
    <xf numFmtId="3" fontId="54" fillId="0" borderId="0" xfId="5" applyNumberFormat="1" applyFont="1"/>
    <xf numFmtId="10" fontId="54" fillId="0" borderId="0" xfId="5" applyNumberFormat="1" applyFont="1" applyAlignment="1">
      <alignment horizontal="center"/>
    </xf>
    <xf numFmtId="10" fontId="54" fillId="0" borderId="0" xfId="5" applyNumberFormat="1" applyFont="1" applyAlignment="1">
      <alignment horizontal="right"/>
    </xf>
    <xf numFmtId="10" fontId="54" fillId="0" borderId="0" xfId="5" applyNumberFormat="1" applyFont="1"/>
    <xf numFmtId="0" fontId="4" fillId="0" borderId="0" xfId="5" applyAlignment="1">
      <alignment horizontal="right"/>
    </xf>
    <xf numFmtId="3" fontId="54" fillId="0" borderId="0" xfId="5" applyNumberFormat="1" applyFont="1" applyFill="1" applyAlignment="1">
      <alignment horizontal="right"/>
    </xf>
    <xf numFmtId="3" fontId="18" fillId="0" borderId="0" xfId="5" applyNumberFormat="1" applyFont="1" applyFill="1" applyAlignment="1">
      <alignment horizontal="right"/>
    </xf>
    <xf numFmtId="3" fontId="18" fillId="0" borderId="0" xfId="5" applyNumberFormat="1" applyFont="1" applyFill="1"/>
    <xf numFmtId="10" fontId="18" fillId="0" borderId="0" xfId="5" applyNumberFormat="1" applyFont="1"/>
    <xf numFmtId="3" fontId="54" fillId="0" borderId="0" xfId="5" applyNumberFormat="1" applyFont="1" applyFill="1"/>
    <xf numFmtId="10" fontId="54" fillId="0" borderId="0" xfId="5" applyNumberFormat="1" applyFont="1" applyFill="1"/>
    <xf numFmtId="0" fontId="23" fillId="0" borderId="0" xfId="5" quotePrefix="1" applyFont="1"/>
    <xf numFmtId="0" fontId="75" fillId="0" borderId="0" xfId="5" applyFont="1" applyAlignment="1">
      <alignment horizontal="center"/>
    </xf>
    <xf numFmtId="0" fontId="23" fillId="0" borderId="0" xfId="5" applyFont="1" applyAlignment="1">
      <alignment vertical="center"/>
    </xf>
    <xf numFmtId="0" fontId="34" fillId="0" borderId="20" xfId="5" applyFont="1" applyBorder="1"/>
    <xf numFmtId="0" fontId="4" fillId="0" borderId="21" xfId="5" applyFont="1" applyBorder="1"/>
    <xf numFmtId="0" fontId="4" fillId="0" borderId="3" xfId="5" applyFont="1" applyBorder="1"/>
    <xf numFmtId="0" fontId="4" fillId="0" borderId="21" xfId="5" applyBorder="1"/>
    <xf numFmtId="0" fontId="4" fillId="0" borderId="16" xfId="5" applyFont="1" applyBorder="1" applyAlignment="1">
      <alignment horizontal="center"/>
    </xf>
    <xf numFmtId="0" fontId="34" fillId="0" borderId="2" xfId="5" applyFont="1" applyBorder="1"/>
    <xf numFmtId="0" fontId="4" fillId="0" borderId="0" xfId="5" applyFont="1" applyBorder="1" applyAlignment="1">
      <alignment horizontal="center"/>
    </xf>
    <xf numFmtId="0" fontId="4" fillId="0" borderId="0" xfId="5" applyFont="1" applyBorder="1"/>
    <xf numFmtId="0" fontId="4" fillId="0" borderId="15" xfId="5" applyBorder="1"/>
    <xf numFmtId="0" fontId="33" fillId="0" borderId="22" xfId="5" applyFont="1" applyBorder="1"/>
    <xf numFmtId="0" fontId="8" fillId="0" borderId="4" xfId="5" applyFont="1" applyBorder="1"/>
    <xf numFmtId="0" fontId="4" fillId="0" borderId="19" xfId="5" applyBorder="1"/>
    <xf numFmtId="0" fontId="8" fillId="0" borderId="16" xfId="5" applyFont="1" applyBorder="1" applyAlignment="1">
      <alignment horizontal="center"/>
    </xf>
    <xf numFmtId="0" fontId="23" fillId="0" borderId="6" xfId="5" applyFont="1" applyFill="1" applyBorder="1" applyAlignment="1"/>
    <xf numFmtId="190" fontId="109" fillId="3" borderId="8" xfId="0" applyNumberFormat="1" applyFont="1" applyFill="1" applyBorder="1" applyAlignment="1">
      <alignment horizontal="center" vertical="center"/>
    </xf>
    <xf numFmtId="0" fontId="3" fillId="3" borderId="3" xfId="0" applyFont="1" applyFill="1" applyBorder="1"/>
    <xf numFmtId="0" fontId="3" fillId="3" borderId="0" xfId="0" applyFont="1" applyFill="1" applyBorder="1"/>
    <xf numFmtId="0" fontId="3" fillId="3" borderId="4" xfId="0" applyFont="1" applyFill="1" applyBorder="1"/>
    <xf numFmtId="3" fontId="3" fillId="6" borderId="4" xfId="0" applyNumberFormat="1" applyFont="1" applyFill="1" applyBorder="1" applyAlignment="1">
      <alignment horizontal="right"/>
    </xf>
    <xf numFmtId="3" fontId="3" fillId="3" borderId="4" xfId="0" applyNumberFormat="1" applyFont="1" applyFill="1" applyBorder="1" applyAlignment="1">
      <alignment horizontal="right"/>
    </xf>
    <xf numFmtId="0" fontId="3" fillId="3" borderId="5" xfId="0" applyFont="1" applyFill="1" applyBorder="1"/>
    <xf numFmtId="0" fontId="3" fillId="3" borderId="6" xfId="0" applyFont="1" applyFill="1" applyBorder="1"/>
    <xf numFmtId="0" fontId="3" fillId="3" borderId="0" xfId="0" applyFont="1" applyFill="1" applyBorder="1" applyAlignment="1">
      <alignment vertical="center"/>
    </xf>
    <xf numFmtId="189" fontId="3" fillId="6" borderId="0" xfId="0" applyNumberFormat="1" applyFont="1" applyFill="1" applyBorder="1" applyAlignment="1">
      <alignment horizontal="right" vertical="center"/>
    </xf>
    <xf numFmtId="189" fontId="3" fillId="3" borderId="0" xfId="0" applyNumberFormat="1" applyFont="1" applyFill="1" applyBorder="1" applyAlignment="1">
      <alignment horizontal="right" vertical="center"/>
    </xf>
    <xf numFmtId="190" fontId="3" fillId="3" borderId="5" xfId="0" applyNumberFormat="1" applyFont="1" applyFill="1" applyBorder="1" applyAlignment="1">
      <alignment horizontal="center" vertical="center"/>
    </xf>
    <xf numFmtId="0" fontId="4" fillId="7" borderId="0" xfId="0" applyFont="1" applyFill="1" applyBorder="1" applyAlignment="1" applyProtection="1">
      <alignment vertical="center"/>
    </xf>
    <xf numFmtId="0" fontId="22" fillId="0" borderId="0" xfId="6" applyFont="1"/>
    <xf numFmtId="0" fontId="76" fillId="0" borderId="0" xfId="6"/>
    <xf numFmtId="0" fontId="2" fillId="0" borderId="0" xfId="6" applyFont="1"/>
    <xf numFmtId="2" fontId="18" fillId="0" borderId="0" xfId="6" applyNumberFormat="1" applyFont="1"/>
    <xf numFmtId="0" fontId="18" fillId="0" borderId="0" xfId="6" applyFont="1" applyAlignment="1"/>
    <xf numFmtId="0" fontId="18" fillId="0" borderId="0" xfId="6" applyFont="1"/>
    <xf numFmtId="0" fontId="23" fillId="0" borderId="0" xfId="6" applyFont="1"/>
    <xf numFmtId="0" fontId="4" fillId="0" borderId="0" xfId="0" applyFont="1" applyBorder="1" applyAlignment="1"/>
    <xf numFmtId="0" fontId="5" fillId="3" borderId="8" xfId="0" applyFont="1" applyFill="1" applyBorder="1" applyAlignment="1">
      <alignment horizontal="left" vertical="center"/>
    </xf>
    <xf numFmtId="0" fontId="4" fillId="0" borderId="0" xfId="0" applyNumberFormat="1" applyFont="1" applyBorder="1"/>
    <xf numFmtId="0" fontId="2" fillId="7" borderId="0" xfId="0" applyFont="1" applyFill="1" applyAlignment="1">
      <alignment horizontal="center"/>
    </xf>
    <xf numFmtId="0" fontId="2" fillId="0" borderId="4" xfId="0" applyFont="1" applyBorder="1"/>
    <xf numFmtId="0" fontId="5" fillId="6" borderId="3" xfId="0" applyFont="1" applyFill="1" applyBorder="1" applyAlignment="1">
      <alignment horizontal="left" vertical="center"/>
    </xf>
    <xf numFmtId="0" fontId="5" fillId="6" borderId="23" xfId="0" applyFont="1" applyFill="1" applyBorder="1" applyAlignment="1" applyProtection="1">
      <alignment vertical="center"/>
    </xf>
    <xf numFmtId="0" fontId="3" fillId="6" borderId="23" xfId="0" applyFont="1" applyFill="1" applyBorder="1" applyProtection="1"/>
    <xf numFmtId="0" fontId="3" fillId="6" borderId="23" xfId="0" applyFont="1" applyFill="1" applyBorder="1" applyAlignment="1" applyProtection="1">
      <alignment horizontal="center"/>
    </xf>
    <xf numFmtId="0" fontId="5" fillId="3" borderId="0" xfId="0" applyFont="1" applyFill="1" applyBorder="1" applyAlignment="1">
      <alignment horizontal="center" vertical="center" wrapText="1"/>
    </xf>
    <xf numFmtId="0" fontId="5" fillId="6" borderId="23" xfId="0" applyFont="1" applyFill="1" applyBorder="1" applyAlignment="1">
      <alignment horizontal="left" vertical="center"/>
    </xf>
    <xf numFmtId="0" fontId="3" fillId="6" borderId="24" xfId="0" applyFont="1" applyFill="1" applyBorder="1" applyProtection="1"/>
    <xf numFmtId="0" fontId="3" fillId="3" borderId="3" xfId="0" applyFont="1" applyFill="1" applyBorder="1" applyProtection="1"/>
    <xf numFmtId="0" fontId="8" fillId="6" borderId="0"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43" fillId="3" borderId="0" xfId="0" applyFont="1" applyFill="1" applyBorder="1" applyAlignment="1">
      <alignment horizontal="center" vertical="center" wrapText="1"/>
    </xf>
    <xf numFmtId="0" fontId="43" fillId="6" borderId="0" xfId="0" applyFont="1" applyFill="1" applyBorder="1" applyAlignment="1">
      <alignment horizontal="center" vertical="center" wrapText="1"/>
    </xf>
    <xf numFmtId="0" fontId="5" fillId="3" borderId="0" xfId="0" applyFont="1" applyFill="1" applyBorder="1" applyAlignment="1" applyProtection="1">
      <alignment horizontal="center" vertical="center"/>
    </xf>
    <xf numFmtId="0" fontId="5" fillId="3" borderId="4" xfId="0" applyFont="1" applyFill="1" applyBorder="1" applyAlignment="1">
      <alignment horizontal="center" vertical="top"/>
    </xf>
    <xf numFmtId="0" fontId="5" fillId="6" borderId="4" xfId="0" applyFont="1" applyFill="1" applyBorder="1" applyAlignment="1">
      <alignment horizontal="center" vertical="top"/>
    </xf>
    <xf numFmtId="0" fontId="3" fillId="6" borderId="5" xfId="0" applyFont="1" applyFill="1" applyBorder="1" applyAlignment="1">
      <alignment horizontal="left"/>
    </xf>
    <xf numFmtId="190" fontId="5" fillId="3" borderId="5" xfId="0" applyNumberFormat="1" applyFont="1" applyFill="1" applyBorder="1" applyAlignment="1">
      <alignment horizontal="right"/>
    </xf>
    <xf numFmtId="190" fontId="5" fillId="6" borderId="5" xfId="0" applyNumberFormat="1" applyFont="1" applyFill="1" applyBorder="1" applyAlignment="1">
      <alignment horizontal="right"/>
    </xf>
    <xf numFmtId="190" fontId="43" fillId="3" borderId="5" xfId="0" applyNumberFormat="1" applyFont="1" applyFill="1" applyBorder="1" applyAlignment="1">
      <alignment horizontal="right"/>
    </xf>
    <xf numFmtId="190" fontId="43" fillId="6" borderId="5" xfId="0" applyNumberFormat="1" applyFont="1" applyFill="1" applyBorder="1" applyAlignment="1">
      <alignment horizontal="right"/>
    </xf>
    <xf numFmtId="0" fontId="5" fillId="6" borderId="8" xfId="0" applyFont="1" applyFill="1" applyBorder="1" applyAlignment="1">
      <alignment horizontal="left" vertical="center"/>
    </xf>
    <xf numFmtId="190" fontId="3" fillId="6" borderId="5" xfId="0" applyNumberFormat="1" applyFont="1" applyFill="1" applyBorder="1" applyAlignment="1">
      <alignment horizontal="right" vertical="center"/>
    </xf>
    <xf numFmtId="190" fontId="3" fillId="3" borderId="5" xfId="0" applyNumberFormat="1" applyFont="1" applyFill="1" applyBorder="1" applyAlignment="1">
      <alignment horizontal="right" vertical="center"/>
    </xf>
    <xf numFmtId="190" fontId="5" fillId="6" borderId="5" xfId="0" applyNumberFormat="1" applyFont="1" applyFill="1" applyBorder="1" applyAlignment="1">
      <alignment horizontal="right" vertical="center"/>
    </xf>
    <xf numFmtId="190" fontId="5" fillId="3" borderId="8" xfId="0" applyNumberFormat="1" applyFont="1" applyFill="1" applyBorder="1" applyAlignment="1">
      <alignment horizontal="right" vertical="center"/>
    </xf>
    <xf numFmtId="190" fontId="5" fillId="6" borderId="8" xfId="0" applyNumberFormat="1" applyFont="1" applyFill="1" applyBorder="1" applyAlignment="1">
      <alignment horizontal="right" vertical="center"/>
    </xf>
    <xf numFmtId="190" fontId="43" fillId="3" borderId="8" xfId="0" applyNumberFormat="1" applyFont="1" applyFill="1" applyBorder="1" applyAlignment="1">
      <alignment horizontal="right" vertical="center"/>
    </xf>
    <xf numFmtId="190" fontId="43" fillId="6" borderId="8" xfId="0" applyNumberFormat="1" applyFont="1" applyFill="1" applyBorder="1" applyAlignment="1">
      <alignment horizontal="right" vertical="center"/>
    </xf>
    <xf numFmtId="0" fontId="8" fillId="7" borderId="7" xfId="0" applyFont="1" applyFill="1" applyBorder="1"/>
    <xf numFmtId="0" fontId="8" fillId="7" borderId="7" xfId="0" applyFont="1" applyFill="1" applyBorder="1" applyAlignment="1">
      <alignment horizontal="center"/>
    </xf>
    <xf numFmtId="0" fontId="8" fillId="7" borderId="0" xfId="0" applyFont="1" applyFill="1" applyBorder="1"/>
    <xf numFmtId="0" fontId="8" fillId="7" borderId="0" xfId="0" applyFont="1" applyFill="1" applyBorder="1" applyAlignment="1">
      <alignment horizontal="center"/>
    </xf>
    <xf numFmtId="0" fontId="8" fillId="7" borderId="0" xfId="0" applyFont="1" applyFill="1" applyAlignment="1">
      <alignment horizontal="center"/>
    </xf>
    <xf numFmtId="0" fontId="8" fillId="0" borderId="0" xfId="0" applyFont="1" applyFill="1" applyAlignment="1">
      <alignment horizontal="center"/>
    </xf>
    <xf numFmtId="0" fontId="4" fillId="0" borderId="0" xfId="0" applyFont="1" applyFill="1" applyBorder="1" applyAlignment="1">
      <alignment horizontal="center"/>
    </xf>
    <xf numFmtId="0" fontId="3" fillId="6" borderId="0" xfId="0" quotePrefix="1" applyFont="1" applyFill="1" applyBorder="1" applyAlignment="1">
      <alignment horizontal="right"/>
    </xf>
    <xf numFmtId="0" fontId="4" fillId="8" borderId="0" xfId="0" applyFont="1" applyFill="1" applyBorder="1" applyAlignment="1">
      <alignment horizontal="right"/>
    </xf>
    <xf numFmtId="0" fontId="18" fillId="0" borderId="0" xfId="0" applyFont="1" applyFill="1" applyBorder="1" applyAlignment="1">
      <alignment horizontal="center"/>
    </xf>
    <xf numFmtId="190" fontId="3" fillId="9" borderId="9" xfId="0" applyNumberFormat="1" applyFont="1" applyFill="1" applyBorder="1" applyAlignment="1">
      <alignment horizontal="right"/>
    </xf>
    <xf numFmtId="190" fontId="3" fillId="8" borderId="9" xfId="0" quotePrefix="1" applyNumberFormat="1" applyFont="1" applyFill="1" applyBorder="1" applyAlignment="1">
      <alignment horizontal="right"/>
    </xf>
    <xf numFmtId="3" fontId="3" fillId="8" borderId="9" xfId="0" quotePrefix="1" applyNumberFormat="1" applyFont="1" applyFill="1" applyBorder="1" applyAlignment="1">
      <alignment horizontal="right"/>
    </xf>
    <xf numFmtId="190" fontId="3" fillId="9" borderId="6" xfId="0" applyNumberFormat="1" applyFont="1" applyFill="1" applyBorder="1" applyAlignment="1">
      <alignment horizontal="right"/>
    </xf>
    <xf numFmtId="190" fontId="3" fillId="8" borderId="6" xfId="0" quotePrefix="1" applyNumberFormat="1" applyFont="1" applyFill="1" applyBorder="1" applyAlignment="1">
      <alignment horizontal="right"/>
    </xf>
    <xf numFmtId="3" fontId="3" fillId="8" borderId="6" xfId="0" quotePrefix="1" applyNumberFormat="1" applyFont="1" applyFill="1" applyBorder="1" applyAlignment="1">
      <alignment horizontal="right"/>
    </xf>
    <xf numFmtId="190" fontId="5" fillId="9" borderId="0" xfId="0" applyNumberFormat="1" applyFont="1" applyFill="1" applyBorder="1" applyAlignment="1">
      <alignment horizontal="right" vertical="center"/>
    </xf>
    <xf numFmtId="190" fontId="5" fillId="8" borderId="0" xfId="0" quotePrefix="1" applyNumberFormat="1" applyFont="1" applyFill="1" applyBorder="1" applyAlignment="1">
      <alignment horizontal="right" vertical="center"/>
    </xf>
    <xf numFmtId="3" fontId="5" fillId="8" borderId="6" xfId="0" quotePrefix="1" applyNumberFormat="1" applyFont="1" applyFill="1" applyBorder="1" applyAlignment="1">
      <alignment horizontal="right" vertical="center"/>
    </xf>
    <xf numFmtId="3" fontId="3" fillId="3" borderId="0" xfId="0" applyNumberFormat="1" applyFont="1" applyFill="1" applyBorder="1" applyAlignment="1">
      <alignment horizontal="right" vertical="top"/>
    </xf>
    <xf numFmtId="189" fontId="3" fillId="6" borderId="5" xfId="0" applyNumberFormat="1" applyFont="1" applyFill="1" applyBorder="1" applyAlignment="1">
      <alignment horizontal="right"/>
    </xf>
    <xf numFmtId="0" fontId="1" fillId="0" borderId="0" xfId="0" applyFont="1" applyAlignment="1"/>
    <xf numFmtId="0" fontId="4" fillId="0" borderId="0" xfId="0" applyFont="1" applyBorder="1" applyAlignment="1">
      <alignment vertical="top"/>
    </xf>
    <xf numFmtId="189" fontId="5" fillId="12" borderId="0" xfId="0" applyNumberFormat="1" applyFont="1" applyFill="1" applyBorder="1" applyAlignment="1">
      <alignment horizontal="right" vertical="center"/>
    </xf>
    <xf numFmtId="3" fontId="43" fillId="6" borderId="8" xfId="0" applyNumberFormat="1" applyFont="1" applyFill="1" applyBorder="1" applyAlignment="1">
      <alignment horizontal="right" vertical="center"/>
    </xf>
    <xf numFmtId="3" fontId="3" fillId="3" borderId="5" xfId="0" applyNumberFormat="1" applyFont="1" applyFill="1" applyBorder="1" applyAlignment="1">
      <alignment horizontal="right" vertical="center"/>
    </xf>
    <xf numFmtId="3" fontId="3" fillId="6" borderId="5" xfId="0" applyNumberFormat="1" applyFont="1" applyFill="1" applyBorder="1" applyAlignment="1">
      <alignment horizontal="right" vertical="center"/>
    </xf>
    <xf numFmtId="189" fontId="3" fillId="12" borderId="0" xfId="0" applyNumberFormat="1" applyFont="1" applyFill="1" applyBorder="1" applyAlignment="1">
      <alignment horizontal="right"/>
    </xf>
    <xf numFmtId="3" fontId="3" fillId="0" borderId="0" xfId="0" applyNumberFormat="1" applyFont="1" applyFill="1" applyBorder="1" applyAlignment="1">
      <alignment horizontal="right"/>
    </xf>
    <xf numFmtId="3" fontId="3" fillId="6" borderId="50" xfId="0" applyNumberFormat="1" applyFont="1" applyFill="1" applyBorder="1" applyAlignment="1">
      <alignment horizontal="right"/>
    </xf>
    <xf numFmtId="3" fontId="3" fillId="3" borderId="50" xfId="0" applyNumberFormat="1" applyFont="1" applyFill="1" applyBorder="1" applyAlignment="1">
      <alignment horizontal="right"/>
    </xf>
    <xf numFmtId="190" fontId="3" fillId="3" borderId="50" xfId="0" applyNumberFormat="1" applyFont="1" applyFill="1" applyBorder="1" applyAlignment="1">
      <alignment horizontal="right"/>
    </xf>
    <xf numFmtId="3" fontId="3" fillId="6" borderId="50" xfId="0" applyNumberFormat="1" applyFont="1" applyFill="1" applyBorder="1"/>
    <xf numFmtId="3" fontId="3" fillId="3" borderId="50" xfId="0" applyNumberFormat="1" applyFont="1" applyFill="1" applyBorder="1"/>
    <xf numFmtId="3" fontId="3" fillId="12" borderId="0" xfId="0" applyNumberFormat="1" applyFont="1" applyFill="1" applyBorder="1" applyAlignment="1">
      <alignment horizontal="right" vertical="top"/>
    </xf>
    <xf numFmtId="3" fontId="3" fillId="3" borderId="4" xfId="0" applyNumberFormat="1" applyFont="1" applyFill="1" applyBorder="1" applyAlignment="1">
      <alignment horizontal="right" vertical="center"/>
    </xf>
    <xf numFmtId="0" fontId="3" fillId="12" borderId="0" xfId="0" applyFont="1" applyFill="1" applyBorder="1" applyAlignment="1">
      <alignment horizontal="right"/>
    </xf>
    <xf numFmtId="0" fontId="0" fillId="12" borderId="0" xfId="0" applyFill="1" applyBorder="1" applyAlignment="1">
      <alignment horizontal="right"/>
    </xf>
    <xf numFmtId="0" fontId="2" fillId="12" borderId="0" xfId="0" applyFont="1" applyFill="1" applyBorder="1" applyAlignment="1">
      <alignment horizontal="right" vertical="top"/>
    </xf>
    <xf numFmtId="190" fontId="43" fillId="3" borderId="9" xfId="0" applyNumberFormat="1" applyFont="1" applyFill="1" applyBorder="1"/>
    <xf numFmtId="189" fontId="43" fillId="6" borderId="5" xfId="0" applyNumberFormat="1" applyFont="1" applyFill="1" applyBorder="1" applyAlignment="1">
      <alignment horizontal="right"/>
    </xf>
    <xf numFmtId="189" fontId="3" fillId="0" borderId="0" xfId="0" applyNumberFormat="1" applyFont="1"/>
    <xf numFmtId="10" fontId="4" fillId="0" borderId="0" xfId="0" applyNumberFormat="1" applyFont="1"/>
    <xf numFmtId="0" fontId="3" fillId="3" borderId="21" xfId="0" applyFont="1" applyFill="1" applyBorder="1" applyAlignment="1">
      <alignment horizontal="left"/>
    </xf>
    <xf numFmtId="0" fontId="3" fillId="6" borderId="20" xfId="0" applyFont="1" applyFill="1" applyBorder="1" applyAlignment="1"/>
    <xf numFmtId="0" fontId="0" fillId="3" borderId="3" xfId="0" applyFill="1" applyBorder="1" applyAlignment="1"/>
    <xf numFmtId="0" fontId="0" fillId="6" borderId="3" xfId="0" applyFill="1" applyBorder="1" applyAlignment="1"/>
    <xf numFmtId="0" fontId="5" fillId="3" borderId="3" xfId="0" applyFont="1" applyFill="1" applyBorder="1" applyAlignment="1"/>
    <xf numFmtId="0" fontId="3" fillId="6" borderId="3" xfId="0" applyFont="1" applyFill="1" applyBorder="1" applyAlignment="1"/>
    <xf numFmtId="0" fontId="3" fillId="3" borderId="3" xfId="0" applyFont="1" applyFill="1" applyBorder="1" applyAlignment="1"/>
    <xf numFmtId="0" fontId="3" fillId="6" borderId="21" xfId="0" applyFont="1" applyFill="1" applyBorder="1" applyAlignment="1"/>
    <xf numFmtId="3" fontId="5" fillId="3" borderId="0" xfId="0" applyNumberFormat="1" applyFont="1" applyFill="1" applyBorder="1" applyAlignment="1"/>
    <xf numFmtId="0" fontId="3" fillId="6" borderId="0" xfId="0" applyFont="1" applyFill="1" applyAlignment="1">
      <alignment horizontal="center"/>
    </xf>
    <xf numFmtId="0" fontId="3" fillId="3" borderId="15" xfId="0" applyFont="1" applyFill="1" applyBorder="1" applyAlignment="1">
      <alignment horizontal="left"/>
    </xf>
    <xf numFmtId="0" fontId="3" fillId="6" borderId="0" xfId="0" applyFont="1" applyFill="1" applyBorder="1" applyAlignment="1"/>
    <xf numFmtId="0" fontId="3" fillId="3" borderId="0" xfId="0" applyFont="1" applyFill="1" applyBorder="1" applyAlignment="1"/>
    <xf numFmtId="3" fontId="3" fillId="6" borderId="0" xfId="0" applyNumberFormat="1" applyFont="1" applyFill="1" applyBorder="1" applyAlignment="1"/>
    <xf numFmtId="3" fontId="3" fillId="3" borderId="0" xfId="0" applyNumberFormat="1" applyFont="1" applyFill="1" applyBorder="1" applyAlignment="1"/>
    <xf numFmtId="0" fontId="3" fillId="6" borderId="15" xfId="0" applyFont="1" applyFill="1" applyBorder="1" applyAlignment="1"/>
    <xf numFmtId="0" fontId="31" fillId="3" borderId="0" xfId="0" applyFont="1" applyFill="1" applyBorder="1" applyAlignment="1"/>
    <xf numFmtId="0" fontId="31" fillId="6" borderId="0" xfId="0" applyFont="1" applyFill="1" applyBorder="1" applyAlignment="1"/>
    <xf numFmtId="0" fontId="3" fillId="6" borderId="19" xfId="0" applyFont="1" applyFill="1" applyBorder="1" applyAlignment="1"/>
    <xf numFmtId="0" fontId="5" fillId="3" borderId="0" xfId="0" applyFont="1" applyFill="1" applyBorder="1" applyAlignment="1"/>
    <xf numFmtId="0" fontId="3" fillId="6" borderId="20" xfId="0" applyFont="1" applyFill="1" applyBorder="1" applyAlignment="1">
      <alignment horizontal="center"/>
    </xf>
    <xf numFmtId="0" fontId="31" fillId="3" borderId="25" xfId="0" applyFont="1" applyFill="1" applyBorder="1" applyAlignment="1">
      <alignment horizontal="center"/>
    </xf>
    <xf numFmtId="0" fontId="3" fillId="6" borderId="25" xfId="0" applyFont="1" applyFill="1" applyBorder="1" applyAlignment="1">
      <alignment horizontal="center"/>
    </xf>
    <xf numFmtId="0" fontId="3" fillId="6" borderId="2" xfId="0" applyFont="1" applyFill="1" applyBorder="1" applyAlignment="1">
      <alignment horizontal="center"/>
    </xf>
    <xf numFmtId="3" fontId="3" fillId="3" borderId="26" xfId="0" applyNumberFormat="1" applyFont="1" applyFill="1" applyBorder="1" applyAlignment="1">
      <alignment horizontal="center"/>
    </xf>
    <xf numFmtId="0" fontId="3" fillId="6" borderId="26" xfId="0" applyFont="1" applyFill="1" applyBorder="1" applyAlignment="1">
      <alignment horizontal="center"/>
    </xf>
    <xf numFmtId="0" fontId="3" fillId="3" borderId="26" xfId="0" applyFont="1" applyFill="1" applyBorder="1" applyAlignment="1">
      <alignment horizontal="center" vertical="top"/>
    </xf>
    <xf numFmtId="0" fontId="3" fillId="3" borderId="26" xfId="0" applyFont="1" applyFill="1" applyBorder="1" applyAlignment="1">
      <alignment horizontal="center"/>
    </xf>
    <xf numFmtId="0" fontId="3" fillId="6" borderId="22" xfId="0" applyFont="1" applyFill="1" applyBorder="1" applyAlignment="1">
      <alignment vertical="top"/>
    </xf>
    <xf numFmtId="0" fontId="3" fillId="3" borderId="18" xfId="0" applyFont="1" applyFill="1" applyBorder="1" applyAlignment="1">
      <alignment horizontal="center" vertical="top"/>
    </xf>
    <xf numFmtId="0" fontId="3" fillId="3" borderId="18" xfId="0" applyFont="1" applyFill="1" applyBorder="1" applyAlignment="1">
      <alignment vertical="top"/>
    </xf>
    <xf numFmtId="0" fontId="3" fillId="6" borderId="18" xfId="0" applyFont="1" applyFill="1" applyBorder="1" applyAlignment="1">
      <alignment horizontal="center" vertical="top"/>
    </xf>
    <xf numFmtId="3" fontId="5" fillId="3" borderId="4" xfId="0" applyNumberFormat="1" applyFont="1" applyFill="1" applyBorder="1" applyAlignment="1">
      <alignment vertical="top"/>
    </xf>
    <xf numFmtId="3" fontId="5" fillId="3" borderId="9" xfId="0" applyNumberFormat="1" applyFont="1" applyFill="1" applyBorder="1" applyAlignment="1">
      <alignment horizontal="right"/>
    </xf>
    <xf numFmtId="3" fontId="5" fillId="3" borderId="27" xfId="0" applyNumberFormat="1" applyFont="1" applyFill="1" applyBorder="1" applyAlignment="1">
      <alignment vertical="center"/>
    </xf>
    <xf numFmtId="3" fontId="43" fillId="6" borderId="0" xfId="0" applyNumberFormat="1" applyFont="1" applyFill="1" applyBorder="1" applyAlignment="1">
      <alignment horizontal="right" vertical="center"/>
    </xf>
    <xf numFmtId="3" fontId="43" fillId="3" borderId="0" xfId="0" applyNumberFormat="1" applyFont="1" applyFill="1" applyBorder="1" applyAlignment="1">
      <alignment horizontal="right" vertical="center"/>
    </xf>
    <xf numFmtId="3" fontId="3" fillId="3" borderId="28" xfId="0" applyNumberFormat="1" applyFont="1" applyFill="1" applyBorder="1" applyAlignment="1">
      <alignment vertical="center" wrapText="1"/>
    </xf>
    <xf numFmtId="189" fontId="43" fillId="6" borderId="28" xfId="0" applyNumberFormat="1" applyFont="1" applyFill="1" applyBorder="1" applyAlignment="1">
      <alignment horizontal="right" vertical="center"/>
    </xf>
    <xf numFmtId="189" fontId="5" fillId="6" borderId="28" xfId="0" applyNumberFormat="1" applyFont="1" applyFill="1" applyBorder="1" applyAlignment="1">
      <alignment horizontal="right" vertical="center"/>
    </xf>
    <xf numFmtId="190" fontId="5" fillId="6" borderId="28" xfId="0" applyNumberFormat="1" applyFont="1" applyFill="1" applyBorder="1" applyAlignment="1">
      <alignment horizontal="center" vertical="center"/>
    </xf>
    <xf numFmtId="0" fontId="1" fillId="0" borderId="0" xfId="0" applyFont="1" applyFill="1" applyAlignment="1">
      <alignment horizontal="right"/>
    </xf>
    <xf numFmtId="0" fontId="1" fillId="0" borderId="0" xfId="0" applyFont="1" applyFill="1" applyAlignment="1">
      <alignment horizontal="left"/>
    </xf>
    <xf numFmtId="3" fontId="3" fillId="3" borderId="0" xfId="0" applyNumberFormat="1" applyFont="1" applyFill="1" applyBorder="1" applyAlignment="1">
      <alignment horizontal="right" vertical="center"/>
    </xf>
    <xf numFmtId="3" fontId="3" fillId="6" borderId="4" xfId="0" applyNumberFormat="1" applyFont="1" applyFill="1" applyBorder="1" applyAlignment="1">
      <alignment horizontal="right" vertical="center"/>
    </xf>
    <xf numFmtId="189" fontId="3" fillId="6" borderId="5" xfId="0" applyNumberFormat="1" applyFont="1" applyFill="1" applyBorder="1"/>
    <xf numFmtId="189" fontId="3" fillId="3" borderId="5" xfId="0" applyNumberFormat="1" applyFont="1" applyFill="1" applyBorder="1"/>
    <xf numFmtId="189" fontId="3" fillId="3" borderId="5" xfId="0" applyNumberFormat="1" applyFont="1" applyFill="1" applyBorder="1" applyAlignment="1">
      <alignment horizontal="right"/>
    </xf>
    <xf numFmtId="189" fontId="4" fillId="0" borderId="0" xfId="0" applyNumberFormat="1" applyFont="1"/>
    <xf numFmtId="189" fontId="43" fillId="6" borderId="5" xfId="0" applyNumberFormat="1" applyFont="1" applyFill="1" applyBorder="1" applyAlignment="1">
      <alignment vertical="center"/>
    </xf>
    <xf numFmtId="189" fontId="43" fillId="3" borderId="5" xfId="0" applyNumberFormat="1" applyFont="1" applyFill="1" applyBorder="1" applyAlignment="1">
      <alignment vertical="center"/>
    </xf>
    <xf numFmtId="189" fontId="3" fillId="3" borderId="5" xfId="0" applyNumberFormat="1" applyFont="1" applyFill="1" applyBorder="1" applyAlignment="1">
      <alignment horizontal="right" vertical="center"/>
    </xf>
    <xf numFmtId="189" fontId="5" fillId="6" borderId="5" xfId="0" applyNumberFormat="1" applyFont="1" applyFill="1" applyBorder="1" applyAlignment="1">
      <alignment horizontal="right" vertical="center"/>
    </xf>
    <xf numFmtId="189" fontId="43" fillId="6" borderId="5" xfId="0" applyNumberFormat="1" applyFont="1" applyFill="1" applyBorder="1" applyAlignment="1">
      <alignment horizontal="right" vertical="center"/>
    </xf>
    <xf numFmtId="189" fontId="43" fillId="3" borderId="8" xfId="0" applyNumberFormat="1" applyFont="1" applyFill="1" applyBorder="1" applyAlignment="1">
      <alignment horizontal="right" vertical="center"/>
    </xf>
    <xf numFmtId="0" fontId="43" fillId="6" borderId="3" xfId="0" applyFont="1" applyFill="1" applyBorder="1" applyAlignment="1">
      <alignment horizontal="center"/>
    </xf>
    <xf numFmtId="3" fontId="5" fillId="6" borderId="0" xfId="0" applyNumberFormat="1" applyFont="1" applyFill="1" applyBorder="1" applyAlignment="1">
      <alignment horizontal="right"/>
    </xf>
    <xf numFmtId="3" fontId="5" fillId="6" borderId="5" xfId="0" applyNumberFormat="1" applyFont="1" applyFill="1" applyBorder="1"/>
    <xf numFmtId="3" fontId="5" fillId="6" borderId="6" xfId="0" applyNumberFormat="1" applyFont="1" applyFill="1" applyBorder="1"/>
    <xf numFmtId="3" fontId="3" fillId="6" borderId="13" xfId="0" applyNumberFormat="1" applyFont="1" applyFill="1" applyBorder="1" applyAlignment="1">
      <alignment horizontal="center"/>
    </xf>
    <xf numFmtId="190" fontId="3" fillId="6" borderId="13" xfId="0" applyNumberFormat="1" applyFont="1" applyFill="1" applyBorder="1" applyAlignment="1">
      <alignment horizontal="center"/>
    </xf>
    <xf numFmtId="3" fontId="3" fillId="6" borderId="48" xfId="0" applyNumberFormat="1" applyFont="1" applyFill="1" applyBorder="1" applyAlignment="1">
      <alignment horizontal="center"/>
    </xf>
    <xf numFmtId="3" fontId="3" fillId="3" borderId="48" xfId="0" applyNumberFormat="1" applyFont="1" applyFill="1" applyBorder="1" applyAlignment="1">
      <alignment horizontal="center"/>
    </xf>
    <xf numFmtId="190" fontId="3" fillId="6" borderId="48" xfId="0" applyNumberFormat="1" applyFont="1" applyFill="1" applyBorder="1" applyAlignment="1">
      <alignment horizontal="center"/>
    </xf>
    <xf numFmtId="3" fontId="3" fillId="6" borderId="9" xfId="0" applyNumberFormat="1" applyFont="1" applyFill="1" applyBorder="1" applyAlignment="1">
      <alignment horizontal="center"/>
    </xf>
    <xf numFmtId="3" fontId="5" fillId="3" borderId="5" xfId="0" applyNumberFormat="1" applyFont="1" applyFill="1" applyBorder="1" applyAlignment="1">
      <alignment horizontal="center" vertical="center"/>
    </xf>
    <xf numFmtId="0" fontId="5" fillId="6" borderId="3" xfId="0" applyFont="1" applyFill="1" applyBorder="1" applyAlignment="1">
      <alignment horizontal="left"/>
    </xf>
    <xf numFmtId="0" fontId="5" fillId="6" borderId="3" xfId="0" applyFont="1" applyFill="1" applyBorder="1" applyAlignment="1">
      <alignment horizontal="center"/>
    </xf>
    <xf numFmtId="0" fontId="5" fillId="0" borderId="0" xfId="0" applyFont="1" applyFill="1" applyBorder="1" applyAlignment="1">
      <alignment horizontal="center"/>
    </xf>
    <xf numFmtId="0" fontId="5" fillId="3" borderId="3" xfId="0" applyFont="1" applyFill="1" applyBorder="1" applyAlignment="1">
      <alignment horizontal="center"/>
    </xf>
    <xf numFmtId="0" fontId="5" fillId="6" borderId="0" xfId="0" applyNumberFormat="1" applyFont="1" applyFill="1" applyBorder="1" applyAlignment="1">
      <alignment horizontal="right"/>
    </xf>
    <xf numFmtId="0" fontId="5" fillId="3" borderId="0" xfId="0" applyNumberFormat="1" applyFont="1" applyFill="1" applyBorder="1" applyAlignment="1">
      <alignment horizontal="right"/>
    </xf>
    <xf numFmtId="0" fontId="5" fillId="0" borderId="0" xfId="0" applyNumberFormat="1" applyFont="1" applyFill="1" applyBorder="1" applyAlignment="1">
      <alignment horizontal="right"/>
    </xf>
    <xf numFmtId="0" fontId="3" fillId="0" borderId="0" xfId="0" applyFont="1" applyFill="1" applyBorder="1" applyAlignment="1">
      <alignment horizontal="center" vertical="top"/>
    </xf>
    <xf numFmtId="0" fontId="2" fillId="0" borderId="0" xfId="7" applyFont="1"/>
    <xf numFmtId="0" fontId="78" fillId="0" borderId="0" xfId="7"/>
    <xf numFmtId="0" fontId="18" fillId="0" borderId="0" xfId="7" quotePrefix="1" applyFont="1" applyAlignment="1"/>
    <xf numFmtId="0" fontId="18" fillId="0" borderId="0" xfId="7" applyFont="1" applyAlignment="1"/>
    <xf numFmtId="0" fontId="78" fillId="0" borderId="0" xfId="7" applyAlignment="1"/>
    <xf numFmtId="0" fontId="23" fillId="0" borderId="0" xfId="7" applyFont="1"/>
    <xf numFmtId="0" fontId="3" fillId="6" borderId="23" xfId="0" applyFont="1" applyFill="1" applyBorder="1" applyAlignment="1">
      <alignment horizontal="left"/>
    </xf>
    <xf numFmtId="0" fontId="3" fillId="3" borderId="23" xfId="0" applyFont="1" applyFill="1" applyBorder="1" applyAlignment="1">
      <alignment horizontal="right"/>
    </xf>
    <xf numFmtId="0" fontId="3" fillId="6" borderId="23" xfId="0" applyFont="1" applyFill="1" applyBorder="1" applyAlignment="1">
      <alignment horizontal="right"/>
    </xf>
    <xf numFmtId="0" fontId="3" fillId="6" borderId="29" xfId="0" applyFont="1" applyFill="1" applyBorder="1" applyAlignment="1">
      <alignment horizontal="left"/>
    </xf>
    <xf numFmtId="0" fontId="3" fillId="3" borderId="29" xfId="0" applyFont="1" applyFill="1" applyBorder="1" applyAlignment="1">
      <alignment horizontal="right"/>
    </xf>
    <xf numFmtId="189" fontId="3" fillId="3" borderId="9" xfId="0" applyNumberFormat="1" applyFont="1" applyFill="1" applyBorder="1" applyAlignment="1">
      <alignment horizontal="center"/>
    </xf>
    <xf numFmtId="0" fontId="1" fillId="0" borderId="0" xfId="0" applyFont="1" applyAlignment="1">
      <alignment horizontal="right" vertical="center"/>
    </xf>
    <xf numFmtId="3" fontId="1" fillId="0" borderId="0" xfId="0" applyNumberFormat="1" applyFont="1" applyAlignment="1">
      <alignment horizontal="right" vertical="center"/>
    </xf>
    <xf numFmtId="2" fontId="4" fillId="0" borderId="0" xfId="0" applyNumberFormat="1" applyFont="1"/>
    <xf numFmtId="3" fontId="3" fillId="6" borderId="13" xfId="0" applyNumberFormat="1" applyFont="1" applyFill="1" applyBorder="1" applyAlignment="1">
      <alignment horizontal="right"/>
    </xf>
    <xf numFmtId="1" fontId="3" fillId="3" borderId="3" xfId="0" quotePrefix="1" applyNumberFormat="1" applyFont="1" applyFill="1" applyBorder="1" applyAlignment="1">
      <alignment horizontal="right"/>
    </xf>
    <xf numFmtId="3" fontId="3" fillId="6" borderId="48" xfId="0" applyNumberFormat="1" applyFont="1" applyFill="1" applyBorder="1" applyAlignment="1">
      <alignment horizontal="right"/>
    </xf>
    <xf numFmtId="1" fontId="3" fillId="3" borderId="48" xfId="0" quotePrefix="1" applyNumberFormat="1" applyFont="1" applyFill="1" applyBorder="1" applyAlignment="1">
      <alignment horizontal="right"/>
    </xf>
    <xf numFmtId="1" fontId="3" fillId="3" borderId="9" xfId="0" quotePrefix="1" applyNumberFormat="1" applyFont="1" applyFill="1" applyBorder="1" applyAlignment="1">
      <alignment horizontal="right"/>
    </xf>
    <xf numFmtId="1" fontId="3" fillId="3" borderId="5" xfId="0" quotePrefix="1" applyNumberFormat="1" applyFont="1" applyFill="1" applyBorder="1" applyAlignment="1">
      <alignment horizontal="right"/>
    </xf>
    <xf numFmtId="1" fontId="3" fillId="3" borderId="5" xfId="0" quotePrefix="1" applyNumberFormat="1" applyFont="1" applyFill="1" applyBorder="1" applyAlignment="1">
      <alignment horizontal="right" vertical="center"/>
    </xf>
    <xf numFmtId="0" fontId="43" fillId="3" borderId="3" xfId="0" applyFont="1" applyFill="1" applyBorder="1" applyAlignment="1">
      <alignment horizontal="right"/>
    </xf>
    <xf numFmtId="0" fontId="43" fillId="3" borderId="0" xfId="0" applyFont="1" applyFill="1" applyBorder="1" applyAlignment="1">
      <alignment horizontal="right"/>
    </xf>
    <xf numFmtId="3" fontId="43" fillId="3" borderId="5" xfId="0" applyNumberFormat="1" applyFont="1" applyFill="1" applyBorder="1"/>
    <xf numFmtId="0" fontId="0" fillId="0" borderId="0" xfId="0" applyNumberFormat="1"/>
    <xf numFmtId="0" fontId="4" fillId="0" borderId="0" xfId="0" quotePrefix="1" applyFont="1"/>
    <xf numFmtId="0" fontId="4" fillId="0" borderId="0" xfId="0" applyNumberFormat="1" applyFont="1" applyFill="1"/>
    <xf numFmtId="0" fontId="1" fillId="7" borderId="0" xfId="0" applyFont="1" applyFill="1" applyAlignment="1">
      <alignment horizontal="right"/>
    </xf>
    <xf numFmtId="189" fontId="43" fillId="6" borderId="6" xfId="0" applyNumberFormat="1" applyFont="1" applyFill="1" applyBorder="1" applyAlignment="1">
      <alignment horizontal="right"/>
    </xf>
    <xf numFmtId="189" fontId="43" fillId="3" borderId="6" xfId="0" applyNumberFormat="1" applyFont="1" applyFill="1" applyBorder="1" applyAlignment="1">
      <alignment horizontal="right"/>
    </xf>
    <xf numFmtId="1" fontId="43" fillId="3" borderId="0" xfId="0" applyNumberFormat="1" applyFont="1" applyFill="1" applyBorder="1" applyAlignment="1">
      <alignment horizontal="left" vertical="center"/>
    </xf>
    <xf numFmtId="1" fontId="4" fillId="7" borderId="7" xfId="0" applyNumberFormat="1" applyFont="1" applyFill="1" applyBorder="1" applyAlignment="1">
      <alignment horizontal="left"/>
    </xf>
    <xf numFmtId="189" fontId="3" fillId="7" borderId="7" xfId="0" applyNumberFormat="1" applyFont="1" applyFill="1" applyBorder="1" applyAlignment="1">
      <alignment horizontal="right"/>
    </xf>
    <xf numFmtId="1" fontId="4" fillId="0" borderId="0" xfId="0" applyNumberFormat="1" applyFont="1" applyFill="1" applyBorder="1" applyAlignment="1">
      <alignment horizontal="left"/>
    </xf>
    <xf numFmtId="189" fontId="3" fillId="0" borderId="0" xfId="0" applyNumberFormat="1" applyFont="1" applyFill="1" applyBorder="1" applyAlignment="1">
      <alignment horizontal="right"/>
    </xf>
    <xf numFmtId="0" fontId="4" fillId="0" borderId="0" xfId="0" applyFont="1" applyFill="1" applyAlignment="1">
      <alignment horizontal="right"/>
    </xf>
    <xf numFmtId="0" fontId="2" fillId="0" borderId="0" xfId="0" applyFont="1" applyFill="1" applyAlignment="1">
      <alignment vertical="center"/>
    </xf>
    <xf numFmtId="0" fontId="4" fillId="7" borderId="0" xfId="0" applyFont="1" applyFill="1" applyAlignment="1">
      <alignment horizontal="right"/>
    </xf>
    <xf numFmtId="0" fontId="3" fillId="3" borderId="9" xfId="0" applyNumberFormat="1" applyFont="1" applyFill="1" applyBorder="1" applyAlignment="1">
      <alignment horizontal="left"/>
    </xf>
    <xf numFmtId="0" fontId="3" fillId="3" borderId="6" xfId="0" applyNumberFormat="1" applyFont="1" applyFill="1" applyBorder="1" applyAlignment="1">
      <alignment horizontal="left"/>
    </xf>
    <xf numFmtId="1" fontId="4" fillId="0" borderId="7" xfId="0" applyNumberFormat="1" applyFont="1" applyFill="1" applyBorder="1" applyAlignment="1">
      <alignment horizontal="left"/>
    </xf>
    <xf numFmtId="189" fontId="3" fillId="0" borderId="7" xfId="0" applyNumberFormat="1" applyFont="1" applyFill="1" applyBorder="1" applyAlignment="1">
      <alignment horizontal="right"/>
    </xf>
    <xf numFmtId="3" fontId="43" fillId="3" borderId="6" xfId="0" applyNumberFormat="1" applyFont="1" applyFill="1" applyBorder="1" applyAlignment="1">
      <alignment horizontal="right" vertical="center"/>
    </xf>
    <xf numFmtId="0" fontId="52" fillId="0" borderId="0" xfId="0" applyFont="1" applyAlignment="1">
      <alignment vertical="center"/>
    </xf>
    <xf numFmtId="1" fontId="4" fillId="7" borderId="0" xfId="0" applyNumberFormat="1" applyFont="1" applyFill="1" applyBorder="1" applyAlignment="1">
      <alignment horizontal="left"/>
    </xf>
    <xf numFmtId="0" fontId="2" fillId="0" borderId="0" xfId="8" applyFont="1"/>
    <xf numFmtId="0" fontId="4" fillId="0" borderId="0" xfId="8" applyFont="1"/>
    <xf numFmtId="0" fontId="79" fillId="0" borderId="0" xfId="8"/>
    <xf numFmtId="0" fontId="81" fillId="0" borderId="0" xfId="8" applyFont="1"/>
    <xf numFmtId="0" fontId="4" fillId="0" borderId="10" xfId="8" applyFont="1" applyBorder="1"/>
    <xf numFmtId="0" fontId="79" fillId="0" borderId="10" xfId="8" applyBorder="1"/>
    <xf numFmtId="0" fontId="4" fillId="6" borderId="0" xfId="8" applyFont="1" applyFill="1" applyAlignment="1">
      <alignment horizontal="right"/>
    </xf>
    <xf numFmtId="0" fontId="4" fillId="3" borderId="0" xfId="8" applyFont="1" applyFill="1" applyAlignment="1">
      <alignment horizontal="right"/>
    </xf>
    <xf numFmtId="0" fontId="4" fillId="0" borderId="0" xfId="8" applyFont="1" applyFill="1" applyAlignment="1">
      <alignment horizontal="right"/>
    </xf>
    <xf numFmtId="190" fontId="23" fillId="3" borderId="0" xfId="8" applyNumberFormat="1" applyFont="1" applyFill="1" applyBorder="1" applyAlignment="1">
      <alignment horizontal="center"/>
    </xf>
    <xf numFmtId="190" fontId="23" fillId="6" borderId="0" xfId="8" applyNumberFormat="1" applyFont="1" applyFill="1" applyBorder="1" applyAlignment="1">
      <alignment horizontal="center"/>
    </xf>
    <xf numFmtId="190" fontId="23" fillId="0" borderId="0" xfId="8" applyNumberFormat="1" applyFont="1" applyFill="1" applyBorder="1" applyAlignment="1">
      <alignment horizontal="center"/>
    </xf>
    <xf numFmtId="0" fontId="79" fillId="0" borderId="0" xfId="8" applyAlignment="1">
      <alignment horizontal="right"/>
    </xf>
    <xf numFmtId="2" fontId="79" fillId="0" borderId="0" xfId="8" applyNumberFormat="1"/>
    <xf numFmtId="189" fontId="79" fillId="0" borderId="0" xfId="8" applyNumberFormat="1" applyAlignment="1">
      <alignment horizontal="right"/>
    </xf>
    <xf numFmtId="2" fontId="79" fillId="0" borderId="0" xfId="8" applyNumberFormat="1" applyAlignment="1">
      <alignment horizontal="right"/>
    </xf>
    <xf numFmtId="0" fontId="8" fillId="6" borderId="0" xfId="8" applyFont="1" applyFill="1" applyBorder="1" applyAlignment="1">
      <alignment horizontal="left"/>
    </xf>
    <xf numFmtId="0" fontId="4" fillId="6" borderId="0" xfId="8" applyFont="1" applyFill="1" applyBorder="1" applyAlignment="1">
      <alignment horizontal="right"/>
    </xf>
    <xf numFmtId="0" fontId="8" fillId="3" borderId="0" xfId="8" applyFont="1" applyFill="1" applyAlignment="1">
      <alignment horizontal="center"/>
    </xf>
    <xf numFmtId="0" fontId="8" fillId="6" borderId="0" xfId="8" applyFont="1" applyFill="1" applyAlignment="1">
      <alignment horizontal="center"/>
    </xf>
    <xf numFmtId="0" fontId="8" fillId="0" borderId="0" xfId="8" applyFont="1" applyFill="1" applyAlignment="1">
      <alignment horizontal="center"/>
    </xf>
    <xf numFmtId="0" fontId="52" fillId="3" borderId="0" xfId="8" applyFont="1" applyFill="1" applyAlignment="1">
      <alignment horizontal="center"/>
    </xf>
    <xf numFmtId="189" fontId="79" fillId="0" borderId="0" xfId="8" applyNumberFormat="1"/>
    <xf numFmtId="0" fontId="4" fillId="6" borderId="0" xfId="8" applyFont="1" applyFill="1" applyBorder="1"/>
    <xf numFmtId="0" fontId="4" fillId="3" borderId="0" xfId="8" applyFont="1" applyFill="1" applyAlignment="1">
      <alignment horizontal="center"/>
    </xf>
    <xf numFmtId="0" fontId="4" fillId="6" borderId="0" xfId="8" applyFont="1" applyFill="1" applyAlignment="1">
      <alignment horizontal="center"/>
    </xf>
    <xf numFmtId="0" fontId="4" fillId="0" borderId="0" xfId="8" applyFont="1" applyFill="1" applyAlignment="1">
      <alignment horizontal="center"/>
    </xf>
    <xf numFmtId="0" fontId="8" fillId="6" borderId="0" xfId="8" applyFont="1" applyFill="1" applyBorder="1"/>
    <xf numFmtId="0" fontId="4" fillId="3" borderId="0" xfId="8" applyFont="1" applyFill="1" applyBorder="1" applyAlignment="1">
      <alignment horizontal="center"/>
    </xf>
    <xf numFmtId="0" fontId="4" fillId="6" borderId="0" xfId="8" applyFont="1" applyFill="1" applyBorder="1" applyAlignment="1">
      <alignment horizontal="center"/>
    </xf>
    <xf numFmtId="0" fontId="4" fillId="0" borderId="0" xfId="8" applyFont="1" applyFill="1" applyBorder="1" applyAlignment="1">
      <alignment horizontal="center"/>
    </xf>
    <xf numFmtId="190" fontId="23" fillId="3" borderId="0" xfId="8" applyNumberFormat="1" applyFont="1" applyFill="1" applyBorder="1" applyAlignment="1">
      <alignment horizontal="center" vertical="top"/>
    </xf>
    <xf numFmtId="190" fontId="23" fillId="6" borderId="0" xfId="8" applyNumberFormat="1" applyFont="1" applyFill="1" applyBorder="1" applyAlignment="1">
      <alignment horizontal="center" vertical="top"/>
    </xf>
    <xf numFmtId="190" fontId="23" fillId="0" borderId="0" xfId="8" applyNumberFormat="1" applyFont="1" applyFill="1" applyBorder="1" applyAlignment="1">
      <alignment horizontal="center" vertical="top"/>
    </xf>
    <xf numFmtId="189" fontId="81" fillId="0" borderId="0" xfId="8" applyNumberFormat="1" applyFont="1"/>
    <xf numFmtId="0" fontId="8" fillId="6" borderId="4" xfId="8" applyFont="1" applyFill="1" applyBorder="1"/>
    <xf numFmtId="0" fontId="4" fillId="6" borderId="4" xfId="8" applyFont="1" applyFill="1" applyBorder="1"/>
    <xf numFmtId="0" fontId="4" fillId="3" borderId="4" xfId="8" applyFont="1" applyFill="1" applyBorder="1"/>
    <xf numFmtId="0" fontId="4" fillId="0" borderId="4" xfId="8" applyFont="1" applyFill="1" applyBorder="1"/>
    <xf numFmtId="0" fontId="23" fillId="6" borderId="4" xfId="8" applyFont="1" applyFill="1" applyBorder="1" applyAlignment="1">
      <alignment horizontal="center"/>
    </xf>
    <xf numFmtId="0" fontId="23" fillId="0" borderId="4" xfId="8" applyFont="1" applyFill="1" applyBorder="1" applyAlignment="1">
      <alignment horizontal="center"/>
    </xf>
    <xf numFmtId="0" fontId="8" fillId="6" borderId="5" xfId="8" applyFont="1" applyFill="1" applyBorder="1"/>
    <xf numFmtId="0" fontId="4" fillId="6" borderId="5" xfId="8" applyFont="1" applyFill="1" applyBorder="1"/>
    <xf numFmtId="189" fontId="8" fillId="3" borderId="5" xfId="8" applyNumberFormat="1" applyFont="1" applyFill="1" applyBorder="1" applyAlignment="1">
      <alignment horizontal="left"/>
    </xf>
    <xf numFmtId="189" fontId="8" fillId="6" borderId="5" xfId="8" applyNumberFormat="1" applyFont="1" applyFill="1" applyBorder="1" applyAlignment="1">
      <alignment horizontal="left"/>
    </xf>
    <xf numFmtId="189" fontId="52" fillId="3" borderId="5" xfId="8" applyNumberFormat="1" applyFont="1" applyFill="1" applyBorder="1" applyAlignment="1">
      <alignment horizontal="left"/>
    </xf>
    <xf numFmtId="189" fontId="8" fillId="0" borderId="5" xfId="8" applyNumberFormat="1" applyFont="1" applyFill="1" applyBorder="1" applyAlignment="1">
      <alignment horizontal="left"/>
    </xf>
    <xf numFmtId="190" fontId="8" fillId="3" borderId="5" xfId="8" applyNumberFormat="1" applyFont="1" applyFill="1" applyBorder="1" applyAlignment="1">
      <alignment horizontal="left"/>
    </xf>
    <xf numFmtId="190" fontId="8" fillId="6" borderId="5" xfId="8" applyNumberFormat="1" applyFont="1" applyFill="1" applyBorder="1" applyAlignment="1">
      <alignment horizontal="left"/>
    </xf>
    <xf numFmtId="190" fontId="8" fillId="0" borderId="5" xfId="8" applyNumberFormat="1" applyFont="1" applyFill="1" applyBorder="1" applyAlignment="1">
      <alignment horizontal="left"/>
    </xf>
    <xf numFmtId="3" fontId="52" fillId="3" borderId="5" xfId="8" applyNumberFormat="1" applyFont="1" applyFill="1" applyBorder="1" applyAlignment="1">
      <alignment horizontal="left"/>
    </xf>
    <xf numFmtId="0" fontId="18" fillId="6" borderId="6" xfId="8" applyFont="1" applyFill="1" applyBorder="1"/>
    <xf numFmtId="0" fontId="4" fillId="6" borderId="6" xfId="8" applyFont="1" applyFill="1" applyBorder="1"/>
    <xf numFmtId="189" fontId="18" fillId="3" borderId="6" xfId="8" applyNumberFormat="1" applyFont="1" applyFill="1" applyBorder="1" applyAlignment="1">
      <alignment horizontal="center"/>
    </xf>
    <xf numFmtId="189" fontId="18" fillId="6" borderId="6" xfId="8" applyNumberFormat="1" applyFont="1" applyFill="1" applyBorder="1" applyAlignment="1">
      <alignment horizontal="center"/>
    </xf>
    <xf numFmtId="189" fontId="18" fillId="0" borderId="6" xfId="8" applyNumberFormat="1" applyFont="1" applyFill="1" applyBorder="1" applyAlignment="1">
      <alignment horizontal="center"/>
    </xf>
    <xf numFmtId="190" fontId="18" fillId="3" borderId="6" xfId="8" applyNumberFormat="1" applyFont="1" applyFill="1" applyBorder="1" applyAlignment="1">
      <alignment horizontal="center"/>
    </xf>
    <xf numFmtId="190" fontId="18" fillId="6" borderId="6" xfId="8" applyNumberFormat="1" applyFont="1" applyFill="1" applyBorder="1" applyAlignment="1">
      <alignment horizontal="center"/>
    </xf>
    <xf numFmtId="190" fontId="18" fillId="0" borderId="6" xfId="8" applyNumberFormat="1" applyFont="1" applyFill="1" applyBorder="1" applyAlignment="1">
      <alignment horizontal="center"/>
    </xf>
    <xf numFmtId="3" fontId="54" fillId="3" borderId="6" xfId="8" applyNumberFormat="1" applyFont="1" applyFill="1" applyBorder="1" applyAlignment="1">
      <alignment horizontal="center"/>
    </xf>
    <xf numFmtId="189" fontId="54" fillId="15" borderId="6" xfId="8" applyNumberFormat="1" applyFont="1" applyFill="1" applyBorder="1" applyAlignment="1">
      <alignment horizontal="center"/>
    </xf>
    <xf numFmtId="0" fontId="83" fillId="6" borderId="6" xfId="8" applyFont="1" applyFill="1" applyBorder="1"/>
    <xf numFmtId="189" fontId="4" fillId="3" borderId="6" xfId="8" applyNumberFormat="1" applyFont="1" applyFill="1" applyBorder="1"/>
    <xf numFmtId="189" fontId="4" fillId="6" borderId="6" xfId="8" applyNumberFormat="1" applyFont="1" applyFill="1" applyBorder="1"/>
    <xf numFmtId="189" fontId="4" fillId="0" borderId="6" xfId="8" applyNumberFormat="1" applyFont="1" applyFill="1" applyBorder="1"/>
    <xf numFmtId="190" fontId="4" fillId="3" borderId="6" xfId="8" applyNumberFormat="1" applyFont="1" applyFill="1" applyBorder="1"/>
    <xf numFmtId="190" fontId="4" fillId="6" borderId="6" xfId="8" applyNumberFormat="1" applyFont="1" applyFill="1" applyBorder="1"/>
    <xf numFmtId="190" fontId="4" fillId="0" borderId="6" xfId="8" applyNumberFormat="1" applyFont="1" applyFill="1" applyBorder="1"/>
    <xf numFmtId="3" fontId="26" fillId="3" borderId="6" xfId="8" applyNumberFormat="1" applyFont="1" applyFill="1" applyBorder="1"/>
    <xf numFmtId="2" fontId="84" fillId="0" borderId="0" xfId="8" applyNumberFormat="1" applyFont="1"/>
    <xf numFmtId="0" fontId="84" fillId="0" borderId="0" xfId="8" applyFont="1"/>
    <xf numFmtId="0" fontId="8" fillId="6" borderId="6" xfId="8" applyFont="1" applyFill="1" applyBorder="1"/>
    <xf numFmtId="189" fontId="8" fillId="3" borderId="6" xfId="8" applyNumberFormat="1" applyFont="1" applyFill="1" applyBorder="1" applyAlignment="1">
      <alignment horizontal="left"/>
    </xf>
    <xf numFmtId="189" fontId="8" fillId="6" borderId="6" xfId="8" applyNumberFormat="1" applyFont="1" applyFill="1" applyBorder="1" applyAlignment="1">
      <alignment horizontal="left"/>
    </xf>
    <xf numFmtId="189" fontId="8" fillId="0" borderId="6" xfId="8" applyNumberFormat="1" applyFont="1" applyFill="1" applyBorder="1" applyAlignment="1">
      <alignment horizontal="left"/>
    </xf>
    <xf numFmtId="190" fontId="8" fillId="3" borderId="6" xfId="8" applyNumberFormat="1" applyFont="1" applyFill="1" applyBorder="1" applyAlignment="1">
      <alignment horizontal="left"/>
    </xf>
    <xf numFmtId="190" fontId="8" fillId="6" borderId="6" xfId="8" applyNumberFormat="1" applyFont="1" applyFill="1" applyBorder="1" applyAlignment="1">
      <alignment horizontal="left"/>
    </xf>
    <xf numFmtId="190" fontId="8" fillId="0" borderId="6" xfId="8" applyNumberFormat="1" applyFont="1" applyFill="1" applyBorder="1" applyAlignment="1">
      <alignment horizontal="left"/>
    </xf>
    <xf numFmtId="3" fontId="52" fillId="3" borderId="6" xfId="8" applyNumberFormat="1" applyFont="1" applyFill="1" applyBorder="1" applyAlignment="1">
      <alignment horizontal="left"/>
    </xf>
    <xf numFmtId="0" fontId="23" fillId="6" borderId="6" xfId="8" applyFont="1" applyFill="1" applyBorder="1"/>
    <xf numFmtId="189" fontId="23" fillId="3" borderId="6" xfId="8" applyNumberFormat="1" applyFont="1" applyFill="1" applyBorder="1" applyAlignment="1">
      <alignment horizontal="right"/>
    </xf>
    <xf numFmtId="189" fontId="23" fillId="6" borderId="6" xfId="8" applyNumberFormat="1" applyFont="1" applyFill="1" applyBorder="1" applyAlignment="1">
      <alignment horizontal="right"/>
    </xf>
    <xf numFmtId="189" fontId="23" fillId="0" borderId="6" xfId="8" applyNumberFormat="1" applyFont="1" applyFill="1" applyBorder="1" applyAlignment="1">
      <alignment horizontal="right"/>
    </xf>
    <xf numFmtId="190" fontId="23" fillId="3" borderId="6" xfId="8" applyNumberFormat="1" applyFont="1" applyFill="1" applyBorder="1" applyAlignment="1">
      <alignment horizontal="right"/>
    </xf>
    <xf numFmtId="190" fontId="23" fillId="6" borderId="6" xfId="8" applyNumberFormat="1" applyFont="1" applyFill="1" applyBorder="1" applyAlignment="1">
      <alignment horizontal="right"/>
    </xf>
    <xf numFmtId="190" fontId="23" fillId="0" borderId="6" xfId="8" applyNumberFormat="1" applyFont="1" applyFill="1" applyBorder="1" applyAlignment="1">
      <alignment horizontal="right"/>
    </xf>
    <xf numFmtId="189" fontId="4" fillId="3" borderId="6" xfId="8" applyNumberFormat="1" applyFont="1" applyFill="1" applyBorder="1" applyAlignment="1">
      <alignment horizontal="center"/>
    </xf>
    <xf numFmtId="189" fontId="4" fillId="6" borderId="6" xfId="8" applyNumberFormat="1" applyFont="1" applyFill="1" applyBorder="1" applyAlignment="1">
      <alignment horizontal="center"/>
    </xf>
    <xf numFmtId="0" fontId="4" fillId="6" borderId="9" xfId="8" applyFont="1" applyFill="1" applyBorder="1"/>
    <xf numFmtId="189" fontId="4" fillId="3" borderId="9" xfId="8" applyNumberFormat="1" applyFont="1" applyFill="1" applyBorder="1"/>
    <xf numFmtId="189" fontId="4" fillId="6" borderId="9" xfId="8" applyNumberFormat="1" applyFont="1" applyFill="1" applyBorder="1"/>
    <xf numFmtId="189" fontId="4" fillId="0" borderId="9" xfId="8" applyNumberFormat="1" applyFont="1" applyFill="1" applyBorder="1"/>
    <xf numFmtId="190" fontId="4" fillId="3" borderId="9" xfId="8" applyNumberFormat="1" applyFont="1" applyFill="1" applyBorder="1"/>
    <xf numFmtId="190" fontId="4" fillId="6" borderId="9" xfId="8" applyNumberFormat="1" applyFont="1" applyFill="1" applyBorder="1"/>
    <xf numFmtId="190" fontId="4" fillId="0" borderId="9" xfId="8" applyNumberFormat="1" applyFont="1" applyFill="1" applyBorder="1"/>
    <xf numFmtId="3" fontId="26" fillId="3" borderId="9" xfId="8" applyNumberFormat="1" applyFont="1" applyFill="1" applyBorder="1"/>
    <xf numFmtId="189" fontId="52" fillId="3" borderId="6" xfId="8" applyNumberFormat="1" applyFont="1" applyFill="1" applyBorder="1" applyAlignment="1">
      <alignment horizontal="left"/>
    </xf>
    <xf numFmtId="189" fontId="23" fillId="3" borderId="6" xfId="8" applyNumberFormat="1" applyFont="1" applyFill="1" applyBorder="1"/>
    <xf numFmtId="189" fontId="23" fillId="6" borderId="6" xfId="8" applyNumberFormat="1" applyFont="1" applyFill="1" applyBorder="1"/>
    <xf numFmtId="189" fontId="23" fillId="0" borderId="6" xfId="8" applyNumberFormat="1" applyFont="1" applyFill="1" applyBorder="1"/>
    <xf numFmtId="190" fontId="23" fillId="3" borderId="6" xfId="8" applyNumberFormat="1" applyFont="1" applyFill="1" applyBorder="1"/>
    <xf numFmtId="190" fontId="23" fillId="6" borderId="6" xfId="8" applyNumberFormat="1" applyFont="1" applyFill="1" applyBorder="1"/>
    <xf numFmtId="190" fontId="23" fillId="0" borderId="6" xfId="8" applyNumberFormat="1" applyFont="1" applyFill="1" applyBorder="1"/>
    <xf numFmtId="0" fontId="79" fillId="0" borderId="0" xfId="8" applyFill="1"/>
    <xf numFmtId="189" fontId="8" fillId="3" borderId="6" xfId="8" applyNumberFormat="1" applyFont="1" applyFill="1" applyBorder="1"/>
    <xf numFmtId="189" fontId="8" fillId="6" borderId="6" xfId="8" applyNumberFormat="1" applyFont="1" applyFill="1" applyBorder="1"/>
    <xf numFmtId="3" fontId="52" fillId="3" borderId="6" xfId="8" applyNumberFormat="1" applyFont="1" applyFill="1" applyBorder="1"/>
    <xf numFmtId="0" fontId="8" fillId="6" borderId="8" xfId="8" applyFont="1" applyFill="1" applyBorder="1"/>
    <xf numFmtId="0" fontId="23" fillId="6" borderId="8" xfId="8" applyFont="1" applyFill="1" applyBorder="1"/>
    <xf numFmtId="189" fontId="8" fillId="3" borderId="8" xfId="8" applyNumberFormat="1" applyFont="1" applyFill="1" applyBorder="1" applyAlignment="1">
      <alignment horizontal="left"/>
    </xf>
    <xf numFmtId="189" fontId="8" fillId="6" borderId="8" xfId="8" applyNumberFormat="1" applyFont="1" applyFill="1" applyBorder="1" applyAlignment="1">
      <alignment horizontal="left"/>
    </xf>
    <xf numFmtId="189" fontId="52" fillId="15" borderId="8" xfId="8" applyNumberFormat="1" applyFont="1" applyFill="1" applyBorder="1" applyAlignment="1">
      <alignment horizontal="left"/>
    </xf>
    <xf numFmtId="189" fontId="8" fillId="0" borderId="8" xfId="8" applyNumberFormat="1" applyFont="1" applyFill="1" applyBorder="1" applyAlignment="1">
      <alignment horizontal="left"/>
    </xf>
    <xf numFmtId="190" fontId="8" fillId="3" borderId="8" xfId="8" applyNumberFormat="1" applyFont="1" applyFill="1" applyBorder="1" applyAlignment="1">
      <alignment horizontal="left"/>
    </xf>
    <xf numFmtId="190" fontId="8" fillId="6" borderId="8" xfId="8" applyNumberFormat="1" applyFont="1" applyFill="1" applyBorder="1" applyAlignment="1">
      <alignment horizontal="left"/>
    </xf>
    <xf numFmtId="190" fontId="8" fillId="0" borderId="8" xfId="8" applyNumberFormat="1" applyFont="1" applyFill="1" applyBorder="1" applyAlignment="1">
      <alignment horizontal="left"/>
    </xf>
    <xf numFmtId="3" fontId="52" fillId="3" borderId="8" xfId="8" applyNumberFormat="1" applyFont="1" applyFill="1" applyBorder="1" applyAlignment="1">
      <alignment horizontal="left"/>
    </xf>
    <xf numFmtId="0" fontId="18" fillId="0" borderId="0" xfId="8" applyFont="1" applyBorder="1"/>
    <xf numFmtId="0" fontId="4" fillId="0" borderId="0" xfId="8" applyFont="1" applyBorder="1"/>
    <xf numFmtId="10" fontId="79" fillId="0" borderId="0" xfId="8" applyNumberFormat="1"/>
    <xf numFmtId="189" fontId="4" fillId="0" borderId="0" xfId="8" applyNumberFormat="1" applyFont="1"/>
    <xf numFmtId="189" fontId="8" fillId="3" borderId="9" xfId="8" applyNumberFormat="1" applyFont="1" applyFill="1" applyBorder="1" applyAlignment="1">
      <alignment horizontal="left"/>
    </xf>
    <xf numFmtId="189" fontId="8" fillId="6" borderId="9" xfId="8" applyNumberFormat="1" applyFont="1" applyFill="1" applyBorder="1" applyAlignment="1">
      <alignment horizontal="left"/>
    </xf>
    <xf numFmtId="189" fontId="52" fillId="3" borderId="9" xfId="8" applyNumberFormat="1" applyFont="1" applyFill="1" applyBorder="1" applyAlignment="1">
      <alignment horizontal="left"/>
    </xf>
    <xf numFmtId="189" fontId="8" fillId="0" borderId="9" xfId="8" applyNumberFormat="1" applyFont="1" applyFill="1" applyBorder="1" applyAlignment="1">
      <alignment horizontal="left"/>
    </xf>
    <xf numFmtId="190" fontId="8" fillId="3" borderId="9" xfId="8" applyNumberFormat="1" applyFont="1" applyFill="1" applyBorder="1" applyAlignment="1">
      <alignment horizontal="left"/>
    </xf>
    <xf numFmtId="190" fontId="8" fillId="6" borderId="9" xfId="8" applyNumberFormat="1" applyFont="1" applyFill="1" applyBorder="1" applyAlignment="1">
      <alignment horizontal="left"/>
    </xf>
    <xf numFmtId="190" fontId="8" fillId="0" borderId="9" xfId="8" applyNumberFormat="1" applyFont="1" applyFill="1" applyBorder="1" applyAlignment="1">
      <alignment horizontal="left"/>
    </xf>
    <xf numFmtId="3" fontId="52" fillId="3" borderId="9" xfId="8" applyNumberFormat="1" applyFont="1" applyFill="1" applyBorder="1" applyAlignment="1">
      <alignment horizontal="left"/>
    </xf>
    <xf numFmtId="0" fontId="88" fillId="0" borderId="0" xfId="8" applyFont="1"/>
    <xf numFmtId="0" fontId="8" fillId="6" borderId="6" xfId="8" applyFont="1" applyFill="1" applyBorder="1" applyAlignment="1">
      <alignment horizontal="left"/>
    </xf>
    <xf numFmtId="0" fontId="81" fillId="0" borderId="0" xfId="8" applyFont="1" applyAlignment="1">
      <alignment horizontal="left"/>
    </xf>
    <xf numFmtId="189" fontId="18" fillId="0" borderId="6" xfId="8" applyNumberFormat="1" applyFont="1" applyFill="1" applyBorder="1" applyAlignment="1">
      <alignment horizontal="right"/>
    </xf>
    <xf numFmtId="190" fontId="18" fillId="3" borderId="6" xfId="8" applyNumberFormat="1" applyFont="1" applyFill="1" applyBorder="1" applyAlignment="1">
      <alignment horizontal="right"/>
    </xf>
    <xf numFmtId="190" fontId="18" fillId="6" borderId="6" xfId="8" applyNumberFormat="1" applyFont="1" applyFill="1" applyBorder="1" applyAlignment="1">
      <alignment horizontal="right"/>
    </xf>
    <xf numFmtId="190" fontId="18" fillId="0" borderId="6" xfId="8" applyNumberFormat="1" applyFont="1" applyFill="1" applyBorder="1" applyAlignment="1">
      <alignment horizontal="right"/>
    </xf>
    <xf numFmtId="189" fontId="4" fillId="0" borderId="6" xfId="8" applyNumberFormat="1" applyFont="1" applyFill="1" applyBorder="1" applyAlignment="1">
      <alignment horizontal="center"/>
    </xf>
    <xf numFmtId="190" fontId="4" fillId="0" borderId="6" xfId="8" applyNumberFormat="1" applyFont="1" applyFill="1" applyBorder="1" applyAlignment="1">
      <alignment horizontal="center"/>
    </xf>
    <xf numFmtId="189" fontId="26" fillId="3" borderId="6" xfId="8" applyNumberFormat="1" applyFont="1" applyFill="1" applyBorder="1"/>
    <xf numFmtId="0" fontId="18" fillId="0" borderId="0" xfId="8" applyFont="1"/>
    <xf numFmtId="0" fontId="79" fillId="0" borderId="0" xfId="8" applyBorder="1"/>
    <xf numFmtId="0" fontId="89" fillId="0" borderId="0" xfId="8" applyFont="1"/>
    <xf numFmtId="0" fontId="4" fillId="6" borderId="7" xfId="8" applyFont="1" applyFill="1" applyBorder="1" applyAlignment="1">
      <alignment horizontal="right"/>
    </xf>
    <xf numFmtId="0" fontId="4" fillId="3" borderId="7" xfId="8" applyFont="1" applyFill="1" applyBorder="1" applyAlignment="1">
      <alignment horizontal="right"/>
    </xf>
    <xf numFmtId="0" fontId="23" fillId="6" borderId="7" xfId="8" applyFont="1" applyFill="1" applyBorder="1" applyAlignment="1">
      <alignment horizontal="center"/>
    </xf>
    <xf numFmtId="0" fontId="23" fillId="0" borderId="7" xfId="8" applyFont="1" applyFill="1" applyBorder="1" applyAlignment="1">
      <alignment horizontal="center"/>
    </xf>
    <xf numFmtId="0" fontId="52" fillId="3" borderId="7" xfId="8" applyFont="1" applyFill="1" applyBorder="1" applyAlignment="1">
      <alignment horizontal="center"/>
    </xf>
    <xf numFmtId="0" fontId="52" fillId="6" borderId="0" xfId="8" applyFont="1" applyFill="1" applyBorder="1" applyAlignment="1">
      <alignment horizontal="left"/>
    </xf>
    <xf numFmtId="0" fontId="8" fillId="3" borderId="0" xfId="8" applyFont="1" applyFill="1" applyBorder="1" applyAlignment="1">
      <alignment horizontal="center"/>
    </xf>
    <xf numFmtId="0" fontId="8" fillId="6" borderId="0" xfId="8" applyFont="1" applyFill="1" applyBorder="1" applyAlignment="1">
      <alignment horizontal="center"/>
    </xf>
    <xf numFmtId="0" fontId="8" fillId="0" borderId="0" xfId="8" applyFont="1" applyFill="1" applyBorder="1" applyAlignment="1">
      <alignment horizontal="center"/>
    </xf>
    <xf numFmtId="0" fontId="23" fillId="6" borderId="0" xfId="8" applyFont="1" applyFill="1" applyBorder="1" applyAlignment="1">
      <alignment horizontal="center"/>
    </xf>
    <xf numFmtId="0" fontId="23" fillId="0" borderId="0" xfId="8" applyFont="1" applyFill="1" applyBorder="1" applyAlignment="1">
      <alignment horizontal="center"/>
    </xf>
    <xf numFmtId="0" fontId="52" fillId="3" borderId="0" xfId="8" applyFont="1" applyFill="1" applyBorder="1" applyAlignment="1">
      <alignment horizontal="center"/>
    </xf>
    <xf numFmtId="0" fontId="52" fillId="6" borderId="4" xfId="8" applyFont="1" applyFill="1" applyBorder="1" applyAlignment="1">
      <alignment horizontal="left"/>
    </xf>
    <xf numFmtId="0" fontId="4" fillId="3" borderId="4" xfId="8" applyFont="1" applyFill="1" applyBorder="1" applyAlignment="1">
      <alignment horizontal="center"/>
    </xf>
    <xf numFmtId="0" fontId="4" fillId="6" borderId="4" xfId="8" applyFont="1" applyFill="1" applyBorder="1" applyAlignment="1">
      <alignment horizontal="center"/>
    </xf>
    <xf numFmtId="190" fontId="23" fillId="6" borderId="4" xfId="8" applyNumberFormat="1" applyFont="1" applyFill="1" applyBorder="1" applyAlignment="1">
      <alignment horizontal="center" vertical="top"/>
    </xf>
    <xf numFmtId="190" fontId="23" fillId="3" borderId="4" xfId="8" applyNumberFormat="1" applyFont="1" applyFill="1" applyBorder="1" applyAlignment="1">
      <alignment horizontal="center" vertical="top"/>
    </xf>
    <xf numFmtId="190" fontId="23" fillId="0" borderId="4" xfId="8" applyNumberFormat="1" applyFont="1" applyFill="1" applyBorder="1" applyAlignment="1">
      <alignment horizontal="center" vertical="top"/>
    </xf>
    <xf numFmtId="0" fontId="8" fillId="6" borderId="9" xfId="8" applyFont="1" applyFill="1" applyBorder="1"/>
    <xf numFmtId="189" fontId="4" fillId="3" borderId="9" xfId="8" applyNumberFormat="1" applyFont="1" applyFill="1" applyBorder="1" applyAlignment="1">
      <alignment horizontal="center"/>
    </xf>
    <xf numFmtId="189" fontId="4" fillId="6" borderId="9" xfId="8" applyNumberFormat="1" applyFont="1" applyFill="1" applyBorder="1" applyAlignment="1">
      <alignment horizontal="center"/>
    </xf>
    <xf numFmtId="189" fontId="4" fillId="0" borderId="9" xfId="8" applyNumberFormat="1" applyFont="1" applyFill="1" applyBorder="1" applyAlignment="1">
      <alignment horizontal="center"/>
    </xf>
    <xf numFmtId="190" fontId="4" fillId="3" borderId="9" xfId="8" applyNumberFormat="1" applyFont="1" applyFill="1" applyBorder="1" applyAlignment="1">
      <alignment horizontal="center"/>
    </xf>
    <xf numFmtId="190" fontId="4" fillId="6" borderId="9" xfId="8" applyNumberFormat="1" applyFont="1" applyFill="1" applyBorder="1" applyAlignment="1">
      <alignment horizontal="center"/>
    </xf>
    <xf numFmtId="190" fontId="4" fillId="0" borderId="9" xfId="8" applyNumberFormat="1" applyFont="1" applyFill="1" applyBorder="1" applyAlignment="1">
      <alignment horizontal="center"/>
    </xf>
    <xf numFmtId="190" fontId="4" fillId="3" borderId="6" xfId="8" applyNumberFormat="1" applyFont="1" applyFill="1" applyBorder="1" applyAlignment="1">
      <alignment horizontal="center"/>
    </xf>
    <xf numFmtId="190" fontId="4" fillId="6" borderId="6" xfId="8" applyNumberFormat="1" applyFont="1" applyFill="1" applyBorder="1" applyAlignment="1">
      <alignment horizontal="center"/>
    </xf>
    <xf numFmtId="3" fontId="26" fillId="0" borderId="6" xfId="8" applyNumberFormat="1" applyFont="1" applyFill="1" applyBorder="1" applyAlignment="1">
      <alignment horizontal="center"/>
    </xf>
    <xf numFmtId="3" fontId="26" fillId="3" borderId="6" xfId="8" applyNumberFormat="1" applyFont="1" applyFill="1" applyBorder="1" applyAlignment="1">
      <alignment horizontal="center"/>
    </xf>
    <xf numFmtId="0" fontId="4" fillId="3" borderId="6" xfId="8" applyFont="1" applyFill="1" applyBorder="1"/>
    <xf numFmtId="0" fontId="4" fillId="0" borderId="6" xfId="8" applyFont="1" applyFill="1" applyBorder="1"/>
    <xf numFmtId="3" fontId="73" fillId="3" borderId="6" xfId="8" applyNumberFormat="1" applyFont="1" applyFill="1" applyBorder="1" applyAlignment="1">
      <alignment horizontal="right"/>
    </xf>
    <xf numFmtId="189" fontId="8" fillId="0" borderId="6" xfId="8" applyNumberFormat="1" applyFont="1" applyFill="1" applyBorder="1"/>
    <xf numFmtId="190" fontId="8" fillId="3" borderId="6" xfId="8" applyNumberFormat="1" applyFont="1" applyFill="1" applyBorder="1"/>
    <xf numFmtId="190" fontId="8" fillId="6" borderId="6" xfId="8" applyNumberFormat="1" applyFont="1" applyFill="1" applyBorder="1"/>
    <xf numFmtId="190" fontId="8" fillId="0" borderId="6" xfId="8" applyNumberFormat="1" applyFont="1" applyFill="1" applyBorder="1"/>
    <xf numFmtId="189" fontId="32" fillId="3" borderId="6" xfId="8" applyNumberFormat="1" applyFont="1" applyFill="1" applyBorder="1" applyAlignment="1">
      <alignment horizontal="center"/>
    </xf>
    <xf numFmtId="189" fontId="32" fillId="6" borderId="6" xfId="8" applyNumberFormat="1" applyFont="1" applyFill="1" applyBorder="1" applyAlignment="1">
      <alignment horizontal="center"/>
    </xf>
    <xf numFmtId="189" fontId="32" fillId="0" borderId="6" xfId="8" applyNumberFormat="1" applyFont="1" applyFill="1" applyBorder="1" applyAlignment="1">
      <alignment horizontal="center"/>
    </xf>
    <xf numFmtId="190" fontId="32" fillId="3" borderId="6" xfId="8" applyNumberFormat="1" applyFont="1" applyFill="1" applyBorder="1" applyAlignment="1">
      <alignment horizontal="center"/>
    </xf>
    <xf numFmtId="190" fontId="32" fillId="6" borderId="6" xfId="8" applyNumberFormat="1" applyFont="1" applyFill="1" applyBorder="1" applyAlignment="1">
      <alignment horizontal="center"/>
    </xf>
    <xf numFmtId="190" fontId="32" fillId="0" borderId="6" xfId="8" applyNumberFormat="1" applyFont="1" applyFill="1" applyBorder="1" applyAlignment="1">
      <alignment horizontal="center"/>
    </xf>
    <xf numFmtId="3" fontId="90" fillId="3" borderId="6" xfId="8" applyNumberFormat="1" applyFont="1" applyFill="1" applyBorder="1" applyAlignment="1">
      <alignment horizontal="center"/>
    </xf>
    <xf numFmtId="0" fontId="4" fillId="6" borderId="13" xfId="8" applyFont="1" applyFill="1" applyBorder="1"/>
    <xf numFmtId="0" fontId="23" fillId="6" borderId="13" xfId="8" applyFont="1" applyFill="1" applyBorder="1"/>
    <xf numFmtId="189" fontId="32" fillId="3" borderId="13" xfId="8" applyNumberFormat="1" applyFont="1" applyFill="1" applyBorder="1" applyAlignment="1">
      <alignment horizontal="center"/>
    </xf>
    <xf numFmtId="189" fontId="32" fillId="6" borderId="13" xfId="8" applyNumberFormat="1" applyFont="1" applyFill="1" applyBorder="1" applyAlignment="1">
      <alignment horizontal="center"/>
    </xf>
    <xf numFmtId="189" fontId="32" fillId="0" borderId="13" xfId="8" applyNumberFormat="1" applyFont="1" applyFill="1" applyBorder="1" applyAlignment="1">
      <alignment horizontal="center"/>
    </xf>
    <xf numFmtId="190" fontId="32" fillId="3" borderId="13" xfId="8" applyNumberFormat="1" applyFont="1" applyFill="1" applyBorder="1" applyAlignment="1">
      <alignment horizontal="center"/>
    </xf>
    <xf numFmtId="190" fontId="32" fillId="6" borderId="13" xfId="8" applyNumberFormat="1" applyFont="1" applyFill="1" applyBorder="1" applyAlignment="1">
      <alignment horizontal="center"/>
    </xf>
    <xf numFmtId="190" fontId="32" fillId="0" borderId="13" xfId="8" applyNumberFormat="1" applyFont="1" applyFill="1" applyBorder="1" applyAlignment="1">
      <alignment horizontal="center"/>
    </xf>
    <xf numFmtId="3" fontId="90" fillId="3" borderId="13" xfId="8" applyNumberFormat="1" applyFont="1" applyFill="1" applyBorder="1" applyAlignment="1">
      <alignment horizontal="center"/>
    </xf>
    <xf numFmtId="0" fontId="4" fillId="0" borderId="4" xfId="8" applyFont="1" applyBorder="1"/>
    <xf numFmtId="0" fontId="23" fillId="0" borderId="4" xfId="8" applyFont="1" applyBorder="1"/>
    <xf numFmtId="189" fontId="23" fillId="0" borderId="4" xfId="8" applyNumberFormat="1" applyFont="1" applyBorder="1" applyAlignment="1">
      <alignment horizontal="right"/>
    </xf>
    <xf numFmtId="189" fontId="23" fillId="0" borderId="4" xfId="8" applyNumberFormat="1" applyFont="1" applyFill="1" applyBorder="1" applyAlignment="1">
      <alignment horizontal="right"/>
    </xf>
    <xf numFmtId="190" fontId="23" fillId="0" borderId="4" xfId="8" applyNumberFormat="1" applyFont="1" applyFill="1" applyBorder="1" applyAlignment="1">
      <alignment horizontal="right"/>
    </xf>
    <xf numFmtId="190" fontId="23" fillId="0" borderId="4" xfId="8" applyNumberFormat="1" applyFont="1" applyBorder="1" applyAlignment="1">
      <alignment horizontal="right"/>
    </xf>
    <xf numFmtId="3" fontId="73" fillId="0" borderId="4" xfId="8" applyNumberFormat="1" applyFont="1" applyBorder="1" applyAlignment="1">
      <alignment horizontal="right"/>
    </xf>
    <xf numFmtId="0" fontId="23" fillId="0" borderId="0" xfId="8" applyFont="1" applyBorder="1"/>
    <xf numFmtId="189" fontId="23" fillId="0" borderId="0" xfId="8" applyNumberFormat="1" applyFont="1" applyBorder="1" applyAlignment="1">
      <alignment horizontal="right"/>
    </xf>
    <xf numFmtId="189" fontId="23" fillId="0" borderId="0" xfId="8" applyNumberFormat="1" applyFont="1" applyFill="1" applyBorder="1" applyAlignment="1">
      <alignment horizontal="right"/>
    </xf>
    <xf numFmtId="190" fontId="23" fillId="0" borderId="0" xfId="8" applyNumberFormat="1" applyFont="1" applyFill="1" applyBorder="1" applyAlignment="1">
      <alignment horizontal="right"/>
    </xf>
    <xf numFmtId="190" fontId="23" fillId="0" borderId="0" xfId="8" applyNumberFormat="1" applyFont="1" applyBorder="1" applyAlignment="1">
      <alignment horizontal="right"/>
    </xf>
    <xf numFmtId="3" fontId="73" fillId="0" borderId="0" xfId="8" applyNumberFormat="1" applyFont="1" applyBorder="1" applyAlignment="1">
      <alignment horizontal="right"/>
    </xf>
    <xf numFmtId="3" fontId="23" fillId="3" borderId="6" xfId="8" applyNumberFormat="1" applyFont="1" applyFill="1" applyBorder="1" applyAlignment="1">
      <alignment horizontal="right"/>
    </xf>
    <xf numFmtId="0" fontId="4" fillId="5" borderId="0" xfId="8" applyFont="1" applyFill="1"/>
    <xf numFmtId="3" fontId="4" fillId="3" borderId="6" xfId="8" applyNumberFormat="1" applyFont="1" applyFill="1" applyBorder="1"/>
    <xf numFmtId="189" fontId="4" fillId="3" borderId="6" xfId="8" applyNumberFormat="1" applyFont="1" applyFill="1" applyBorder="1" applyAlignment="1">
      <alignment horizontal="left"/>
    </xf>
    <xf numFmtId="189" fontId="23" fillId="3" borderId="6" xfId="8" applyNumberFormat="1" applyFont="1" applyFill="1" applyBorder="1" applyAlignment="1">
      <alignment horizontal="center"/>
    </xf>
    <xf numFmtId="189" fontId="23" fillId="3" borderId="13" xfId="8" applyNumberFormat="1" applyFont="1" applyFill="1" applyBorder="1" applyAlignment="1">
      <alignment horizontal="center"/>
    </xf>
    <xf numFmtId="0" fontId="4" fillId="0" borderId="0" xfId="8" applyFont="1" applyFill="1"/>
    <xf numFmtId="3" fontId="73" fillId="0" borderId="4" xfId="8" applyNumberFormat="1" applyFont="1" applyFill="1" applyBorder="1" applyAlignment="1">
      <alignment horizontal="right"/>
    </xf>
    <xf numFmtId="189" fontId="4" fillId="0" borderId="0" xfId="8" applyNumberFormat="1" applyFont="1" applyBorder="1"/>
    <xf numFmtId="189" fontId="4" fillId="0" borderId="0" xfId="8" applyNumberFormat="1" applyFont="1" applyFill="1" applyBorder="1"/>
    <xf numFmtId="190" fontId="4" fillId="0" borderId="0" xfId="8" applyNumberFormat="1" applyFont="1" applyFill="1" applyBorder="1"/>
    <xf numFmtId="190" fontId="4" fillId="0" borderId="0" xfId="8" applyNumberFormat="1" applyFont="1" applyBorder="1"/>
    <xf numFmtId="3" fontId="26" fillId="0" borderId="0" xfId="8" applyNumberFormat="1" applyFont="1" applyBorder="1"/>
    <xf numFmtId="0" fontId="18" fillId="6" borderId="13" xfId="8" applyFont="1" applyFill="1" applyBorder="1"/>
    <xf numFmtId="189" fontId="18" fillId="3" borderId="13" xfId="8" applyNumberFormat="1" applyFont="1" applyFill="1" applyBorder="1" applyAlignment="1">
      <alignment horizontal="center"/>
    </xf>
    <xf numFmtId="189" fontId="18" fillId="6" borderId="13" xfId="8" applyNumberFormat="1" applyFont="1" applyFill="1" applyBorder="1" applyAlignment="1">
      <alignment horizontal="center"/>
    </xf>
    <xf numFmtId="189" fontId="18" fillId="0" borderId="13" xfId="8" applyNumberFormat="1" applyFont="1" applyFill="1" applyBorder="1" applyAlignment="1">
      <alignment horizontal="center"/>
    </xf>
    <xf numFmtId="190" fontId="18" fillId="3" borderId="13" xfId="8" applyNumberFormat="1" applyFont="1" applyFill="1" applyBorder="1" applyAlignment="1">
      <alignment horizontal="center"/>
    </xf>
    <xf numFmtId="190" fontId="18" fillId="6" borderId="13" xfId="8" applyNumberFormat="1" applyFont="1" applyFill="1" applyBorder="1" applyAlignment="1">
      <alignment horizontal="center"/>
    </xf>
    <xf numFmtId="190" fontId="18" fillId="0" borderId="13" xfId="8" applyNumberFormat="1" applyFont="1" applyFill="1" applyBorder="1" applyAlignment="1">
      <alignment horizontal="center"/>
    </xf>
    <xf numFmtId="3" fontId="54" fillId="3" borderId="13" xfId="8" applyNumberFormat="1" applyFont="1" applyFill="1" applyBorder="1" applyAlignment="1">
      <alignment horizontal="center"/>
    </xf>
    <xf numFmtId="189" fontId="4" fillId="0" borderId="10" xfId="8" applyNumberFormat="1" applyFont="1" applyBorder="1"/>
    <xf numFmtId="189" fontId="4" fillId="0" borderId="10" xfId="8" applyNumberFormat="1" applyFont="1" applyFill="1" applyBorder="1"/>
    <xf numFmtId="0" fontId="92" fillId="0" borderId="0" xfId="8" applyFont="1"/>
    <xf numFmtId="0" fontId="93" fillId="0" borderId="0" xfId="8" applyFont="1" applyFill="1"/>
    <xf numFmtId="49" fontId="4" fillId="0" borderId="0" xfId="8" applyNumberFormat="1" applyFont="1" applyBorder="1"/>
    <xf numFmtId="0" fontId="4" fillId="0" borderId="0" xfId="8" applyFont="1" applyFill="1" applyBorder="1"/>
    <xf numFmtId="1" fontId="4" fillId="0" borderId="0" xfId="8" applyNumberFormat="1" applyFont="1" applyFill="1" applyBorder="1" applyAlignment="1">
      <alignment horizontal="left"/>
    </xf>
    <xf numFmtId="0" fontId="92" fillId="0" borderId="0" xfId="8" applyFont="1" applyFill="1"/>
    <xf numFmtId="0" fontId="46" fillId="0" borderId="0" xfId="8" applyFont="1"/>
    <xf numFmtId="0" fontId="2" fillId="0" borderId="4" xfId="0" applyFont="1" applyFill="1" applyBorder="1" applyAlignment="1">
      <alignment vertical="top"/>
    </xf>
    <xf numFmtId="0" fontId="0" fillId="0" borderId="4" xfId="0" applyFill="1" applyBorder="1" applyAlignment="1"/>
    <xf numFmtId="0" fontId="0" fillId="0" borderId="0" xfId="0" applyFill="1" applyBorder="1" applyAlignment="1"/>
    <xf numFmtId="0" fontId="3" fillId="6" borderId="3" xfId="0" applyFont="1" applyFill="1" applyBorder="1" applyAlignment="1">
      <alignment horizontal="right" vertical="center"/>
    </xf>
    <xf numFmtId="0" fontId="5" fillId="11" borderId="30" xfId="0" applyFont="1" applyFill="1" applyBorder="1" applyAlignment="1">
      <alignment horizontal="left" vertical="top"/>
    </xf>
    <xf numFmtId="0" fontId="3" fillId="11" borderId="0" xfId="0" applyFont="1" applyFill="1" applyBorder="1" applyAlignment="1">
      <alignment horizontal="right" vertical="top"/>
    </xf>
    <xf numFmtId="0" fontId="3" fillId="11" borderId="0" xfId="0" applyFont="1" applyFill="1" applyBorder="1" applyAlignment="1">
      <alignment horizontal="right"/>
    </xf>
    <xf numFmtId="0" fontId="5" fillId="6" borderId="0" xfId="0" applyFont="1" applyFill="1" applyBorder="1" applyAlignment="1">
      <alignment horizontal="left"/>
    </xf>
    <xf numFmtId="0" fontId="5" fillId="3" borderId="31" xfId="0" applyFont="1" applyFill="1" applyBorder="1" applyAlignment="1">
      <alignment horizontal="left"/>
    </xf>
    <xf numFmtId="0" fontId="3" fillId="6" borderId="0" xfId="0" applyFont="1" applyFill="1" applyBorder="1" applyAlignment="1">
      <alignment horizontal="right" vertical="center"/>
    </xf>
    <xf numFmtId="0" fontId="5" fillId="3" borderId="30" xfId="0" applyFont="1" applyFill="1" applyBorder="1" applyAlignment="1">
      <alignment horizontal="left" vertical="top"/>
    </xf>
    <xf numFmtId="0" fontId="5" fillId="6" borderId="0" xfId="0" applyFont="1" applyFill="1" applyBorder="1" applyAlignment="1">
      <alignment horizontal="left" vertical="top"/>
    </xf>
    <xf numFmtId="0" fontId="3" fillId="3" borderId="30" xfId="0" applyFont="1" applyFill="1" applyBorder="1" applyAlignment="1">
      <alignment horizontal="right" vertical="center"/>
    </xf>
    <xf numFmtId="0" fontId="3" fillId="6" borderId="0" xfId="0" quotePrefix="1" applyFont="1" applyFill="1" applyBorder="1" applyAlignment="1">
      <alignment horizontal="right" vertical="center"/>
    </xf>
    <xf numFmtId="0" fontId="18" fillId="6" borderId="0" xfId="0" applyFont="1" applyFill="1" applyBorder="1" applyAlignment="1">
      <alignment horizontal="right" vertical="center"/>
    </xf>
    <xf numFmtId="0" fontId="18" fillId="3" borderId="0" xfId="0" applyFont="1" applyFill="1" applyBorder="1" applyAlignment="1">
      <alignment horizontal="right" vertical="center"/>
    </xf>
    <xf numFmtId="0" fontId="4" fillId="6" borderId="0" xfId="0" applyFont="1" applyFill="1" applyAlignment="1">
      <alignment vertical="center"/>
    </xf>
    <xf numFmtId="0" fontId="3" fillId="3" borderId="30" xfId="0" applyFont="1" applyFill="1" applyBorder="1" applyAlignment="1">
      <alignment horizontal="left" vertical="center"/>
    </xf>
    <xf numFmtId="0" fontId="18" fillId="3" borderId="30" xfId="0" applyFont="1" applyFill="1" applyBorder="1" applyAlignment="1">
      <alignment horizontal="left" vertical="center"/>
    </xf>
    <xf numFmtId="0" fontId="3" fillId="3" borderId="0" xfId="0" applyFont="1" applyFill="1" applyBorder="1" applyAlignment="1">
      <alignment horizontal="right" vertical="center"/>
    </xf>
    <xf numFmtId="1" fontId="3" fillId="3" borderId="32" xfId="0" applyNumberFormat="1" applyFont="1" applyFill="1" applyBorder="1" applyAlignment="1">
      <alignment horizontal="left"/>
    </xf>
    <xf numFmtId="3" fontId="3" fillId="6" borderId="32" xfId="0" applyNumberFormat="1" applyFont="1" applyFill="1" applyBorder="1" applyAlignment="1">
      <alignment horizontal="right"/>
    </xf>
    <xf numFmtId="190" fontId="3" fillId="3" borderId="33" xfId="0" applyNumberFormat="1" applyFont="1" applyFill="1" applyBorder="1" applyAlignment="1">
      <alignment horizontal="right"/>
    </xf>
    <xf numFmtId="190" fontId="3" fillId="6" borderId="32" xfId="0" applyNumberFormat="1" applyFont="1" applyFill="1" applyBorder="1" applyAlignment="1">
      <alignment horizontal="right"/>
    </xf>
    <xf numFmtId="190" fontId="3" fillId="3" borderId="32" xfId="0" applyNumberFormat="1" applyFont="1" applyFill="1" applyBorder="1" applyAlignment="1">
      <alignment horizontal="right"/>
    </xf>
    <xf numFmtId="190" fontId="3" fillId="6" borderId="34" xfId="0" applyNumberFormat="1" applyFont="1" applyFill="1" applyBorder="1" applyAlignment="1">
      <alignment horizontal="right"/>
    </xf>
    <xf numFmtId="190" fontId="3" fillId="6" borderId="35" xfId="0" applyNumberFormat="1" applyFont="1" applyFill="1" applyBorder="1" applyAlignment="1">
      <alignment horizontal="right"/>
    </xf>
    <xf numFmtId="190" fontId="5" fillId="3" borderId="36" xfId="0" applyNumberFormat="1" applyFont="1" applyFill="1" applyBorder="1" applyAlignment="1">
      <alignment horizontal="right" vertical="center"/>
    </xf>
    <xf numFmtId="190" fontId="5" fillId="6" borderId="32" xfId="0" applyNumberFormat="1" applyFont="1" applyFill="1" applyBorder="1" applyAlignment="1">
      <alignment horizontal="right" vertical="center"/>
    </xf>
    <xf numFmtId="190" fontId="5" fillId="3" borderId="32" xfId="0" applyNumberFormat="1" applyFont="1" applyFill="1" applyBorder="1" applyAlignment="1">
      <alignment horizontal="right" vertical="center"/>
    </xf>
    <xf numFmtId="0" fontId="8" fillId="0" borderId="0" xfId="0" applyFont="1" applyBorder="1" applyAlignment="1">
      <alignment vertical="center"/>
    </xf>
    <xf numFmtId="190" fontId="5" fillId="3" borderId="37" xfId="0" applyNumberFormat="1" applyFont="1" applyFill="1" applyBorder="1" applyAlignment="1">
      <alignment horizontal="right" vertical="center"/>
    </xf>
    <xf numFmtId="1" fontId="8" fillId="0" borderId="0" xfId="0" applyNumberFormat="1" applyFont="1" applyFill="1" applyBorder="1" applyAlignment="1">
      <alignment horizontal="left"/>
    </xf>
    <xf numFmtId="0" fontId="4" fillId="0" borderId="0" xfId="0" quotePrefix="1" applyFont="1" applyAlignment="1"/>
    <xf numFmtId="0" fontId="1" fillId="7" borderId="4" xfId="0" applyFont="1" applyFill="1" applyBorder="1" applyAlignment="1">
      <alignment horizontal="right"/>
    </xf>
    <xf numFmtId="0" fontId="3" fillId="3" borderId="0" xfId="0" applyFont="1" applyFill="1" applyBorder="1" applyAlignment="1">
      <alignment horizontal="left" vertical="top" wrapText="1"/>
    </xf>
    <xf numFmtId="0" fontId="3" fillId="6" borderId="0" xfId="0" applyFont="1" applyFill="1" applyBorder="1" applyAlignment="1">
      <alignment horizontal="right" vertical="top" wrapText="1"/>
    </xf>
    <xf numFmtId="0" fontId="3" fillId="3" borderId="0" xfId="0" applyFont="1" applyFill="1" applyBorder="1" applyAlignment="1">
      <alignment horizontal="right" vertical="top" wrapText="1"/>
    </xf>
    <xf numFmtId="0" fontId="4" fillId="0" borderId="0" xfId="0" applyFont="1" applyAlignment="1">
      <alignment vertical="top" wrapText="1"/>
    </xf>
    <xf numFmtId="1" fontId="2" fillId="7" borderId="0" xfId="0" applyNumberFormat="1" applyFont="1" applyFill="1" applyBorder="1" applyAlignment="1">
      <alignment horizontal="left" vertical="center"/>
    </xf>
    <xf numFmtId="189" fontId="3" fillId="7" borderId="4" xfId="0" applyNumberFormat="1" applyFont="1" applyFill="1" applyBorder="1" applyAlignment="1">
      <alignment horizontal="right"/>
    </xf>
    <xf numFmtId="0" fontId="3" fillId="3" borderId="3" xfId="0" applyFont="1" applyFill="1" applyBorder="1" applyAlignment="1">
      <alignment horizontal="left" vertical="top" wrapText="1"/>
    </xf>
    <xf numFmtId="0" fontId="3" fillId="6" borderId="3" xfId="0" applyFont="1" applyFill="1" applyBorder="1" applyAlignment="1">
      <alignment horizontal="right" vertical="top" wrapText="1"/>
    </xf>
    <xf numFmtId="0" fontId="3" fillId="3" borderId="3" xfId="0" applyFont="1" applyFill="1" applyBorder="1" applyAlignment="1">
      <alignment horizontal="right" vertical="top" wrapText="1"/>
    </xf>
    <xf numFmtId="1" fontId="5" fillId="3" borderId="8" xfId="0" applyNumberFormat="1" applyFont="1" applyFill="1" applyBorder="1" applyAlignment="1">
      <alignment horizontal="left" vertical="center"/>
    </xf>
    <xf numFmtId="0" fontId="2" fillId="0" borderId="0" xfId="0" applyFont="1" applyFill="1" applyBorder="1" applyAlignment="1">
      <alignment vertical="top"/>
    </xf>
    <xf numFmtId="0" fontId="5" fillId="6" borderId="31" xfId="0" applyFont="1" applyFill="1" applyBorder="1" applyAlignment="1">
      <alignment horizontal="left"/>
    </xf>
    <xf numFmtId="0" fontId="3" fillId="6" borderId="30" xfId="0" applyFont="1" applyFill="1" applyBorder="1" applyAlignment="1">
      <alignment horizontal="right" vertical="center"/>
    </xf>
    <xf numFmtId="0" fontId="3" fillId="0" borderId="0" xfId="0" applyFont="1" applyFill="1" applyBorder="1" applyAlignment="1">
      <alignment horizontal="right" vertical="center"/>
    </xf>
    <xf numFmtId="0" fontId="3" fillId="6" borderId="4" xfId="0" applyFont="1" applyFill="1" applyBorder="1" applyAlignment="1">
      <alignment horizontal="right" vertical="center"/>
    </xf>
    <xf numFmtId="0" fontId="3" fillId="3" borderId="4" xfId="0" applyFont="1" applyFill="1" applyBorder="1" applyAlignment="1">
      <alignment horizontal="right" vertical="center"/>
    </xf>
    <xf numFmtId="1" fontId="3" fillId="3" borderId="5" xfId="0" applyNumberFormat="1" applyFont="1" applyFill="1" applyBorder="1" applyAlignment="1">
      <alignment horizontal="left"/>
    </xf>
    <xf numFmtId="189" fontId="3" fillId="6" borderId="38" xfId="0" applyNumberFormat="1" applyFont="1" applyFill="1" applyBorder="1" applyAlignment="1">
      <alignment horizontal="right"/>
    </xf>
    <xf numFmtId="1" fontId="3" fillId="3" borderId="13" xfId="0" applyNumberFormat="1" applyFont="1" applyFill="1" applyBorder="1" applyAlignment="1">
      <alignment horizontal="left"/>
    </xf>
    <xf numFmtId="189" fontId="3" fillId="3" borderId="13" xfId="0" applyNumberFormat="1" applyFont="1" applyFill="1" applyBorder="1" applyAlignment="1">
      <alignment horizontal="right"/>
    </xf>
    <xf numFmtId="189" fontId="3" fillId="6" borderId="13" xfId="0" applyNumberFormat="1" applyFont="1" applyFill="1" applyBorder="1" applyAlignment="1">
      <alignment horizontal="right"/>
    </xf>
    <xf numFmtId="189" fontId="3" fillId="6" borderId="39" xfId="0" applyNumberFormat="1" applyFont="1" applyFill="1" applyBorder="1" applyAlignment="1">
      <alignment horizontal="right"/>
    </xf>
    <xf numFmtId="189" fontId="3" fillId="6" borderId="40" xfId="0" applyNumberFormat="1" applyFont="1" applyFill="1" applyBorder="1" applyAlignment="1">
      <alignment horizontal="right"/>
    </xf>
    <xf numFmtId="189" fontId="3" fillId="6" borderId="41" xfId="0" applyNumberFormat="1" applyFont="1" applyFill="1" applyBorder="1" applyAlignment="1">
      <alignment horizontal="right"/>
    </xf>
    <xf numFmtId="1" fontId="5" fillId="3" borderId="13" xfId="0" applyNumberFormat="1" applyFont="1" applyFill="1" applyBorder="1" applyAlignment="1">
      <alignment horizontal="left"/>
    </xf>
    <xf numFmtId="189" fontId="5" fillId="6" borderId="13" xfId="0" applyNumberFormat="1" applyFont="1" applyFill="1" applyBorder="1" applyAlignment="1">
      <alignment horizontal="right"/>
    </xf>
    <xf numFmtId="189" fontId="5" fillId="3" borderId="13" xfId="0" applyNumberFormat="1" applyFont="1" applyFill="1" applyBorder="1" applyAlignment="1">
      <alignment horizontal="right"/>
    </xf>
    <xf numFmtId="189" fontId="5" fillId="6" borderId="41" xfId="0" applyNumberFormat="1" applyFont="1" applyFill="1" applyBorder="1" applyAlignment="1">
      <alignment horizontal="right"/>
    </xf>
    <xf numFmtId="189" fontId="5" fillId="0" borderId="0" xfId="0" applyNumberFormat="1" applyFont="1" applyFill="1" applyBorder="1" applyAlignment="1">
      <alignment horizontal="right"/>
    </xf>
    <xf numFmtId="1" fontId="3" fillId="3" borderId="8" xfId="0" applyNumberFormat="1" applyFont="1" applyFill="1" applyBorder="1" applyAlignment="1">
      <alignment horizontal="left" vertical="center"/>
    </xf>
    <xf numFmtId="189" fontId="43" fillId="6" borderId="8" xfId="0" applyNumberFormat="1" applyFont="1" applyFill="1" applyBorder="1" applyAlignment="1">
      <alignment horizontal="right" vertical="center"/>
    </xf>
    <xf numFmtId="189" fontId="3" fillId="3" borderId="8" xfId="0" applyNumberFormat="1" applyFont="1" applyFill="1" applyBorder="1" applyAlignment="1">
      <alignment horizontal="right" vertical="center"/>
    </xf>
    <xf numFmtId="189" fontId="3" fillId="6" borderId="8" xfId="0" applyNumberFormat="1" applyFont="1" applyFill="1" applyBorder="1" applyAlignment="1">
      <alignment horizontal="right" vertical="center"/>
    </xf>
    <xf numFmtId="189" fontId="3" fillId="6" borderId="37" xfId="0" applyNumberFormat="1" applyFont="1" applyFill="1" applyBorder="1" applyAlignment="1">
      <alignment horizontal="right" vertical="center"/>
    </xf>
    <xf numFmtId="189" fontId="3" fillId="0" borderId="0" xfId="0" applyNumberFormat="1" applyFont="1" applyFill="1" applyBorder="1" applyAlignment="1">
      <alignment horizontal="right" vertical="center"/>
    </xf>
    <xf numFmtId="1" fontId="3" fillId="0" borderId="0" xfId="0" applyNumberFormat="1" applyFont="1" applyFill="1" applyBorder="1" applyAlignment="1">
      <alignment horizontal="left"/>
    </xf>
    <xf numFmtId="1" fontId="2" fillId="0" borderId="0" xfId="0" applyNumberFormat="1" applyFont="1" applyFill="1" applyBorder="1" applyAlignment="1">
      <alignment horizontal="left"/>
    </xf>
    <xf numFmtId="1" fontId="3" fillId="0" borderId="4" xfId="0" applyNumberFormat="1" applyFont="1" applyFill="1" applyBorder="1" applyAlignment="1">
      <alignment horizontal="left"/>
    </xf>
    <xf numFmtId="189" fontId="3" fillId="0" borderId="4" xfId="0" applyNumberFormat="1" applyFont="1" applyFill="1" applyBorder="1" applyAlignment="1">
      <alignment horizontal="right"/>
    </xf>
    <xf numFmtId="190" fontId="3" fillId="0" borderId="4" xfId="0" applyNumberFormat="1" applyFont="1" applyFill="1" applyBorder="1" applyAlignment="1">
      <alignment horizontal="right"/>
    </xf>
    <xf numFmtId="0" fontId="4" fillId="6" borderId="0" xfId="0" applyFont="1" applyFill="1" applyAlignment="1">
      <alignment horizontal="right"/>
    </xf>
    <xf numFmtId="0" fontId="4" fillId="6" borderId="0" xfId="0" applyFont="1" applyFill="1" applyBorder="1" applyAlignment="1">
      <alignment horizontal="right" vertical="center"/>
    </xf>
    <xf numFmtId="0" fontId="3" fillId="6" borderId="42" xfId="0" applyFont="1" applyFill="1" applyBorder="1" applyAlignment="1">
      <alignment horizontal="right" vertical="center"/>
    </xf>
    <xf numFmtId="0" fontId="4" fillId="6" borderId="4" xfId="0" applyFont="1" applyFill="1" applyBorder="1" applyAlignment="1">
      <alignment horizontal="right" vertical="top"/>
    </xf>
    <xf numFmtId="190" fontId="3" fillId="6" borderId="40" xfId="0" applyNumberFormat="1" applyFont="1" applyFill="1" applyBorder="1" applyAlignment="1">
      <alignment horizontal="right"/>
    </xf>
    <xf numFmtId="190" fontId="3" fillId="6" borderId="39" xfId="0" applyNumberFormat="1" applyFont="1" applyFill="1" applyBorder="1" applyAlignment="1">
      <alignment horizontal="right"/>
    </xf>
    <xf numFmtId="190" fontId="3" fillId="6" borderId="13" xfId="0" applyNumberFormat="1" applyFont="1" applyFill="1" applyBorder="1" applyAlignment="1">
      <alignment horizontal="right"/>
    </xf>
    <xf numFmtId="0" fontId="37" fillId="0" borderId="0" xfId="0" applyFont="1" applyBorder="1"/>
    <xf numFmtId="190" fontId="5" fillId="6" borderId="9" xfId="0" applyNumberFormat="1" applyFont="1" applyFill="1" applyBorder="1" applyAlignment="1">
      <alignment horizontal="right"/>
    </xf>
    <xf numFmtId="190" fontId="5" fillId="3" borderId="6" xfId="0" applyNumberFormat="1" applyFont="1" applyFill="1" applyBorder="1" applyAlignment="1">
      <alignment horizontal="right"/>
    </xf>
    <xf numFmtId="190" fontId="5" fillId="6" borderId="6" xfId="0" applyNumberFormat="1" applyFont="1" applyFill="1" applyBorder="1" applyAlignment="1">
      <alignment horizontal="right"/>
    </xf>
    <xf numFmtId="190" fontId="5" fillId="6" borderId="39" xfId="0" applyNumberFormat="1" applyFont="1" applyFill="1" applyBorder="1" applyAlignment="1">
      <alignment horizontal="right"/>
    </xf>
    <xf numFmtId="0" fontId="13" fillId="0" borderId="0" xfId="0" applyFont="1" applyBorder="1"/>
    <xf numFmtId="190" fontId="5" fillId="6" borderId="13" xfId="0" applyNumberFormat="1" applyFont="1" applyFill="1" applyBorder="1" applyAlignment="1">
      <alignment horizontal="right"/>
    </xf>
    <xf numFmtId="190" fontId="43" fillId="6" borderId="6" xfId="0" applyNumberFormat="1" applyFont="1" applyFill="1" applyBorder="1" applyAlignment="1">
      <alignment horizontal="right" vertical="center"/>
    </xf>
    <xf numFmtId="190" fontId="3" fillId="3" borderId="6" xfId="0" applyNumberFormat="1" applyFont="1" applyFill="1" applyBorder="1" applyAlignment="1">
      <alignment horizontal="right" vertical="center"/>
    </xf>
    <xf numFmtId="190" fontId="3" fillId="6" borderId="6" xfId="0" applyNumberFormat="1" applyFont="1" applyFill="1" applyBorder="1" applyAlignment="1">
      <alignment horizontal="right" vertical="center"/>
    </xf>
    <xf numFmtId="190" fontId="3" fillId="6" borderId="39" xfId="0" applyNumberFormat="1" applyFont="1" applyFill="1" applyBorder="1" applyAlignment="1">
      <alignment horizontal="right" vertical="center"/>
    </xf>
    <xf numFmtId="0" fontId="0" fillId="0" borderId="0" xfId="0" applyBorder="1" applyAlignment="1">
      <alignment vertical="center"/>
    </xf>
    <xf numFmtId="188" fontId="0" fillId="0" borderId="0" xfId="0" applyNumberFormat="1" applyFill="1"/>
    <xf numFmtId="0" fontId="18" fillId="0" borderId="7" xfId="0" applyFont="1" applyBorder="1"/>
    <xf numFmtId="0" fontId="2" fillId="0" borderId="0" xfId="0" applyFont="1" applyFill="1" applyAlignment="1">
      <alignment horizontal="center" vertical="top"/>
    </xf>
    <xf numFmtId="190" fontId="43" fillId="3" borderId="6" xfId="0" applyNumberFormat="1" applyFont="1" applyFill="1" applyBorder="1" applyAlignment="1">
      <alignment horizontal="center"/>
    </xf>
    <xf numFmtId="190" fontId="50" fillId="3" borderId="6" xfId="0" applyNumberFormat="1" applyFont="1" applyFill="1" applyBorder="1" applyAlignment="1">
      <alignment horizontal="center" vertical="center"/>
    </xf>
    <xf numFmtId="0" fontId="26" fillId="0" borderId="0" xfId="0" applyFont="1" applyBorder="1"/>
    <xf numFmtId="0" fontId="1" fillId="7" borderId="0" xfId="0" applyFont="1" applyFill="1" applyBorder="1" applyAlignment="1">
      <alignment horizontal="right"/>
    </xf>
    <xf numFmtId="0" fontId="5" fillId="3" borderId="4" xfId="0" applyFont="1" applyFill="1" applyBorder="1" applyAlignment="1">
      <alignment horizontal="right"/>
    </xf>
    <xf numFmtId="0" fontId="5" fillId="6" borderId="0" xfId="0" applyFont="1" applyFill="1" applyBorder="1" applyAlignment="1">
      <alignment horizontal="right" wrapText="1"/>
    </xf>
    <xf numFmtId="0" fontId="5" fillId="6" borderId="42" xfId="0" applyFont="1" applyFill="1" applyBorder="1" applyAlignment="1">
      <alignment horizontal="left"/>
    </xf>
    <xf numFmtId="0" fontId="3" fillId="6" borderId="30" xfId="0" applyFont="1" applyFill="1" applyBorder="1" applyAlignment="1">
      <alignment horizontal="right"/>
    </xf>
    <xf numFmtId="0" fontId="3" fillId="6" borderId="30" xfId="0" applyFont="1" applyFill="1" applyBorder="1" applyAlignment="1">
      <alignment horizontal="right" vertical="top"/>
    </xf>
    <xf numFmtId="0" fontId="3" fillId="6" borderId="42" xfId="0" applyFont="1" applyFill="1" applyBorder="1" applyAlignment="1">
      <alignment horizontal="right" vertical="top"/>
    </xf>
    <xf numFmtId="189" fontId="3" fillId="6" borderId="9" xfId="0" quotePrefix="1" applyNumberFormat="1" applyFont="1" applyFill="1" applyBorder="1" applyAlignment="1">
      <alignment horizontal="right"/>
    </xf>
    <xf numFmtId="189" fontId="3" fillId="3" borderId="9" xfId="0" quotePrefix="1" applyNumberFormat="1" applyFont="1" applyFill="1" applyBorder="1" applyAlignment="1">
      <alignment horizontal="right"/>
    </xf>
    <xf numFmtId="189" fontId="3" fillId="6" borderId="40" xfId="0" quotePrefix="1" applyNumberFormat="1" applyFont="1" applyFill="1" applyBorder="1" applyAlignment="1">
      <alignment horizontal="right"/>
    </xf>
    <xf numFmtId="189" fontId="3" fillId="6" borderId="5" xfId="0" quotePrefix="1" applyNumberFormat="1" applyFont="1" applyFill="1" applyBorder="1" applyAlignment="1">
      <alignment horizontal="right"/>
    </xf>
    <xf numFmtId="189" fontId="43" fillId="6" borderId="5" xfId="0" quotePrefix="1" applyNumberFormat="1" applyFont="1" applyFill="1" applyBorder="1" applyAlignment="1">
      <alignment horizontal="right"/>
    </xf>
    <xf numFmtId="189" fontId="43" fillId="3" borderId="9" xfId="0" quotePrefix="1" applyNumberFormat="1" applyFont="1" applyFill="1" applyBorder="1" applyAlignment="1">
      <alignment horizontal="right"/>
    </xf>
    <xf numFmtId="189" fontId="3" fillId="6" borderId="38" xfId="0" quotePrefix="1" applyNumberFormat="1" applyFont="1" applyFill="1" applyBorder="1" applyAlignment="1">
      <alignment horizontal="right"/>
    </xf>
    <xf numFmtId="189" fontId="43" fillId="3" borderId="9" xfId="0" applyNumberFormat="1" applyFont="1" applyFill="1" applyBorder="1" applyAlignment="1">
      <alignment horizontal="right"/>
    </xf>
    <xf numFmtId="189" fontId="43" fillId="3" borderId="5" xfId="0" quotePrefix="1" applyNumberFormat="1" applyFont="1" applyFill="1" applyBorder="1" applyAlignment="1">
      <alignment horizontal="right"/>
    </xf>
    <xf numFmtId="189" fontId="5" fillId="6" borderId="5" xfId="0" quotePrefix="1" applyNumberFormat="1" applyFont="1" applyFill="1" applyBorder="1" applyAlignment="1">
      <alignment horizontal="right" vertical="center"/>
    </xf>
    <xf numFmtId="189" fontId="5" fillId="3" borderId="9" xfId="0" applyNumberFormat="1" applyFont="1" applyFill="1" applyBorder="1" applyAlignment="1">
      <alignment horizontal="right" vertical="center"/>
    </xf>
    <xf numFmtId="189" fontId="5" fillId="6" borderId="43" xfId="0" quotePrefix="1" applyNumberFormat="1" applyFont="1" applyFill="1" applyBorder="1" applyAlignment="1">
      <alignment horizontal="right" vertical="center"/>
    </xf>
    <xf numFmtId="0" fontId="13" fillId="0" borderId="0" xfId="0" applyFont="1" applyBorder="1" applyAlignment="1">
      <alignment vertical="center"/>
    </xf>
    <xf numFmtId="1" fontId="95" fillId="0" borderId="0" xfId="0" applyNumberFormat="1" applyFont="1" applyFill="1" applyBorder="1" applyAlignment="1">
      <alignment horizontal="left"/>
    </xf>
    <xf numFmtId="0" fontId="5" fillId="6" borderId="30" xfId="0" applyFont="1" applyFill="1" applyBorder="1" applyAlignment="1">
      <alignment horizontal="left"/>
    </xf>
    <xf numFmtId="0" fontId="5" fillId="3" borderId="0" xfId="0" applyFont="1" applyFill="1" applyBorder="1" applyAlignment="1">
      <alignment horizontal="right" wrapText="1"/>
    </xf>
    <xf numFmtId="189" fontId="5" fillId="6" borderId="44" xfId="0" applyNumberFormat="1" applyFont="1" applyFill="1" applyBorder="1" applyAlignment="1">
      <alignment horizontal="right" vertical="center"/>
    </xf>
    <xf numFmtId="0" fontId="3" fillId="3" borderId="29" xfId="0" applyFont="1" applyFill="1" applyBorder="1" applyAlignment="1">
      <alignment horizontal="left" vertical="center"/>
    </xf>
    <xf numFmtId="0" fontId="3" fillId="6" borderId="29" xfId="0" applyFont="1" applyFill="1" applyBorder="1" applyAlignment="1">
      <alignment vertical="center"/>
    </xf>
    <xf numFmtId="0" fontId="3" fillId="3" borderId="29" xfId="0" applyFont="1" applyFill="1" applyBorder="1" applyAlignment="1">
      <alignment vertical="center"/>
    </xf>
    <xf numFmtId="190" fontId="50" fillId="6" borderId="8" xfId="0" applyNumberFormat="1" applyFont="1" applyFill="1" applyBorder="1" applyAlignment="1">
      <alignment horizontal="right" vertical="center"/>
    </xf>
    <xf numFmtId="1" fontId="3" fillId="7" borderId="45" xfId="0" applyNumberFormat="1" applyFont="1" applyFill="1" applyBorder="1" applyAlignment="1">
      <alignment horizontal="left"/>
    </xf>
    <xf numFmtId="0" fontId="4" fillId="7" borderId="45" xfId="0" applyFont="1" applyFill="1" applyBorder="1"/>
    <xf numFmtId="0" fontId="4" fillId="0" borderId="45" xfId="0" applyFont="1" applyBorder="1"/>
    <xf numFmtId="1" fontId="5" fillId="3" borderId="9" xfId="0" applyNumberFormat="1" applyFont="1" applyFill="1" applyBorder="1" applyAlignment="1">
      <alignment horizontal="left" vertical="center"/>
    </xf>
    <xf numFmtId="190" fontId="5" fillId="6" borderId="10" xfId="0" applyNumberFormat="1" applyFont="1" applyFill="1" applyBorder="1" applyAlignment="1">
      <alignment horizontal="right" vertical="center"/>
    </xf>
    <xf numFmtId="190" fontId="5" fillId="3" borderId="10" xfId="0" applyNumberFormat="1" applyFont="1" applyFill="1" applyBorder="1" applyAlignment="1">
      <alignment horizontal="right" vertical="center"/>
    </xf>
    <xf numFmtId="1" fontId="3" fillId="7" borderId="7" xfId="0" applyNumberFormat="1" applyFont="1" applyFill="1" applyBorder="1" applyAlignment="1">
      <alignment horizontal="left"/>
    </xf>
    <xf numFmtId="1" fontId="3" fillId="7" borderId="0" xfId="0" applyNumberFormat="1" applyFont="1" applyFill="1" applyBorder="1" applyAlignment="1">
      <alignment horizontal="left"/>
    </xf>
    <xf numFmtId="3" fontId="4" fillId="7" borderId="45" xfId="0" applyNumberFormat="1" applyFont="1" applyFill="1" applyBorder="1"/>
    <xf numFmtId="3" fontId="4" fillId="0" borderId="45" xfId="0" applyNumberFormat="1" applyFont="1" applyBorder="1"/>
    <xf numFmtId="1" fontId="5" fillId="3" borderId="28" xfId="0" applyNumberFormat="1" applyFont="1" applyFill="1" applyBorder="1" applyAlignment="1">
      <alignment horizontal="left" vertical="center"/>
    </xf>
    <xf numFmtId="3" fontId="5" fillId="6" borderId="28" xfId="0" applyNumberFormat="1" applyFont="1" applyFill="1" applyBorder="1" applyAlignment="1">
      <alignment horizontal="right" vertical="center"/>
    </xf>
    <xf numFmtId="3" fontId="5" fillId="3" borderId="28" xfId="0" applyNumberFormat="1" applyFont="1" applyFill="1" applyBorder="1" applyAlignment="1">
      <alignment horizontal="right" vertical="center"/>
    </xf>
    <xf numFmtId="3" fontId="5" fillId="3" borderId="10" xfId="0" applyNumberFormat="1" applyFont="1" applyFill="1" applyBorder="1" applyAlignment="1">
      <alignment horizontal="right" vertical="center"/>
    </xf>
    <xf numFmtId="0" fontId="3" fillId="15" borderId="3" xfId="0" applyFont="1" applyFill="1" applyBorder="1" applyAlignment="1">
      <alignment horizontal="right" vertical="center"/>
    </xf>
    <xf numFmtId="0" fontId="3" fillId="15" borderId="0" xfId="0" applyFont="1" applyFill="1" applyBorder="1" applyAlignment="1">
      <alignment horizontal="right" vertical="center"/>
    </xf>
    <xf numFmtId="0" fontId="3" fillId="15" borderId="4" xfId="0" applyFont="1" applyFill="1" applyBorder="1" applyAlignment="1">
      <alignment horizontal="right" vertical="top"/>
    </xf>
    <xf numFmtId="3" fontId="3" fillId="15" borderId="9" xfId="0" applyNumberFormat="1" applyFont="1" applyFill="1" applyBorder="1" applyAlignment="1">
      <alignment horizontal="right"/>
    </xf>
    <xf numFmtId="3" fontId="3" fillId="15" borderId="6" xfId="0" applyNumberFormat="1" applyFont="1" applyFill="1" applyBorder="1" applyAlignment="1">
      <alignment horizontal="right"/>
    </xf>
    <xf numFmtId="3" fontId="5" fillId="15" borderId="0" xfId="0" applyNumberFormat="1" applyFont="1" applyFill="1" applyBorder="1" applyAlignment="1">
      <alignment horizontal="right" vertical="center"/>
    </xf>
    <xf numFmtId="189" fontId="50" fillId="6" borderId="0" xfId="0" applyNumberFormat="1" applyFont="1" applyFill="1" applyBorder="1" applyAlignment="1">
      <alignment horizontal="right" vertical="center"/>
    </xf>
    <xf numFmtId="190" fontId="50" fillId="3" borderId="0" xfId="0" applyNumberFormat="1" applyFont="1" applyFill="1" applyBorder="1" applyAlignment="1">
      <alignment horizontal="center" vertical="center"/>
    </xf>
    <xf numFmtId="190" fontId="43" fillId="6" borderId="6" xfId="0" applyNumberFormat="1" applyFont="1" applyFill="1" applyBorder="1" applyAlignment="1">
      <alignment horizontal="center"/>
    </xf>
    <xf numFmtId="1" fontId="43" fillId="3" borderId="6" xfId="0" applyNumberFormat="1" applyFont="1" applyFill="1" applyBorder="1" applyAlignment="1">
      <alignment horizontal="left"/>
    </xf>
    <xf numFmtId="189" fontId="43" fillId="3" borderId="8" xfId="0" applyNumberFormat="1" applyFont="1" applyFill="1" applyBorder="1" applyAlignment="1">
      <alignment horizontal="right"/>
    </xf>
    <xf numFmtId="190" fontId="43" fillId="6" borderId="8" xfId="0" applyNumberFormat="1" applyFont="1" applyFill="1" applyBorder="1" applyAlignment="1">
      <alignment horizontal="center"/>
    </xf>
    <xf numFmtId="189" fontId="3" fillId="7" borderId="7" xfId="0" applyNumberFormat="1" applyFont="1" applyFill="1" applyBorder="1" applyAlignment="1">
      <alignment horizontal="center"/>
    </xf>
    <xf numFmtId="189" fontId="3" fillId="7" borderId="0" xfId="0" applyNumberFormat="1" applyFont="1" applyFill="1" applyBorder="1" applyAlignment="1">
      <alignment horizontal="center"/>
    </xf>
    <xf numFmtId="0" fontId="2" fillId="7" borderId="0" xfId="0" applyFont="1" applyFill="1" applyAlignment="1">
      <alignment horizontal="center" vertical="center"/>
    </xf>
    <xf numFmtId="0" fontId="3" fillId="3" borderId="0" xfId="0" applyFont="1" applyFill="1" applyBorder="1" applyAlignment="1">
      <alignment horizontal="center" vertical="top"/>
    </xf>
    <xf numFmtId="0" fontId="3" fillId="6" borderId="0" xfId="0" applyFont="1" applyFill="1" applyBorder="1" applyAlignment="1">
      <alignment horizontal="center" vertical="top"/>
    </xf>
    <xf numFmtId="4" fontId="3" fillId="3" borderId="9" xfId="0" applyNumberFormat="1" applyFont="1" applyFill="1" applyBorder="1" applyAlignment="1">
      <alignment horizontal="right"/>
    </xf>
    <xf numFmtId="4" fontId="3" fillId="6" borderId="9" xfId="0" applyNumberFormat="1" applyFont="1" applyFill="1" applyBorder="1" applyAlignment="1">
      <alignment horizontal="right"/>
    </xf>
    <xf numFmtId="4" fontId="3" fillId="3" borderId="6" xfId="0" applyNumberFormat="1" applyFont="1" applyFill="1" applyBorder="1" applyAlignment="1">
      <alignment horizontal="right"/>
    </xf>
    <xf numFmtId="4" fontId="3" fillId="6" borderId="5" xfId="0" applyNumberFormat="1" applyFont="1" applyFill="1" applyBorder="1" applyAlignment="1">
      <alignment horizontal="right"/>
    </xf>
    <xf numFmtId="2" fontId="5" fillId="3" borderId="0" xfId="0" applyNumberFormat="1" applyFont="1" applyFill="1" applyBorder="1" applyAlignment="1">
      <alignment horizontal="right" vertical="center"/>
    </xf>
    <xf numFmtId="2" fontId="5" fillId="6" borderId="0" xfId="0" applyNumberFormat="1" applyFont="1" applyFill="1" applyBorder="1" applyAlignment="1">
      <alignment horizontal="right" vertical="center"/>
    </xf>
    <xf numFmtId="0" fontId="1" fillId="7" borderId="0" xfId="0" applyFont="1" applyFill="1" applyAlignment="1">
      <alignment horizontal="center"/>
    </xf>
    <xf numFmtId="0" fontId="3" fillId="6" borderId="3" xfId="0" applyFont="1" applyFill="1" applyBorder="1" applyAlignment="1">
      <alignment horizontal="center" vertical="center"/>
    </xf>
    <xf numFmtId="0" fontId="3" fillId="6" borderId="0" xfId="0" applyFont="1" applyFill="1" applyBorder="1" applyAlignment="1">
      <alignment horizontal="center" vertical="center"/>
    </xf>
    <xf numFmtId="4" fontId="3" fillId="6" borderId="3" xfId="0" applyNumberFormat="1" applyFont="1" applyFill="1" applyBorder="1" applyAlignment="1">
      <alignment horizontal="right"/>
    </xf>
    <xf numFmtId="0" fontId="3" fillId="6" borderId="3" xfId="0" applyNumberFormat="1" applyFont="1" applyFill="1" applyBorder="1" applyAlignment="1">
      <alignment horizontal="center"/>
    </xf>
    <xf numFmtId="4" fontId="3" fillId="3" borderId="3" xfId="0" applyNumberFormat="1" applyFont="1" applyFill="1" applyBorder="1" applyAlignment="1">
      <alignment horizontal="right"/>
    </xf>
    <xf numFmtId="4" fontId="3" fillId="6" borderId="48" xfId="0" applyNumberFormat="1" applyFont="1" applyFill="1" applyBorder="1" applyAlignment="1">
      <alignment horizontal="right"/>
    </xf>
    <xf numFmtId="3" fontId="3" fillId="3" borderId="48" xfId="0" applyNumberFormat="1" applyFont="1" applyFill="1" applyBorder="1" applyAlignment="1">
      <alignment horizontal="right"/>
    </xf>
    <xf numFmtId="0" fontId="3" fillId="6" borderId="48" xfId="0" applyNumberFormat="1" applyFont="1" applyFill="1" applyBorder="1" applyAlignment="1">
      <alignment horizontal="center"/>
    </xf>
    <xf numFmtId="4" fontId="3" fillId="3" borderId="48" xfId="0" applyNumberFormat="1" applyFont="1" applyFill="1" applyBorder="1" applyAlignment="1">
      <alignment horizontal="right"/>
    </xf>
    <xf numFmtId="4" fontId="5" fillId="6" borderId="9" xfId="0" applyNumberFormat="1" applyFont="1" applyFill="1" applyBorder="1" applyAlignment="1">
      <alignment horizontal="right" vertical="center"/>
    </xf>
    <xf numFmtId="4" fontId="5" fillId="6" borderId="10" xfId="0" applyNumberFormat="1" applyFont="1" applyFill="1" applyBorder="1" applyAlignment="1">
      <alignment horizontal="center" vertical="center"/>
    </xf>
    <xf numFmtId="4" fontId="5" fillId="3" borderId="10" xfId="0" applyNumberFormat="1" applyFont="1" applyFill="1" applyBorder="1" applyAlignment="1">
      <alignment horizontal="right" vertical="center"/>
    </xf>
    <xf numFmtId="189" fontId="3" fillId="0" borderId="0" xfId="0" applyNumberFormat="1" applyFont="1" applyFill="1" applyBorder="1" applyAlignment="1">
      <alignment horizontal="center"/>
    </xf>
    <xf numFmtId="0" fontId="4" fillId="0" borderId="0" xfId="0" applyFont="1" applyFill="1" applyBorder="1" applyAlignment="1">
      <alignment horizontal="right"/>
    </xf>
    <xf numFmtId="0" fontId="2" fillId="0" borderId="0" xfId="0" applyFont="1" applyBorder="1" applyAlignment="1">
      <alignment vertical="top" wrapText="1"/>
    </xf>
    <xf numFmtId="0" fontId="0" fillId="0" borderId="0" xfId="0" applyAlignment="1">
      <alignment wrapText="1"/>
    </xf>
    <xf numFmtId="0" fontId="0" fillId="0" borderId="0" xfId="0" applyBorder="1" applyAlignment="1">
      <alignment wrapText="1"/>
    </xf>
    <xf numFmtId="3" fontId="3" fillId="15" borderId="0" xfId="0" applyNumberFormat="1" applyFont="1" applyFill="1" applyBorder="1" applyAlignment="1">
      <alignment horizontal="right"/>
    </xf>
    <xf numFmtId="3" fontId="3" fillId="15" borderId="4" xfId="0" applyNumberFormat="1" applyFont="1" applyFill="1" applyBorder="1" applyAlignment="1">
      <alignment horizontal="right" vertical="top"/>
    </xf>
    <xf numFmtId="190" fontId="3" fillId="15" borderId="9" xfId="0" applyNumberFormat="1" applyFont="1" applyFill="1" applyBorder="1" applyAlignment="1">
      <alignment horizontal="right"/>
    </xf>
    <xf numFmtId="190" fontId="50" fillId="15" borderId="9" xfId="0" applyNumberFormat="1" applyFont="1" applyFill="1" applyBorder="1" applyAlignment="1">
      <alignment horizontal="right"/>
    </xf>
    <xf numFmtId="190" fontId="5" fillId="15" borderId="8" xfId="0" applyNumberFormat="1" applyFont="1" applyFill="1" applyBorder="1" applyAlignment="1">
      <alignment horizontal="right" vertical="center"/>
    </xf>
    <xf numFmtId="3" fontId="107" fillId="15" borderId="0" xfId="0" applyNumberFormat="1" applyFont="1" applyFill="1" applyBorder="1" applyAlignment="1">
      <alignment horizontal="right"/>
    </xf>
    <xf numFmtId="0" fontId="107" fillId="15" borderId="4" xfId="0" applyFont="1" applyFill="1" applyBorder="1" applyAlignment="1">
      <alignment horizontal="center" vertical="top"/>
    </xf>
    <xf numFmtId="3" fontId="107" fillId="15" borderId="9" xfId="0" applyNumberFormat="1" applyFont="1" applyFill="1" applyBorder="1" applyAlignment="1">
      <alignment horizontal="right"/>
    </xf>
    <xf numFmtId="3" fontId="110" fillId="15" borderId="9" xfId="0" applyNumberFormat="1" applyFont="1" applyFill="1" applyBorder="1" applyAlignment="1">
      <alignment horizontal="right"/>
    </xf>
    <xf numFmtId="3" fontId="109" fillId="15" borderId="6" xfId="0" applyNumberFormat="1" applyFont="1" applyFill="1" applyBorder="1" applyAlignment="1">
      <alignment horizontal="right" vertical="center"/>
    </xf>
    <xf numFmtId="3" fontId="107" fillId="6" borderId="0" xfId="0" applyNumberFormat="1" applyFont="1" applyFill="1" applyBorder="1" applyAlignment="1">
      <alignment horizontal="right"/>
    </xf>
    <xf numFmtId="3" fontId="107" fillId="6" borderId="4" xfId="0" applyNumberFormat="1" applyFont="1" applyFill="1" applyBorder="1" applyAlignment="1">
      <alignment horizontal="right" vertical="top"/>
    </xf>
    <xf numFmtId="3" fontId="107" fillId="6" borderId="9" xfId="0" applyNumberFormat="1" applyFont="1" applyFill="1" applyBorder="1" applyAlignment="1">
      <alignment horizontal="right"/>
    </xf>
    <xf numFmtId="3" fontId="110" fillId="6" borderId="9" xfId="0" applyNumberFormat="1" applyFont="1" applyFill="1" applyBorder="1" applyAlignment="1">
      <alignment horizontal="right"/>
    </xf>
    <xf numFmtId="3" fontId="109" fillId="6" borderId="8" xfId="0" applyNumberFormat="1" applyFont="1" applyFill="1" applyBorder="1" applyAlignment="1">
      <alignment horizontal="right" vertical="center"/>
    </xf>
    <xf numFmtId="2" fontId="18" fillId="0" borderId="0" xfId="5" applyNumberFormat="1" applyFont="1"/>
    <xf numFmtId="0" fontId="4" fillId="0" borderId="0" xfId="10" applyFont="1"/>
    <xf numFmtId="0" fontId="18" fillId="0" borderId="0" xfId="5" applyFont="1" applyFill="1"/>
    <xf numFmtId="0" fontId="18" fillId="0" borderId="0" xfId="5" applyFont="1" applyAlignment="1"/>
    <xf numFmtId="0" fontId="22" fillId="0" borderId="4" xfId="0" applyFont="1" applyBorder="1" applyAlignment="1"/>
    <xf numFmtId="190" fontId="3" fillId="15" borderId="3" xfId="0" applyNumberFormat="1" applyFont="1" applyFill="1" applyBorder="1" applyAlignment="1">
      <alignment horizontal="right"/>
    </xf>
    <xf numFmtId="190" fontId="3" fillId="15" borderId="0" xfId="0" applyNumberFormat="1" applyFont="1" applyFill="1" applyBorder="1" applyAlignment="1">
      <alignment horizontal="right"/>
    </xf>
    <xf numFmtId="190" fontId="3" fillId="15" borderId="4" xfId="0" applyNumberFormat="1" applyFont="1" applyFill="1" applyBorder="1" applyAlignment="1">
      <alignment horizontal="right" vertical="top"/>
    </xf>
    <xf numFmtId="190" fontId="3" fillId="15" borderId="9" xfId="0" applyNumberFormat="1" applyFont="1" applyFill="1" applyBorder="1" applyAlignment="1">
      <alignment vertical="center"/>
    </xf>
    <xf numFmtId="190" fontId="5" fillId="15" borderId="8" xfId="0" applyNumberFormat="1" applyFont="1" applyFill="1" applyBorder="1" applyAlignment="1">
      <alignment vertical="center"/>
    </xf>
    <xf numFmtId="0" fontId="8" fillId="14" borderId="0" xfId="0" applyFont="1" applyFill="1" applyAlignment="1">
      <alignment horizontal="center" vertical="center"/>
    </xf>
    <xf numFmtId="0" fontId="3" fillId="3" borderId="28" xfId="0" applyFont="1" applyFill="1" applyBorder="1" applyAlignment="1">
      <alignment vertical="center"/>
    </xf>
    <xf numFmtId="3" fontId="3" fillId="6" borderId="28" xfId="0" applyNumberFormat="1" applyFont="1" applyFill="1" applyBorder="1" applyAlignment="1">
      <alignment vertical="center"/>
    </xf>
    <xf numFmtId="3" fontId="3" fillId="3" borderId="28" xfId="0" applyNumberFormat="1" applyFont="1" applyFill="1" applyBorder="1" applyAlignment="1">
      <alignment vertical="center"/>
    </xf>
    <xf numFmtId="190" fontId="3" fillId="15" borderId="28" xfId="0" applyNumberFormat="1" applyFont="1" applyFill="1" applyBorder="1" applyAlignment="1">
      <alignment vertical="center"/>
    </xf>
    <xf numFmtId="0" fontId="43" fillId="3" borderId="28" xfId="0" applyFont="1" applyFill="1" applyBorder="1" applyAlignment="1">
      <alignment vertical="center"/>
    </xf>
    <xf numFmtId="3" fontId="43" fillId="6" borderId="28" xfId="0" applyNumberFormat="1" applyFont="1" applyFill="1" applyBorder="1" applyAlignment="1">
      <alignment vertical="center"/>
    </xf>
    <xf numFmtId="3" fontId="43" fillId="3" borderId="28" xfId="0" applyNumberFormat="1" applyFont="1" applyFill="1" applyBorder="1" applyAlignment="1">
      <alignment vertical="center"/>
    </xf>
    <xf numFmtId="190" fontId="43" fillId="15" borderId="28" xfId="0" applyNumberFormat="1" applyFont="1" applyFill="1" applyBorder="1" applyAlignment="1">
      <alignment vertical="center"/>
    </xf>
    <xf numFmtId="0" fontId="0" fillId="14" borderId="0" xfId="0" applyFill="1"/>
    <xf numFmtId="0" fontId="25" fillId="14" borderId="0" xfId="0" applyFont="1" applyFill="1" applyAlignment="1">
      <alignment horizontal="right"/>
    </xf>
    <xf numFmtId="190" fontId="43" fillId="0" borderId="0" xfId="0" applyNumberFormat="1" applyFont="1" applyFill="1" applyBorder="1" applyAlignment="1">
      <alignment vertical="center"/>
    </xf>
    <xf numFmtId="0" fontId="8" fillId="0" borderId="0" xfId="0" applyFont="1" applyFill="1" applyAlignment="1">
      <alignment horizontal="center" vertical="center"/>
    </xf>
    <xf numFmtId="0" fontId="5" fillId="3" borderId="10" xfId="0" applyFont="1" applyFill="1" applyBorder="1" applyAlignment="1">
      <alignment vertical="center"/>
    </xf>
    <xf numFmtId="3" fontId="5" fillId="6" borderId="10" xfId="0" applyNumberFormat="1" applyFont="1" applyFill="1" applyBorder="1" applyAlignment="1">
      <alignment vertical="center"/>
    </xf>
    <xf numFmtId="3" fontId="5" fillId="3" borderId="10" xfId="0" applyNumberFormat="1" applyFont="1" applyFill="1" applyBorder="1" applyAlignment="1">
      <alignment vertical="center"/>
    </xf>
    <xf numFmtId="0" fontId="25" fillId="0" borderId="0" xfId="0" applyFont="1" applyFill="1" applyAlignment="1">
      <alignment horizontal="right"/>
    </xf>
    <xf numFmtId="0" fontId="0" fillId="0" borderId="0" xfId="0" applyFont="1" applyAlignment="1"/>
    <xf numFmtId="3" fontId="50" fillId="3" borderId="0" xfId="0" applyNumberFormat="1" applyFont="1" applyFill="1" applyBorder="1" applyAlignment="1">
      <alignment horizontal="right" vertical="center"/>
    </xf>
    <xf numFmtId="4" fontId="3" fillId="6" borderId="28" xfId="0" applyNumberFormat="1" applyFont="1" applyFill="1" applyBorder="1" applyAlignment="1">
      <alignment vertical="center"/>
    </xf>
    <xf numFmtId="4" fontId="3" fillId="3" borderId="28" xfId="0" applyNumberFormat="1" applyFont="1" applyFill="1" applyBorder="1" applyAlignment="1">
      <alignment vertical="center"/>
    </xf>
    <xf numFmtId="190" fontId="43" fillId="3" borderId="28" xfId="0" applyNumberFormat="1" applyFont="1" applyFill="1" applyBorder="1" applyAlignment="1">
      <alignment horizontal="right" vertical="center"/>
    </xf>
    <xf numFmtId="0" fontId="4" fillId="16" borderId="0" xfId="0" applyFont="1" applyFill="1"/>
    <xf numFmtId="0" fontId="2" fillId="0" borderId="0" xfId="0" applyFont="1" applyAlignment="1">
      <alignment wrapText="1"/>
    </xf>
    <xf numFmtId="0" fontId="5" fillId="3" borderId="3" xfId="0" applyFont="1" applyFill="1" applyBorder="1" applyAlignment="1">
      <alignment horizontal="left" vertical="center"/>
    </xf>
    <xf numFmtId="0" fontId="5" fillId="6" borderId="3" xfId="0" applyFont="1" applyFill="1" applyBorder="1" applyAlignment="1">
      <alignment horizontal="right" vertical="center"/>
    </xf>
    <xf numFmtId="0" fontId="5" fillId="3" borderId="3" xfId="0" applyFont="1" applyFill="1" applyBorder="1" applyAlignment="1">
      <alignment horizontal="right" vertical="center"/>
    </xf>
    <xf numFmtId="0" fontId="5" fillId="3" borderId="28" xfId="0" applyFont="1" applyFill="1" applyBorder="1" applyAlignment="1">
      <alignment vertical="center"/>
    </xf>
    <xf numFmtId="3" fontId="5" fillId="3" borderId="28" xfId="0" applyNumberFormat="1" applyFont="1" applyFill="1" applyBorder="1" applyAlignment="1">
      <alignment vertical="center"/>
    </xf>
    <xf numFmtId="0" fontId="2" fillId="0" borderId="0" xfId="9" applyFont="1"/>
    <xf numFmtId="0" fontId="100" fillId="0" borderId="0" xfId="9"/>
    <xf numFmtId="0" fontId="18" fillId="0" borderId="0" xfId="9" applyFont="1" applyAlignment="1"/>
    <xf numFmtId="0" fontId="18" fillId="0" borderId="0" xfId="3" applyFont="1"/>
    <xf numFmtId="0" fontId="100" fillId="0" borderId="0" xfId="9" applyAlignment="1"/>
    <xf numFmtId="0" fontId="18" fillId="0" borderId="0" xfId="3" applyFont="1" applyAlignment="1"/>
    <xf numFmtId="2" fontId="18" fillId="0" borderId="0" xfId="9" quotePrefix="1" applyNumberFormat="1" applyFont="1"/>
    <xf numFmtId="0" fontId="18" fillId="0" borderId="0" xfId="9" quotePrefix="1" applyFont="1" applyAlignment="1">
      <alignment horizontal="right"/>
    </xf>
    <xf numFmtId="0" fontId="23" fillId="0" borderId="0" xfId="9" applyFont="1"/>
    <xf numFmtId="0" fontId="3" fillId="6" borderId="0" xfId="0" applyNumberFormat="1" applyFont="1" applyFill="1" applyBorder="1" applyAlignment="1">
      <alignment horizontal="right"/>
    </xf>
    <xf numFmtId="0" fontId="3" fillId="3" borderId="0" xfId="0" applyNumberFormat="1" applyFont="1" applyFill="1" applyBorder="1" applyAlignment="1">
      <alignment horizontal="right"/>
    </xf>
    <xf numFmtId="188" fontId="3" fillId="6" borderId="5" xfId="0" applyNumberFormat="1" applyFont="1" applyFill="1" applyBorder="1" applyAlignment="1">
      <alignment horizontal="left"/>
    </xf>
    <xf numFmtId="188" fontId="3" fillId="6" borderId="6" xfId="0" applyNumberFormat="1" applyFont="1" applyFill="1" applyBorder="1" applyAlignment="1">
      <alignment horizontal="left"/>
    </xf>
    <xf numFmtId="3" fontId="18" fillId="0" borderId="7" xfId="0" applyNumberFormat="1" applyFont="1" applyBorder="1" applyAlignment="1">
      <alignment horizontal="left" vertical="center"/>
    </xf>
    <xf numFmtId="0" fontId="5" fillId="0" borderId="0" xfId="9" applyFont="1"/>
    <xf numFmtId="0" fontId="4" fillId="0" borderId="0" xfId="9" applyFont="1"/>
    <xf numFmtId="0" fontId="1" fillId="0" borderId="0" xfId="9" applyFont="1"/>
    <xf numFmtId="0" fontId="101" fillId="0" borderId="46" xfId="9" applyFont="1" applyBorder="1" applyAlignment="1">
      <alignment horizontal="justify" vertical="top" wrapText="1"/>
    </xf>
    <xf numFmtId="0" fontId="52" fillId="0" borderId="17" xfId="9" applyFont="1" applyBorder="1" applyAlignment="1">
      <alignment vertical="top" wrapText="1"/>
    </xf>
    <xf numFmtId="0" fontId="52" fillId="0" borderId="18" xfId="9" applyFont="1" applyBorder="1" applyAlignment="1">
      <alignment horizontal="right" vertical="top" wrapText="1"/>
    </xf>
    <xf numFmtId="0" fontId="4" fillId="0" borderId="19" xfId="9" applyFont="1" applyBorder="1" applyAlignment="1">
      <alignment vertical="top" wrapText="1"/>
    </xf>
    <xf numFmtId="0" fontId="52" fillId="0" borderId="18" xfId="9" applyFont="1" applyBorder="1" applyAlignment="1">
      <alignment horizontal="justify" vertical="top" wrapText="1"/>
    </xf>
    <xf numFmtId="0" fontId="52" fillId="0" borderId="19" xfId="9" applyFont="1" applyBorder="1" applyAlignment="1">
      <alignment vertical="top" wrapText="1"/>
    </xf>
    <xf numFmtId="0" fontId="4" fillId="0" borderId="18" xfId="9" applyFont="1" applyBorder="1" applyAlignment="1">
      <alignment horizontal="justify" vertical="top" wrapText="1"/>
    </xf>
    <xf numFmtId="0" fontId="4" fillId="0" borderId="19" xfId="9" applyFont="1" applyBorder="1" applyAlignment="1">
      <alignment horizontal="justify" vertical="top" wrapText="1"/>
    </xf>
    <xf numFmtId="9" fontId="4" fillId="0" borderId="19" xfId="9" applyNumberFormat="1" applyFont="1" applyBorder="1" applyAlignment="1">
      <alignment horizontal="justify" vertical="top" wrapText="1"/>
    </xf>
    <xf numFmtId="0" fontId="4" fillId="0" borderId="0" xfId="9" applyFont="1" applyAlignment="1">
      <alignment horizontal="justify"/>
    </xf>
    <xf numFmtId="0" fontId="52" fillId="0" borderId="21" xfId="9" applyFont="1" applyBorder="1" applyAlignment="1">
      <alignment vertical="top" wrapText="1"/>
    </xf>
    <xf numFmtId="0" fontId="52" fillId="0" borderId="16" xfId="9" applyFont="1" applyBorder="1" applyAlignment="1">
      <alignment horizontal="right" vertical="top" wrapText="1"/>
    </xf>
    <xf numFmtId="0" fontId="4" fillId="0" borderId="17" xfId="9" applyFont="1" applyBorder="1" applyAlignment="1">
      <alignment vertical="top" wrapText="1"/>
    </xf>
    <xf numFmtId="0" fontId="8" fillId="3" borderId="18" xfId="9" applyFont="1" applyFill="1" applyBorder="1" applyAlignment="1">
      <alignment horizontal="justify" vertical="top" wrapText="1"/>
    </xf>
    <xf numFmtId="0" fontId="4" fillId="3" borderId="18" xfId="9" applyFont="1" applyFill="1" applyBorder="1" applyAlignment="1">
      <alignment horizontal="justify" vertical="top" wrapText="1"/>
    </xf>
    <xf numFmtId="9" fontId="52" fillId="3" borderId="19" xfId="9" applyNumberFormat="1" applyFont="1" applyFill="1" applyBorder="1" applyAlignment="1">
      <alignment horizontal="justify" vertical="top" wrapText="1"/>
    </xf>
    <xf numFmtId="0" fontId="4" fillId="0" borderId="2" xfId="9" applyFont="1" applyBorder="1" applyAlignment="1">
      <alignment vertical="top" wrapText="1"/>
    </xf>
    <xf numFmtId="0" fontId="4" fillId="0" borderId="22" xfId="9" applyFont="1" applyBorder="1" applyAlignment="1">
      <alignment vertical="top" wrapText="1"/>
    </xf>
    <xf numFmtId="0" fontId="52" fillId="0" borderId="15" xfId="9" applyFont="1" applyBorder="1" applyAlignment="1">
      <alignment vertical="top" wrapText="1"/>
    </xf>
    <xf numFmtId="0" fontId="26" fillId="3" borderId="19" xfId="9" applyFont="1" applyFill="1" applyBorder="1" applyAlignment="1">
      <alignment vertical="top" wrapText="1"/>
    </xf>
    <xf numFmtId="0" fontId="4" fillId="0" borderId="18" xfId="9" applyFont="1" applyFill="1" applyBorder="1" applyAlignment="1">
      <alignment horizontal="justify" vertical="top" wrapText="1"/>
    </xf>
    <xf numFmtId="0" fontId="4" fillId="0" borderId="19" xfId="9" applyFont="1" applyBorder="1" applyAlignment="1">
      <alignment horizontal="right" vertical="top" wrapText="1"/>
    </xf>
    <xf numFmtId="0" fontId="52" fillId="3" borderId="19" xfId="9" applyFont="1" applyFill="1" applyBorder="1" applyAlignment="1">
      <alignment horizontal="right" vertical="top" wrapText="1"/>
    </xf>
    <xf numFmtId="0" fontId="52" fillId="0" borderId="21" xfId="9" applyFont="1" applyBorder="1" applyAlignment="1">
      <alignment horizontal="left" vertical="top" wrapText="1"/>
    </xf>
    <xf numFmtId="0" fontId="4" fillId="3" borderId="17" xfId="9" applyFont="1" applyFill="1" applyBorder="1" applyAlignment="1">
      <alignment vertical="top" wrapText="1"/>
    </xf>
    <xf numFmtId="0" fontId="26" fillId="0" borderId="19" xfId="9" applyFont="1" applyBorder="1" applyAlignment="1">
      <alignment vertical="top" wrapText="1"/>
    </xf>
    <xf numFmtId="0" fontId="52" fillId="3" borderId="18" xfId="9" applyFont="1" applyFill="1" applyBorder="1" applyAlignment="1">
      <alignment horizontal="justify" vertical="top" wrapText="1"/>
    </xf>
    <xf numFmtId="0" fontId="18" fillId="0" borderId="0" xfId="9" applyFont="1" applyAlignment="1">
      <alignment horizontal="justify"/>
    </xf>
    <xf numFmtId="0" fontId="52" fillId="3" borderId="17" xfId="9" applyFont="1" applyFill="1" applyBorder="1" applyAlignment="1">
      <alignment vertical="top" wrapText="1"/>
    </xf>
    <xf numFmtId="9" fontId="4" fillId="0" borderId="19" xfId="9" applyNumberFormat="1" applyFont="1" applyFill="1" applyBorder="1" applyAlignment="1">
      <alignment horizontal="justify" vertical="top" wrapText="1"/>
    </xf>
    <xf numFmtId="0" fontId="4" fillId="0" borderId="19" xfId="9" applyFont="1" applyFill="1" applyBorder="1" applyAlignment="1">
      <alignment horizontal="right" vertical="top" wrapText="1"/>
    </xf>
    <xf numFmtId="0" fontId="26" fillId="0" borderId="17" xfId="9" applyFont="1" applyFill="1" applyBorder="1" applyAlignment="1">
      <alignment vertical="top" wrapText="1"/>
    </xf>
    <xf numFmtId="0" fontId="52" fillId="3" borderId="19" xfId="9" applyFont="1" applyFill="1" applyBorder="1" applyAlignment="1">
      <alignment vertical="top" wrapText="1"/>
    </xf>
    <xf numFmtId="0" fontId="8" fillId="0" borderId="19" xfId="9" applyFont="1" applyBorder="1" applyAlignment="1">
      <alignment horizontal="right" vertical="top" wrapText="1"/>
    </xf>
    <xf numFmtId="0" fontId="23" fillId="0" borderId="0" xfId="9" applyFont="1" applyAlignment="1">
      <alignment horizontal="justify"/>
    </xf>
    <xf numFmtId="0" fontId="18" fillId="0" borderId="0" xfId="9" applyFont="1"/>
    <xf numFmtId="0" fontId="101" fillId="3" borderId="0" xfId="9" applyFont="1" applyFill="1"/>
    <xf numFmtId="0" fontId="3" fillId="0" borderId="0" xfId="9" applyFont="1"/>
    <xf numFmtId="0" fontId="52" fillId="0" borderId="46" xfId="9" applyFont="1" applyBorder="1" applyAlignment="1">
      <alignment vertical="top" wrapText="1"/>
    </xf>
    <xf numFmtId="0" fontId="52" fillId="3" borderId="15" xfId="9" applyFont="1" applyFill="1" applyBorder="1" applyAlignment="1">
      <alignment vertical="top" wrapText="1"/>
    </xf>
    <xf numFmtId="9" fontId="8" fillId="3" borderId="19" xfId="9" applyNumberFormat="1" applyFont="1" applyFill="1" applyBorder="1" applyAlignment="1">
      <alignment horizontal="justify" vertical="top" wrapText="1"/>
    </xf>
    <xf numFmtId="0" fontId="52" fillId="0" borderId="19" xfId="9" applyFont="1" applyFill="1" applyBorder="1" applyAlignment="1">
      <alignment horizontal="right" vertical="top" wrapText="1"/>
    </xf>
    <xf numFmtId="0" fontId="5" fillId="0" borderId="0" xfId="0" applyFont="1"/>
    <xf numFmtId="0" fontId="103" fillId="0" borderId="0" xfId="0" applyFont="1" applyAlignment="1">
      <alignment wrapText="1"/>
    </xf>
    <xf numFmtId="0" fontId="8" fillId="0" borderId="0" xfId="0" applyFont="1" applyAlignment="1">
      <alignment wrapText="1"/>
    </xf>
    <xf numFmtId="0" fontId="104" fillId="0" borderId="0" xfId="0" applyFont="1" applyAlignment="1">
      <alignment wrapText="1"/>
    </xf>
    <xf numFmtId="0" fontId="100" fillId="0" borderId="0" xfId="0" applyFont="1" applyAlignment="1">
      <alignment wrapText="1"/>
    </xf>
    <xf numFmtId="0" fontId="52" fillId="0" borderId="16" xfId="0" applyFont="1" applyBorder="1" applyAlignment="1">
      <alignment horizontal="justify" vertical="top" wrapText="1"/>
    </xf>
    <xf numFmtId="0" fontId="101" fillId="6" borderId="16" xfId="0" applyFont="1" applyFill="1" applyBorder="1" applyAlignment="1">
      <alignment vertical="top" wrapText="1"/>
    </xf>
    <xf numFmtId="0" fontId="101" fillId="3" borderId="16" xfId="0" applyFont="1" applyFill="1" applyBorder="1" applyAlignment="1">
      <alignment vertical="top" wrapText="1"/>
    </xf>
    <xf numFmtId="0" fontId="101" fillId="3" borderId="18" xfId="0" applyFont="1" applyFill="1" applyBorder="1" applyAlignment="1">
      <alignment vertical="top" wrapText="1"/>
    </xf>
    <xf numFmtId="0" fontId="38" fillId="10" borderId="18" xfId="0" applyFont="1" applyFill="1" applyBorder="1" applyAlignment="1">
      <alignment horizontal="justify" vertical="top" wrapText="1"/>
    </xf>
    <xf numFmtId="190" fontId="38" fillId="10" borderId="19" xfId="0" applyNumberFormat="1" applyFont="1" applyFill="1" applyBorder="1" applyAlignment="1">
      <alignment horizontal="justify" vertical="top" wrapText="1"/>
    </xf>
    <xf numFmtId="190" fontId="18" fillId="3" borderId="19" xfId="0" applyNumberFormat="1" applyFont="1" applyFill="1" applyBorder="1" applyAlignment="1">
      <alignment horizontal="justify" vertical="top" wrapText="1"/>
    </xf>
    <xf numFmtId="3" fontId="18" fillId="6" borderId="19" xfId="0" applyNumberFormat="1" applyFont="1" applyFill="1" applyBorder="1" applyAlignment="1">
      <alignment horizontal="justify" vertical="top" wrapText="1"/>
    </xf>
    <xf numFmtId="3" fontId="18" fillId="3" borderId="19" xfId="0" applyNumberFormat="1" applyFont="1" applyFill="1" applyBorder="1" applyAlignment="1">
      <alignment horizontal="justify" vertical="top" wrapText="1"/>
    </xf>
    <xf numFmtId="0" fontId="18" fillId="0" borderId="18" xfId="0" applyFont="1" applyBorder="1" applyAlignment="1">
      <alignment horizontal="justify" vertical="top" wrapText="1"/>
    </xf>
    <xf numFmtId="190" fontId="18" fillId="6" borderId="19" xfId="0" applyNumberFormat="1" applyFont="1" applyFill="1" applyBorder="1" applyAlignment="1">
      <alignment horizontal="justify" vertical="top" wrapText="1"/>
    </xf>
    <xf numFmtId="0" fontId="105" fillId="0" borderId="0" xfId="0" applyFont="1" applyBorder="1" applyAlignment="1">
      <alignment horizontal="justify" vertical="top" wrapText="1"/>
    </xf>
    <xf numFmtId="190" fontId="105" fillId="0" borderId="0" xfId="0" applyNumberFormat="1" applyFont="1" applyBorder="1" applyAlignment="1">
      <alignment horizontal="justify" vertical="top" wrapText="1"/>
    </xf>
    <xf numFmtId="3" fontId="105" fillId="0" borderId="0" xfId="0" applyNumberFormat="1" applyFont="1" applyBorder="1" applyAlignment="1">
      <alignment horizontal="justify" vertical="top" wrapText="1"/>
    </xf>
    <xf numFmtId="0" fontId="23" fillId="0" borderId="0" xfId="0" applyFont="1" applyFill="1" applyBorder="1" applyAlignment="1">
      <alignment vertical="top"/>
    </xf>
    <xf numFmtId="0" fontId="106" fillId="0" borderId="0" xfId="0" applyFont="1" applyFill="1" applyBorder="1" applyAlignment="1">
      <alignment horizontal="justify" vertical="top"/>
    </xf>
    <xf numFmtId="0" fontId="23" fillId="0" borderId="0" xfId="0" quotePrefix="1" applyFont="1"/>
    <xf numFmtId="0" fontId="23" fillId="7" borderId="0" xfId="0" applyFont="1" applyFill="1"/>
    <xf numFmtId="0" fontId="8" fillId="2" borderId="0" xfId="0" applyFont="1" applyFill="1"/>
    <xf numFmtId="0" fontId="2" fillId="0" borderId="0" xfId="9" applyFont="1" applyAlignment="1">
      <alignment horizontal="left"/>
    </xf>
    <xf numFmtId="0" fontId="100" fillId="0" borderId="0" xfId="9" applyAlignment="1">
      <alignment horizontal="center"/>
    </xf>
    <xf numFmtId="0" fontId="32" fillId="5" borderId="0" xfId="9" applyFont="1" applyFill="1" applyAlignment="1">
      <alignment horizontal="center" wrapText="1" shrinkToFit="1"/>
    </xf>
    <xf numFmtId="0" fontId="32" fillId="0" borderId="4" xfId="9" applyFont="1" applyBorder="1" applyAlignment="1">
      <alignment horizontal="center" wrapText="1" shrinkToFit="1"/>
    </xf>
    <xf numFmtId="0" fontId="100" fillId="0" borderId="4" xfId="9" applyBorder="1" applyAlignment="1">
      <alignment horizontal="center"/>
    </xf>
    <xf numFmtId="0" fontId="100" fillId="0" borderId="4" xfId="9" applyBorder="1"/>
    <xf numFmtId="2" fontId="4" fillId="0" borderId="4" xfId="9" applyNumberFormat="1" applyFont="1" applyFill="1" applyBorder="1" applyAlignment="1">
      <alignment horizontal="center"/>
    </xf>
    <xf numFmtId="0" fontId="100" fillId="0" borderId="0" xfId="9" applyFill="1"/>
    <xf numFmtId="0" fontId="4" fillId="0" borderId="29" xfId="9" applyFont="1" applyFill="1" applyBorder="1" applyAlignment="1">
      <alignment horizontal="center"/>
    </xf>
    <xf numFmtId="2" fontId="4" fillId="12" borderId="4" xfId="9" applyNumberFormat="1" applyFont="1" applyFill="1" applyBorder="1" applyAlignment="1">
      <alignment horizontal="center"/>
    </xf>
    <xf numFmtId="0" fontId="4" fillId="0" borderId="4" xfId="9" applyFont="1" applyFill="1" applyBorder="1" applyAlignment="1">
      <alignment horizontal="center"/>
    </xf>
    <xf numFmtId="2" fontId="4" fillId="0" borderId="29" xfId="9" applyNumberFormat="1" applyFont="1" applyFill="1" applyBorder="1" applyAlignment="1">
      <alignment horizontal="center"/>
    </xf>
    <xf numFmtId="2" fontId="4" fillId="12" borderId="29" xfId="9" applyNumberFormat="1" applyFont="1" applyFill="1" applyBorder="1" applyAlignment="1">
      <alignment horizontal="center"/>
    </xf>
    <xf numFmtId="0" fontId="100" fillId="0" borderId="4" xfId="9" applyFill="1" applyBorder="1" applyAlignment="1">
      <alignment horizontal="center"/>
    </xf>
    <xf numFmtId="0" fontId="4" fillId="0" borderId="0" xfId="9" applyFont="1" applyFill="1"/>
    <xf numFmtId="0" fontId="4" fillId="0" borderId="4" xfId="9" quotePrefix="1" applyFont="1" applyFill="1" applyBorder="1" applyAlignment="1">
      <alignment horizontal="center"/>
    </xf>
    <xf numFmtId="0" fontId="4" fillId="18" borderId="4" xfId="9" quotePrefix="1" applyFont="1" applyFill="1" applyBorder="1" applyAlignment="1">
      <alignment horizontal="center"/>
    </xf>
    <xf numFmtId="0" fontId="4" fillId="12" borderId="29" xfId="9" applyFont="1" applyFill="1" applyBorder="1" applyAlignment="1">
      <alignment horizontal="center"/>
    </xf>
    <xf numFmtId="0" fontId="4" fillId="18" borderId="29" xfId="9" applyFont="1" applyFill="1" applyBorder="1" applyAlignment="1">
      <alignment horizontal="center"/>
    </xf>
    <xf numFmtId="0" fontId="4" fillId="0" borderId="29" xfId="9" quotePrefix="1" applyFont="1" applyFill="1" applyBorder="1" applyAlignment="1">
      <alignment horizontal="center"/>
    </xf>
    <xf numFmtId="0" fontId="4" fillId="12" borderId="29" xfId="9" quotePrefix="1" applyFont="1" applyFill="1" applyBorder="1" applyAlignment="1">
      <alignment horizontal="center"/>
    </xf>
    <xf numFmtId="2" fontId="4" fillId="0" borderId="4" xfId="9" quotePrefix="1" applyNumberFormat="1" applyFont="1" applyFill="1" applyBorder="1" applyAlignment="1">
      <alignment horizontal="center"/>
    </xf>
    <xf numFmtId="0" fontId="52" fillId="18" borderId="29" xfId="9" applyFont="1" applyFill="1" applyBorder="1" applyAlignment="1">
      <alignment horizontal="center"/>
    </xf>
    <xf numFmtId="0" fontId="4" fillId="12" borderId="4" xfId="9" quotePrefix="1" applyFont="1" applyFill="1" applyBorder="1" applyAlignment="1">
      <alignment horizontal="center"/>
    </xf>
    <xf numFmtId="0" fontId="4" fillId="12" borderId="4" xfId="9" applyFont="1" applyFill="1" applyBorder="1" applyAlignment="1">
      <alignment horizontal="center"/>
    </xf>
    <xf numFmtId="0" fontId="4" fillId="0" borderId="0" xfId="9" applyFont="1" applyFill="1" applyBorder="1" applyAlignment="1">
      <alignment horizontal="center"/>
    </xf>
    <xf numFmtId="0" fontId="4" fillId="0" borderId="3" xfId="9" quotePrefix="1" applyFont="1" applyFill="1" applyBorder="1" applyAlignment="1">
      <alignment horizontal="center"/>
    </xf>
    <xf numFmtId="2" fontId="4" fillId="0" borderId="3" xfId="9" quotePrefix="1" applyNumberFormat="1" applyFont="1" applyFill="1" applyBorder="1" applyAlignment="1">
      <alignment horizontal="center"/>
    </xf>
    <xf numFmtId="0" fontId="4" fillId="0" borderId="0" xfId="9" quotePrefix="1" applyFont="1" applyFill="1" applyBorder="1" applyAlignment="1">
      <alignment horizontal="center"/>
    </xf>
    <xf numFmtId="2" fontId="4" fillId="0" borderId="0" xfId="9" applyNumberFormat="1" applyFont="1" applyFill="1" applyBorder="1" applyAlignment="1">
      <alignment horizontal="center"/>
    </xf>
    <xf numFmtId="0" fontId="23" fillId="0" borderId="0" xfId="9" applyFont="1" applyFill="1"/>
    <xf numFmtId="0" fontId="100" fillId="0" borderId="29" xfId="9" applyBorder="1" applyAlignment="1">
      <alignment horizontal="center"/>
    </xf>
    <xf numFmtId="2" fontId="100" fillId="0" borderId="29" xfId="9" applyNumberFormat="1" applyFill="1" applyBorder="1" applyAlignment="1">
      <alignment horizontal="center"/>
    </xf>
    <xf numFmtId="2" fontId="100" fillId="0" borderId="0" xfId="9" applyNumberFormat="1" applyBorder="1" applyAlignment="1">
      <alignment horizontal="center"/>
    </xf>
    <xf numFmtId="0" fontId="100" fillId="0" borderId="0" xfId="9" applyBorder="1"/>
    <xf numFmtId="2" fontId="100" fillId="0" borderId="4" xfId="9" applyNumberFormat="1" applyBorder="1" applyAlignment="1">
      <alignment horizontal="center"/>
    </xf>
    <xf numFmtId="0" fontId="73" fillId="0" borderId="0" xfId="9" applyFont="1"/>
    <xf numFmtId="0" fontId="100" fillId="10" borderId="4" xfId="9" applyFill="1" applyBorder="1"/>
    <xf numFmtId="0" fontId="23" fillId="0" borderId="0" xfId="9" applyFont="1" applyAlignment="1">
      <alignment horizontal="left"/>
    </xf>
    <xf numFmtId="0" fontId="100" fillId="0" borderId="29" xfId="9" quotePrefix="1" applyBorder="1" applyAlignment="1">
      <alignment horizontal="center"/>
    </xf>
    <xf numFmtId="0" fontId="73" fillId="0" borderId="0" xfId="9" applyFont="1" applyAlignment="1">
      <alignment horizontal="left"/>
    </xf>
    <xf numFmtId="0" fontId="90" fillId="0" borderId="0" xfId="9" applyFont="1" applyAlignment="1">
      <alignment horizontal="left"/>
    </xf>
    <xf numFmtId="0" fontId="100" fillId="0" borderId="0" xfId="9" applyBorder="1" applyAlignment="1">
      <alignment horizontal="center"/>
    </xf>
    <xf numFmtId="0" fontId="4" fillId="18" borderId="0" xfId="13" applyFill="1" applyBorder="1" applyAlignment="1">
      <alignment horizontal="center"/>
    </xf>
    <xf numFmtId="0" fontId="34" fillId="0" borderId="0" xfId="9" applyFont="1"/>
    <xf numFmtId="0" fontId="34" fillId="0" borderId="0" xfId="9" applyFont="1" applyAlignment="1">
      <alignment horizontal="center"/>
    </xf>
    <xf numFmtId="0" fontId="33" fillId="0" borderId="0" xfId="9" applyFont="1" applyAlignment="1">
      <alignment horizontal="center"/>
    </xf>
    <xf numFmtId="0" fontId="35" fillId="0" borderId="0" xfId="9" applyFont="1" applyFill="1" applyAlignment="1">
      <alignment horizontal="center"/>
    </xf>
    <xf numFmtId="0" fontId="35" fillId="0" borderId="0" xfId="9" applyFont="1" applyAlignment="1">
      <alignment horizontal="center"/>
    </xf>
    <xf numFmtId="0" fontId="32" fillId="0" borderId="0" xfId="9" applyFont="1" applyFill="1" applyAlignment="1">
      <alignment horizontal="left" wrapText="1" shrinkToFit="1"/>
    </xf>
    <xf numFmtId="0" fontId="34" fillId="0" borderId="4" xfId="9" applyFont="1" applyBorder="1"/>
    <xf numFmtId="0" fontId="33" fillId="0" borderId="4" xfId="9" applyFont="1" applyBorder="1" applyAlignment="1">
      <alignment horizontal="center" wrapText="1" shrinkToFit="1"/>
    </xf>
    <xf numFmtId="2" fontId="34" fillId="0" borderId="4" xfId="9" applyNumberFormat="1" applyFont="1" applyFill="1" applyBorder="1" applyAlignment="1">
      <alignment horizontal="center"/>
    </xf>
    <xf numFmtId="2" fontId="34" fillId="0" borderId="4" xfId="9" applyNumberFormat="1" applyFont="1" applyBorder="1" applyAlignment="1">
      <alignment horizontal="center"/>
    </xf>
    <xf numFmtId="0" fontId="34" fillId="0" borderId="4" xfId="9" quotePrefix="1" applyFont="1" applyBorder="1" applyAlignment="1">
      <alignment horizontal="center"/>
    </xf>
    <xf numFmtId="2" fontId="34" fillId="0" borderId="29" xfId="9" applyNumberFormat="1" applyFont="1" applyFill="1" applyBorder="1" applyAlignment="1">
      <alignment horizontal="center"/>
    </xf>
    <xf numFmtId="0" fontId="34" fillId="0" borderId="4" xfId="9" applyFont="1" applyBorder="1" applyAlignment="1">
      <alignment horizontal="center"/>
    </xf>
    <xf numFmtId="2" fontId="34" fillId="0" borderId="29" xfId="9" applyNumberFormat="1" applyFont="1" applyBorder="1" applyAlignment="1">
      <alignment horizontal="center"/>
    </xf>
    <xf numFmtId="0" fontId="34" fillId="0" borderId="29" xfId="9" applyFont="1" applyBorder="1" applyAlignment="1">
      <alignment horizontal="center"/>
    </xf>
    <xf numFmtId="0" fontId="34" fillId="0" borderId="29" xfId="9" quotePrefix="1" applyFont="1" applyFill="1" applyBorder="1" applyAlignment="1">
      <alignment horizontal="center"/>
    </xf>
    <xf numFmtId="0" fontId="34" fillId="0" borderId="29" xfId="9" applyFont="1" applyFill="1" applyBorder="1" applyAlignment="1">
      <alignment horizontal="center"/>
    </xf>
    <xf numFmtId="0" fontId="34" fillId="0" borderId="29" xfId="9" quotePrefix="1" applyFont="1" applyBorder="1" applyAlignment="1">
      <alignment horizontal="center"/>
    </xf>
    <xf numFmtId="2" fontId="34" fillId="0" borderId="0" xfId="9" applyNumberFormat="1" applyFont="1" applyFill="1" applyAlignment="1">
      <alignment horizontal="center"/>
    </xf>
    <xf numFmtId="2" fontId="34" fillId="0" borderId="29" xfId="9" quotePrefix="1" applyNumberFormat="1" applyFont="1" applyFill="1" applyBorder="1" applyAlignment="1">
      <alignment horizontal="center"/>
    </xf>
    <xf numFmtId="0" fontId="34" fillId="0" borderId="3" xfId="9" quotePrefix="1" applyFont="1" applyFill="1" applyBorder="1" applyAlignment="1">
      <alignment horizontal="center"/>
    </xf>
    <xf numFmtId="0" fontId="34" fillId="0" borderId="4" xfId="9" applyFont="1" applyFill="1" applyBorder="1" applyAlignment="1">
      <alignment horizontal="center"/>
    </xf>
    <xf numFmtId="0" fontId="34" fillId="0" borderId="4" xfId="9" quotePrefix="1" applyFont="1" applyFill="1" applyBorder="1" applyAlignment="1">
      <alignment horizontal="center"/>
    </xf>
    <xf numFmtId="2" fontId="34" fillId="0" borderId="29" xfId="9" quotePrefix="1" applyNumberFormat="1" applyFont="1" applyBorder="1" applyAlignment="1">
      <alignment horizontal="center"/>
    </xf>
    <xf numFmtId="0" fontId="34" fillId="0" borderId="0" xfId="9" applyFont="1" applyFill="1" applyAlignment="1">
      <alignment horizontal="center"/>
    </xf>
    <xf numFmtId="0" fontId="33" fillId="3" borderId="0" xfId="9" applyFont="1" applyFill="1" applyAlignment="1">
      <alignment horizontal="center"/>
    </xf>
    <xf numFmtId="0" fontId="40" fillId="0" borderId="0" xfId="9" applyFont="1" applyFill="1" applyAlignment="1">
      <alignment horizontal="center"/>
    </xf>
    <xf numFmtId="0" fontId="34" fillId="0" borderId="0" xfId="9" applyFont="1" applyFill="1"/>
    <xf numFmtId="0" fontId="8" fillId="0" borderId="45" xfId="13" applyFont="1" applyBorder="1" applyAlignment="1">
      <alignment horizontal="center"/>
    </xf>
    <xf numFmtId="0" fontId="52" fillId="0" borderId="25" xfId="9" applyFont="1" applyBorder="1" applyAlignment="1">
      <alignment horizontal="justify" vertical="top" wrapText="1"/>
    </xf>
    <xf numFmtId="0" fontId="52" fillId="0" borderId="18" xfId="9" applyFont="1" applyBorder="1" applyAlignment="1">
      <alignment horizontal="justify" vertical="top" wrapText="1"/>
    </xf>
    <xf numFmtId="0" fontId="52" fillId="0" borderId="25" xfId="9" applyFont="1" applyBorder="1" applyAlignment="1">
      <alignment vertical="top" wrapText="1"/>
    </xf>
    <xf numFmtId="0" fontId="52" fillId="0" borderId="18" xfId="9" applyFont="1" applyBorder="1" applyAlignment="1">
      <alignment vertical="top" wrapText="1"/>
    </xf>
    <xf numFmtId="0" fontId="52" fillId="0" borderId="46" xfId="0" applyFont="1" applyFill="1" applyBorder="1" applyAlignment="1">
      <alignment horizontal="justify" vertical="top" wrapText="1"/>
    </xf>
    <xf numFmtId="0" fontId="4" fillId="0" borderId="29" xfId="0" applyFont="1" applyFill="1" applyBorder="1" applyAlignment="1">
      <alignment vertical="top" wrapText="1"/>
    </xf>
    <xf numFmtId="0" fontId="4" fillId="0" borderId="17" xfId="0" applyFont="1" applyFill="1" applyBorder="1" applyAlignment="1">
      <alignment vertical="top" wrapText="1"/>
    </xf>
    <xf numFmtId="0" fontId="52" fillId="0" borderId="46" xfId="0" applyFont="1" applyBorder="1" applyAlignment="1">
      <alignment horizontal="justify" vertical="top" wrapText="1"/>
    </xf>
    <xf numFmtId="0" fontId="4" fillId="0" borderId="29" xfId="0" applyFont="1" applyBorder="1" applyAlignment="1">
      <alignment vertical="top" wrapText="1"/>
    </xf>
    <xf numFmtId="0" fontId="101" fillId="0" borderId="46" xfId="0" applyFont="1" applyBorder="1" applyAlignment="1">
      <alignment horizontal="justify" vertical="top" wrapText="1"/>
    </xf>
    <xf numFmtId="0" fontId="18" fillId="0" borderId="17" xfId="0" applyFont="1" applyBorder="1" applyAlignment="1">
      <alignment vertical="top" wrapText="1"/>
    </xf>
    <xf numFmtId="0" fontId="18" fillId="0" borderId="29" xfId="0" applyFont="1" applyBorder="1" applyAlignment="1">
      <alignment vertical="top" wrapText="1"/>
    </xf>
    <xf numFmtId="0" fontId="101" fillId="6" borderId="46" xfId="0" applyFont="1" applyFill="1" applyBorder="1" applyAlignment="1">
      <alignment vertical="top" wrapText="1"/>
    </xf>
    <xf numFmtId="0" fontId="18" fillId="6" borderId="17" xfId="0" applyFont="1" applyFill="1" applyBorder="1" applyAlignment="1">
      <alignment vertical="top" wrapText="1"/>
    </xf>
    <xf numFmtId="0" fontId="101" fillId="3" borderId="46" xfId="0" applyFont="1" applyFill="1" applyBorder="1" applyAlignment="1">
      <alignment vertical="top" wrapText="1"/>
    </xf>
    <xf numFmtId="0" fontId="18" fillId="3" borderId="17" xfId="0" applyFont="1" applyFill="1" applyBorder="1" applyAlignment="1">
      <alignment vertical="top" wrapText="1"/>
    </xf>
    <xf numFmtId="0" fontId="5" fillId="0" borderId="0" xfId="0" applyFont="1" applyAlignment="1">
      <alignment wrapText="1"/>
    </xf>
    <xf numFmtId="0" fontId="2" fillId="0" borderId="4" xfId="0" applyFont="1" applyBorder="1" applyAlignment="1">
      <alignment vertical="top" wrapText="1"/>
    </xf>
    <xf numFmtId="0" fontId="1" fillId="0" borderId="4" xfId="0" applyFont="1" applyBorder="1" applyAlignment="1">
      <alignment wrapText="1"/>
    </xf>
    <xf numFmtId="0" fontId="2" fillId="0" borderId="0" xfId="0" applyFont="1" applyBorder="1" applyAlignment="1">
      <alignment vertical="top" wrapText="1"/>
    </xf>
    <xf numFmtId="0" fontId="0" fillId="0" borderId="0" xfId="0" applyAlignment="1">
      <alignment wrapText="1"/>
    </xf>
    <xf numFmtId="0" fontId="0" fillId="0" borderId="4" xfId="0" applyBorder="1" applyAlignment="1">
      <alignment wrapText="1"/>
    </xf>
    <xf numFmtId="0" fontId="2" fillId="7" borderId="4" xfId="0" applyFont="1" applyFill="1" applyBorder="1" applyAlignment="1">
      <alignment vertical="top" wrapText="1"/>
    </xf>
    <xf numFmtId="3" fontId="3" fillId="17" borderId="3" xfId="0" applyNumberFormat="1" applyFont="1" applyFill="1" applyBorder="1" applyAlignment="1">
      <alignment horizontal="center" vertical="center"/>
    </xf>
    <xf numFmtId="0" fontId="0" fillId="0" borderId="3" xfId="0" applyBorder="1" applyAlignment="1">
      <alignment horizontal="center" vertical="center"/>
    </xf>
    <xf numFmtId="3" fontId="3" fillId="14" borderId="3" xfId="0" applyNumberFormat="1" applyFont="1" applyFill="1" applyBorder="1" applyAlignment="1">
      <alignment horizontal="center" vertical="center"/>
    </xf>
    <xf numFmtId="3" fontId="107" fillId="17" borderId="3" xfId="0" applyNumberFormat="1" applyFont="1" applyFill="1" applyBorder="1" applyAlignment="1">
      <alignment horizontal="center" vertical="center"/>
    </xf>
    <xf numFmtId="0" fontId="111" fillId="0" borderId="3" xfId="0" applyFont="1" applyBorder="1" applyAlignment="1">
      <alignment horizontal="center" vertical="center"/>
    </xf>
    <xf numFmtId="0" fontId="0" fillId="0" borderId="4" xfId="0" applyBorder="1" applyAlignment="1"/>
    <xf numFmtId="0" fontId="3" fillId="6" borderId="3" xfId="0" applyFont="1" applyFill="1" applyBorder="1" applyAlignment="1">
      <alignment horizontal="center"/>
    </xf>
    <xf numFmtId="0" fontId="0" fillId="0" borderId="3" xfId="0" applyBorder="1" applyAlignment="1">
      <alignment horizontal="center"/>
    </xf>
    <xf numFmtId="0" fontId="0" fillId="0" borderId="0" xfId="0" applyBorder="1" applyAlignment="1">
      <alignment wrapText="1"/>
    </xf>
    <xf numFmtId="0" fontId="2" fillId="0" borderId="0" xfId="0" applyFont="1" applyBorder="1" applyAlignment="1">
      <alignment horizontal="left" vertical="top" wrapText="1"/>
    </xf>
    <xf numFmtId="0" fontId="4" fillId="0" borderId="0" xfId="0" applyFont="1" applyAlignment="1">
      <alignment horizontal="left" wrapText="1"/>
    </xf>
    <xf numFmtId="0" fontId="58" fillId="0" borderId="0" xfId="0" applyFont="1" applyAlignment="1">
      <alignment horizontal="left" vertical="top" wrapText="1"/>
    </xf>
    <xf numFmtId="0" fontId="0" fillId="0" borderId="0" xfId="0" applyAlignment="1">
      <alignment vertical="top" wrapText="1"/>
    </xf>
    <xf numFmtId="0" fontId="67" fillId="3" borderId="3" xfId="0" applyFont="1" applyFill="1" applyBorder="1" applyAlignment="1">
      <alignment horizontal="center" vertical="center"/>
    </xf>
    <xf numFmtId="0" fontId="0" fillId="3" borderId="3" xfId="0" applyFill="1" applyBorder="1" applyAlignment="1">
      <alignment horizontal="center" vertical="center"/>
    </xf>
    <xf numFmtId="0" fontId="37" fillId="3" borderId="3" xfId="0" applyFont="1" applyFill="1" applyBorder="1" applyAlignment="1">
      <alignment horizontal="center" vertical="center"/>
    </xf>
    <xf numFmtId="0" fontId="2" fillId="7" borderId="0" xfId="0" applyFont="1" applyFill="1" applyAlignment="1">
      <alignment vertical="top" wrapText="1"/>
    </xf>
    <xf numFmtId="0" fontId="8" fillId="2" borderId="0" xfId="8" applyFont="1" applyFill="1" applyAlignment="1">
      <alignment horizontal="center" vertical="center" textRotation="180"/>
    </xf>
    <xf numFmtId="0" fontId="79" fillId="0" borderId="0" xfId="8" applyAlignment="1">
      <alignment vertical="center"/>
    </xf>
    <xf numFmtId="0" fontId="8" fillId="5" borderId="0" xfId="8" applyFont="1" applyFill="1" applyAlignment="1">
      <alignment horizontal="center" textRotation="180" wrapText="1"/>
    </xf>
    <xf numFmtId="0" fontId="4" fillId="5" borderId="0" xfId="8" applyFont="1" applyFill="1" applyAlignment="1">
      <alignment horizontal="center"/>
    </xf>
    <xf numFmtId="3" fontId="2" fillId="0" borderId="4" xfId="0" applyNumberFormat="1" applyFont="1" applyBorder="1" applyAlignment="1">
      <alignment horizontal="left" vertical="top" wrapText="1"/>
    </xf>
    <xf numFmtId="0" fontId="0" fillId="0" borderId="0" xfId="0" applyFont="1" applyAlignment="1">
      <alignment wrapText="1"/>
    </xf>
    <xf numFmtId="0" fontId="22" fillId="0" borderId="0" xfId="0" applyFont="1" applyBorder="1" applyAlignment="1">
      <alignment vertical="top" wrapText="1"/>
    </xf>
    <xf numFmtId="0" fontId="2" fillId="0" borderId="0" xfId="0" applyFont="1" applyAlignment="1">
      <alignment wrapText="1"/>
    </xf>
    <xf numFmtId="3" fontId="2" fillId="7" borderId="4" xfId="0" applyNumberFormat="1" applyFont="1" applyFill="1" applyBorder="1" applyAlignment="1">
      <alignment horizontal="left" vertical="top" wrapText="1"/>
    </xf>
  </cellXfs>
  <cellStyles count="17">
    <cellStyle name="Hyperlink" xfId="1" xr:uid="{39CCC0A7-FEF1-DE45-BFF4-CA2EFEEB6457}"/>
    <cellStyle name="Normal 2" xfId="2" xr:uid="{6710BD52-6AB7-3340-A150-FC256985845A}"/>
    <cellStyle name="Normal 2 2" xfId="3" xr:uid="{9B537608-7058-D440-8489-1D8C0E58448A}"/>
    <cellStyle name="Normal 3" xfId="4" xr:uid="{6F007C48-7F5B-AE4B-A53F-0478066EA3D4}"/>
    <cellStyle name="Normal 4" xfId="5" xr:uid="{E3E7C2D1-6CCE-574C-A535-97B24BECC231}"/>
    <cellStyle name="Normal 5" xfId="6" xr:uid="{16BF3723-3FD8-4B4A-9249-0FD6E8EF828F}"/>
    <cellStyle name="Normal 6" xfId="7" xr:uid="{35B2ED43-6450-C941-AA2F-D8D3926F4AED}"/>
    <cellStyle name="Normal 7" xfId="8" xr:uid="{3E02BDDE-C2B3-6E4C-8FA3-4C6D0451C43C}"/>
    <cellStyle name="Normal 8" xfId="9" xr:uid="{14CECEC9-3519-934F-B835-8FA556F61558}"/>
    <cellStyle name="Normal_KV_liste T11 2" xfId="10" xr:uid="{9F818340-C92B-E940-AD21-D3E5A9C2C2AA}"/>
    <cellStyle name="Normal_KV_liste T8" xfId="11" xr:uid="{900F5BC6-98DC-244D-B6BF-A51930D684E6}"/>
    <cellStyle name="Normal_KV_T_2006_all_220807_d_sans liaisons" xfId="12" xr:uid="{071ACEB4-0FCB-7042-ADBB-109A68C05330}"/>
    <cellStyle name="Normal_KV0_5 annexe A_09fd" xfId="13" xr:uid="{58952615-C017-8B4D-B711-F618B93C7DAF}"/>
    <cellStyle name="Normal_KV5_Aufsichtsdaten_2004_formate_310505" xfId="14" xr:uid="{DA9EAF49-BF05-1949-BB48-77148CFBA77B}"/>
    <cellStyle name="Normal_modif EF1_112_d_241104 2" xfId="15" xr:uid="{91319A64-A243-EF42-9B1B-71B84D7B722A}"/>
    <cellStyle name="Standard" xfId="0" builtinId="0"/>
    <cellStyle name="xxx" xfId="16" xr:uid="{2A7BE4B6-C89F-D247-8304-7AD71FF4E11C}"/>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134" Type="http://schemas.openxmlformats.org/officeDocument/2006/relationships/worksheet" Target="worksheets/sheet134.xml"/><Relationship Id="rId139" Type="http://schemas.openxmlformats.org/officeDocument/2006/relationships/worksheet" Target="worksheets/sheet139.xml"/><Relationship Id="rId80" Type="http://schemas.openxmlformats.org/officeDocument/2006/relationships/worksheet" Target="worksheets/sheet80.xml"/><Relationship Id="rId85" Type="http://schemas.openxmlformats.org/officeDocument/2006/relationships/worksheet" Target="worksheets/sheet85.xml"/><Relationship Id="rId150" Type="http://schemas.openxmlformats.org/officeDocument/2006/relationships/worksheet" Target="worksheets/sheet150.xml"/><Relationship Id="rId155" Type="http://schemas.openxmlformats.org/officeDocument/2006/relationships/sharedStrings" Target="sharedStrings.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worksheet" Target="worksheets/sheet12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40" Type="http://schemas.openxmlformats.org/officeDocument/2006/relationships/worksheet" Target="worksheets/sheet140.xml"/><Relationship Id="rId145" Type="http://schemas.openxmlformats.org/officeDocument/2006/relationships/worksheet" Target="worksheets/sheet145.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51" Type="http://schemas.openxmlformats.org/officeDocument/2006/relationships/worksheet" Target="worksheets/sheet151.xml"/><Relationship Id="rId156" Type="http://schemas.openxmlformats.org/officeDocument/2006/relationships/calcChain" Target="calcChain.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worksheet" Target="worksheets/sheet146.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theme" Target="theme/theme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styles" Target="styles.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de-DE"/>
              <a:t>Anzahl Ärzte mit Praxistätigkeit und Apotheken 1985 – 2000 (Daten 1999)</a:t>
            </a:r>
          </a:p>
        </c:rich>
      </c:tx>
      <c:overlay val="0"/>
      <c:spPr>
        <a:noFill/>
        <a:ln w="25400">
          <a:noFill/>
        </a:ln>
      </c:spPr>
    </c:title>
    <c:autoTitleDeleted val="0"/>
    <c:plotArea>
      <c:layout/>
      <c:lineChart>
        <c:grouping val="standard"/>
        <c:varyColors val="0"/>
        <c:ser>
          <c:idx val="1"/>
          <c:order val="0"/>
          <c:tx>
            <c:strRef>
              <c:f>'909d'!$D$5</c:f>
              <c:strCache>
                <c:ptCount val="1"/>
                <c:pt idx="0">
                  <c:v>ärzte</c:v>
                </c:pt>
              </c:strCache>
            </c:strRef>
          </c:tx>
          <c:spPr>
            <a:ln w="12700">
              <a:solidFill>
                <a:srgbClr val="000000"/>
              </a:solidFill>
              <a:prstDash val="solid"/>
            </a:ln>
          </c:spPr>
          <c:marker>
            <c:symbol val="circle"/>
            <c:size val="6"/>
            <c:spPr>
              <a:solidFill>
                <a:srgbClr val="FFFFFF"/>
              </a:solidFill>
              <a:ln>
                <a:solidFill>
                  <a:srgbClr val="000000"/>
                </a:solidFill>
                <a:prstDash val="solid"/>
              </a:ln>
            </c:spPr>
          </c:marker>
          <c:cat>
            <c:strRef>
              <c:f>'909d'!$A$8:$A$34</c:f>
              <c:strCache>
                <c:ptCount val="27"/>
                <c:pt idx="0">
                  <c:v>ZH</c:v>
                </c:pt>
                <c:pt idx="1">
                  <c:v>BE</c:v>
                </c:pt>
                <c:pt idx="2">
                  <c:v>LU</c:v>
                </c:pt>
                <c:pt idx="3">
                  <c:v>UR</c:v>
                </c:pt>
                <c:pt idx="4">
                  <c:v>SZ</c:v>
                </c:pt>
                <c:pt idx="5">
                  <c:v>OW</c:v>
                </c:pt>
                <c:pt idx="6">
                  <c:v>NW</c:v>
                </c:pt>
                <c:pt idx="7">
                  <c:v>GL</c:v>
                </c:pt>
                <c:pt idx="8">
                  <c:v>ZG</c:v>
                </c:pt>
                <c:pt idx="9">
                  <c:v>FR</c:v>
                </c:pt>
                <c:pt idx="10">
                  <c:v>SO</c:v>
                </c:pt>
                <c:pt idx="11">
                  <c:v>BS</c:v>
                </c:pt>
                <c:pt idx="12">
                  <c:v>BL</c:v>
                </c:pt>
                <c:pt idx="13">
                  <c:v>SH</c:v>
                </c:pt>
                <c:pt idx="14">
                  <c:v>AR</c:v>
                </c:pt>
                <c:pt idx="15">
                  <c:v>AI</c:v>
                </c:pt>
                <c:pt idx="16">
                  <c:v>SG</c:v>
                </c:pt>
                <c:pt idx="17">
                  <c:v>GR</c:v>
                </c:pt>
                <c:pt idx="18">
                  <c:v>AG</c:v>
                </c:pt>
                <c:pt idx="19">
                  <c:v>TG</c:v>
                </c:pt>
                <c:pt idx="20">
                  <c:v>TI</c:v>
                </c:pt>
                <c:pt idx="21">
                  <c:v>VD</c:v>
                </c:pt>
                <c:pt idx="22">
                  <c:v>VS</c:v>
                </c:pt>
                <c:pt idx="23">
                  <c:v>NE</c:v>
                </c:pt>
                <c:pt idx="24">
                  <c:v>GE</c:v>
                </c:pt>
                <c:pt idx="25">
                  <c:v>JU</c:v>
                </c:pt>
                <c:pt idx="26">
                  <c:v>CH</c:v>
                </c:pt>
              </c:strCache>
            </c:strRef>
          </c:cat>
          <c:val>
            <c:numRef>
              <c:f>'909d'!$D$8:$D$34</c:f>
              <c:numCache>
                <c:formatCode>#,##0</c:formatCode>
                <c:ptCount val="27"/>
                <c:pt idx="0">
                  <c:v>1980</c:v>
                </c:pt>
                <c:pt idx="1">
                  <c:v>1116</c:v>
                </c:pt>
                <c:pt idx="2">
                  <c:v>281</c:v>
                </c:pt>
                <c:pt idx="3">
                  <c:v>10</c:v>
                </c:pt>
                <c:pt idx="4">
                  <c:v>85</c:v>
                </c:pt>
                <c:pt idx="5">
                  <c:v>14</c:v>
                </c:pt>
                <c:pt idx="6">
                  <c:v>23</c:v>
                </c:pt>
                <c:pt idx="7">
                  <c:v>21</c:v>
                </c:pt>
                <c:pt idx="8">
                  <c:v>132</c:v>
                </c:pt>
                <c:pt idx="9">
                  <c:v>219</c:v>
                </c:pt>
                <c:pt idx="10">
                  <c:v>185</c:v>
                </c:pt>
                <c:pt idx="11">
                  <c:v>516</c:v>
                </c:pt>
                <c:pt idx="12">
                  <c:v>352</c:v>
                </c:pt>
                <c:pt idx="13">
                  <c:v>68</c:v>
                </c:pt>
                <c:pt idx="14">
                  <c:v>39</c:v>
                </c:pt>
                <c:pt idx="15">
                  <c:v>5</c:v>
                </c:pt>
                <c:pt idx="16">
                  <c:v>404</c:v>
                </c:pt>
                <c:pt idx="17">
                  <c:v>131</c:v>
                </c:pt>
                <c:pt idx="18">
                  <c:v>531</c:v>
                </c:pt>
                <c:pt idx="19">
                  <c:v>154</c:v>
                </c:pt>
                <c:pt idx="20">
                  <c:v>362</c:v>
                </c:pt>
                <c:pt idx="21">
                  <c:v>1047</c:v>
                </c:pt>
                <c:pt idx="22">
                  <c:v>230</c:v>
                </c:pt>
                <c:pt idx="23">
                  <c:v>182</c:v>
                </c:pt>
                <c:pt idx="24">
                  <c:v>1035</c:v>
                </c:pt>
                <c:pt idx="25">
                  <c:v>52</c:v>
                </c:pt>
                <c:pt idx="26">
                  <c:v>9174</c:v>
                </c:pt>
              </c:numCache>
            </c:numRef>
          </c:val>
          <c:smooth val="0"/>
          <c:extLst>
            <c:ext xmlns:c16="http://schemas.microsoft.com/office/drawing/2014/chart" uri="{C3380CC4-5D6E-409C-BE32-E72D297353CC}">
              <c16:uniqueId val="{00000000-D025-7E4D-8C66-9A2C42C79392}"/>
            </c:ext>
          </c:extLst>
        </c:ser>
        <c:dLbls>
          <c:showLegendKey val="0"/>
          <c:showVal val="0"/>
          <c:showCatName val="0"/>
          <c:showSerName val="0"/>
          <c:showPercent val="0"/>
          <c:showBubbleSize val="0"/>
        </c:dLbls>
        <c:marker val="1"/>
        <c:smooth val="0"/>
        <c:axId val="1621571552"/>
        <c:axId val="1"/>
      </c:lineChart>
      <c:lineChart>
        <c:grouping val="standard"/>
        <c:varyColors val="0"/>
        <c:ser>
          <c:idx val="0"/>
          <c:order val="1"/>
          <c:tx>
            <c:strRef>
              <c:f>'909d'!$G$5</c:f>
              <c:strCache>
                <c:ptCount val="1"/>
                <c:pt idx="0">
                  <c:v>ken 6</c:v>
                </c:pt>
              </c:strCache>
            </c:strRef>
          </c:tx>
          <c:spPr>
            <a:ln w="12700">
              <a:solidFill>
                <a:srgbClr val="000000"/>
              </a:solidFill>
              <a:prstDash val="solid"/>
            </a:ln>
          </c:spPr>
          <c:marker>
            <c:symbol val="diamond"/>
            <c:size val="6"/>
            <c:spPr>
              <a:solidFill>
                <a:srgbClr val="000000"/>
              </a:solidFill>
              <a:ln>
                <a:solidFill>
                  <a:srgbClr val="000000"/>
                </a:solidFill>
                <a:prstDash val="solid"/>
              </a:ln>
            </c:spPr>
          </c:marker>
          <c:cat>
            <c:strRef>
              <c:f>'909d'!$A$8:$A$34</c:f>
              <c:strCache>
                <c:ptCount val="27"/>
                <c:pt idx="0">
                  <c:v>ZH</c:v>
                </c:pt>
                <c:pt idx="1">
                  <c:v>BE</c:v>
                </c:pt>
                <c:pt idx="2">
                  <c:v>LU</c:v>
                </c:pt>
                <c:pt idx="3">
                  <c:v>UR</c:v>
                </c:pt>
                <c:pt idx="4">
                  <c:v>SZ</c:v>
                </c:pt>
                <c:pt idx="5">
                  <c:v>OW</c:v>
                </c:pt>
                <c:pt idx="6">
                  <c:v>NW</c:v>
                </c:pt>
                <c:pt idx="7">
                  <c:v>GL</c:v>
                </c:pt>
                <c:pt idx="8">
                  <c:v>ZG</c:v>
                </c:pt>
                <c:pt idx="9">
                  <c:v>FR</c:v>
                </c:pt>
                <c:pt idx="10">
                  <c:v>SO</c:v>
                </c:pt>
                <c:pt idx="11">
                  <c:v>BS</c:v>
                </c:pt>
                <c:pt idx="12">
                  <c:v>BL</c:v>
                </c:pt>
                <c:pt idx="13">
                  <c:v>SH</c:v>
                </c:pt>
                <c:pt idx="14">
                  <c:v>AR</c:v>
                </c:pt>
                <c:pt idx="15">
                  <c:v>AI</c:v>
                </c:pt>
                <c:pt idx="16">
                  <c:v>SG</c:v>
                </c:pt>
                <c:pt idx="17">
                  <c:v>GR</c:v>
                </c:pt>
                <c:pt idx="18">
                  <c:v>AG</c:v>
                </c:pt>
                <c:pt idx="19">
                  <c:v>TG</c:v>
                </c:pt>
                <c:pt idx="20">
                  <c:v>TI</c:v>
                </c:pt>
                <c:pt idx="21">
                  <c:v>VD</c:v>
                </c:pt>
                <c:pt idx="22">
                  <c:v>VS</c:v>
                </c:pt>
                <c:pt idx="23">
                  <c:v>NE</c:v>
                </c:pt>
                <c:pt idx="24">
                  <c:v>GE</c:v>
                </c:pt>
                <c:pt idx="25">
                  <c:v>JU</c:v>
                </c:pt>
                <c:pt idx="26">
                  <c:v>CH</c:v>
                </c:pt>
              </c:strCache>
            </c:strRef>
          </c:cat>
          <c:val>
            <c:numRef>
              <c:f>'909d'!$G$8:$G$34</c:f>
              <c:numCache>
                <c:formatCode>#,##0</c:formatCode>
                <c:ptCount val="27"/>
                <c:pt idx="0">
                  <c:v>224</c:v>
                </c:pt>
                <c:pt idx="1">
                  <c:v>173</c:v>
                </c:pt>
                <c:pt idx="2">
                  <c:v>34</c:v>
                </c:pt>
                <c:pt idx="3">
                  <c:v>3</c:v>
                </c:pt>
                <c:pt idx="4">
                  <c:v>12</c:v>
                </c:pt>
                <c:pt idx="5">
                  <c:v>3</c:v>
                </c:pt>
                <c:pt idx="6">
                  <c:v>3</c:v>
                </c:pt>
                <c:pt idx="7">
                  <c:v>2</c:v>
                </c:pt>
                <c:pt idx="8">
                  <c:v>14</c:v>
                </c:pt>
                <c:pt idx="9">
                  <c:v>70</c:v>
                </c:pt>
                <c:pt idx="10">
                  <c:v>27</c:v>
                </c:pt>
                <c:pt idx="11">
                  <c:v>73</c:v>
                </c:pt>
                <c:pt idx="12">
                  <c:v>42</c:v>
                </c:pt>
                <c:pt idx="13">
                  <c:v>13</c:v>
                </c:pt>
                <c:pt idx="14">
                  <c:v>6</c:v>
                </c:pt>
                <c:pt idx="15">
                  <c:v>1</c:v>
                </c:pt>
                <c:pt idx="16">
                  <c:v>51</c:v>
                </c:pt>
                <c:pt idx="17">
                  <c:v>42</c:v>
                </c:pt>
                <c:pt idx="18">
                  <c:v>115</c:v>
                </c:pt>
                <c:pt idx="19">
                  <c:v>25</c:v>
                </c:pt>
                <c:pt idx="20">
                  <c:v>189</c:v>
                </c:pt>
                <c:pt idx="21">
                  <c:v>247</c:v>
                </c:pt>
                <c:pt idx="22">
                  <c:v>113</c:v>
                </c:pt>
                <c:pt idx="23">
                  <c:v>58</c:v>
                </c:pt>
                <c:pt idx="24">
                  <c:v>173</c:v>
                </c:pt>
                <c:pt idx="25">
                  <c:v>20</c:v>
                </c:pt>
                <c:pt idx="26">
                  <c:v>1733</c:v>
                </c:pt>
              </c:numCache>
            </c:numRef>
          </c:val>
          <c:smooth val="0"/>
          <c:extLst>
            <c:ext xmlns:c16="http://schemas.microsoft.com/office/drawing/2014/chart" uri="{C3380CC4-5D6E-409C-BE32-E72D297353CC}">
              <c16:uniqueId val="{00000001-D025-7E4D-8C66-9A2C42C79392}"/>
            </c:ext>
          </c:extLst>
        </c:ser>
        <c:dLbls>
          <c:showLegendKey val="0"/>
          <c:showVal val="0"/>
          <c:showCatName val="0"/>
          <c:showSerName val="0"/>
          <c:showPercent val="0"/>
          <c:showBubbleSize val="0"/>
        </c:dLbls>
        <c:marker val="1"/>
        <c:smooth val="0"/>
        <c:axId val="3"/>
        <c:axId val="4"/>
      </c:lineChart>
      <c:catAx>
        <c:axId val="1621571552"/>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55 Helvetica Roman"/>
                <a:ea typeface="55 Helvetica Roman"/>
                <a:cs typeface="55 Helvetica Roman"/>
              </a:defRPr>
            </a:pPr>
            <a:endParaRPr lang="de-DE"/>
          </a:p>
        </c:txPr>
        <c:crossAx val="1"/>
        <c:crosses val="autoZero"/>
        <c:auto val="0"/>
        <c:lblAlgn val="ctr"/>
        <c:lblOffset val="100"/>
        <c:tickLblSkip val="1"/>
        <c:tickMarkSkip val="1"/>
        <c:noMultiLvlLbl val="0"/>
      </c:catAx>
      <c:valAx>
        <c:axId val="1"/>
        <c:scaling>
          <c:orientation val="minMax"/>
          <c:max val="18000"/>
        </c:scaling>
        <c:delete val="0"/>
        <c:axPos val="l"/>
        <c:majorGridlines>
          <c:spPr>
            <a:ln w="3175">
              <a:solidFill>
                <a:srgbClr val="000000"/>
              </a:solidFill>
              <a:prstDash val="solid"/>
            </a:ln>
          </c:spPr>
        </c:majorGridlines>
        <c:numFmt formatCode="#,##0" sourceLinked="1"/>
        <c:majorTickMark val="cross"/>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55 Helvetica Roman"/>
                <a:ea typeface="55 Helvetica Roman"/>
                <a:cs typeface="55 Helvetica Roman"/>
              </a:defRPr>
            </a:pPr>
            <a:endParaRPr lang="de-DE"/>
          </a:p>
        </c:txPr>
        <c:crossAx val="1621571552"/>
        <c:crosses val="autoZero"/>
        <c:crossBetween val="between"/>
      </c:valAx>
      <c:catAx>
        <c:axId val="3"/>
        <c:scaling>
          <c:orientation val="minMax"/>
        </c:scaling>
        <c:delete val="1"/>
        <c:axPos val="b"/>
        <c:numFmt formatCode="General" sourceLinked="1"/>
        <c:majorTickMark val="out"/>
        <c:minorTickMark val="none"/>
        <c:tickLblPos val="nextTo"/>
        <c:crossAx val="4"/>
        <c:crosses val="autoZero"/>
        <c:auto val="0"/>
        <c:lblAlgn val="ctr"/>
        <c:lblOffset val="100"/>
        <c:noMultiLvlLbl val="0"/>
      </c:catAx>
      <c:valAx>
        <c:axId val="4"/>
        <c:scaling>
          <c:orientation val="minMax"/>
          <c:min val="0"/>
        </c:scaling>
        <c:delete val="0"/>
        <c:axPos val="r"/>
        <c:numFmt formatCode="#,##0" sourceLinked="1"/>
        <c:majorTickMark val="cross"/>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55 Helvetica Roman"/>
                <a:ea typeface="55 Helvetica Roman"/>
                <a:cs typeface="55 Helvetica Roman"/>
              </a:defRPr>
            </a:pPr>
            <a:endParaRPr lang="de-DE"/>
          </a:p>
        </c:txPr>
        <c:crossAx val="3"/>
        <c:crosses val="max"/>
        <c:crossBetween val="between"/>
      </c:valAx>
      <c:spPr>
        <a:solidFill>
          <a:srgbClr val="FFFFFF"/>
        </a:solidFill>
        <a:ln w="12700">
          <a:solidFill>
            <a:srgbClr val="000000"/>
          </a:solidFill>
          <a:prstDash val="solid"/>
        </a:ln>
      </c:spPr>
    </c:plotArea>
    <c:legend>
      <c:legendPos val="r"/>
      <c:overlay val="0"/>
      <c:spPr>
        <a:solidFill>
          <a:srgbClr val="FFFFFF"/>
        </a:solidFill>
        <a:ln w="12700">
          <a:solidFill>
            <a:srgbClr val="000000"/>
          </a:solidFill>
          <a:prstDash val="solid"/>
        </a:ln>
      </c:spPr>
      <c:txPr>
        <a:bodyPr/>
        <a:lstStyle/>
        <a:p>
          <a:pPr>
            <a:defRPr sz="845" b="0" i="0" u="none" strike="noStrike" baseline="0">
              <a:solidFill>
                <a:srgbClr val="000000"/>
              </a:solidFill>
              <a:latin typeface="55 Helvetica Roman"/>
              <a:ea typeface="55 Helvetica Roman"/>
              <a:cs typeface="55 Helvetica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de-DE"/>
    </a:p>
  </c:txPr>
  <c:printSettings>
    <c:headerFooter alignWithMargins="0">
      <c:oddHeader>&amp;B</c:oddHeader>
      <c:oddFooter>Page &amp;S</c:oddFooter>
    </c:headerFooter>
    <c:pageMargins b="0.98425196899999978" l="0.78740157499999996" r="0.78740157499999996" t="0.98425196899999978" header="0.5" footer="0.5"/>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de-DE"/>
              <a:t>Anzahl Ärzte mit Praxistätigkeit und Apotheken 1985 – 2000 (Daten 1999)</a:t>
            </a:r>
          </a:p>
        </c:rich>
      </c:tx>
      <c:overlay val="0"/>
      <c:spPr>
        <a:noFill/>
        <a:ln w="25400">
          <a:noFill/>
        </a:ln>
      </c:spPr>
    </c:title>
    <c:autoTitleDeleted val="0"/>
    <c:plotArea>
      <c:layout/>
      <c:lineChart>
        <c:grouping val="standard"/>
        <c:varyColors val="0"/>
        <c:ser>
          <c:idx val="1"/>
          <c:order val="0"/>
          <c:tx>
            <c:strRef>
              <c:f>'909d'!$D$5</c:f>
              <c:strCache>
                <c:ptCount val="1"/>
                <c:pt idx="0">
                  <c:v>ärzte</c:v>
                </c:pt>
              </c:strCache>
            </c:strRef>
          </c:tx>
          <c:spPr>
            <a:ln w="12700">
              <a:solidFill>
                <a:srgbClr val="000000"/>
              </a:solidFill>
              <a:prstDash val="solid"/>
            </a:ln>
          </c:spPr>
          <c:marker>
            <c:symbol val="circle"/>
            <c:size val="6"/>
            <c:spPr>
              <a:solidFill>
                <a:srgbClr val="FFFFFF"/>
              </a:solidFill>
              <a:ln>
                <a:solidFill>
                  <a:srgbClr val="000000"/>
                </a:solidFill>
                <a:prstDash val="solid"/>
              </a:ln>
            </c:spPr>
          </c:marker>
          <c:cat>
            <c:strRef>
              <c:f>'909d'!$A$8:$A$34</c:f>
              <c:strCache>
                <c:ptCount val="27"/>
                <c:pt idx="0">
                  <c:v>ZH</c:v>
                </c:pt>
                <c:pt idx="1">
                  <c:v>BE</c:v>
                </c:pt>
                <c:pt idx="2">
                  <c:v>LU</c:v>
                </c:pt>
                <c:pt idx="3">
                  <c:v>UR</c:v>
                </c:pt>
                <c:pt idx="4">
                  <c:v>SZ</c:v>
                </c:pt>
                <c:pt idx="5">
                  <c:v>OW</c:v>
                </c:pt>
                <c:pt idx="6">
                  <c:v>NW</c:v>
                </c:pt>
                <c:pt idx="7">
                  <c:v>GL</c:v>
                </c:pt>
                <c:pt idx="8">
                  <c:v>ZG</c:v>
                </c:pt>
                <c:pt idx="9">
                  <c:v>FR</c:v>
                </c:pt>
                <c:pt idx="10">
                  <c:v>SO</c:v>
                </c:pt>
                <c:pt idx="11">
                  <c:v>BS</c:v>
                </c:pt>
                <c:pt idx="12">
                  <c:v>BL</c:v>
                </c:pt>
                <c:pt idx="13">
                  <c:v>SH</c:v>
                </c:pt>
                <c:pt idx="14">
                  <c:v>AR</c:v>
                </c:pt>
                <c:pt idx="15">
                  <c:v>AI</c:v>
                </c:pt>
                <c:pt idx="16">
                  <c:v>SG</c:v>
                </c:pt>
                <c:pt idx="17">
                  <c:v>GR</c:v>
                </c:pt>
                <c:pt idx="18">
                  <c:v>AG</c:v>
                </c:pt>
                <c:pt idx="19">
                  <c:v>TG</c:v>
                </c:pt>
                <c:pt idx="20">
                  <c:v>TI</c:v>
                </c:pt>
                <c:pt idx="21">
                  <c:v>VD</c:v>
                </c:pt>
                <c:pt idx="22">
                  <c:v>VS</c:v>
                </c:pt>
                <c:pt idx="23">
                  <c:v>NE</c:v>
                </c:pt>
                <c:pt idx="24">
                  <c:v>GE</c:v>
                </c:pt>
                <c:pt idx="25">
                  <c:v>JU</c:v>
                </c:pt>
                <c:pt idx="26">
                  <c:v>CH</c:v>
                </c:pt>
              </c:strCache>
            </c:strRef>
          </c:cat>
          <c:val>
            <c:numRef>
              <c:f>'909d'!$D$8:$D$34</c:f>
              <c:numCache>
                <c:formatCode>#,##0</c:formatCode>
                <c:ptCount val="27"/>
                <c:pt idx="0">
                  <c:v>1980</c:v>
                </c:pt>
                <c:pt idx="1">
                  <c:v>1116</c:v>
                </c:pt>
                <c:pt idx="2">
                  <c:v>281</c:v>
                </c:pt>
                <c:pt idx="3">
                  <c:v>10</c:v>
                </c:pt>
                <c:pt idx="4">
                  <c:v>85</c:v>
                </c:pt>
                <c:pt idx="5">
                  <c:v>14</c:v>
                </c:pt>
                <c:pt idx="6">
                  <c:v>23</c:v>
                </c:pt>
                <c:pt idx="7">
                  <c:v>21</c:v>
                </c:pt>
                <c:pt idx="8">
                  <c:v>132</c:v>
                </c:pt>
                <c:pt idx="9">
                  <c:v>219</c:v>
                </c:pt>
                <c:pt idx="10">
                  <c:v>185</c:v>
                </c:pt>
                <c:pt idx="11">
                  <c:v>516</c:v>
                </c:pt>
                <c:pt idx="12">
                  <c:v>352</c:v>
                </c:pt>
                <c:pt idx="13">
                  <c:v>68</c:v>
                </c:pt>
                <c:pt idx="14">
                  <c:v>39</c:v>
                </c:pt>
                <c:pt idx="15">
                  <c:v>5</c:v>
                </c:pt>
                <c:pt idx="16">
                  <c:v>404</c:v>
                </c:pt>
                <c:pt idx="17">
                  <c:v>131</c:v>
                </c:pt>
                <c:pt idx="18">
                  <c:v>531</c:v>
                </c:pt>
                <c:pt idx="19">
                  <c:v>154</c:v>
                </c:pt>
                <c:pt idx="20">
                  <c:v>362</c:v>
                </c:pt>
                <c:pt idx="21">
                  <c:v>1047</c:v>
                </c:pt>
                <c:pt idx="22">
                  <c:v>230</c:v>
                </c:pt>
                <c:pt idx="23">
                  <c:v>182</c:v>
                </c:pt>
                <c:pt idx="24">
                  <c:v>1035</c:v>
                </c:pt>
                <c:pt idx="25">
                  <c:v>52</c:v>
                </c:pt>
                <c:pt idx="26">
                  <c:v>9174</c:v>
                </c:pt>
              </c:numCache>
            </c:numRef>
          </c:val>
          <c:smooth val="0"/>
          <c:extLst>
            <c:ext xmlns:c16="http://schemas.microsoft.com/office/drawing/2014/chart" uri="{C3380CC4-5D6E-409C-BE32-E72D297353CC}">
              <c16:uniqueId val="{00000000-6BDA-4340-9025-088DDEE89569}"/>
            </c:ext>
          </c:extLst>
        </c:ser>
        <c:dLbls>
          <c:showLegendKey val="0"/>
          <c:showVal val="0"/>
          <c:showCatName val="0"/>
          <c:showSerName val="0"/>
          <c:showPercent val="0"/>
          <c:showBubbleSize val="0"/>
        </c:dLbls>
        <c:marker val="1"/>
        <c:smooth val="0"/>
        <c:axId val="1621900704"/>
        <c:axId val="1"/>
      </c:lineChart>
      <c:lineChart>
        <c:grouping val="standard"/>
        <c:varyColors val="0"/>
        <c:ser>
          <c:idx val="0"/>
          <c:order val="1"/>
          <c:tx>
            <c:strRef>
              <c:f>'909d'!$G$5</c:f>
              <c:strCache>
                <c:ptCount val="1"/>
                <c:pt idx="0">
                  <c:v>ken 6</c:v>
                </c:pt>
              </c:strCache>
            </c:strRef>
          </c:tx>
          <c:spPr>
            <a:ln w="12700">
              <a:solidFill>
                <a:srgbClr val="000000"/>
              </a:solidFill>
              <a:prstDash val="solid"/>
            </a:ln>
          </c:spPr>
          <c:marker>
            <c:symbol val="diamond"/>
            <c:size val="6"/>
            <c:spPr>
              <a:solidFill>
                <a:srgbClr val="000000"/>
              </a:solidFill>
              <a:ln>
                <a:solidFill>
                  <a:srgbClr val="000000"/>
                </a:solidFill>
                <a:prstDash val="solid"/>
              </a:ln>
            </c:spPr>
          </c:marker>
          <c:cat>
            <c:strRef>
              <c:f>'909d'!$A$8:$A$34</c:f>
              <c:strCache>
                <c:ptCount val="27"/>
                <c:pt idx="0">
                  <c:v>ZH</c:v>
                </c:pt>
                <c:pt idx="1">
                  <c:v>BE</c:v>
                </c:pt>
                <c:pt idx="2">
                  <c:v>LU</c:v>
                </c:pt>
                <c:pt idx="3">
                  <c:v>UR</c:v>
                </c:pt>
                <c:pt idx="4">
                  <c:v>SZ</c:v>
                </c:pt>
                <c:pt idx="5">
                  <c:v>OW</c:v>
                </c:pt>
                <c:pt idx="6">
                  <c:v>NW</c:v>
                </c:pt>
                <c:pt idx="7">
                  <c:v>GL</c:v>
                </c:pt>
                <c:pt idx="8">
                  <c:v>ZG</c:v>
                </c:pt>
                <c:pt idx="9">
                  <c:v>FR</c:v>
                </c:pt>
                <c:pt idx="10">
                  <c:v>SO</c:v>
                </c:pt>
                <c:pt idx="11">
                  <c:v>BS</c:v>
                </c:pt>
                <c:pt idx="12">
                  <c:v>BL</c:v>
                </c:pt>
                <c:pt idx="13">
                  <c:v>SH</c:v>
                </c:pt>
                <c:pt idx="14">
                  <c:v>AR</c:v>
                </c:pt>
                <c:pt idx="15">
                  <c:v>AI</c:v>
                </c:pt>
                <c:pt idx="16">
                  <c:v>SG</c:v>
                </c:pt>
                <c:pt idx="17">
                  <c:v>GR</c:v>
                </c:pt>
                <c:pt idx="18">
                  <c:v>AG</c:v>
                </c:pt>
                <c:pt idx="19">
                  <c:v>TG</c:v>
                </c:pt>
                <c:pt idx="20">
                  <c:v>TI</c:v>
                </c:pt>
                <c:pt idx="21">
                  <c:v>VD</c:v>
                </c:pt>
                <c:pt idx="22">
                  <c:v>VS</c:v>
                </c:pt>
                <c:pt idx="23">
                  <c:v>NE</c:v>
                </c:pt>
                <c:pt idx="24">
                  <c:v>GE</c:v>
                </c:pt>
                <c:pt idx="25">
                  <c:v>JU</c:v>
                </c:pt>
                <c:pt idx="26">
                  <c:v>CH</c:v>
                </c:pt>
              </c:strCache>
            </c:strRef>
          </c:cat>
          <c:val>
            <c:numRef>
              <c:f>'909d'!$G$8:$G$34</c:f>
              <c:numCache>
                <c:formatCode>#,##0</c:formatCode>
                <c:ptCount val="27"/>
                <c:pt idx="0">
                  <c:v>224</c:v>
                </c:pt>
                <c:pt idx="1">
                  <c:v>173</c:v>
                </c:pt>
                <c:pt idx="2">
                  <c:v>34</c:v>
                </c:pt>
                <c:pt idx="3">
                  <c:v>3</c:v>
                </c:pt>
                <c:pt idx="4">
                  <c:v>12</c:v>
                </c:pt>
                <c:pt idx="5">
                  <c:v>3</c:v>
                </c:pt>
                <c:pt idx="6">
                  <c:v>3</c:v>
                </c:pt>
                <c:pt idx="7">
                  <c:v>2</c:v>
                </c:pt>
                <c:pt idx="8">
                  <c:v>14</c:v>
                </c:pt>
                <c:pt idx="9">
                  <c:v>70</c:v>
                </c:pt>
                <c:pt idx="10">
                  <c:v>27</c:v>
                </c:pt>
                <c:pt idx="11">
                  <c:v>73</c:v>
                </c:pt>
                <c:pt idx="12">
                  <c:v>42</c:v>
                </c:pt>
                <c:pt idx="13">
                  <c:v>13</c:v>
                </c:pt>
                <c:pt idx="14">
                  <c:v>6</c:v>
                </c:pt>
                <c:pt idx="15">
                  <c:v>1</c:v>
                </c:pt>
                <c:pt idx="16">
                  <c:v>51</c:v>
                </c:pt>
                <c:pt idx="17">
                  <c:v>42</c:v>
                </c:pt>
                <c:pt idx="18">
                  <c:v>115</c:v>
                </c:pt>
                <c:pt idx="19">
                  <c:v>25</c:v>
                </c:pt>
                <c:pt idx="20">
                  <c:v>189</c:v>
                </c:pt>
                <c:pt idx="21">
                  <c:v>247</c:v>
                </c:pt>
                <c:pt idx="22">
                  <c:v>113</c:v>
                </c:pt>
                <c:pt idx="23">
                  <c:v>58</c:v>
                </c:pt>
                <c:pt idx="24">
                  <c:v>173</c:v>
                </c:pt>
                <c:pt idx="25">
                  <c:v>20</c:v>
                </c:pt>
                <c:pt idx="26">
                  <c:v>1733</c:v>
                </c:pt>
              </c:numCache>
            </c:numRef>
          </c:val>
          <c:smooth val="0"/>
          <c:extLst>
            <c:ext xmlns:c16="http://schemas.microsoft.com/office/drawing/2014/chart" uri="{C3380CC4-5D6E-409C-BE32-E72D297353CC}">
              <c16:uniqueId val="{00000001-6BDA-4340-9025-088DDEE89569}"/>
            </c:ext>
          </c:extLst>
        </c:ser>
        <c:dLbls>
          <c:showLegendKey val="0"/>
          <c:showVal val="0"/>
          <c:showCatName val="0"/>
          <c:showSerName val="0"/>
          <c:showPercent val="0"/>
          <c:showBubbleSize val="0"/>
        </c:dLbls>
        <c:marker val="1"/>
        <c:smooth val="0"/>
        <c:axId val="3"/>
        <c:axId val="4"/>
      </c:lineChart>
      <c:catAx>
        <c:axId val="1621900704"/>
        <c:scaling>
          <c:orientation val="minMax"/>
        </c:scaling>
        <c:delete val="0"/>
        <c:axPos val="b"/>
        <c:numFmt formatCode="General" sourceLinked="1"/>
        <c:majorTickMark val="cross"/>
        <c:minorTickMark val="none"/>
        <c:tickLblPos val="nextTo"/>
        <c:spPr>
          <a:ln w="3175">
            <a:solidFill>
              <a:srgbClr val="000000"/>
            </a:solidFill>
            <a:prstDash val="solid"/>
          </a:ln>
        </c:spPr>
        <c:txPr>
          <a:bodyPr rot="-5400000" vert="horz"/>
          <a:lstStyle/>
          <a:p>
            <a:pPr>
              <a:defRPr sz="1000" b="0" i="0" u="none" strike="noStrike" baseline="0">
                <a:solidFill>
                  <a:srgbClr val="000000"/>
                </a:solidFill>
                <a:latin typeface="55 Helvetica Roman"/>
                <a:ea typeface="55 Helvetica Roman"/>
                <a:cs typeface="55 Helvetica Roman"/>
              </a:defRPr>
            </a:pPr>
            <a:endParaRPr lang="de-DE"/>
          </a:p>
        </c:txPr>
        <c:crossAx val="1"/>
        <c:crosses val="autoZero"/>
        <c:auto val="0"/>
        <c:lblAlgn val="ctr"/>
        <c:lblOffset val="100"/>
        <c:tickLblSkip val="25"/>
        <c:tickMarkSkip val="1"/>
        <c:noMultiLvlLbl val="0"/>
      </c:catAx>
      <c:valAx>
        <c:axId val="1"/>
        <c:scaling>
          <c:orientation val="minMax"/>
          <c:max val="18000"/>
        </c:scaling>
        <c:delete val="0"/>
        <c:axPos val="l"/>
        <c:majorGridlines>
          <c:spPr>
            <a:ln w="3175">
              <a:solidFill>
                <a:srgbClr val="000000"/>
              </a:solidFill>
              <a:prstDash val="solid"/>
            </a:ln>
          </c:spPr>
        </c:majorGridlines>
        <c:numFmt formatCode="#,##0" sourceLinked="1"/>
        <c:majorTickMark val="cross"/>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55 Helvetica Roman"/>
                <a:ea typeface="55 Helvetica Roman"/>
                <a:cs typeface="55 Helvetica Roman"/>
              </a:defRPr>
            </a:pPr>
            <a:endParaRPr lang="de-DE"/>
          </a:p>
        </c:txPr>
        <c:crossAx val="1621900704"/>
        <c:crosses val="autoZero"/>
        <c:crossBetween val="between"/>
      </c:valAx>
      <c:catAx>
        <c:axId val="3"/>
        <c:scaling>
          <c:orientation val="minMax"/>
        </c:scaling>
        <c:delete val="1"/>
        <c:axPos val="b"/>
        <c:numFmt formatCode="General" sourceLinked="1"/>
        <c:majorTickMark val="out"/>
        <c:minorTickMark val="none"/>
        <c:tickLblPos val="nextTo"/>
        <c:crossAx val="4"/>
        <c:crosses val="autoZero"/>
        <c:auto val="0"/>
        <c:lblAlgn val="ctr"/>
        <c:lblOffset val="100"/>
        <c:noMultiLvlLbl val="0"/>
      </c:catAx>
      <c:valAx>
        <c:axId val="4"/>
        <c:scaling>
          <c:orientation val="minMax"/>
          <c:min val="0"/>
        </c:scaling>
        <c:delete val="0"/>
        <c:axPos val="r"/>
        <c:numFmt formatCode="#,##0" sourceLinked="1"/>
        <c:majorTickMark val="cross"/>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55 Helvetica Roman"/>
                <a:ea typeface="55 Helvetica Roman"/>
                <a:cs typeface="55 Helvetica Roman"/>
              </a:defRPr>
            </a:pPr>
            <a:endParaRPr lang="de-DE"/>
          </a:p>
        </c:txPr>
        <c:crossAx val="3"/>
        <c:crosses val="max"/>
        <c:crossBetween val="between"/>
      </c:valAx>
      <c:spPr>
        <a:solidFill>
          <a:srgbClr val="FFFFFF"/>
        </a:solidFill>
        <a:ln w="12700">
          <a:solidFill>
            <a:srgbClr val="000000"/>
          </a:solidFill>
          <a:prstDash val="solid"/>
        </a:ln>
      </c:spPr>
    </c:plotArea>
    <c:legend>
      <c:legendPos val="r"/>
      <c:overlay val="0"/>
      <c:spPr>
        <a:solidFill>
          <a:srgbClr val="FFFFFF"/>
        </a:solidFill>
        <a:ln w="12700">
          <a:solidFill>
            <a:srgbClr val="000000"/>
          </a:solidFill>
          <a:prstDash val="solid"/>
        </a:ln>
      </c:spPr>
      <c:txPr>
        <a:bodyPr/>
        <a:lstStyle/>
        <a:p>
          <a:pPr>
            <a:defRPr sz="845" b="0" i="0" u="none" strike="noStrike" baseline="0">
              <a:solidFill>
                <a:srgbClr val="000000"/>
              </a:solidFill>
              <a:latin typeface="55 Helvetica Roman"/>
              <a:ea typeface="55 Helvetica Roman"/>
              <a:cs typeface="55 Helvetica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de-DE"/>
    </a:p>
  </c:txPr>
  <c:printSettings>
    <c:headerFooter alignWithMargins="0"/>
    <c:pageMargins b="0.98425196899999978" l="0.78740157499999996" r="0.78740157499999996" t="0.98425196899999978" header="0.49212598450000011" footer="0.49212598450000011"/>
    <c:pageSetup orientation="portrait"/>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650240</xdr:colOff>
      <xdr:row>2</xdr:row>
      <xdr:rowOff>304800</xdr:rowOff>
    </xdr:from>
    <xdr:to>
      <xdr:col>7</xdr:col>
      <xdr:colOff>139662</xdr:colOff>
      <xdr:row>7</xdr:row>
      <xdr:rowOff>274320</xdr:rowOff>
    </xdr:to>
    <xdr:sp macro="" textlink="">
      <xdr:nvSpPr>
        <xdr:cNvPr id="6145" name="AutoShape 1">
          <a:extLst>
            <a:ext uri="{FF2B5EF4-FFF2-40B4-BE49-F238E27FC236}">
              <a16:creationId xmlns:a16="http://schemas.microsoft.com/office/drawing/2014/main" id="{4DB23D0C-6199-CCA9-CC15-A845AB3B452C}"/>
            </a:ext>
          </a:extLst>
        </xdr:cNvPr>
        <xdr:cNvSpPr>
          <a:spLocks noChangeArrowheads="1"/>
        </xdr:cNvSpPr>
      </xdr:nvSpPr>
      <xdr:spPr bwMode="auto">
        <a:xfrm>
          <a:off x="3634740" y="845820"/>
          <a:ext cx="2834640" cy="1036320"/>
        </a:xfrm>
        <a:prstGeom prst="wedgeRectCallout">
          <a:avLst>
            <a:gd name="adj1" fmla="val -96905"/>
            <a:gd name="adj2" fmla="val 157906"/>
          </a:avLst>
        </a:prstGeom>
        <a:solidFill>
          <a:srgbClr val="E3E3E3"/>
        </a:solidFill>
        <a:ln w="9525">
          <a:solidFill>
            <a:srgbClr val="000000"/>
          </a:solidFill>
          <a:miter lim="800000"/>
          <a:headEnd/>
          <a:tailEnd/>
        </a:ln>
      </xdr:spPr>
      <xdr:txBody>
        <a:bodyPr vertOverflow="clip" wrap="square" lIns="36576" tIns="27432" rIns="0" bIns="0" anchor="t" upright="1"/>
        <a:lstStyle/>
        <a:p>
          <a:pPr algn="l" rtl="0">
            <a:defRPr sz="1000"/>
          </a:pPr>
          <a:r>
            <a:rPr lang="en-US" sz="900" b="0" i="0" u="none" strike="noStrike" baseline="0">
              <a:solidFill>
                <a:srgbClr val="000000"/>
              </a:solidFill>
              <a:latin typeface="55 Helvetica Roman"/>
            </a:rPr>
            <a:t>La partie tableaux sous forme Excel n'est disponible qu'en allemand.</a:t>
          </a:r>
        </a:p>
        <a:p>
          <a:pPr algn="l" rtl="0">
            <a:defRPr sz="1000"/>
          </a:pPr>
          <a:r>
            <a:rPr lang="en-US" sz="900" b="0" i="0" u="none" strike="noStrike" baseline="0">
              <a:solidFill>
                <a:srgbClr val="000000"/>
              </a:solidFill>
              <a:latin typeface="55 Helvetica Roman"/>
            </a:rPr>
            <a:t>La version française est disponible dans la version complète 2010 sous forme PDF publiée ultérieurement (~ mai 2012). Il est aussi possible de se référer à la publication PDF 2009 contenant tous les tableaux en français .</a:t>
          </a:r>
        </a:p>
      </xdr:txBody>
    </xdr:sp>
    <xdr:clientData/>
  </xdr:twoCellAnchor>
  <xdr:twoCellAnchor>
    <xdr:from>
      <xdr:col>0</xdr:col>
      <xdr:colOff>292100</xdr:colOff>
      <xdr:row>70</xdr:row>
      <xdr:rowOff>114300</xdr:rowOff>
    </xdr:from>
    <xdr:to>
      <xdr:col>2</xdr:col>
      <xdr:colOff>635000</xdr:colOff>
      <xdr:row>73</xdr:row>
      <xdr:rowOff>139700</xdr:rowOff>
    </xdr:to>
    <xdr:pic>
      <xdr:nvPicPr>
        <xdr:cNvPr id="6589" name="Picture 3" descr="Logo_CMYK_pos">
          <a:extLst>
            <a:ext uri="{FF2B5EF4-FFF2-40B4-BE49-F238E27FC236}">
              <a16:creationId xmlns:a16="http://schemas.microsoft.com/office/drawing/2014/main" id="{B7A3BFF1-A512-CD8D-2712-C4A883A214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100" y="13512800"/>
          <a:ext cx="2146300" cy="520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294640</xdr:colOff>
      <xdr:row>2</xdr:row>
      <xdr:rowOff>220980</xdr:rowOff>
    </xdr:from>
    <xdr:to>
      <xdr:col>10</xdr:col>
      <xdr:colOff>744220</xdr:colOff>
      <xdr:row>9</xdr:row>
      <xdr:rowOff>30480</xdr:rowOff>
    </xdr:to>
    <xdr:sp macro="" textlink="">
      <xdr:nvSpPr>
        <xdr:cNvPr id="4" name="AutoShape 1">
          <a:extLst>
            <a:ext uri="{FF2B5EF4-FFF2-40B4-BE49-F238E27FC236}">
              <a16:creationId xmlns:a16="http://schemas.microsoft.com/office/drawing/2014/main" id="{991ABA30-FFFD-5098-6A50-F64419D2580F}"/>
            </a:ext>
          </a:extLst>
        </xdr:cNvPr>
        <xdr:cNvSpPr>
          <a:spLocks noChangeArrowheads="1"/>
        </xdr:cNvSpPr>
      </xdr:nvSpPr>
      <xdr:spPr bwMode="auto">
        <a:xfrm>
          <a:off x="7452360" y="762000"/>
          <a:ext cx="1981200" cy="1409700"/>
        </a:xfrm>
        <a:prstGeom prst="wedgeRectCallout">
          <a:avLst>
            <a:gd name="adj1" fmla="val 206"/>
            <a:gd name="adj2" fmla="val 50318"/>
          </a:avLst>
        </a:prstGeom>
        <a:solidFill>
          <a:srgbClr val="FFC000"/>
        </a:solidFill>
        <a:ln w="9525">
          <a:solidFill>
            <a:srgbClr val="000000"/>
          </a:solidFill>
          <a:miter lim="800000"/>
          <a:headEnd/>
          <a:tailEnd/>
        </a:ln>
      </xdr:spPr>
      <xdr:txBody>
        <a:bodyPr vertOverflow="clip" wrap="square" lIns="36576" tIns="27432" rIns="0" bIns="0" anchor="t" upright="1"/>
        <a:lstStyle/>
        <a:p>
          <a:r>
            <a:rPr lang="fr-CH" sz="800">
              <a:latin typeface="+mn-lt"/>
              <a:ea typeface="+mn-ea"/>
              <a:cs typeface="+mn-cs"/>
            </a:rPr>
            <a:t>Document réalisé avec Microsoft Excel 2007, enregistré dans le format XLS compatible aussi selon l’éditeur du logiciel avec Excel 97-2003. Dans la pratique on constate cependant qu’une pleine compatibilité d’affichage à l’écran ou lors de l’impression n’est pas toujours garantie en cas d’utilisation d’une version de tableur autre que celle utilisée pour la création du document. L</a:t>
          </a:r>
          <a:r>
            <a:rPr lang="en-US" sz="800" b="0" i="0" u="none" strike="noStrike">
              <a:latin typeface="+mn-lt"/>
              <a:ea typeface="+mn-ea"/>
              <a:cs typeface="+mn-cs"/>
            </a:rPr>
            <a:t>’éditeur du logiciel n’apporte pas de solution.</a:t>
          </a:r>
          <a:endParaRPr lang="en-US" sz="800">
            <a:latin typeface="+mn-lt"/>
            <a:ea typeface="+mn-ea"/>
            <a:cs typeface="+mn-cs"/>
          </a:endParaRPr>
        </a:p>
      </xdr:txBody>
    </xdr:sp>
    <xdr:clientData/>
  </xdr:twoCellAnchor>
  <xdr:twoCellAnchor>
    <xdr:from>
      <xdr:col>8</xdr:col>
      <xdr:colOff>279400</xdr:colOff>
      <xdr:row>10</xdr:row>
      <xdr:rowOff>7620</xdr:rowOff>
    </xdr:from>
    <xdr:to>
      <xdr:col>11</xdr:col>
      <xdr:colOff>0</xdr:colOff>
      <xdr:row>17</xdr:row>
      <xdr:rowOff>60960</xdr:rowOff>
    </xdr:to>
    <xdr:sp macro="" textlink="">
      <xdr:nvSpPr>
        <xdr:cNvPr id="5" name="AutoShape 1">
          <a:extLst>
            <a:ext uri="{FF2B5EF4-FFF2-40B4-BE49-F238E27FC236}">
              <a16:creationId xmlns:a16="http://schemas.microsoft.com/office/drawing/2014/main" id="{1EC510C2-0B3B-0069-2189-4248E6ACF887}"/>
            </a:ext>
          </a:extLst>
        </xdr:cNvPr>
        <xdr:cNvSpPr>
          <a:spLocks noChangeArrowheads="1"/>
        </xdr:cNvSpPr>
      </xdr:nvSpPr>
      <xdr:spPr bwMode="auto">
        <a:xfrm>
          <a:off x="7437120" y="2400300"/>
          <a:ext cx="2019300" cy="1485900"/>
        </a:xfrm>
        <a:prstGeom prst="wedgeRectCallout">
          <a:avLst>
            <a:gd name="adj1" fmla="val 206"/>
            <a:gd name="adj2" fmla="val 50318"/>
          </a:avLst>
        </a:prstGeom>
        <a:solidFill>
          <a:srgbClr val="FFC000"/>
        </a:solidFill>
        <a:ln w="9525">
          <a:solidFill>
            <a:srgbClr val="000000"/>
          </a:solidFill>
          <a:miter lim="800000"/>
          <a:headEnd/>
          <a:tailEnd/>
        </a:ln>
      </xdr:spPr>
      <xdr:txBody>
        <a:bodyPr vertOverflow="clip" wrap="square" lIns="36576" tIns="27432" rIns="0" bIns="0" anchor="t" upright="1"/>
        <a:lstStyle/>
        <a:p>
          <a:r>
            <a:rPr lang="de-CH" sz="800">
              <a:latin typeface="+mn-lt"/>
              <a:ea typeface="+mn-ea"/>
              <a:cs typeface="+mn-cs"/>
            </a:rPr>
            <a:t>Das Dokument wurde erstellt mit Microsoft Excel 2007 und im Format XLS gespeichert, das gemäss Angaben des Softwareherstellers kompatibel mit Excel 97-2003 ist. Die Praxis zeigt allerdings, dass eine volle Kompatibilität bei der Bildschirmdarstellung oder dem Druck nicht immer gewährleistet ist, falls die Version des Tabellenprogramms von derjenigen des zum Aufbau verwendeten abweicht. Der Softwarehersteller bietet hierzu keine Lösung an.</a:t>
          </a:r>
          <a:endParaRPr lang="en-US" sz="800" b="0" i="0" u="none" strike="noStrike" baseline="0">
            <a:solidFill>
              <a:srgbClr val="000000"/>
            </a:solidFill>
            <a:latin typeface="55 Helvetica Roman"/>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12700</xdr:colOff>
      <xdr:row>53</xdr:row>
      <xdr:rowOff>0</xdr:rowOff>
    </xdr:from>
    <xdr:to>
      <xdr:col>11</xdr:col>
      <xdr:colOff>0</xdr:colOff>
      <xdr:row>53</xdr:row>
      <xdr:rowOff>0</xdr:rowOff>
    </xdr:to>
    <xdr:graphicFrame macro="">
      <xdr:nvGraphicFramePr>
        <xdr:cNvPr id="85071" name="Chart 1">
          <a:extLst>
            <a:ext uri="{FF2B5EF4-FFF2-40B4-BE49-F238E27FC236}">
              <a16:creationId xmlns:a16="http://schemas.microsoft.com/office/drawing/2014/main" id="{677A4C74-F1C8-8FDA-C053-DFC5113B63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53</xdr:row>
      <xdr:rowOff>0</xdr:rowOff>
    </xdr:from>
    <xdr:to>
      <xdr:col>12</xdr:col>
      <xdr:colOff>0</xdr:colOff>
      <xdr:row>53</xdr:row>
      <xdr:rowOff>0</xdr:rowOff>
    </xdr:to>
    <xdr:graphicFrame macro="">
      <xdr:nvGraphicFramePr>
        <xdr:cNvPr id="85072" name="Chart 2">
          <a:extLst>
            <a:ext uri="{FF2B5EF4-FFF2-40B4-BE49-F238E27FC236}">
              <a16:creationId xmlns:a16="http://schemas.microsoft.com/office/drawing/2014/main" id="{4F9F1B5C-C2E6-6659-5D96-2E3B66F8B1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1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83180-9CC4-374C-B1D2-663158C78087}">
  <sheetPr>
    <pageSetUpPr fitToPage="1"/>
  </sheetPr>
  <dimension ref="A1:M74"/>
  <sheetViews>
    <sheetView tabSelected="1" zoomScaleNormal="100" workbookViewId="0"/>
  </sheetViews>
  <sheetFormatPr baseColWidth="10" defaultColWidth="11.3984375" defaultRowHeight="13"/>
  <cols>
    <col min="1" max="1" width="16.59765625" style="3" customWidth="1"/>
    <col min="2" max="2" width="11.796875" style="3" customWidth="1"/>
    <col min="3" max="3" width="14.3984375" style="3" customWidth="1"/>
    <col min="4" max="6" width="11.796875" style="3" customWidth="1"/>
    <col min="7" max="7" width="13.59765625" style="3" customWidth="1"/>
    <col min="8" max="9" width="11.796875" style="3" customWidth="1"/>
    <col min="10" max="10" width="9.796875" style="3" customWidth="1"/>
    <col min="11" max="11" width="12.19921875" style="3" customWidth="1"/>
    <col min="12" max="16384" width="11.3984375" style="3"/>
  </cols>
  <sheetData>
    <row r="1" spans="1:13" s="2" customFormat="1" ht="12" customHeight="1">
      <c r="A1"/>
      <c r="B1"/>
      <c r="C1"/>
      <c r="D1"/>
      <c r="E1"/>
      <c r="F1"/>
      <c r="G1"/>
      <c r="H1"/>
      <c r="I1"/>
    </row>
    <row r="2" spans="1:13" ht="30.75" customHeight="1">
      <c r="A2" s="5" t="s">
        <v>239</v>
      </c>
      <c r="B2"/>
      <c r="C2"/>
      <c r="D2"/>
      <c r="E2"/>
      <c r="F2"/>
      <c r="G2"/>
      <c r="H2"/>
      <c r="I2"/>
    </row>
    <row r="3" spans="1:13" ht="27" customHeight="1">
      <c r="A3" s="6"/>
      <c r="B3"/>
      <c r="C3"/>
      <c r="D3"/>
      <c r="E3"/>
      <c r="F3"/>
      <c r="G3"/>
      <c r="H3"/>
      <c r="I3"/>
    </row>
    <row r="4" spans="1:13" ht="15" customHeight="1">
      <c r="A4" s="7" t="s">
        <v>81</v>
      </c>
      <c r="B4"/>
      <c r="C4"/>
      <c r="D4"/>
      <c r="E4"/>
      <c r="F4"/>
      <c r="G4"/>
      <c r="H4"/>
      <c r="I4"/>
    </row>
    <row r="5" spans="1:13" ht="17.25" customHeight="1">
      <c r="A5"/>
      <c r="B5"/>
      <c r="C5"/>
      <c r="D5"/>
      <c r="E5"/>
      <c r="F5"/>
      <c r="G5"/>
      <c r="H5"/>
      <c r="I5"/>
    </row>
    <row r="6" spans="1:13" ht="15.75" customHeight="1">
      <c r="B6"/>
      <c r="C6"/>
      <c r="D6"/>
      <c r="E6"/>
      <c r="F6"/>
      <c r="G6"/>
      <c r="H6"/>
      <c r="I6"/>
      <c r="J6" s="8"/>
    </row>
    <row r="7" spans="1:13" ht="9.75" customHeight="1">
      <c r="A7"/>
      <c r="B7"/>
      <c r="C7"/>
      <c r="D7"/>
      <c r="E7"/>
      <c r="F7"/>
      <c r="G7"/>
      <c r="H7"/>
      <c r="I7"/>
      <c r="J7" s="8"/>
    </row>
    <row r="8" spans="1:13" ht="31.5" customHeight="1">
      <c r="A8" s="20" t="s">
        <v>9</v>
      </c>
      <c r="B8"/>
      <c r="C8"/>
      <c r="D8"/>
      <c r="E8"/>
      <c r="F8"/>
      <c r="G8"/>
      <c r="H8"/>
      <c r="I8"/>
    </row>
    <row r="9" spans="1:13" ht="11.25" customHeight="1">
      <c r="B9"/>
      <c r="C9"/>
      <c r="D9"/>
      <c r="E9"/>
      <c r="F9"/>
      <c r="G9"/>
      <c r="H9"/>
      <c r="I9"/>
      <c r="K9" s="9"/>
      <c r="L9" s="9"/>
      <c r="M9" s="9"/>
    </row>
    <row r="10" spans="1:13" ht="20" customHeight="1">
      <c r="A10"/>
      <c r="B10"/>
      <c r="C10"/>
      <c r="D10"/>
      <c r="E10"/>
      <c r="F10"/>
      <c r="G10"/>
      <c r="H10"/>
      <c r="I10"/>
    </row>
    <row r="11" spans="1:13" ht="20" customHeight="1">
      <c r="A11" s="7" t="s">
        <v>188</v>
      </c>
      <c r="B11"/>
      <c r="C11"/>
      <c r="D11"/>
      <c r="E11"/>
      <c r="F11"/>
      <c r="G11" s="19" t="s">
        <v>6</v>
      </c>
      <c r="H11" s="18"/>
      <c r="I11"/>
    </row>
    <row r="12" spans="1:13" ht="20" customHeight="1">
      <c r="A12"/>
      <c r="B12"/>
      <c r="C12"/>
      <c r="D12"/>
      <c r="E12"/>
      <c r="F12"/>
      <c r="G12"/>
      <c r="H12"/>
      <c r="I12"/>
    </row>
    <row r="13" spans="1:13" ht="20.25" customHeight="1">
      <c r="A13"/>
      <c r="B13"/>
      <c r="C13"/>
      <c r="D13"/>
      <c r="E13"/>
      <c r="I13"/>
    </row>
    <row r="14" spans="1:13" ht="26.25" customHeight="1">
      <c r="A14" s="10" t="s">
        <v>33</v>
      </c>
      <c r="B14" s="11"/>
      <c r="C14" s="11"/>
      <c r="D14" s="12"/>
      <c r="E14" s="12"/>
      <c r="G14" s="41" t="s">
        <v>2568</v>
      </c>
      <c r="H14" s="11"/>
      <c r="I14"/>
    </row>
    <row r="15" spans="1:13" s="4" customFormat="1" ht="8.25" customHeight="1">
      <c r="A15" s="27"/>
      <c r="B15" s="24"/>
      <c r="C15" s="24"/>
      <c r="G15" s="28"/>
      <c r="H15" s="24"/>
      <c r="I15" s="24"/>
    </row>
    <row r="16" spans="1:13" ht="15" customHeight="1">
      <c r="A16" s="29" t="s">
        <v>80</v>
      </c>
      <c r="B16"/>
      <c r="C16"/>
      <c r="D16"/>
      <c r="E16"/>
      <c r="F16"/>
      <c r="G16"/>
      <c r="H16"/>
      <c r="I16"/>
    </row>
    <row r="17" spans="1:13" s="4" customFormat="1" ht="5.25" customHeight="1">
      <c r="A17" s="24"/>
      <c r="B17" s="24"/>
      <c r="C17" s="24"/>
      <c r="D17" s="24"/>
      <c r="E17" s="24"/>
      <c r="F17" s="24"/>
      <c r="G17" s="24"/>
      <c r="H17" s="24"/>
      <c r="I17" s="24"/>
    </row>
    <row r="18" spans="1:13" ht="17.25" customHeight="1">
      <c r="A18" s="42" t="s">
        <v>676</v>
      </c>
      <c r="B18" s="30"/>
      <c r="C18" s="43"/>
      <c r="D18" s="44"/>
      <c r="E18" s="42" t="s">
        <v>2371</v>
      </c>
      <c r="F18" s="30"/>
      <c r="G18" s="30"/>
      <c r="H18" s="4"/>
      <c r="I18" s="53"/>
      <c r="J18" s="4"/>
      <c r="K18" s="4"/>
    </row>
    <row r="19" spans="1:13" ht="15" customHeight="1">
      <c r="A19" s="42" t="s">
        <v>675</v>
      </c>
      <c r="B19" s="30"/>
      <c r="C19" s="30"/>
      <c r="D19" s="36"/>
      <c r="E19" s="42" t="s">
        <v>2373</v>
      </c>
      <c r="F19" s="30"/>
      <c r="G19" s="30"/>
      <c r="H19" s="4"/>
      <c r="I19" s="54"/>
      <c r="J19" s="4"/>
      <c r="K19" s="4"/>
    </row>
    <row r="20" spans="1:13" ht="15" customHeight="1">
      <c r="A20" s="42" t="s">
        <v>1450</v>
      </c>
      <c r="B20" s="31"/>
      <c r="C20" s="31"/>
      <c r="D20" s="37"/>
      <c r="E20" s="42" t="s">
        <v>2566</v>
      </c>
      <c r="F20" s="30"/>
      <c r="G20" s="30"/>
      <c r="H20" s="4"/>
      <c r="I20" s="54"/>
      <c r="J20" s="4"/>
      <c r="K20" s="4"/>
    </row>
    <row r="21" spans="1:13">
      <c r="A21" s="42" t="s">
        <v>2372</v>
      </c>
      <c r="B21" s="30"/>
      <c r="C21" s="31"/>
      <c r="D21" s="37"/>
      <c r="E21" s="60"/>
      <c r="F21" s="31"/>
      <c r="G21" s="31"/>
      <c r="H21" s="4"/>
      <c r="I21" s="61" t="s">
        <v>11</v>
      </c>
      <c r="J21" s="62"/>
      <c r="K21" s="62"/>
    </row>
    <row r="22" spans="1:13">
      <c r="A22" s="42" t="s">
        <v>1451</v>
      </c>
      <c r="B22" s="30"/>
      <c r="C22" s="31"/>
      <c r="D22" s="37"/>
      <c r="E22" s="60"/>
      <c r="F22" s="31"/>
      <c r="G22" s="31"/>
      <c r="H22" s="4"/>
      <c r="I22" s="62" t="s">
        <v>12</v>
      </c>
      <c r="J22" s="62"/>
      <c r="K22" s="62"/>
    </row>
    <row r="23" spans="1:13">
      <c r="A23" s="42" t="s">
        <v>1576</v>
      </c>
      <c r="B23" s="30"/>
      <c r="C23" s="31"/>
      <c r="D23" s="37"/>
      <c r="E23" s="60"/>
      <c r="F23" s="31"/>
      <c r="G23" s="31"/>
      <c r="H23" s="4"/>
      <c r="I23" s="62" t="s">
        <v>1704</v>
      </c>
      <c r="J23" s="139"/>
      <c r="K23" s="139"/>
    </row>
    <row r="24" spans="1:13">
      <c r="A24" s="42" t="s">
        <v>1703</v>
      </c>
      <c r="B24" s="30"/>
      <c r="C24" s="31"/>
      <c r="D24" s="37"/>
      <c r="E24" s="60"/>
      <c r="F24" s="42"/>
      <c r="G24" s="31"/>
      <c r="H24" s="4"/>
    </row>
    <row r="25" spans="1:13">
      <c r="A25" s="42" t="s">
        <v>1834</v>
      </c>
      <c r="B25" s="30"/>
      <c r="C25" s="31"/>
      <c r="D25" s="37"/>
      <c r="E25" s="60"/>
      <c r="F25" s="31"/>
      <c r="G25" s="31"/>
      <c r="H25" s="4"/>
    </row>
    <row r="26" spans="1:13">
      <c r="A26" s="42" t="s">
        <v>1926</v>
      </c>
      <c r="B26" s="30"/>
      <c r="C26" s="31"/>
      <c r="D26" s="37"/>
      <c r="E26" s="60"/>
      <c r="F26" s="31"/>
      <c r="G26" s="31"/>
      <c r="H26" s="4"/>
    </row>
    <row r="27" spans="1:13">
      <c r="A27" s="42" t="s">
        <v>2258</v>
      </c>
      <c r="B27" s="30"/>
      <c r="C27" s="42"/>
      <c r="D27" s="37"/>
      <c r="E27" s="42"/>
      <c r="F27" s="31"/>
      <c r="G27" s="31"/>
      <c r="H27" s="4"/>
    </row>
    <row r="28" spans="1:13" ht="16">
      <c r="A28" s="14"/>
      <c r="B28" s="22"/>
      <c r="C28" s="13"/>
      <c r="I28" s="58" t="s">
        <v>2567</v>
      </c>
      <c r="J28" s="63"/>
      <c r="K28" s="63"/>
    </row>
    <row r="29" spans="1:13" ht="16">
      <c r="A29" s="14"/>
      <c r="I29" s="40"/>
      <c r="J29" s="68"/>
      <c r="K29" s="63"/>
      <c r="L29" s="4"/>
      <c r="M29" s="4"/>
    </row>
    <row r="30" spans="1:13" ht="16">
      <c r="A30" s="14"/>
      <c r="B30" s="13"/>
      <c r="C30" s="13"/>
      <c r="F30" s="4"/>
    </row>
    <row r="31" spans="1:13" ht="16">
      <c r="A31" s="14"/>
      <c r="I31" s="426"/>
      <c r="J31" s="138"/>
      <c r="K31" s="138"/>
    </row>
    <row r="32" spans="1:13" ht="15">
      <c r="A32" s="45" t="s">
        <v>125</v>
      </c>
      <c r="B32" s="21"/>
      <c r="C32" s="4"/>
      <c r="D32" s="4"/>
      <c r="E32" s="4"/>
      <c r="F32" s="4"/>
      <c r="G32" s="57"/>
    </row>
    <row r="33" spans="1:11">
      <c r="A33" s="65" t="s">
        <v>1605</v>
      </c>
      <c r="B33" s="66"/>
      <c r="C33" s="64"/>
      <c r="D33" s="65"/>
      <c r="E33" s="67"/>
      <c r="F33" s="64"/>
      <c r="G33" s="65"/>
      <c r="H33" s="26"/>
      <c r="I33" s="4"/>
      <c r="J33" s="65"/>
      <c r="K33" s="23"/>
    </row>
    <row r="34" spans="1:11">
      <c r="A34" s="65" t="s">
        <v>2451</v>
      </c>
      <c r="B34" s="66"/>
      <c r="C34" s="64"/>
      <c r="D34" s="65"/>
      <c r="E34" s="66"/>
      <c r="F34" s="64"/>
      <c r="G34" s="65"/>
      <c r="H34" s="23"/>
      <c r="I34" s="4"/>
      <c r="J34" s="65"/>
      <c r="K34" s="23"/>
    </row>
    <row r="35" spans="1:11">
      <c r="A35" s="65"/>
      <c r="B35" s="66"/>
      <c r="C35" s="64"/>
      <c r="D35" s="65"/>
      <c r="E35" s="66"/>
      <c r="F35" s="64"/>
      <c r="G35" s="67"/>
      <c r="H35" s="23"/>
      <c r="I35" s="4"/>
      <c r="J35" s="65"/>
      <c r="K35" s="23"/>
    </row>
    <row r="36" spans="1:11">
      <c r="A36" s="33"/>
      <c r="B36" s="32"/>
      <c r="C36" s="4"/>
      <c r="D36" s="33"/>
      <c r="E36" s="32"/>
      <c r="G36" s="69"/>
      <c r="H36" s="33"/>
      <c r="I36" s="4"/>
      <c r="J36" s="69"/>
      <c r="K36" s="4"/>
    </row>
    <row r="37" spans="1:11" ht="16">
      <c r="A37" s="14"/>
    </row>
    <row r="38" spans="1:11" ht="16">
      <c r="A38" s="14"/>
      <c r="B38" s="35" t="s">
        <v>82</v>
      </c>
      <c r="C38" s="38" t="s">
        <v>7</v>
      </c>
      <c r="J38" s="25"/>
    </row>
    <row r="39" spans="1:11" ht="16">
      <c r="A39" s="15"/>
      <c r="B39" s="13"/>
      <c r="C39" s="13"/>
    </row>
    <row r="40" spans="1:11" ht="16">
      <c r="A40" s="811" t="s">
        <v>83</v>
      </c>
      <c r="B40" s="812" t="s">
        <v>309</v>
      </c>
      <c r="C40" s="813" t="s">
        <v>102</v>
      </c>
      <c r="D40" s="167"/>
      <c r="E40" s="167"/>
      <c r="F40" s="167"/>
      <c r="G40" s="167"/>
      <c r="H40" s="167"/>
      <c r="I40" s="167"/>
      <c r="J40" s="167"/>
      <c r="K40" s="34"/>
    </row>
    <row r="41" spans="1:11" ht="16">
      <c r="A41" s="811" t="s">
        <v>84</v>
      </c>
      <c r="B41" s="812" t="s">
        <v>2452</v>
      </c>
      <c r="C41" s="813" t="s">
        <v>85</v>
      </c>
      <c r="D41" s="167"/>
      <c r="E41" s="167"/>
      <c r="F41" s="167"/>
      <c r="G41" s="167"/>
      <c r="H41" s="167"/>
      <c r="I41" s="167"/>
      <c r="J41" s="167"/>
      <c r="K41" s="34"/>
    </row>
    <row r="42" spans="1:11" ht="16">
      <c r="A42" s="811" t="s">
        <v>86</v>
      </c>
      <c r="B42" s="812" t="s">
        <v>310</v>
      </c>
      <c r="C42" s="813" t="s">
        <v>87</v>
      </c>
      <c r="D42" s="167"/>
      <c r="E42" s="167"/>
      <c r="F42" s="167"/>
      <c r="G42" s="167"/>
      <c r="H42" s="167"/>
      <c r="I42" s="167"/>
      <c r="J42" s="167"/>
      <c r="K42" s="34"/>
    </row>
    <row r="43" spans="1:11" ht="16">
      <c r="A43" s="811" t="s">
        <v>88</v>
      </c>
      <c r="B43" s="812" t="s">
        <v>311</v>
      </c>
      <c r="C43" s="813" t="s">
        <v>89</v>
      </c>
      <c r="D43" s="167"/>
      <c r="E43" s="167"/>
      <c r="F43" s="167"/>
      <c r="G43" s="167"/>
      <c r="H43" s="167"/>
      <c r="I43" s="167"/>
      <c r="J43" s="167"/>
      <c r="K43" s="34"/>
    </row>
    <row r="44" spans="1:11" ht="16">
      <c r="A44" s="811" t="s">
        <v>90</v>
      </c>
      <c r="B44" s="814" t="s">
        <v>312</v>
      </c>
      <c r="C44" s="813" t="s">
        <v>91</v>
      </c>
      <c r="D44" s="167"/>
      <c r="E44" s="167"/>
      <c r="F44" s="167"/>
      <c r="G44" s="167"/>
      <c r="H44" s="167"/>
      <c r="I44" s="167"/>
      <c r="J44" s="167"/>
      <c r="K44" s="34"/>
    </row>
    <row r="45" spans="1:11" ht="16">
      <c r="A45" s="811" t="s">
        <v>92</v>
      </c>
      <c r="B45" s="812" t="s">
        <v>93</v>
      </c>
      <c r="C45" s="813" t="s">
        <v>94</v>
      </c>
      <c r="D45" s="167"/>
      <c r="E45" s="167"/>
      <c r="F45" s="167"/>
      <c r="G45" s="167"/>
      <c r="H45" s="167"/>
      <c r="I45" s="167"/>
      <c r="J45" s="167"/>
      <c r="K45" s="34"/>
    </row>
    <row r="46" spans="1:11" ht="16">
      <c r="A46" s="811" t="s">
        <v>95</v>
      </c>
      <c r="B46" s="812" t="s">
        <v>37</v>
      </c>
      <c r="C46" s="813" t="s">
        <v>99</v>
      </c>
      <c r="D46" s="167"/>
      <c r="E46" s="167"/>
      <c r="F46" s="167"/>
      <c r="G46" s="167"/>
      <c r="H46" s="167"/>
      <c r="I46" s="167"/>
      <c r="J46" s="167"/>
      <c r="K46" s="34"/>
    </row>
    <row r="47" spans="1:11" ht="16">
      <c r="A47" s="811" t="s">
        <v>96</v>
      </c>
      <c r="B47" s="812" t="s">
        <v>313</v>
      </c>
      <c r="C47" s="813" t="s">
        <v>8</v>
      </c>
      <c r="D47" s="167"/>
      <c r="E47" s="167"/>
      <c r="F47" s="167"/>
      <c r="G47" s="167"/>
      <c r="H47" s="167"/>
      <c r="I47" s="167"/>
      <c r="J47" s="167"/>
      <c r="K47" s="34"/>
    </row>
    <row r="48" spans="1:11" ht="16">
      <c r="A48" s="811" t="s">
        <v>97</v>
      </c>
      <c r="B48" s="812" t="s">
        <v>314</v>
      </c>
      <c r="C48" s="813" t="s">
        <v>98</v>
      </c>
      <c r="D48" s="167"/>
      <c r="E48" s="167"/>
      <c r="F48" s="167"/>
      <c r="G48" s="167"/>
      <c r="H48" s="167"/>
      <c r="I48" s="167"/>
      <c r="J48" s="167"/>
      <c r="K48" s="34"/>
    </row>
    <row r="49" spans="1:11" ht="16">
      <c r="A49" s="811" t="s">
        <v>10</v>
      </c>
      <c r="B49" s="812" t="s">
        <v>315</v>
      </c>
      <c r="C49" s="813" t="s">
        <v>18</v>
      </c>
      <c r="D49" s="167"/>
      <c r="E49" s="167"/>
      <c r="F49" s="167"/>
      <c r="G49" s="167"/>
      <c r="H49" s="167"/>
      <c r="I49" s="167"/>
      <c r="J49" s="167"/>
      <c r="K49" s="34"/>
    </row>
    <row r="50" spans="1:11" ht="16">
      <c r="A50" s="811" t="s">
        <v>42</v>
      </c>
      <c r="B50" s="812" t="s">
        <v>17</v>
      </c>
      <c r="C50" s="813" t="s">
        <v>43</v>
      </c>
      <c r="D50" s="167"/>
      <c r="E50" s="167"/>
      <c r="F50" s="167"/>
      <c r="G50" s="167"/>
      <c r="H50" s="167"/>
      <c r="I50" s="167"/>
      <c r="J50" s="167"/>
      <c r="K50" s="34"/>
    </row>
    <row r="51" spans="1:11" ht="14">
      <c r="A51" s="165" t="s">
        <v>316</v>
      </c>
      <c r="B51" s="166" t="s">
        <v>317</v>
      </c>
      <c r="C51" s="166"/>
      <c r="D51" s="166"/>
      <c r="E51" s="167"/>
      <c r="F51" s="167"/>
      <c r="G51" s="167"/>
      <c r="H51" s="167"/>
      <c r="I51" s="167"/>
      <c r="J51" s="167"/>
      <c r="K51" s="34"/>
    </row>
    <row r="52" spans="1:11" ht="13.75" customHeight="1">
      <c r="A52" s="165" t="s">
        <v>100</v>
      </c>
      <c r="B52" s="166" t="s">
        <v>321</v>
      </c>
      <c r="C52" s="166"/>
      <c r="D52" s="166"/>
      <c r="E52" s="167"/>
      <c r="F52" s="167"/>
      <c r="G52" s="167"/>
      <c r="H52" s="167"/>
      <c r="I52" s="167"/>
      <c r="J52" s="167"/>
      <c r="K52" s="34"/>
    </row>
    <row r="53" spans="1:11" s="52" customFormat="1" ht="12.5" customHeight="1">
      <c r="A53" s="165" t="s">
        <v>41</v>
      </c>
      <c r="B53" s="166" t="s">
        <v>320</v>
      </c>
      <c r="C53" s="163"/>
      <c r="D53" s="163"/>
      <c r="E53" s="164"/>
      <c r="F53" s="164"/>
      <c r="G53" s="164"/>
      <c r="H53" s="164"/>
      <c r="I53" s="164"/>
      <c r="J53" s="164"/>
      <c r="K53" s="59"/>
    </row>
    <row r="54" spans="1:11" s="52" customFormat="1" ht="0.5" customHeight="1">
      <c r="A54" s="162" t="s">
        <v>2</v>
      </c>
      <c r="B54" s="163" t="s">
        <v>3</v>
      </c>
      <c r="C54" s="163"/>
      <c r="D54" s="163"/>
      <c r="E54" s="164"/>
      <c r="F54" s="164"/>
      <c r="G54" s="164"/>
      <c r="H54" s="164"/>
      <c r="I54" s="164"/>
      <c r="J54" s="164"/>
      <c r="K54" s="59"/>
    </row>
    <row r="55" spans="1:11" s="52" customFormat="1" ht="14">
      <c r="A55" s="165" t="s">
        <v>195</v>
      </c>
      <c r="B55" s="166" t="s">
        <v>196</v>
      </c>
      <c r="C55" s="163"/>
      <c r="D55" s="163"/>
      <c r="E55" s="164"/>
      <c r="F55" s="164"/>
      <c r="G55" s="164"/>
      <c r="H55" s="164"/>
      <c r="I55" s="164"/>
      <c r="J55" s="164"/>
      <c r="K55" s="59"/>
    </row>
    <row r="56" spans="1:11" ht="14">
      <c r="A56" s="165" t="s">
        <v>318</v>
      </c>
      <c r="B56" s="166" t="s">
        <v>319</v>
      </c>
      <c r="C56" s="166"/>
      <c r="D56" s="166"/>
      <c r="E56" s="167"/>
      <c r="F56" s="167"/>
      <c r="G56" s="167"/>
      <c r="H56" s="167"/>
      <c r="I56" s="167"/>
      <c r="J56" s="167"/>
      <c r="K56" s="34"/>
    </row>
    <row r="58" spans="1:11">
      <c r="A58" s="16"/>
      <c r="B58" s="16"/>
      <c r="C58" s="16"/>
      <c r="D58" s="16"/>
      <c r="E58" s="16"/>
      <c r="F58" s="16"/>
      <c r="G58" s="16"/>
      <c r="H58" s="16"/>
      <c r="I58" s="16"/>
      <c r="J58" s="16"/>
    </row>
    <row r="60" spans="1:11" ht="14.25" customHeight="1">
      <c r="A60" s="56" t="s">
        <v>240</v>
      </c>
      <c r="B60"/>
      <c r="C60"/>
      <c r="D60"/>
      <c r="E60"/>
      <c r="F60"/>
      <c r="G60"/>
      <c r="H60"/>
      <c r="I60"/>
    </row>
    <row r="61" spans="1:11" ht="14.25" customHeight="1">
      <c r="A61" s="13"/>
      <c r="B61"/>
      <c r="C61"/>
      <c r="D61"/>
      <c r="E61"/>
      <c r="F61"/>
      <c r="G61"/>
      <c r="H61"/>
      <c r="I61"/>
    </row>
    <row r="62" spans="1:11" ht="18" customHeight="1">
      <c r="A62" s="2" t="s">
        <v>191</v>
      </c>
      <c r="B62"/>
      <c r="C62"/>
      <c r="D62"/>
      <c r="E62"/>
      <c r="F62"/>
      <c r="G62"/>
      <c r="H62"/>
      <c r="I62"/>
    </row>
    <row r="63" spans="1:11" ht="12.75" customHeight="1">
      <c r="A63" s="2"/>
      <c r="B63"/>
      <c r="C63"/>
      <c r="D63"/>
      <c r="E63"/>
      <c r="F63"/>
      <c r="G63"/>
      <c r="H63"/>
      <c r="I63"/>
    </row>
    <row r="64" spans="1:11">
      <c r="A64" s="16"/>
      <c r="B64" s="16"/>
      <c r="C64" s="16"/>
      <c r="D64" s="16"/>
      <c r="E64" s="16"/>
      <c r="F64" s="16"/>
      <c r="G64" s="16"/>
      <c r="H64" s="16"/>
      <c r="I64" s="16"/>
      <c r="J64" s="16"/>
    </row>
    <row r="66" spans="1:10" ht="16">
      <c r="A66" s="17" t="s">
        <v>189</v>
      </c>
    </row>
    <row r="67" spans="1:10" ht="10.5" customHeight="1">
      <c r="A67" s="17"/>
    </row>
    <row r="68" spans="1:10" ht="16">
      <c r="A68" s="39" t="s">
        <v>197</v>
      </c>
    </row>
    <row r="69" spans="1:10" ht="16">
      <c r="A69" s="39"/>
    </row>
    <row r="74" spans="1:10">
      <c r="J74" s="55" t="s">
        <v>32</v>
      </c>
    </row>
  </sheetData>
  <phoneticPr fontId="0" type="noConversion"/>
  <pageMargins left="0.47244094488188981" right="0.35433070866141736" top="0.31496062992125984" bottom="0.27559055118110237" header="0.27559055118110237" footer="0.19685039370078741"/>
  <pageSetup paperSize="9" scale="70" orientation="portrait"/>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7DEE6-83AE-F34A-820E-C57314A25918}">
  <sheetPr>
    <pageSetUpPr fitToPage="1"/>
  </sheetPr>
  <dimension ref="A5:L45"/>
  <sheetViews>
    <sheetView zoomScaleNormal="100" workbookViewId="0">
      <selection activeCell="I10" sqref="I10"/>
    </sheetView>
  </sheetViews>
  <sheetFormatPr baseColWidth="10" defaultColWidth="11.3984375" defaultRowHeight="13"/>
  <cols>
    <col min="1" max="1" width="19.3984375" style="141" customWidth="1"/>
    <col min="2" max="2" width="13.59765625" style="141" customWidth="1"/>
    <col min="3" max="7" width="11.3984375" style="141"/>
    <col min="8" max="8" width="6.59765625" style="141" customWidth="1"/>
    <col min="9" max="12" width="11.3984375" style="141"/>
    <col min="13" max="13" width="4.59765625" style="141" customWidth="1"/>
    <col min="14" max="16384" width="11.3984375" style="141"/>
  </cols>
  <sheetData>
    <row r="5" spans="1:12" ht="18">
      <c r="A5" s="140" t="s">
        <v>241</v>
      </c>
    </row>
    <row r="6" spans="1:12" ht="49.5" customHeight="1">
      <c r="A6" s="142"/>
      <c r="B6" s="142"/>
      <c r="C6" s="142"/>
      <c r="D6" s="142"/>
      <c r="E6" s="142"/>
      <c r="F6" s="142"/>
      <c r="G6" s="142"/>
      <c r="H6" s="142"/>
      <c r="I6" s="142"/>
      <c r="J6" s="142"/>
      <c r="K6" s="142"/>
      <c r="L6" s="142"/>
    </row>
    <row r="7" spans="1:12">
      <c r="A7" s="143" t="s">
        <v>242</v>
      </c>
      <c r="B7" s="142"/>
      <c r="C7" s="142"/>
      <c r="D7" s="142"/>
      <c r="E7" s="142"/>
      <c r="F7" s="142"/>
      <c r="G7" s="142"/>
      <c r="H7" s="142"/>
      <c r="I7" s="142"/>
      <c r="J7" s="142"/>
      <c r="K7" s="142"/>
      <c r="L7" s="142"/>
    </row>
    <row r="8" spans="1:12" ht="14" thickBot="1">
      <c r="A8" s="144"/>
      <c r="B8" s="145"/>
      <c r="C8" s="145"/>
      <c r="D8" s="145"/>
      <c r="E8" s="145"/>
      <c r="F8" s="145"/>
      <c r="G8" s="145"/>
      <c r="H8" s="145"/>
      <c r="I8" s="145"/>
      <c r="J8" s="145"/>
      <c r="K8" s="145"/>
      <c r="L8" s="142"/>
    </row>
    <row r="9" spans="1:12">
      <c r="C9" s="1" t="s">
        <v>243</v>
      </c>
      <c r="D9" s="1"/>
      <c r="E9" s="1"/>
      <c r="F9" s="1"/>
      <c r="G9" s="1"/>
      <c r="I9" s="1789" t="s">
        <v>2578</v>
      </c>
      <c r="J9" s="1789"/>
      <c r="K9" s="1789"/>
      <c r="L9" s="146"/>
    </row>
    <row r="10" spans="1:12">
      <c r="B10" s="141" t="s">
        <v>244</v>
      </c>
      <c r="C10" s="147" t="s">
        <v>245</v>
      </c>
      <c r="D10" s="147" t="s">
        <v>203</v>
      </c>
      <c r="E10" s="147" t="s">
        <v>246</v>
      </c>
      <c r="F10" s="147" t="s">
        <v>246</v>
      </c>
      <c r="G10" s="147" t="s">
        <v>247</v>
      </c>
      <c r="H10" s="147"/>
      <c r="I10" s="147" t="s">
        <v>246</v>
      </c>
      <c r="J10" s="147" t="s">
        <v>203</v>
      </c>
      <c r="K10" s="147" t="s">
        <v>247</v>
      </c>
    </row>
    <row r="11" spans="1:12">
      <c r="A11" s="148"/>
      <c r="B11" s="148"/>
      <c r="C11" s="149"/>
      <c r="D11" s="149"/>
      <c r="E11" s="149"/>
      <c r="F11" s="149" t="s">
        <v>203</v>
      </c>
      <c r="G11" s="149"/>
      <c r="H11" s="149"/>
      <c r="I11" s="149"/>
      <c r="J11" s="149"/>
      <c r="K11" s="149"/>
    </row>
    <row r="12" spans="1:12">
      <c r="A12" s="142" t="s">
        <v>248</v>
      </c>
      <c r="B12" s="142" t="s">
        <v>249</v>
      </c>
      <c r="C12" s="150">
        <v>2.06</v>
      </c>
      <c r="D12" s="150">
        <v>2.04</v>
      </c>
      <c r="E12" s="150" t="s">
        <v>250</v>
      </c>
      <c r="F12" s="150"/>
      <c r="G12" s="150" t="s">
        <v>251</v>
      </c>
      <c r="H12" s="150"/>
      <c r="I12" s="150" t="s">
        <v>252</v>
      </c>
      <c r="J12" s="151"/>
      <c r="K12" s="151">
        <v>2.16</v>
      </c>
    </row>
    <row r="13" spans="1:12">
      <c r="A13" s="142"/>
      <c r="B13" s="142" t="s">
        <v>253</v>
      </c>
      <c r="C13" s="142"/>
      <c r="D13" s="150">
        <v>2.0499999999999998</v>
      </c>
      <c r="E13" s="150" t="s">
        <v>254</v>
      </c>
      <c r="F13" s="150"/>
      <c r="G13" s="150" t="s">
        <v>255</v>
      </c>
      <c r="H13" s="150"/>
      <c r="I13" s="150" t="s">
        <v>256</v>
      </c>
      <c r="J13" s="1760">
        <v>2.25</v>
      </c>
      <c r="K13" s="151">
        <v>2.1800000000000002</v>
      </c>
    </row>
    <row r="14" spans="1:12">
      <c r="A14" s="141" t="s">
        <v>257</v>
      </c>
      <c r="B14" s="141" t="s">
        <v>249</v>
      </c>
      <c r="C14" s="152">
        <v>2.11</v>
      </c>
      <c r="D14" s="152" t="s">
        <v>54</v>
      </c>
      <c r="E14" s="152"/>
      <c r="F14" s="152"/>
      <c r="G14" s="152"/>
      <c r="H14" s="152"/>
      <c r="I14" s="152" t="s">
        <v>258</v>
      </c>
      <c r="J14" s="147"/>
      <c r="K14" s="147"/>
    </row>
    <row r="15" spans="1:12">
      <c r="A15" s="142"/>
      <c r="B15" s="142" t="s">
        <v>253</v>
      </c>
      <c r="C15" s="142"/>
      <c r="D15" s="150" t="s">
        <v>259</v>
      </c>
      <c r="E15" s="150" t="s">
        <v>260</v>
      </c>
      <c r="F15" s="150"/>
      <c r="G15" s="150"/>
      <c r="H15" s="150"/>
      <c r="I15" s="150" t="s">
        <v>261</v>
      </c>
      <c r="J15" s="1760">
        <v>2.2599999999999998</v>
      </c>
      <c r="K15" s="151"/>
    </row>
    <row r="16" spans="1:12">
      <c r="A16" s="142" t="s">
        <v>262</v>
      </c>
      <c r="B16" s="142" t="s">
        <v>249</v>
      </c>
      <c r="C16" s="150">
        <v>2.09</v>
      </c>
      <c r="D16" s="150" t="s">
        <v>263</v>
      </c>
      <c r="E16" s="150"/>
      <c r="F16" s="150"/>
      <c r="G16" s="142"/>
      <c r="H16" s="142"/>
      <c r="I16" s="150" t="s">
        <v>46</v>
      </c>
      <c r="J16" s="151"/>
      <c r="K16" s="142"/>
    </row>
    <row r="17" spans="1:11">
      <c r="A17" s="148"/>
      <c r="B17" s="148" t="s">
        <v>253</v>
      </c>
      <c r="C17" s="148"/>
      <c r="D17" s="153" t="s">
        <v>264</v>
      </c>
      <c r="E17" s="153" t="s">
        <v>265</v>
      </c>
      <c r="F17" s="153"/>
      <c r="G17" s="148"/>
      <c r="H17" s="148"/>
      <c r="I17" s="153" t="s">
        <v>266</v>
      </c>
      <c r="J17" s="149">
        <v>2.0299999999999998</v>
      </c>
      <c r="K17" s="148"/>
    </row>
    <row r="18" spans="1:11">
      <c r="A18" s="141" t="s">
        <v>267</v>
      </c>
      <c r="B18" s="141" t="s">
        <v>249</v>
      </c>
      <c r="C18" s="152" t="s">
        <v>268</v>
      </c>
      <c r="D18" s="152" t="s">
        <v>269</v>
      </c>
      <c r="E18" s="152" t="s">
        <v>101</v>
      </c>
      <c r="F18" s="152"/>
      <c r="G18" s="152"/>
      <c r="H18" s="152"/>
      <c r="I18" s="152" t="s">
        <v>270</v>
      </c>
      <c r="J18" s="147"/>
      <c r="K18" s="147"/>
    </row>
    <row r="19" spans="1:11">
      <c r="B19" s="141" t="s">
        <v>253</v>
      </c>
      <c r="C19" s="152"/>
      <c r="D19" s="152" t="s">
        <v>61</v>
      </c>
      <c r="E19" s="152" t="s">
        <v>59</v>
      </c>
      <c r="F19" s="152"/>
      <c r="G19" s="152"/>
      <c r="H19" s="152"/>
      <c r="I19" s="152" t="s">
        <v>60</v>
      </c>
      <c r="J19" s="147">
        <v>3.08</v>
      </c>
      <c r="K19" s="147"/>
    </row>
    <row r="20" spans="1:11">
      <c r="A20" s="148" t="s">
        <v>271</v>
      </c>
      <c r="B20" s="148" t="s">
        <v>272</v>
      </c>
      <c r="C20" s="153"/>
      <c r="D20" s="153" t="s">
        <v>273</v>
      </c>
      <c r="E20" s="153"/>
      <c r="F20" s="153"/>
      <c r="G20" s="153"/>
      <c r="H20" s="153"/>
      <c r="I20" s="153" t="s">
        <v>274</v>
      </c>
      <c r="J20" s="149"/>
      <c r="K20" s="149"/>
    </row>
    <row r="21" spans="1:11">
      <c r="A21" s="141" t="s">
        <v>275</v>
      </c>
      <c r="B21" s="141" t="s">
        <v>276</v>
      </c>
      <c r="C21" s="152" t="s">
        <v>277</v>
      </c>
      <c r="D21" s="152" t="s">
        <v>278</v>
      </c>
      <c r="E21" s="152" t="s">
        <v>279</v>
      </c>
      <c r="F21" s="152" t="s">
        <v>280</v>
      </c>
      <c r="G21" s="152"/>
      <c r="H21" s="152"/>
      <c r="I21" s="152"/>
      <c r="J21" s="147"/>
      <c r="K21" s="147"/>
    </row>
    <row r="22" spans="1:11" ht="14" thickBot="1">
      <c r="A22" s="145"/>
      <c r="B22" s="145" t="s">
        <v>281</v>
      </c>
      <c r="C22" s="154"/>
      <c r="D22" s="155" t="s">
        <v>282</v>
      </c>
      <c r="E22" s="155" t="s">
        <v>283</v>
      </c>
      <c r="F22" s="155"/>
      <c r="G22" s="155"/>
      <c r="H22" s="155"/>
      <c r="I22" s="155" t="s">
        <v>284</v>
      </c>
      <c r="J22" s="156"/>
      <c r="K22" s="156"/>
    </row>
    <row r="23" spans="1:11" ht="34.5" customHeight="1"/>
    <row r="24" spans="1:11">
      <c r="A24" s="157" t="s">
        <v>285</v>
      </c>
    </row>
    <row r="25" spans="1:11">
      <c r="A25" s="141" t="s">
        <v>248</v>
      </c>
      <c r="B25" s="141" t="s">
        <v>286</v>
      </c>
    </row>
    <row r="26" spans="1:11">
      <c r="A26" s="141" t="s">
        <v>257</v>
      </c>
      <c r="B26" s="141" t="s">
        <v>287</v>
      </c>
    </row>
    <row r="27" spans="1:11">
      <c r="B27" s="141" t="s">
        <v>288</v>
      </c>
    </row>
    <row r="28" spans="1:11">
      <c r="A28" s="141" t="s">
        <v>267</v>
      </c>
      <c r="B28" s="141" t="s">
        <v>289</v>
      </c>
    </row>
    <row r="29" spans="1:11">
      <c r="A29" s="141" t="s">
        <v>271</v>
      </c>
      <c r="B29" s="141" t="s">
        <v>290</v>
      </c>
    </row>
    <row r="30" spans="1:11" ht="27.75" customHeight="1"/>
    <row r="31" spans="1:11">
      <c r="A31" s="157" t="s">
        <v>291</v>
      </c>
    </row>
    <row r="32" spans="1:11">
      <c r="A32" s="141" t="s">
        <v>1603</v>
      </c>
      <c r="B32" s="141" t="s">
        <v>1604</v>
      </c>
    </row>
    <row r="33" spans="1:2">
      <c r="A33" s="141" t="s">
        <v>292</v>
      </c>
      <c r="B33" s="141" t="s">
        <v>293</v>
      </c>
    </row>
    <row r="34" spans="1:2">
      <c r="A34" s="141" t="s">
        <v>247</v>
      </c>
      <c r="B34" s="141" t="s">
        <v>294</v>
      </c>
    </row>
    <row r="35" spans="1:2" ht="29.25" customHeight="1"/>
    <row r="36" spans="1:2">
      <c r="A36" s="157" t="s">
        <v>295</v>
      </c>
    </row>
    <row r="37" spans="1:2">
      <c r="A37" s="158">
        <v>1.01</v>
      </c>
      <c r="B37" s="159" t="s">
        <v>296</v>
      </c>
    </row>
    <row r="38" spans="1:2">
      <c r="A38" s="158">
        <v>1.02</v>
      </c>
      <c r="B38" s="159" t="s">
        <v>297</v>
      </c>
    </row>
    <row r="39" spans="1:2">
      <c r="A39" s="160" t="s">
        <v>298</v>
      </c>
      <c r="B39" s="159" t="s">
        <v>299</v>
      </c>
    </row>
    <row r="40" spans="1:2">
      <c r="A40" s="161" t="s">
        <v>300</v>
      </c>
      <c r="B40" s="159" t="s">
        <v>301</v>
      </c>
    </row>
    <row r="41" spans="1:2">
      <c r="A41" s="158" t="s">
        <v>302</v>
      </c>
      <c r="B41" s="159" t="s">
        <v>303</v>
      </c>
    </row>
    <row r="42" spans="1:2">
      <c r="A42" s="158">
        <v>8.0299999999999994</v>
      </c>
      <c r="B42" s="159" t="s">
        <v>304</v>
      </c>
    </row>
    <row r="43" spans="1:2">
      <c r="A43" s="158" t="s">
        <v>305</v>
      </c>
      <c r="B43" s="159" t="s">
        <v>306</v>
      </c>
    </row>
    <row r="44" spans="1:2">
      <c r="A44" s="160" t="s">
        <v>49</v>
      </c>
      <c r="B44" s="159" t="s">
        <v>307</v>
      </c>
    </row>
    <row r="45" spans="1:2">
      <c r="A45" s="158"/>
    </row>
  </sheetData>
  <mergeCells count="2">
    <mergeCell ref="C9:G9"/>
    <mergeCell ref="I9:K9"/>
  </mergeCells>
  <pageMargins left="0.51" right="0.49" top="0.69" bottom="0.78" header="0.42" footer="0.51181102362204722"/>
  <pageSetup paperSize="9" scale="65" orientation="portrait"/>
  <headerFooter alignWithMargins="0"/>
  <colBreaks count="1" manualBreakCount="1">
    <brk id="12" min="4" max="47"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9265F-B80B-0445-B6D7-01F49CCAA558}">
  <sheetPr>
    <pageSetUpPr fitToPage="1"/>
  </sheetPr>
  <dimension ref="A1:M82"/>
  <sheetViews>
    <sheetView topLeftCell="A51" workbookViewId="0">
      <selection activeCell="K72" sqref="K72"/>
    </sheetView>
  </sheetViews>
  <sheetFormatPr baseColWidth="10" defaultColWidth="11.59765625" defaultRowHeight="13"/>
  <cols>
    <col min="1" max="1" width="11.59765625" style="1635"/>
    <col min="2" max="2" width="10.3984375" style="1718" customWidth="1"/>
    <col min="3" max="3" width="4.3984375" style="1635" customWidth="1"/>
    <col min="4" max="4" width="11.59765625" style="1635"/>
    <col min="5" max="5" width="11.3984375" style="1718" customWidth="1"/>
    <col min="6" max="7" width="11.59765625" style="1635"/>
    <col min="8" max="8" width="3.59765625" style="1635" customWidth="1"/>
    <col min="9" max="9" width="11.59765625" style="1635"/>
    <col min="10" max="10" width="3.796875" style="1635" customWidth="1"/>
    <col min="11" max="11" width="11.59765625" style="1635"/>
    <col min="12" max="12" width="3.796875" style="1635" customWidth="1"/>
    <col min="13" max="16384" width="11.59765625" style="1635"/>
  </cols>
  <sheetData>
    <row r="1" spans="1:13" ht="16">
      <c r="A1" s="1717" t="s">
        <v>2569</v>
      </c>
    </row>
    <row r="2" spans="1:13" ht="18" customHeight="1"/>
    <row r="3" spans="1:13" ht="30" customHeight="1">
      <c r="A3" s="1719" t="s">
        <v>308</v>
      </c>
      <c r="B3" s="1719" t="s">
        <v>2570</v>
      </c>
      <c r="C3" s="1718"/>
      <c r="D3" s="1719" t="str">
        <f>A3</f>
        <v>Publikation 2009</v>
      </c>
      <c r="E3" s="1719" t="str">
        <f>B3</f>
        <v>Publikation 2010</v>
      </c>
      <c r="G3" s="1719" t="str">
        <f>E3</f>
        <v>Publikation 2010</v>
      </c>
      <c r="H3" s="1719"/>
      <c r="I3" s="1719" t="str">
        <f>D3</f>
        <v>Publikation 2009</v>
      </c>
      <c r="K3" s="1719" t="str">
        <f>G3</f>
        <v>Publikation 2010</v>
      </c>
      <c r="L3" s="1719"/>
      <c r="M3" s="1719" t="str">
        <f>I3</f>
        <v>Publikation 2009</v>
      </c>
    </row>
    <row r="4" spans="1:13" ht="13.5" customHeight="1">
      <c r="A4" s="1720"/>
      <c r="B4" s="1720"/>
      <c r="D4" s="1721"/>
      <c r="E4" s="1721"/>
      <c r="G4" s="1722"/>
      <c r="H4" s="1722"/>
      <c r="I4" s="1722"/>
      <c r="K4" s="1722"/>
      <c r="L4" s="1722"/>
      <c r="M4" s="1722"/>
    </row>
    <row r="5" spans="1:13">
      <c r="A5" s="1723">
        <v>1.01</v>
      </c>
      <c r="B5" s="1723">
        <v>1.01</v>
      </c>
      <c r="C5" s="1724"/>
      <c r="D5" s="1725">
        <v>6.05</v>
      </c>
      <c r="E5" s="1725">
        <v>6.05</v>
      </c>
      <c r="G5" s="1723">
        <v>1.01</v>
      </c>
      <c r="H5" s="1723"/>
      <c r="I5" s="1726">
        <v>1.01</v>
      </c>
      <c r="K5" s="1725">
        <v>6.03</v>
      </c>
      <c r="L5" s="1727"/>
      <c r="M5" s="1725">
        <v>6.03</v>
      </c>
    </row>
    <row r="6" spans="1:13">
      <c r="A6" s="1728">
        <v>1.02</v>
      </c>
      <c r="B6" s="1728">
        <v>1.02</v>
      </c>
      <c r="C6" s="1724"/>
      <c r="D6" s="1725">
        <v>6.06</v>
      </c>
      <c r="E6" s="1725">
        <v>6.06</v>
      </c>
      <c r="G6" s="1728">
        <v>1.02</v>
      </c>
      <c r="H6" s="1723"/>
      <c r="I6" s="1729">
        <v>1.02</v>
      </c>
      <c r="K6" s="1725">
        <v>6.04</v>
      </c>
      <c r="L6" s="1727"/>
      <c r="M6" s="1725">
        <v>6.04</v>
      </c>
    </row>
    <row r="7" spans="1:13">
      <c r="A7" s="1728">
        <v>1.03</v>
      </c>
      <c r="B7" s="1728">
        <v>1.03</v>
      </c>
      <c r="C7" s="1724"/>
      <c r="D7" s="1725">
        <v>7.01</v>
      </c>
      <c r="E7" s="1725">
        <v>7.01</v>
      </c>
      <c r="G7" s="1728">
        <v>1.03</v>
      </c>
      <c r="H7" s="1723"/>
      <c r="I7" s="1729">
        <v>1.03</v>
      </c>
      <c r="K7" s="1725">
        <v>6.05</v>
      </c>
      <c r="L7" s="1727"/>
      <c r="M7" s="1725">
        <v>6.05</v>
      </c>
    </row>
    <row r="8" spans="1:13">
      <c r="A8" s="1728">
        <v>1.04</v>
      </c>
      <c r="B8" s="1728">
        <v>1.04</v>
      </c>
      <c r="C8" s="1724"/>
      <c r="D8" s="1725">
        <v>7.02</v>
      </c>
      <c r="E8" s="1725">
        <v>7.02</v>
      </c>
      <c r="G8" s="1728">
        <v>1.04</v>
      </c>
      <c r="H8" s="1723"/>
      <c r="I8" s="1729">
        <v>1.04</v>
      </c>
      <c r="K8" s="1725">
        <v>6.06</v>
      </c>
      <c r="L8" s="1725"/>
      <c r="M8" s="1725">
        <v>6.06</v>
      </c>
    </row>
    <row r="9" spans="1:13">
      <c r="A9" s="1728">
        <v>1.05</v>
      </c>
      <c r="B9" s="1728">
        <v>1.05</v>
      </c>
      <c r="C9" s="1724"/>
      <c r="D9" s="1725">
        <v>7.03</v>
      </c>
      <c r="E9" s="1725">
        <v>7.03</v>
      </c>
      <c r="G9" s="1728">
        <v>1.05</v>
      </c>
      <c r="H9" s="1723"/>
      <c r="I9" s="1729">
        <v>1.05</v>
      </c>
      <c r="K9" s="1725">
        <v>7.01</v>
      </c>
      <c r="L9" s="1730"/>
      <c r="M9" s="1725">
        <v>7.01</v>
      </c>
    </row>
    <row r="10" spans="1:13">
      <c r="A10" s="1728">
        <v>1.06</v>
      </c>
      <c r="B10" s="1728">
        <v>1.06</v>
      </c>
      <c r="C10" s="1724"/>
      <c r="D10" s="1725">
        <v>7.04</v>
      </c>
      <c r="E10" s="1725">
        <v>7.04</v>
      </c>
      <c r="G10" s="1728">
        <v>1.06</v>
      </c>
      <c r="H10" s="1723"/>
      <c r="I10" s="1729">
        <v>1.06</v>
      </c>
      <c r="K10" s="1725">
        <v>7.02</v>
      </c>
      <c r="L10" s="1730"/>
      <c r="M10" s="1725">
        <v>7.02</v>
      </c>
    </row>
    <row r="11" spans="1:13">
      <c r="A11" s="1728">
        <v>1.07</v>
      </c>
      <c r="B11" s="1728">
        <v>1.07</v>
      </c>
      <c r="C11" s="1724"/>
      <c r="D11" s="1725">
        <v>7.05</v>
      </c>
      <c r="E11" s="1725">
        <v>7.05</v>
      </c>
      <c r="G11" s="1728">
        <v>1.07</v>
      </c>
      <c r="H11" s="1723"/>
      <c r="I11" s="1729">
        <v>1.07</v>
      </c>
      <c r="J11" s="1731"/>
      <c r="K11" s="1725">
        <v>7.03</v>
      </c>
      <c r="L11" s="1730"/>
      <c r="M11" s="1725">
        <v>7.03</v>
      </c>
    </row>
    <row r="12" spans="1:13">
      <c r="A12" s="1728">
        <v>1.08</v>
      </c>
      <c r="B12" s="1728">
        <v>1.08</v>
      </c>
      <c r="C12" s="1724"/>
      <c r="D12" s="1732">
        <v>8.01</v>
      </c>
      <c r="E12" s="1732">
        <v>8.01</v>
      </c>
      <c r="G12" s="1728">
        <v>1.08</v>
      </c>
      <c r="H12" s="1723"/>
      <c r="I12" s="1729">
        <v>1.08</v>
      </c>
      <c r="J12" s="1731"/>
      <c r="K12" s="1725">
        <v>7.04</v>
      </c>
      <c r="L12" s="1727"/>
      <c r="M12" s="1725">
        <v>7.04</v>
      </c>
    </row>
    <row r="13" spans="1:13">
      <c r="A13" s="1728">
        <v>1.0900000000000001</v>
      </c>
      <c r="B13" s="1728">
        <v>1.0900000000000001</v>
      </c>
      <c r="C13" s="1724"/>
      <c r="D13" s="1732">
        <v>8.02</v>
      </c>
      <c r="E13" s="1732">
        <v>8.02</v>
      </c>
      <c r="G13" s="1728">
        <v>1.0900000000000001</v>
      </c>
      <c r="H13" s="1723"/>
      <c r="I13" s="1729">
        <v>1.0900000000000001</v>
      </c>
      <c r="J13" s="1731"/>
      <c r="K13" s="1725">
        <v>7.05</v>
      </c>
      <c r="L13" s="1727"/>
      <c r="M13" s="1725">
        <v>7.05</v>
      </c>
    </row>
    <row r="14" spans="1:13">
      <c r="A14" s="1728">
        <v>1.1000000000000001</v>
      </c>
      <c r="B14" s="1728">
        <v>1.1000000000000001</v>
      </c>
      <c r="C14" s="1724"/>
      <c r="D14" s="1732">
        <v>8.0299999999999994</v>
      </c>
      <c r="E14" s="1732">
        <v>8.0299999999999994</v>
      </c>
      <c r="G14" s="1728">
        <v>1.1000000000000001</v>
      </c>
      <c r="H14" s="1723"/>
      <c r="I14" s="1729">
        <v>1.1000000000000001</v>
      </c>
      <c r="J14" s="1731"/>
      <c r="K14" s="1733">
        <v>8.01</v>
      </c>
      <c r="L14" s="1723"/>
      <c r="M14" s="1732">
        <v>8.01</v>
      </c>
    </row>
    <row r="15" spans="1:13">
      <c r="A15" s="1728">
        <v>1.1100000000000001</v>
      </c>
      <c r="B15" s="1728">
        <v>1.1100000000000001</v>
      </c>
      <c r="C15" s="1724"/>
      <c r="D15" s="1732">
        <v>8.0399999999999991</v>
      </c>
      <c r="E15" s="1732">
        <v>8.0399999999999991</v>
      </c>
      <c r="G15" s="1728">
        <v>1.1100000000000001</v>
      </c>
      <c r="H15" s="1723"/>
      <c r="I15" s="1729">
        <v>1.1100000000000001</v>
      </c>
      <c r="J15" s="1731"/>
      <c r="K15" s="1732">
        <v>8.02</v>
      </c>
      <c r="L15" s="1723"/>
      <c r="M15" s="1732">
        <v>8.02</v>
      </c>
    </row>
    <row r="16" spans="1:13">
      <c r="A16" s="1728">
        <v>1.1200000000000001</v>
      </c>
      <c r="B16" s="1728">
        <v>1.1200000000000001</v>
      </c>
      <c r="C16" s="1724"/>
      <c r="D16" s="1732">
        <v>8.0500000000000007</v>
      </c>
      <c r="E16" s="1732">
        <v>8.0500000000000007</v>
      </c>
      <c r="G16" s="1728">
        <v>1.1200000000000001</v>
      </c>
      <c r="H16" s="1723"/>
      <c r="I16" s="1729">
        <v>1.1200000000000001</v>
      </c>
      <c r="J16" s="1731"/>
      <c r="K16" s="1732">
        <v>8.0299999999999994</v>
      </c>
      <c r="L16" s="1723"/>
      <c r="M16" s="1732">
        <v>8.0299999999999994</v>
      </c>
    </row>
    <row r="17" spans="1:13">
      <c r="A17" s="1728">
        <v>1.1299999999999999</v>
      </c>
      <c r="B17" s="1728">
        <v>1.1299999999999999</v>
      </c>
      <c r="C17" s="1724"/>
      <c r="D17" s="1732">
        <v>8.06</v>
      </c>
      <c r="E17" s="1732">
        <v>8.06</v>
      </c>
      <c r="G17" s="1728">
        <v>1.1299999999999999</v>
      </c>
      <c r="H17" s="1723"/>
      <c r="I17" s="1729">
        <v>1.1299999999999999</v>
      </c>
      <c r="J17" s="1731"/>
      <c r="K17" s="1732">
        <v>8.0399999999999991</v>
      </c>
      <c r="L17" s="1723"/>
      <c r="M17" s="1732">
        <v>8.0399999999999991</v>
      </c>
    </row>
    <row r="18" spans="1:13">
      <c r="A18" s="1725">
        <v>2.0099999999999998</v>
      </c>
      <c r="B18" s="1725">
        <v>2.0099999999999998</v>
      </c>
      <c r="C18" s="1724"/>
      <c r="D18" s="1732">
        <v>8.07</v>
      </c>
      <c r="E18" s="1732">
        <v>8.07</v>
      </c>
      <c r="G18" s="1725">
        <v>2.0099999999999998</v>
      </c>
      <c r="H18" s="1723"/>
      <c r="I18" s="1734">
        <v>2.0099999999999998</v>
      </c>
      <c r="J18" s="1731"/>
      <c r="K18" s="1732">
        <v>8.0500000000000007</v>
      </c>
      <c r="L18" s="1723"/>
      <c r="M18" s="1732">
        <v>8.0500000000000007</v>
      </c>
    </row>
    <row r="19" spans="1:13">
      <c r="A19" s="1725">
        <v>2.02</v>
      </c>
      <c r="B19" s="1725">
        <v>2.02</v>
      </c>
      <c r="C19" s="1724"/>
      <c r="D19" s="1732">
        <v>8.08</v>
      </c>
      <c r="E19" s="1732">
        <v>8.08</v>
      </c>
      <c r="G19" s="1725">
        <v>2.02</v>
      </c>
      <c r="H19" s="1723"/>
      <c r="I19" s="1734">
        <v>2.02</v>
      </c>
      <c r="J19" s="1731"/>
      <c r="K19" s="1732">
        <v>8.06</v>
      </c>
      <c r="L19" s="1723"/>
      <c r="M19" s="1732">
        <v>8.06</v>
      </c>
    </row>
    <row r="20" spans="1:13">
      <c r="A20" s="1725">
        <v>2.0299999999999998</v>
      </c>
      <c r="B20" s="1725">
        <v>2.0299999999999998</v>
      </c>
      <c r="C20" s="1724"/>
      <c r="D20" s="1732">
        <v>8.09</v>
      </c>
      <c r="E20" s="1732">
        <v>8.09</v>
      </c>
      <c r="G20" s="1735">
        <v>2.0299999999999998</v>
      </c>
      <c r="H20" s="1723"/>
      <c r="I20" s="1734">
        <v>2.0299999999999998</v>
      </c>
      <c r="J20" s="1731"/>
      <c r="K20" s="1732">
        <v>8.07</v>
      </c>
      <c r="L20" s="1723"/>
      <c r="M20" s="1732">
        <v>8.07</v>
      </c>
    </row>
    <row r="21" spans="1:13">
      <c r="A21" s="1725">
        <v>2.04</v>
      </c>
      <c r="B21" s="1725">
        <v>2.04</v>
      </c>
      <c r="C21" s="1724"/>
      <c r="D21" s="1732" t="s">
        <v>47</v>
      </c>
      <c r="E21" s="1732" t="s">
        <v>47</v>
      </c>
      <c r="G21" s="1725">
        <v>2.04</v>
      </c>
      <c r="H21" s="1723" t="s">
        <v>1445</v>
      </c>
      <c r="I21" s="1734">
        <v>2.04</v>
      </c>
      <c r="J21" s="1731"/>
      <c r="K21" s="1732">
        <v>8.08</v>
      </c>
      <c r="L21" s="1723"/>
      <c r="M21" s="1732">
        <v>8.08</v>
      </c>
    </row>
    <row r="22" spans="1:13">
      <c r="A22" s="1725">
        <v>2.0499999999999998</v>
      </c>
      <c r="B22" s="1725">
        <v>2.0499999999999998</v>
      </c>
      <c r="C22" s="1724"/>
      <c r="D22" s="1732" t="s">
        <v>48</v>
      </c>
      <c r="E22" s="1732" t="s">
        <v>48</v>
      </c>
      <c r="G22" s="1725">
        <v>2.0499999999999998</v>
      </c>
      <c r="H22" s="1723" t="s">
        <v>1445</v>
      </c>
      <c r="I22" s="1734">
        <v>2.0499999999999998</v>
      </c>
      <c r="J22" s="1731"/>
      <c r="K22" s="1732">
        <v>8.09</v>
      </c>
      <c r="L22" s="1723"/>
      <c r="M22" s="1732">
        <v>8.09</v>
      </c>
    </row>
    <row r="23" spans="1:13">
      <c r="A23" s="1725">
        <v>2.06</v>
      </c>
      <c r="B23" s="1725">
        <v>2.06</v>
      </c>
      <c r="C23" s="1724"/>
      <c r="D23" s="1725">
        <v>8.1199999999999992</v>
      </c>
      <c r="E23" s="1725">
        <v>8.1199999999999992</v>
      </c>
      <c r="G23" s="1725">
        <v>2.06</v>
      </c>
      <c r="H23" s="1723"/>
      <c r="I23" s="1734">
        <v>2.06</v>
      </c>
      <c r="J23" s="1731"/>
      <c r="K23" s="1732" t="s">
        <v>47</v>
      </c>
      <c r="L23" s="1723"/>
      <c r="M23" s="1732" t="s">
        <v>47</v>
      </c>
    </row>
    <row r="24" spans="1:13">
      <c r="A24" s="1725">
        <v>2.0699999999999998</v>
      </c>
      <c r="B24" s="1725">
        <v>2.0699999999999998</v>
      </c>
      <c r="C24" s="1724"/>
      <c r="D24" s="1725">
        <v>8.1300000000000008</v>
      </c>
      <c r="E24" s="1725">
        <v>8.1300000000000008</v>
      </c>
      <c r="G24" s="1725">
        <v>2.0699999999999998</v>
      </c>
      <c r="H24" s="1723" t="s">
        <v>1445</v>
      </c>
      <c r="I24" s="1734">
        <v>2.0699999999999998</v>
      </c>
      <c r="J24" s="1731"/>
      <c r="K24" s="1732" t="s">
        <v>48</v>
      </c>
      <c r="L24" s="1723"/>
      <c r="M24" s="1732" t="s">
        <v>48</v>
      </c>
    </row>
    <row r="25" spans="1:13">
      <c r="A25" s="1725">
        <v>2.08</v>
      </c>
      <c r="B25" s="1725">
        <v>2.08</v>
      </c>
      <c r="C25" s="1724"/>
      <c r="D25" s="1732">
        <v>9.01</v>
      </c>
      <c r="E25" s="1732">
        <v>9.01</v>
      </c>
      <c r="G25" s="1725">
        <v>2.08</v>
      </c>
      <c r="H25" s="1723"/>
      <c r="I25" s="1734">
        <v>2.08</v>
      </c>
      <c r="J25" s="1731"/>
      <c r="K25" s="1725">
        <v>8.1199999999999992</v>
      </c>
      <c r="L25" s="1727"/>
      <c r="M25" s="1725">
        <v>8.1199999999999992</v>
      </c>
    </row>
    <row r="26" spans="1:13">
      <c r="A26" s="1725">
        <v>2.09</v>
      </c>
      <c r="B26" s="1725">
        <v>2.09</v>
      </c>
      <c r="C26" s="1724"/>
      <c r="D26" s="1732">
        <v>9.02</v>
      </c>
      <c r="E26" s="1732">
        <v>9.02</v>
      </c>
      <c r="G26" s="1725">
        <v>2.09</v>
      </c>
      <c r="H26" s="1723"/>
      <c r="I26" s="1734">
        <v>2.09</v>
      </c>
      <c r="J26" s="1731"/>
      <c r="K26" s="1725">
        <v>8.1300000000000008</v>
      </c>
      <c r="L26" s="1723"/>
      <c r="M26" s="1725">
        <v>8.1300000000000008</v>
      </c>
    </row>
    <row r="27" spans="1:13">
      <c r="A27" s="1725" t="s">
        <v>54</v>
      </c>
      <c r="B27" s="1725" t="s">
        <v>54</v>
      </c>
      <c r="C27" s="1724"/>
      <c r="D27" s="1732">
        <v>9.0299999999999994</v>
      </c>
      <c r="E27" s="1732">
        <v>9.0299999999999994</v>
      </c>
      <c r="G27" s="1725" t="s">
        <v>54</v>
      </c>
      <c r="H27" s="1723" t="s">
        <v>1445</v>
      </c>
      <c r="I27" s="1734" t="s">
        <v>54</v>
      </c>
      <c r="J27" s="1731"/>
      <c r="K27" s="1732">
        <v>9.01</v>
      </c>
      <c r="L27" s="1723"/>
      <c r="M27" s="1732">
        <v>9.01</v>
      </c>
    </row>
    <row r="28" spans="1:13">
      <c r="A28" s="1725">
        <v>2.11</v>
      </c>
      <c r="B28" s="1725">
        <v>2.11</v>
      </c>
      <c r="C28" s="1724"/>
      <c r="D28" s="1732">
        <v>9.0399999999999991</v>
      </c>
      <c r="E28" s="1732">
        <v>9.0399999999999991</v>
      </c>
      <c r="G28" s="1725">
        <v>2.11</v>
      </c>
      <c r="H28" s="1723"/>
      <c r="I28" s="1734">
        <v>2.11</v>
      </c>
      <c r="J28" s="1731"/>
      <c r="K28" s="1732">
        <v>9.02</v>
      </c>
      <c r="L28" s="1723"/>
      <c r="M28" s="1732">
        <v>9.02</v>
      </c>
    </row>
    <row r="29" spans="1:13">
      <c r="A29" s="1725">
        <v>2.12</v>
      </c>
      <c r="B29" s="1725">
        <v>2.12</v>
      </c>
      <c r="C29" s="1724"/>
      <c r="D29" s="1732">
        <v>9.0500000000000007</v>
      </c>
      <c r="E29" s="1732">
        <v>9.0500000000000007</v>
      </c>
      <c r="G29" s="1725">
        <v>2.12</v>
      </c>
      <c r="H29" s="1723" t="s">
        <v>1445</v>
      </c>
      <c r="I29" s="1734">
        <v>2.12</v>
      </c>
      <c r="J29" s="1731"/>
      <c r="K29" s="1732">
        <v>9.0299999999999994</v>
      </c>
      <c r="L29" s="1723"/>
      <c r="M29" s="1732">
        <v>9.0299999999999994</v>
      </c>
    </row>
    <row r="30" spans="1:13">
      <c r="A30" s="1725">
        <v>2.13</v>
      </c>
      <c r="B30" s="1725">
        <v>2.13</v>
      </c>
      <c r="C30" s="1724"/>
      <c r="D30" s="1732">
        <v>9.06</v>
      </c>
      <c r="E30" s="1732">
        <v>9.06</v>
      </c>
      <c r="G30" s="1725">
        <v>2.13</v>
      </c>
      <c r="H30" s="1723" t="s">
        <v>1445</v>
      </c>
      <c r="I30" s="1734">
        <v>2.13</v>
      </c>
      <c r="J30" s="1731"/>
      <c r="K30" s="1732">
        <v>9.0399999999999991</v>
      </c>
      <c r="L30" s="1723"/>
      <c r="M30" s="1732">
        <v>9.0399999999999991</v>
      </c>
    </row>
    <row r="31" spans="1:13">
      <c r="A31" s="1725">
        <v>2.14</v>
      </c>
      <c r="B31" s="1725">
        <v>2.14</v>
      </c>
      <c r="C31" s="1724"/>
      <c r="D31" s="1732">
        <v>9.07</v>
      </c>
      <c r="E31" s="1732">
        <v>9.07</v>
      </c>
      <c r="G31" s="1725">
        <v>2.14</v>
      </c>
      <c r="H31" s="1723"/>
      <c r="I31" s="1734">
        <v>2.14</v>
      </c>
      <c r="J31" s="1731"/>
      <c r="K31" s="1732">
        <v>9.0500000000000007</v>
      </c>
      <c r="L31" s="1723"/>
      <c r="M31" s="1732">
        <v>9.0500000000000007</v>
      </c>
    </row>
    <row r="32" spans="1:13">
      <c r="A32" s="1725">
        <v>2.15</v>
      </c>
      <c r="B32" s="1725">
        <v>2.15</v>
      </c>
      <c r="C32" s="1724"/>
      <c r="D32" s="1732">
        <v>9.08</v>
      </c>
      <c r="E32" s="1732">
        <v>9.08</v>
      </c>
      <c r="G32" s="1725">
        <v>2.15</v>
      </c>
      <c r="H32" s="1723"/>
      <c r="I32" s="1734">
        <v>2.15</v>
      </c>
      <c r="J32" s="1731"/>
      <c r="K32" s="1732">
        <v>9.06</v>
      </c>
      <c r="L32" s="1723"/>
      <c r="M32" s="1732">
        <v>9.06</v>
      </c>
    </row>
    <row r="33" spans="1:13">
      <c r="A33" s="1725">
        <v>2.16</v>
      </c>
      <c r="B33" s="1725">
        <v>2.16</v>
      </c>
      <c r="C33" s="1724"/>
      <c r="D33" s="1732">
        <v>9.09</v>
      </c>
      <c r="E33" s="1732">
        <v>9.09</v>
      </c>
      <c r="G33" s="1725">
        <v>2.16</v>
      </c>
      <c r="H33" s="1723"/>
      <c r="I33" s="1734">
        <v>2.16</v>
      </c>
      <c r="J33" s="1731"/>
      <c r="K33" s="1732">
        <v>9.07</v>
      </c>
      <c r="L33" s="1723"/>
      <c r="M33" s="1732">
        <v>9.07</v>
      </c>
    </row>
    <row r="34" spans="1:13">
      <c r="A34" s="1725">
        <v>2.17</v>
      </c>
      <c r="B34" s="1725">
        <v>2.17</v>
      </c>
      <c r="C34" s="1724"/>
      <c r="D34" s="1732" t="s">
        <v>27</v>
      </c>
      <c r="E34" s="1732" t="s">
        <v>27</v>
      </c>
      <c r="G34" s="1725">
        <v>2.17</v>
      </c>
      <c r="H34" s="1723"/>
      <c r="I34" s="1734">
        <v>2.17</v>
      </c>
      <c r="J34" s="1731"/>
      <c r="K34" s="1732">
        <v>9.08</v>
      </c>
      <c r="L34" s="1723"/>
      <c r="M34" s="1732">
        <v>9.08</v>
      </c>
    </row>
    <row r="35" spans="1:13">
      <c r="A35" s="1725">
        <v>2.1800000000000002</v>
      </c>
      <c r="B35" s="1725">
        <v>2.1800000000000002</v>
      </c>
      <c r="C35" s="1724"/>
      <c r="D35" s="1732">
        <v>9.11</v>
      </c>
      <c r="E35" s="1732">
        <v>9.11</v>
      </c>
      <c r="G35" s="1725">
        <v>2.1800000000000002</v>
      </c>
      <c r="H35" s="1723"/>
      <c r="I35" s="1734">
        <v>2.1800000000000002</v>
      </c>
      <c r="J35" s="1731"/>
      <c r="K35" s="1732">
        <v>9.09</v>
      </c>
      <c r="L35" s="1723" t="s">
        <v>1445</v>
      </c>
      <c r="M35" s="1732">
        <v>9.09</v>
      </c>
    </row>
    <row r="36" spans="1:13">
      <c r="A36" s="1725">
        <v>2.19</v>
      </c>
      <c r="B36" s="1725">
        <v>2.19</v>
      </c>
      <c r="C36" s="1724"/>
      <c r="D36" s="1732">
        <v>9.1199999999999992</v>
      </c>
      <c r="E36" s="1732">
        <v>9.1199999999999992</v>
      </c>
      <c r="G36" s="1725">
        <v>2.19</v>
      </c>
      <c r="H36" s="1723"/>
      <c r="I36" s="1734">
        <v>2.19</v>
      </c>
      <c r="J36" s="1731"/>
      <c r="K36" s="1732" t="s">
        <v>27</v>
      </c>
      <c r="L36" s="1723"/>
      <c r="M36" s="1732" t="s">
        <v>27</v>
      </c>
    </row>
    <row r="37" spans="1:13">
      <c r="A37" s="1736" t="s">
        <v>46</v>
      </c>
      <c r="B37" s="1736" t="s">
        <v>46</v>
      </c>
      <c r="C37" s="1724"/>
      <c r="D37" s="1732">
        <v>9.1300000000000008</v>
      </c>
      <c r="E37" s="1732">
        <v>9.1300000000000008</v>
      </c>
      <c r="G37" s="1736" t="s">
        <v>46</v>
      </c>
      <c r="H37" s="1723"/>
      <c r="I37" s="1737" t="s">
        <v>46</v>
      </c>
      <c r="J37" s="1731"/>
      <c r="K37" s="1732">
        <v>9.11</v>
      </c>
      <c r="L37" s="1723"/>
      <c r="M37" s="1732">
        <v>9.11</v>
      </c>
    </row>
    <row r="38" spans="1:13">
      <c r="A38" s="1725">
        <v>2.21</v>
      </c>
      <c r="B38" s="1725">
        <v>2.21</v>
      </c>
      <c r="C38" s="1724"/>
      <c r="D38" s="1732">
        <v>9.14</v>
      </c>
      <c r="E38" s="1732">
        <v>9.14</v>
      </c>
      <c r="G38" s="1725">
        <v>2.21</v>
      </c>
      <c r="H38" s="1723"/>
      <c r="I38" s="1734">
        <v>2.21</v>
      </c>
      <c r="J38" s="1731"/>
      <c r="K38" s="1732">
        <v>9.1199999999999992</v>
      </c>
      <c r="L38" s="1723"/>
      <c r="M38" s="1732">
        <v>9.1199999999999992</v>
      </c>
    </row>
    <row r="39" spans="1:13">
      <c r="A39" s="1725">
        <v>2.2200000000000002</v>
      </c>
      <c r="B39" s="1725">
        <v>2.2200000000000002</v>
      </c>
      <c r="C39" s="1724"/>
      <c r="D39" s="1732">
        <v>9.15</v>
      </c>
      <c r="E39" s="1732">
        <v>9.15</v>
      </c>
      <c r="G39" s="1725">
        <v>2.2200000000000002</v>
      </c>
      <c r="H39" s="1723"/>
      <c r="I39" s="1734">
        <v>2.2200000000000002</v>
      </c>
      <c r="J39" s="1731"/>
      <c r="K39" s="1732">
        <v>9.1300000000000008</v>
      </c>
      <c r="L39" s="1723"/>
      <c r="M39" s="1732">
        <v>9.1300000000000008</v>
      </c>
    </row>
    <row r="40" spans="1:13">
      <c r="A40" s="1725">
        <v>2.23</v>
      </c>
      <c r="B40" s="1725">
        <v>2.23</v>
      </c>
      <c r="C40" s="1724"/>
      <c r="D40" s="1732">
        <v>9.16</v>
      </c>
      <c r="E40" s="1732">
        <v>9.16</v>
      </c>
      <c r="G40" s="1725">
        <v>2.23</v>
      </c>
      <c r="H40" s="1723"/>
      <c r="I40" s="1734">
        <v>2.23</v>
      </c>
      <c r="J40" s="1731"/>
      <c r="K40" s="1732">
        <v>9.14</v>
      </c>
      <c r="L40" s="1738"/>
      <c r="M40" s="1732">
        <v>9.14</v>
      </c>
    </row>
    <row r="41" spans="1:13">
      <c r="A41" s="1725">
        <v>2.2400000000000002</v>
      </c>
      <c r="B41" s="1725">
        <v>2.2400000000000002</v>
      </c>
      <c r="C41" s="1724"/>
      <c r="D41" s="1732">
        <v>9.17</v>
      </c>
      <c r="E41" s="1732">
        <v>9.17</v>
      </c>
      <c r="G41" s="1725">
        <v>2.2400000000000002</v>
      </c>
      <c r="H41" s="1723"/>
      <c r="I41" s="1734">
        <v>2.2400000000000002</v>
      </c>
      <c r="J41" s="1731"/>
      <c r="K41" s="1732">
        <v>9.15</v>
      </c>
      <c r="L41" s="1723"/>
      <c r="M41" s="1732">
        <v>9.15</v>
      </c>
    </row>
    <row r="42" spans="1:13">
      <c r="A42" s="1725">
        <v>3.01</v>
      </c>
      <c r="B42" s="1725">
        <v>3.01</v>
      </c>
      <c r="C42" s="1724"/>
      <c r="D42" s="1732">
        <v>9.18</v>
      </c>
      <c r="E42" s="1732">
        <v>9.18</v>
      </c>
      <c r="G42" s="1739">
        <v>2.25</v>
      </c>
      <c r="H42" s="1723" t="s">
        <v>1445</v>
      </c>
      <c r="I42" s="1734">
        <v>2.25</v>
      </c>
      <c r="J42" s="1731"/>
      <c r="K42" s="1732">
        <v>9.16</v>
      </c>
      <c r="L42" s="1738"/>
      <c r="M42" s="1732">
        <v>9.16</v>
      </c>
    </row>
    <row r="43" spans="1:13">
      <c r="A43" s="1725">
        <v>3.02</v>
      </c>
      <c r="B43" s="1725">
        <v>3.02</v>
      </c>
      <c r="C43" s="1724"/>
      <c r="D43" s="1732">
        <v>9.19</v>
      </c>
      <c r="E43" s="1732">
        <v>9.19</v>
      </c>
      <c r="G43" s="1739">
        <v>2.2599999999999998</v>
      </c>
      <c r="H43" s="1727" t="s">
        <v>1445</v>
      </c>
      <c r="I43" s="1734">
        <v>2.2599999999999998</v>
      </c>
      <c r="J43" s="1731"/>
      <c r="K43" s="1732">
        <v>9.17</v>
      </c>
      <c r="L43" s="1738"/>
      <c r="M43" s="1732">
        <v>9.17</v>
      </c>
    </row>
    <row r="44" spans="1:13">
      <c r="A44" s="1725">
        <v>3.03</v>
      </c>
      <c r="B44" s="1725">
        <v>3.03</v>
      </c>
      <c r="C44" s="1724"/>
      <c r="D44" s="1732" t="s">
        <v>126</v>
      </c>
      <c r="E44" s="1732" t="s">
        <v>126</v>
      </c>
      <c r="G44" s="1725">
        <v>3.01</v>
      </c>
      <c r="H44" s="1727"/>
      <c r="I44" s="1734">
        <v>3.01</v>
      </c>
      <c r="J44" s="1731"/>
      <c r="K44" s="1732">
        <v>9.18</v>
      </c>
      <c r="L44" s="1738"/>
      <c r="M44" s="1732">
        <v>9.18</v>
      </c>
    </row>
    <row r="45" spans="1:13">
      <c r="A45" s="1725">
        <v>3.04</v>
      </c>
      <c r="B45" s="1725">
        <v>3.04</v>
      </c>
      <c r="C45" s="1724"/>
      <c r="D45" s="1732" t="s">
        <v>38</v>
      </c>
      <c r="E45" s="1732" t="s">
        <v>38</v>
      </c>
      <c r="G45" s="1725">
        <v>3.02</v>
      </c>
      <c r="H45" s="1727" t="s">
        <v>1445</v>
      </c>
      <c r="I45" s="1734">
        <v>3.02</v>
      </c>
      <c r="J45" s="1731"/>
      <c r="K45" s="1732">
        <v>9.19</v>
      </c>
      <c r="L45" s="1738"/>
      <c r="M45" s="1732">
        <v>9.19</v>
      </c>
    </row>
    <row r="46" spans="1:13">
      <c r="A46" s="1725">
        <v>3.05</v>
      </c>
      <c r="B46" s="1725">
        <v>3.05</v>
      </c>
      <c r="C46" s="1724"/>
      <c r="D46" s="1732" t="s">
        <v>39</v>
      </c>
      <c r="E46" s="1732" t="s">
        <v>39</v>
      </c>
      <c r="G46" s="1725">
        <v>3.03</v>
      </c>
      <c r="H46" s="1727" t="s">
        <v>1445</v>
      </c>
      <c r="I46" s="1734">
        <v>3.03</v>
      </c>
      <c r="J46" s="1731"/>
      <c r="K46" s="1732" t="s">
        <v>126</v>
      </c>
      <c r="L46" s="1738"/>
      <c r="M46" s="1732" t="s">
        <v>126</v>
      </c>
    </row>
    <row r="47" spans="1:13">
      <c r="A47" s="1725">
        <v>3.06</v>
      </c>
      <c r="B47" s="1725">
        <v>3.06</v>
      </c>
      <c r="C47" s="1724"/>
      <c r="D47" s="1732" t="s">
        <v>40</v>
      </c>
      <c r="E47" s="1732" t="s">
        <v>40</v>
      </c>
      <c r="G47" s="1725">
        <v>3.04</v>
      </c>
      <c r="H47" s="1727" t="s">
        <v>1445</v>
      </c>
      <c r="I47" s="1734">
        <v>3.04</v>
      </c>
      <c r="J47" s="1731"/>
      <c r="K47" s="1732" t="s">
        <v>38</v>
      </c>
      <c r="L47" s="1738"/>
      <c r="M47" s="1732" t="s">
        <v>38</v>
      </c>
    </row>
    <row r="48" spans="1:13">
      <c r="A48" s="1725">
        <v>3.07</v>
      </c>
      <c r="B48" s="1725">
        <v>3.07</v>
      </c>
      <c r="C48" s="1724"/>
      <c r="D48" s="1732" t="s">
        <v>1850</v>
      </c>
      <c r="E48" s="1732" t="s">
        <v>1850</v>
      </c>
      <c r="G48" s="1725">
        <v>3.05</v>
      </c>
      <c r="H48" s="1727" t="s">
        <v>1445</v>
      </c>
      <c r="I48" s="1734">
        <v>3.05</v>
      </c>
      <c r="J48" s="1731"/>
      <c r="K48" s="1732" t="s">
        <v>39</v>
      </c>
      <c r="L48" s="1738"/>
      <c r="M48" s="1732" t="s">
        <v>39</v>
      </c>
    </row>
    <row r="49" spans="1:13">
      <c r="A49" s="1725">
        <v>3.08</v>
      </c>
      <c r="B49" s="1725">
        <v>3.08</v>
      </c>
      <c r="C49" s="1724"/>
      <c r="D49" s="1732" t="s">
        <v>1852</v>
      </c>
      <c r="E49" s="1732" t="s">
        <v>1852</v>
      </c>
      <c r="G49" s="1725">
        <v>3.06</v>
      </c>
      <c r="H49" s="1727" t="s">
        <v>1445</v>
      </c>
      <c r="I49" s="1734">
        <v>3.06</v>
      </c>
      <c r="J49" s="1731"/>
      <c r="K49" s="1732" t="s">
        <v>40</v>
      </c>
      <c r="L49" s="1723"/>
      <c r="M49" s="1732" t="s">
        <v>40</v>
      </c>
    </row>
    <row r="50" spans="1:13">
      <c r="A50" s="1725">
        <v>3.09</v>
      </c>
      <c r="B50" s="1725">
        <v>3.09</v>
      </c>
      <c r="C50" s="1724"/>
      <c r="D50" s="1732">
        <v>11.01</v>
      </c>
      <c r="E50" s="1732">
        <v>11.01</v>
      </c>
      <c r="G50" s="1725">
        <v>3.07</v>
      </c>
      <c r="H50" s="1727" t="s">
        <v>1445</v>
      </c>
      <c r="I50" s="1734">
        <v>3.07</v>
      </c>
      <c r="J50" s="1731"/>
      <c r="K50" s="1732" t="s">
        <v>1850</v>
      </c>
      <c r="L50" s="1723" t="s">
        <v>1445</v>
      </c>
      <c r="M50" s="1732" t="s">
        <v>1850</v>
      </c>
    </row>
    <row r="51" spans="1:13">
      <c r="A51" s="1732" t="s">
        <v>101</v>
      </c>
      <c r="B51" s="1732" t="s">
        <v>101</v>
      </c>
      <c r="C51" s="1724"/>
      <c r="D51" s="1732">
        <v>11.02</v>
      </c>
      <c r="E51" s="1732">
        <v>11.02</v>
      </c>
      <c r="G51" s="1735">
        <v>3.08</v>
      </c>
      <c r="H51" s="1727" t="s">
        <v>1445</v>
      </c>
      <c r="I51" s="1734">
        <v>3.08</v>
      </c>
      <c r="J51" s="1731"/>
      <c r="K51" s="1732" t="s">
        <v>1852</v>
      </c>
      <c r="L51" s="1723" t="s">
        <v>1445</v>
      </c>
      <c r="M51" s="1732" t="s">
        <v>1852</v>
      </c>
    </row>
    <row r="52" spans="1:13">
      <c r="A52" s="1727">
        <v>3.11</v>
      </c>
      <c r="B52" s="1727">
        <v>3.11</v>
      </c>
      <c r="C52" s="1724"/>
      <c r="D52" s="1732">
        <v>11.03</v>
      </c>
      <c r="E52" s="1732">
        <v>11.03</v>
      </c>
      <c r="G52" s="1725">
        <v>3.09</v>
      </c>
      <c r="H52" s="1727"/>
      <c r="I52" s="1734">
        <v>3.09</v>
      </c>
      <c r="J52" s="1731"/>
      <c r="K52" s="1732">
        <v>11.01</v>
      </c>
      <c r="L52" s="1723"/>
      <c r="M52" s="1732">
        <v>11.01</v>
      </c>
    </row>
    <row r="53" spans="1:13">
      <c r="A53" s="1727">
        <v>3.12</v>
      </c>
      <c r="B53" s="1727">
        <v>3.12</v>
      </c>
      <c r="C53" s="1724"/>
      <c r="D53" s="1732">
        <v>11.04</v>
      </c>
      <c r="E53" s="1732">
        <v>11.04</v>
      </c>
      <c r="G53" s="1732" t="s">
        <v>101</v>
      </c>
      <c r="H53" s="1727"/>
      <c r="I53" s="1740" t="s">
        <v>101</v>
      </c>
      <c r="J53" s="1731"/>
      <c r="K53" s="1732">
        <v>11.02</v>
      </c>
      <c r="L53" s="1723"/>
      <c r="M53" s="1732">
        <v>11.02</v>
      </c>
    </row>
    <row r="54" spans="1:13">
      <c r="A54" s="1727">
        <v>3.13</v>
      </c>
      <c r="B54" s="1727">
        <v>3.13</v>
      </c>
      <c r="C54" s="1724"/>
      <c r="D54" s="1732">
        <v>11.05</v>
      </c>
      <c r="E54" s="1732">
        <v>11.05</v>
      </c>
      <c r="G54" s="1727">
        <v>3.11</v>
      </c>
      <c r="H54" s="1727"/>
      <c r="I54" s="1741">
        <v>3.11</v>
      </c>
      <c r="J54" s="1731"/>
      <c r="K54" s="1732">
        <v>11.03</v>
      </c>
      <c r="L54" s="1723" t="s">
        <v>1445</v>
      </c>
      <c r="M54" s="1732">
        <v>11.03</v>
      </c>
    </row>
    <row r="55" spans="1:13">
      <c r="A55" s="1727">
        <v>3.14</v>
      </c>
      <c r="B55" s="1727">
        <v>3.14</v>
      </c>
      <c r="C55" s="1724"/>
      <c r="D55" s="1732">
        <v>11.06</v>
      </c>
      <c r="E55" s="1732">
        <v>11.06</v>
      </c>
      <c r="G55" s="1727">
        <v>3.12</v>
      </c>
      <c r="H55" s="1727"/>
      <c r="I55" s="1741">
        <v>3.12</v>
      </c>
      <c r="J55" s="1731"/>
      <c r="K55" s="1733">
        <v>11.04</v>
      </c>
      <c r="L55" s="1723"/>
      <c r="M55" s="1732">
        <v>11.04</v>
      </c>
    </row>
    <row r="56" spans="1:13">
      <c r="A56" s="1727">
        <v>3.15</v>
      </c>
      <c r="B56" s="1727">
        <v>3.15</v>
      </c>
      <c r="C56" s="1724"/>
      <c r="D56" s="1732">
        <v>11.07</v>
      </c>
      <c r="E56" s="1732">
        <v>11.07</v>
      </c>
      <c r="G56" s="1727">
        <v>3.13</v>
      </c>
      <c r="H56" s="1727" t="s">
        <v>1445</v>
      </c>
      <c r="I56" s="1741">
        <v>3.13</v>
      </c>
      <c r="J56" s="1731"/>
      <c r="K56" s="1732">
        <v>11.05</v>
      </c>
      <c r="L56" s="1723"/>
      <c r="M56" s="1732">
        <v>11.05</v>
      </c>
    </row>
    <row r="57" spans="1:13">
      <c r="A57" s="1725">
        <v>4.01</v>
      </c>
      <c r="B57" s="1725">
        <v>4.01</v>
      </c>
      <c r="C57" s="1724"/>
      <c r="D57" s="1732">
        <v>11.08</v>
      </c>
      <c r="E57" s="1732">
        <v>11.08</v>
      </c>
      <c r="G57" s="1727">
        <v>3.14</v>
      </c>
      <c r="H57" s="1727" t="s">
        <v>1445</v>
      </c>
      <c r="I57" s="1741">
        <v>3.14</v>
      </c>
      <c r="J57" s="1731"/>
      <c r="K57" s="1732">
        <v>11.06</v>
      </c>
      <c r="L57" s="1723"/>
      <c r="M57" s="1732">
        <v>11.06</v>
      </c>
    </row>
    <row r="58" spans="1:13">
      <c r="A58" s="1725">
        <v>4.0199999999999996</v>
      </c>
      <c r="B58" s="1725">
        <v>4.0199999999999996</v>
      </c>
      <c r="C58" s="1724"/>
      <c r="D58" s="1732">
        <v>11.09</v>
      </c>
      <c r="E58" s="1732">
        <v>11.09</v>
      </c>
      <c r="G58" s="1727">
        <v>3.15</v>
      </c>
      <c r="H58" s="1727"/>
      <c r="I58" s="1741">
        <v>3.15</v>
      </c>
      <c r="J58" s="1731"/>
      <c r="K58" s="1732">
        <v>11.07</v>
      </c>
      <c r="L58" s="1723"/>
      <c r="M58" s="1732">
        <v>11.07</v>
      </c>
    </row>
    <row r="59" spans="1:13">
      <c r="A59" s="1725">
        <v>4.03</v>
      </c>
      <c r="B59" s="1725">
        <v>4.03</v>
      </c>
      <c r="C59" s="1724"/>
      <c r="D59" s="1732" t="s">
        <v>49</v>
      </c>
      <c r="E59" s="1732" t="s">
        <v>49</v>
      </c>
      <c r="G59" s="1725">
        <v>4.01</v>
      </c>
      <c r="H59" s="1727"/>
      <c r="I59" s="1734">
        <v>4.01</v>
      </c>
      <c r="J59" s="1731"/>
      <c r="K59" s="1732">
        <v>11.08</v>
      </c>
      <c r="L59" s="1723" t="s">
        <v>1445</v>
      </c>
      <c r="M59" s="1732">
        <v>11.08</v>
      </c>
    </row>
    <row r="60" spans="1:13">
      <c r="A60" s="1725">
        <v>4.04</v>
      </c>
      <c r="B60" s="1725">
        <v>4.04</v>
      </c>
      <c r="C60" s="1724"/>
      <c r="D60" s="1732">
        <v>11.11</v>
      </c>
      <c r="E60" s="1732">
        <v>11.11</v>
      </c>
      <c r="G60" s="1725">
        <v>4.0199999999999996</v>
      </c>
      <c r="H60" s="1727" t="s">
        <v>1445</v>
      </c>
      <c r="I60" s="1734">
        <v>4.0199999999999996</v>
      </c>
      <c r="J60" s="1731"/>
      <c r="K60" s="1732">
        <v>11.09</v>
      </c>
      <c r="L60" s="1723" t="s">
        <v>1445</v>
      </c>
      <c r="M60" s="1732">
        <v>11.09</v>
      </c>
    </row>
    <row r="61" spans="1:13">
      <c r="A61" s="1725">
        <v>4.05</v>
      </c>
      <c r="B61" s="1725">
        <v>4.05</v>
      </c>
      <c r="C61" s="1724"/>
      <c r="D61" s="1732">
        <v>11.12</v>
      </c>
      <c r="E61" s="1732">
        <v>11.12</v>
      </c>
      <c r="G61" s="1725">
        <v>4.03</v>
      </c>
      <c r="H61" s="1727"/>
      <c r="I61" s="1734">
        <v>4.03</v>
      </c>
      <c r="J61" s="1731"/>
      <c r="K61" s="1733" t="s">
        <v>49</v>
      </c>
      <c r="L61" s="1723"/>
      <c r="M61" s="1732" t="s">
        <v>49</v>
      </c>
    </row>
    <row r="62" spans="1:13">
      <c r="A62" s="1725">
        <v>4.0599999999999996</v>
      </c>
      <c r="B62" s="1725">
        <v>4.0599999999999996</v>
      </c>
      <c r="C62" s="1724"/>
      <c r="D62" s="1732">
        <v>11.13</v>
      </c>
      <c r="E62" s="1732">
        <v>11.13</v>
      </c>
      <c r="G62" s="1725">
        <v>4.04</v>
      </c>
      <c r="H62" s="1727" t="s">
        <v>1445</v>
      </c>
      <c r="I62" s="1734">
        <v>4.04</v>
      </c>
      <c r="J62" s="1731"/>
      <c r="K62" s="1732">
        <v>11.11</v>
      </c>
      <c r="L62" s="1723"/>
      <c r="M62" s="1732">
        <v>11.11</v>
      </c>
    </row>
    <row r="63" spans="1:13">
      <c r="A63" s="1725">
        <v>4.07</v>
      </c>
      <c r="B63" s="1725">
        <v>4.07</v>
      </c>
      <c r="C63" s="1724"/>
      <c r="D63" s="1732">
        <v>11.14</v>
      </c>
      <c r="E63" s="1732">
        <v>11.14</v>
      </c>
      <c r="G63" s="1725">
        <v>4.05</v>
      </c>
      <c r="H63" s="1727" t="s">
        <v>1445</v>
      </c>
      <c r="I63" s="1734">
        <v>4.05</v>
      </c>
      <c r="J63" s="1731"/>
      <c r="K63" s="1733">
        <v>11.12</v>
      </c>
      <c r="L63" s="1738"/>
      <c r="M63" s="1732">
        <v>11.12</v>
      </c>
    </row>
    <row r="64" spans="1:13">
      <c r="A64" s="1725">
        <v>4.08</v>
      </c>
      <c r="B64" s="1725">
        <v>4.08</v>
      </c>
      <c r="C64" s="1724"/>
      <c r="D64" s="1732">
        <v>11.15</v>
      </c>
      <c r="E64" s="1732">
        <v>11.15</v>
      </c>
      <c r="G64" s="1725">
        <v>4.0599999999999996</v>
      </c>
      <c r="H64" s="1727" t="s">
        <v>1445</v>
      </c>
      <c r="I64" s="1734">
        <v>4.0599999999999996</v>
      </c>
      <c r="J64" s="1731"/>
      <c r="K64" s="1732">
        <v>11.13</v>
      </c>
      <c r="L64" s="1738"/>
      <c r="M64" s="1732">
        <v>11.13</v>
      </c>
    </row>
    <row r="65" spans="1:13">
      <c r="A65" s="1725">
        <v>4.09</v>
      </c>
      <c r="B65" s="1725">
        <v>4.09</v>
      </c>
      <c r="C65" s="1724"/>
      <c r="D65" s="1732">
        <v>11.16</v>
      </c>
      <c r="E65" s="1732">
        <v>11.16</v>
      </c>
      <c r="G65" s="1725">
        <v>4.07</v>
      </c>
      <c r="H65" s="1727" t="s">
        <v>1445</v>
      </c>
      <c r="I65" s="1734">
        <v>4.07</v>
      </c>
      <c r="J65" s="1731"/>
      <c r="K65" s="1732">
        <v>11.14</v>
      </c>
      <c r="L65" s="1723" t="s">
        <v>1445</v>
      </c>
      <c r="M65" s="1732">
        <v>11.14</v>
      </c>
    </row>
    <row r="66" spans="1:13">
      <c r="A66" s="1732">
        <v>5.01</v>
      </c>
      <c r="B66" s="1732">
        <v>5.01</v>
      </c>
      <c r="C66" s="1724"/>
      <c r="D66" s="1736">
        <v>11.17</v>
      </c>
      <c r="E66" s="1736">
        <v>11.17</v>
      </c>
      <c r="G66" s="1725">
        <v>4.08</v>
      </c>
      <c r="H66" s="1727" t="s">
        <v>1445</v>
      </c>
      <c r="I66" s="1734">
        <v>4.08</v>
      </c>
      <c r="J66" s="1731"/>
      <c r="K66" s="1732">
        <v>11.15</v>
      </c>
      <c r="L66" s="1723"/>
      <c r="M66" s="1732">
        <v>11.15</v>
      </c>
    </row>
    <row r="67" spans="1:13">
      <c r="A67" s="1732">
        <v>5.0199999999999996</v>
      </c>
      <c r="B67" s="1732">
        <v>5.0199999999999996</v>
      </c>
      <c r="C67" s="1724"/>
      <c r="D67" s="1727" t="s">
        <v>35</v>
      </c>
      <c r="E67" s="1725">
        <v>2.25</v>
      </c>
      <c r="G67" s="1725">
        <v>4.09</v>
      </c>
      <c r="H67" s="1727" t="s">
        <v>1445</v>
      </c>
      <c r="I67" s="1734">
        <v>4.09</v>
      </c>
      <c r="J67" s="1731"/>
      <c r="K67" s="1732">
        <v>11.16</v>
      </c>
      <c r="L67" s="1738"/>
      <c r="M67" s="1732">
        <v>11.16</v>
      </c>
    </row>
    <row r="68" spans="1:13">
      <c r="A68" s="1732">
        <v>5.03</v>
      </c>
      <c r="B68" s="1732">
        <v>5.03</v>
      </c>
      <c r="C68" s="1724"/>
      <c r="D68" s="1727" t="s">
        <v>35</v>
      </c>
      <c r="E68" s="1725">
        <v>2.2599999999999998</v>
      </c>
      <c r="G68" s="1732">
        <v>5.01</v>
      </c>
      <c r="H68" s="1727"/>
      <c r="I68" s="1740">
        <v>5.01</v>
      </c>
      <c r="J68" s="1731"/>
      <c r="K68" s="1736">
        <v>11.17</v>
      </c>
      <c r="L68" s="1723" t="s">
        <v>1445</v>
      </c>
      <c r="M68" s="1736">
        <v>11.17</v>
      </c>
    </row>
    <row r="69" spans="1:13">
      <c r="A69" s="1732">
        <v>5.04</v>
      </c>
      <c r="B69" s="1732">
        <v>5.04</v>
      </c>
      <c r="C69" s="1724"/>
      <c r="D69" s="1727"/>
      <c r="E69" s="1736"/>
      <c r="F69" s="1742"/>
      <c r="G69" s="1732">
        <v>5.0199999999999996</v>
      </c>
      <c r="H69" s="1727"/>
      <c r="I69" s="1740">
        <v>5.0199999999999996</v>
      </c>
      <c r="J69" s="1731"/>
      <c r="K69" s="1743"/>
      <c r="L69" s="1744"/>
      <c r="M69" s="1743"/>
    </row>
    <row r="70" spans="1:13">
      <c r="A70" s="1732">
        <v>5.05</v>
      </c>
      <c r="B70" s="1732">
        <v>5.05</v>
      </c>
      <c r="C70" s="1724"/>
      <c r="D70" s="1727"/>
      <c r="E70" s="1736"/>
      <c r="F70" s="1742"/>
      <c r="G70" s="1725">
        <v>5.03</v>
      </c>
      <c r="H70" s="1727"/>
      <c r="I70" s="1734">
        <v>5.03</v>
      </c>
      <c r="J70" s="1731"/>
      <c r="K70" s="1745"/>
      <c r="L70" s="1746"/>
      <c r="M70" s="1742"/>
    </row>
    <row r="71" spans="1:13">
      <c r="A71" s="1725">
        <v>6.01</v>
      </c>
      <c r="B71" s="1725">
        <v>6.01</v>
      </c>
      <c r="C71" s="1724"/>
      <c r="D71" s="1727"/>
      <c r="E71" s="1736"/>
      <c r="F71" s="1742"/>
      <c r="G71" s="1725">
        <v>5.04</v>
      </c>
      <c r="H71" s="1727"/>
      <c r="I71" s="1734">
        <v>5.04</v>
      </c>
      <c r="J71" s="1731"/>
      <c r="K71" s="1747" t="s">
        <v>2571</v>
      </c>
      <c r="L71" s="1731"/>
      <c r="M71" s="1731"/>
    </row>
    <row r="72" spans="1:13">
      <c r="A72" s="1725">
        <v>6.02</v>
      </c>
      <c r="B72" s="1725">
        <v>6.02</v>
      </c>
      <c r="C72" s="1724"/>
      <c r="D72" s="1727"/>
      <c r="E72" s="1748"/>
      <c r="G72" s="1725">
        <v>5.05</v>
      </c>
      <c r="H72" s="1727" t="s">
        <v>1445</v>
      </c>
      <c r="I72" s="1734">
        <v>5.05</v>
      </c>
      <c r="J72" s="1731"/>
      <c r="K72" s="1731"/>
      <c r="L72" s="1731"/>
      <c r="M72" s="1731"/>
    </row>
    <row r="73" spans="1:13">
      <c r="A73" s="1725">
        <v>6.03</v>
      </c>
      <c r="B73" s="1725">
        <v>6.03</v>
      </c>
      <c r="C73" s="1724"/>
      <c r="D73" s="1727"/>
      <c r="E73" s="1736"/>
      <c r="G73" s="1725">
        <v>6.01</v>
      </c>
      <c r="H73" s="1727"/>
      <c r="I73" s="1734">
        <v>6.01</v>
      </c>
    </row>
    <row r="74" spans="1:13">
      <c r="A74" s="1749">
        <v>6.04</v>
      </c>
      <c r="B74" s="1749">
        <v>6.04</v>
      </c>
      <c r="D74" s="1727"/>
      <c r="E74" s="1748"/>
      <c r="G74" s="1725">
        <v>6.02</v>
      </c>
      <c r="H74" s="1727"/>
      <c r="I74" s="1734">
        <v>6.02</v>
      </c>
    </row>
    <row r="75" spans="1:13">
      <c r="A75" s="1725">
        <v>6.04</v>
      </c>
      <c r="B75" s="1725">
        <v>6.04</v>
      </c>
      <c r="D75" s="1727"/>
      <c r="E75" s="1748"/>
      <c r="G75" s="1725">
        <v>6.03</v>
      </c>
      <c r="H75" s="1727"/>
      <c r="I75" s="1734">
        <v>6.03</v>
      </c>
    </row>
    <row r="76" spans="1:13">
      <c r="A76" s="1750"/>
      <c r="B76" s="1742"/>
      <c r="D76" s="1745"/>
      <c r="E76" s="1745"/>
      <c r="G76" s="1751"/>
      <c r="H76" s="1751"/>
      <c r="I76" s="1751"/>
    </row>
    <row r="77" spans="1:13">
      <c r="A77" s="1750"/>
      <c r="B77" s="1742"/>
      <c r="L77" s="1742"/>
      <c r="M77" s="1745"/>
    </row>
    <row r="78" spans="1:13">
      <c r="A78" s="1752"/>
      <c r="B78" s="1742"/>
      <c r="K78" s="1753"/>
    </row>
    <row r="79" spans="1:13">
      <c r="A79" s="1754"/>
      <c r="B79" s="1755" t="s">
        <v>2572</v>
      </c>
      <c r="F79" s="1756" t="s">
        <v>35</v>
      </c>
      <c r="G79" s="1757" t="s">
        <v>2573</v>
      </c>
      <c r="J79" s="1748" t="s">
        <v>1445</v>
      </c>
      <c r="K79" s="1757" t="s">
        <v>2574</v>
      </c>
    </row>
    <row r="80" spans="1:13">
      <c r="A80" s="1754"/>
      <c r="B80" s="1758" t="s">
        <v>2575</v>
      </c>
    </row>
    <row r="81" spans="1:8" ht="7.5" customHeight="1"/>
    <row r="82" spans="1:8">
      <c r="A82" s="1755" t="s">
        <v>2576</v>
      </c>
      <c r="G82" s="1759"/>
      <c r="H82" s="1759"/>
    </row>
  </sheetData>
  <pageMargins left="0.55118110236220474" right="0.47244094488188981" top="0.31496062992125984" bottom="0.31496062992125984" header="0.23622047244094491" footer="0.19685039370078741"/>
  <pageSetup paperSize="9" scale="76" orientation="portrait"/>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9624C-4608-E54E-977E-9E4C720E8565}">
  <sheetPr>
    <pageSetUpPr fitToPage="1"/>
  </sheetPr>
  <dimension ref="A1:S209"/>
  <sheetViews>
    <sheetView workbookViewId="0">
      <selection activeCell="K3" sqref="K3"/>
    </sheetView>
  </sheetViews>
  <sheetFormatPr baseColWidth="10" defaultColWidth="11.3984375" defaultRowHeight="11"/>
  <cols>
    <col min="1" max="5" width="11.3984375" style="1761"/>
    <col min="6" max="6" width="11.3984375" style="1762" customWidth="1"/>
    <col min="7" max="7" width="10.3984375" style="1762" customWidth="1"/>
    <col min="8" max="10" width="11.3984375" style="1762"/>
    <col min="11" max="11" width="10.59765625" style="1762" customWidth="1"/>
    <col min="12" max="12" width="9.59765625" style="1761" customWidth="1"/>
    <col min="13" max="13" width="9.796875" style="1761" customWidth="1"/>
    <col min="14" max="15" width="11.3984375" style="1761"/>
    <col min="16" max="17" width="11.3984375" style="1762"/>
    <col min="18" max="16384" width="11.3984375" style="1761"/>
  </cols>
  <sheetData>
    <row r="1" spans="1:17" ht="16">
      <c r="A1" s="1717" t="s">
        <v>5</v>
      </c>
      <c r="B1" s="1717"/>
      <c r="C1" s="1717"/>
    </row>
    <row r="2" spans="1:17" ht="12.75" customHeight="1">
      <c r="I2" s="1763"/>
      <c r="J2" s="1763"/>
    </row>
    <row r="3" spans="1:17" ht="16">
      <c r="A3" s="1717" t="s">
        <v>2577</v>
      </c>
      <c r="B3" s="1717"/>
      <c r="C3" s="1717"/>
      <c r="I3" s="1763"/>
      <c r="J3" s="1763"/>
    </row>
    <row r="4" spans="1:17" ht="15" customHeight="1">
      <c r="F4" s="1763"/>
      <c r="G4" s="1763"/>
      <c r="H4" s="1764"/>
      <c r="I4" s="1764"/>
      <c r="J4" s="1764"/>
      <c r="K4" s="1764"/>
      <c r="N4" s="1765"/>
      <c r="O4" s="1765"/>
      <c r="P4" s="1763"/>
      <c r="Q4" s="1763"/>
    </row>
    <row r="5" spans="1:17" s="1642" customFormat="1" ht="28.5" customHeight="1">
      <c r="A5" s="1719" t="s">
        <v>2570</v>
      </c>
      <c r="B5" s="1719" t="s">
        <v>308</v>
      </c>
      <c r="C5" s="1719" t="s">
        <v>13</v>
      </c>
      <c r="D5" s="1719" t="s">
        <v>1</v>
      </c>
      <c r="E5" s="1719" t="s">
        <v>187</v>
      </c>
      <c r="F5" s="1719" t="s">
        <v>44</v>
      </c>
      <c r="G5" s="1719" t="s">
        <v>134</v>
      </c>
      <c r="H5" s="1719" t="s">
        <v>133</v>
      </c>
      <c r="I5" s="1719" t="s">
        <v>132</v>
      </c>
      <c r="J5" s="1719" t="s">
        <v>131</v>
      </c>
      <c r="K5" s="1719" t="s">
        <v>56</v>
      </c>
      <c r="L5" s="1719" t="s">
        <v>130</v>
      </c>
      <c r="M5" s="1719" t="s">
        <v>129</v>
      </c>
      <c r="N5" s="1719" t="s">
        <v>128</v>
      </c>
      <c r="O5" s="1719" t="s">
        <v>127</v>
      </c>
      <c r="P5" s="1766"/>
      <c r="Q5" s="1766"/>
    </row>
    <row r="6" spans="1:17" ht="14.25" customHeight="1">
      <c r="A6" s="1767"/>
      <c r="B6" s="1767"/>
      <c r="C6" s="1767"/>
      <c r="D6" s="1767"/>
      <c r="E6" s="1767"/>
      <c r="F6" s="1767"/>
      <c r="G6" s="1767"/>
      <c r="H6" s="1767"/>
      <c r="I6" s="1767"/>
      <c r="J6" s="1768"/>
      <c r="K6" s="1768"/>
      <c r="L6" s="1768"/>
      <c r="M6" s="1768"/>
      <c r="N6" s="1768"/>
      <c r="O6" s="1768"/>
      <c r="P6" s="1761"/>
      <c r="Q6" s="1761"/>
    </row>
    <row r="7" spans="1:17">
      <c r="A7" s="1769">
        <v>1.01</v>
      </c>
      <c r="B7" s="1769">
        <v>1.01</v>
      </c>
      <c r="C7" s="1769">
        <v>1.01</v>
      </c>
      <c r="D7" s="1769">
        <v>1.01</v>
      </c>
      <c r="E7" s="1769">
        <v>1.01</v>
      </c>
      <c r="F7" s="1769">
        <v>1.01</v>
      </c>
      <c r="G7" s="1769">
        <v>1.43</v>
      </c>
      <c r="H7" s="1769">
        <v>1.43</v>
      </c>
      <c r="I7" s="1769">
        <v>1.43</v>
      </c>
      <c r="J7" s="1769">
        <v>1.43</v>
      </c>
      <c r="K7" s="1770" t="s">
        <v>35</v>
      </c>
      <c r="L7" s="1771" t="s">
        <v>35</v>
      </c>
      <c r="M7" s="1771" t="s">
        <v>35</v>
      </c>
      <c r="N7" s="1771" t="s">
        <v>35</v>
      </c>
      <c r="O7" s="1771" t="s">
        <v>35</v>
      </c>
      <c r="P7" s="1761"/>
      <c r="Q7" s="1761"/>
    </row>
    <row r="8" spans="1:17">
      <c r="A8" s="1772">
        <v>1.02</v>
      </c>
      <c r="B8" s="1772">
        <v>1.02</v>
      </c>
      <c r="C8" s="1772">
        <v>1.02</v>
      </c>
      <c r="D8" s="1769">
        <v>1.02</v>
      </c>
      <c r="E8" s="1769">
        <v>1.02</v>
      </c>
      <c r="F8" s="1769">
        <v>1.02</v>
      </c>
      <c r="G8" s="1769">
        <v>1.27</v>
      </c>
      <c r="H8" s="1769">
        <v>1.27</v>
      </c>
      <c r="I8" s="1769">
        <v>1.27</v>
      </c>
      <c r="J8" s="1769">
        <v>1.27</v>
      </c>
      <c r="K8" s="1770">
        <v>1.27</v>
      </c>
      <c r="L8" s="1773" t="s">
        <v>180</v>
      </c>
      <c r="M8" s="1773" t="s">
        <v>180</v>
      </c>
      <c r="N8" s="1773" t="s">
        <v>180</v>
      </c>
      <c r="O8" s="1773" t="s">
        <v>180</v>
      </c>
      <c r="P8" s="1761"/>
      <c r="Q8" s="1761"/>
    </row>
    <row r="9" spans="1:17">
      <c r="A9" s="1772">
        <v>1.03</v>
      </c>
      <c r="B9" s="1772">
        <v>1.03</v>
      </c>
      <c r="C9" s="1772">
        <v>1.03</v>
      </c>
      <c r="D9" s="1769">
        <v>1.03</v>
      </c>
      <c r="E9" s="1769">
        <v>1.03</v>
      </c>
      <c r="F9" s="1769">
        <v>1.03</v>
      </c>
      <c r="G9" s="1769">
        <v>1.28</v>
      </c>
      <c r="H9" s="1769">
        <v>1.28</v>
      </c>
      <c r="I9" s="1769">
        <v>1.28</v>
      </c>
      <c r="J9" s="1769">
        <v>1.28</v>
      </c>
      <c r="K9" s="1770">
        <v>1.28</v>
      </c>
      <c r="L9" s="1773" t="s">
        <v>181</v>
      </c>
      <c r="M9" s="1773" t="s">
        <v>181</v>
      </c>
      <c r="N9" s="1773" t="s">
        <v>181</v>
      </c>
      <c r="O9" s="1773" t="s">
        <v>181</v>
      </c>
      <c r="P9" s="1761"/>
      <c r="Q9" s="1761"/>
    </row>
    <row r="10" spans="1:17">
      <c r="A10" s="1772">
        <v>1.04</v>
      </c>
      <c r="B10" s="1772">
        <v>1.04</v>
      </c>
      <c r="C10" s="1772">
        <v>1.04</v>
      </c>
      <c r="D10" s="1772">
        <v>1.04</v>
      </c>
      <c r="E10" s="1772">
        <v>1.04</v>
      </c>
      <c r="F10" s="1772">
        <v>1.04</v>
      </c>
      <c r="G10" s="1772">
        <v>1.29</v>
      </c>
      <c r="H10" s="1772">
        <v>1.29</v>
      </c>
      <c r="I10" s="1772">
        <v>1.29</v>
      </c>
      <c r="J10" s="1772">
        <v>1.29</v>
      </c>
      <c r="K10" s="1774">
        <v>1.29</v>
      </c>
      <c r="L10" s="1775" t="s">
        <v>182</v>
      </c>
      <c r="M10" s="1775" t="s">
        <v>182</v>
      </c>
      <c r="N10" s="1775" t="s">
        <v>182</v>
      </c>
      <c r="O10" s="1775" t="s">
        <v>182</v>
      </c>
      <c r="P10" s="1761"/>
      <c r="Q10" s="1761"/>
    </row>
    <row r="11" spans="1:17">
      <c r="A11" s="1772">
        <v>1.05</v>
      </c>
      <c r="B11" s="1772">
        <v>1.05</v>
      </c>
      <c r="C11" s="1772">
        <v>1.05</v>
      </c>
      <c r="D11" s="1772">
        <v>1.05</v>
      </c>
      <c r="E11" s="1772">
        <v>1.05</v>
      </c>
      <c r="F11" s="1772">
        <v>1.05</v>
      </c>
      <c r="G11" s="1772">
        <v>1.3</v>
      </c>
      <c r="H11" s="1772">
        <v>1.3</v>
      </c>
      <c r="I11" s="1772">
        <v>1.3</v>
      </c>
      <c r="J11" s="1772">
        <v>1.3</v>
      </c>
      <c r="K11" s="1774">
        <v>1.3</v>
      </c>
      <c r="L11" s="1775" t="s">
        <v>183</v>
      </c>
      <c r="M11" s="1775" t="s">
        <v>183</v>
      </c>
      <c r="N11" s="1775" t="s">
        <v>183</v>
      </c>
      <c r="O11" s="1775" t="s">
        <v>183</v>
      </c>
      <c r="P11" s="1761"/>
      <c r="Q11" s="1761"/>
    </row>
    <row r="12" spans="1:17">
      <c r="A12" s="1772">
        <v>1.06</v>
      </c>
      <c r="B12" s="1772">
        <v>1.06</v>
      </c>
      <c r="C12" s="1772">
        <v>1.06</v>
      </c>
      <c r="D12" s="1772">
        <v>1.06</v>
      </c>
      <c r="E12" s="1772">
        <v>1.06</v>
      </c>
      <c r="F12" s="1772">
        <v>1.06</v>
      </c>
      <c r="G12" s="1772">
        <v>1.31</v>
      </c>
      <c r="H12" s="1772">
        <v>1.31</v>
      </c>
      <c r="I12" s="1772">
        <v>1.31</v>
      </c>
      <c r="J12" s="1772">
        <v>1.31</v>
      </c>
      <c r="K12" s="1774">
        <v>1.31</v>
      </c>
      <c r="L12" s="1775" t="s">
        <v>184</v>
      </c>
      <c r="M12" s="1775" t="s">
        <v>184</v>
      </c>
      <c r="N12" s="1775" t="s">
        <v>184</v>
      </c>
      <c r="O12" s="1775" t="s">
        <v>184</v>
      </c>
      <c r="P12" s="1761"/>
      <c r="Q12" s="1761"/>
    </row>
    <row r="13" spans="1:17">
      <c r="A13" s="1772">
        <v>1.07</v>
      </c>
      <c r="B13" s="1772">
        <v>1.07</v>
      </c>
      <c r="C13" s="1772">
        <v>1.07</v>
      </c>
      <c r="D13" s="1772">
        <v>1.07</v>
      </c>
      <c r="E13" s="1772">
        <v>1.07</v>
      </c>
      <c r="F13" s="1772">
        <v>1.07</v>
      </c>
      <c r="G13" s="1776" t="s">
        <v>36</v>
      </c>
      <c r="H13" s="1777">
        <v>7.06</v>
      </c>
      <c r="I13" s="1777">
        <v>7.06</v>
      </c>
      <c r="J13" s="1777" t="s">
        <v>35</v>
      </c>
      <c r="K13" s="1777" t="s">
        <v>35</v>
      </c>
      <c r="L13" s="1777" t="s">
        <v>35</v>
      </c>
      <c r="M13" s="1777" t="s">
        <v>35</v>
      </c>
      <c r="N13" s="1777" t="s">
        <v>35</v>
      </c>
      <c r="O13" s="1777" t="s">
        <v>35</v>
      </c>
      <c r="P13" s="1761"/>
      <c r="Q13" s="1761"/>
    </row>
    <row r="14" spans="1:17">
      <c r="A14" s="1772">
        <v>1.08</v>
      </c>
      <c r="B14" s="1772">
        <v>1.08</v>
      </c>
      <c r="C14" s="1772">
        <v>1.08</v>
      </c>
      <c r="D14" s="1772">
        <v>1.08</v>
      </c>
      <c r="E14" s="1772">
        <v>1.08</v>
      </c>
      <c r="F14" s="1772">
        <v>1.08</v>
      </c>
      <c r="G14" s="1772">
        <v>1.25</v>
      </c>
      <c r="H14" s="1772">
        <v>1.25</v>
      </c>
      <c r="I14" s="1772">
        <v>1.25</v>
      </c>
      <c r="J14" s="1772">
        <v>1.25</v>
      </c>
      <c r="K14" s="1774">
        <v>1.25</v>
      </c>
      <c r="L14" s="1778" t="s">
        <v>35</v>
      </c>
      <c r="M14" s="1778" t="s">
        <v>35</v>
      </c>
      <c r="N14" s="1778" t="s">
        <v>35</v>
      </c>
      <c r="O14" s="1778" t="s">
        <v>35</v>
      </c>
      <c r="P14" s="1761"/>
      <c r="Q14" s="1761"/>
    </row>
    <row r="15" spans="1:17">
      <c r="A15" s="1772">
        <v>1.0900000000000001</v>
      </c>
      <c r="B15" s="1772">
        <v>1.0900000000000001</v>
      </c>
      <c r="C15" s="1772">
        <v>1.0900000000000001</v>
      </c>
      <c r="D15" s="1772">
        <v>1.0900000000000001</v>
      </c>
      <c r="E15" s="1772">
        <v>1.0900000000000001</v>
      </c>
      <c r="F15" s="1772">
        <v>1.0900000000000001</v>
      </c>
      <c r="G15" s="1772">
        <v>1.26</v>
      </c>
      <c r="H15" s="1772">
        <v>1.26</v>
      </c>
      <c r="I15" s="1772">
        <v>1.26</v>
      </c>
      <c r="J15" s="1772">
        <v>1.26</v>
      </c>
      <c r="K15" s="1774">
        <v>1.26</v>
      </c>
      <c r="L15" s="1778" t="s">
        <v>35</v>
      </c>
      <c r="M15" s="1778" t="s">
        <v>35</v>
      </c>
      <c r="N15" s="1778" t="s">
        <v>35</v>
      </c>
      <c r="O15" s="1778" t="s">
        <v>35</v>
      </c>
      <c r="P15" s="1761"/>
      <c r="Q15" s="1761"/>
    </row>
    <row r="16" spans="1:17">
      <c r="A16" s="1772" t="s">
        <v>14</v>
      </c>
      <c r="B16" s="1772" t="s">
        <v>14</v>
      </c>
      <c r="C16" s="1772" t="s">
        <v>14</v>
      </c>
      <c r="D16" s="1772">
        <v>1.1000000000000001</v>
      </c>
      <c r="E16" s="1772">
        <v>1.1000000000000001</v>
      </c>
      <c r="F16" s="1772">
        <v>1.1000000000000001</v>
      </c>
      <c r="G16" s="1772">
        <v>1.23</v>
      </c>
      <c r="H16" s="1772">
        <v>1.23</v>
      </c>
      <c r="I16" s="1772">
        <v>1.23</v>
      </c>
      <c r="J16" s="1772">
        <v>1.23</v>
      </c>
      <c r="K16" s="1774">
        <v>1.23</v>
      </c>
      <c r="L16" s="1778" t="s">
        <v>35</v>
      </c>
      <c r="M16" s="1778" t="s">
        <v>35</v>
      </c>
      <c r="N16" s="1778" t="s">
        <v>35</v>
      </c>
      <c r="O16" s="1778" t="s">
        <v>35</v>
      </c>
      <c r="P16" s="1761"/>
      <c r="Q16" s="1761"/>
    </row>
    <row r="17" spans="1:17">
      <c r="A17" s="1772">
        <v>1.1100000000000001</v>
      </c>
      <c r="B17" s="1772">
        <v>1.1100000000000001</v>
      </c>
      <c r="C17" s="1772">
        <v>1.1100000000000001</v>
      </c>
      <c r="D17" s="1772">
        <v>1.1100000000000001</v>
      </c>
      <c r="E17" s="1772">
        <v>1.1100000000000001</v>
      </c>
      <c r="F17" s="1772">
        <v>1.1100000000000001</v>
      </c>
      <c r="G17" s="1772">
        <v>1.24</v>
      </c>
      <c r="H17" s="1772">
        <v>1.24</v>
      </c>
      <c r="I17" s="1772">
        <v>1.24</v>
      </c>
      <c r="J17" s="1772">
        <v>1.24</v>
      </c>
      <c r="K17" s="1774">
        <v>1.24</v>
      </c>
      <c r="L17" s="1778" t="s">
        <v>35</v>
      </c>
      <c r="M17" s="1778" t="s">
        <v>35</v>
      </c>
      <c r="N17" s="1778" t="s">
        <v>35</v>
      </c>
      <c r="O17" s="1778" t="s">
        <v>35</v>
      </c>
      <c r="P17" s="1761"/>
      <c r="Q17" s="1761"/>
    </row>
    <row r="18" spans="1:17">
      <c r="A18" s="1772">
        <v>1.1200000000000001</v>
      </c>
      <c r="B18" s="1772">
        <v>1.1200000000000001</v>
      </c>
      <c r="C18" s="1772">
        <v>1.1200000000000001</v>
      </c>
      <c r="D18" s="1772">
        <v>1.1200000000000001</v>
      </c>
      <c r="E18" s="1772">
        <v>1.1200000000000001</v>
      </c>
      <c r="F18" s="1772">
        <v>1.1200000000000001</v>
      </c>
      <c r="G18" s="1772">
        <v>1.32</v>
      </c>
      <c r="H18" s="1772">
        <v>1.32</v>
      </c>
      <c r="I18" s="1772">
        <v>1.32</v>
      </c>
      <c r="J18" s="1772">
        <v>1.32</v>
      </c>
      <c r="K18" s="1774">
        <v>1.32</v>
      </c>
      <c r="L18" s="1775" t="s">
        <v>178</v>
      </c>
      <c r="M18" s="1775" t="s">
        <v>178</v>
      </c>
      <c r="N18" s="1775" t="s">
        <v>178</v>
      </c>
      <c r="O18" s="1775" t="s">
        <v>178</v>
      </c>
      <c r="P18" s="1761"/>
      <c r="Q18" s="1761"/>
    </row>
    <row r="19" spans="1:17">
      <c r="A19" s="1772">
        <v>1.1299999999999999</v>
      </c>
      <c r="B19" s="1772">
        <v>1.1299999999999999</v>
      </c>
      <c r="C19" s="1772">
        <v>1.1299999999999999</v>
      </c>
      <c r="D19" s="1772">
        <v>1.1299999999999999</v>
      </c>
      <c r="E19" s="1772">
        <v>1.1299999999999999</v>
      </c>
      <c r="F19" s="1772">
        <v>1.1299999999999999</v>
      </c>
      <c r="G19" s="1772">
        <v>1.33</v>
      </c>
      <c r="H19" s="1772">
        <v>1.33</v>
      </c>
      <c r="I19" s="1772">
        <v>1.33</v>
      </c>
      <c r="J19" s="1772">
        <v>1.33</v>
      </c>
      <c r="K19" s="1774">
        <v>1.33</v>
      </c>
      <c r="L19" s="1778" t="s">
        <v>35</v>
      </c>
      <c r="M19" s="1778" t="s">
        <v>35</v>
      </c>
      <c r="N19" s="1778" t="s">
        <v>35</v>
      </c>
      <c r="O19" s="1778" t="s">
        <v>35</v>
      </c>
      <c r="P19" s="1761"/>
      <c r="Q19" s="1761"/>
    </row>
    <row r="20" spans="1:17">
      <c r="A20" s="1777">
        <v>2.0099999999999998</v>
      </c>
      <c r="B20" s="1777">
        <v>2.0099999999999998</v>
      </c>
      <c r="C20" s="1777">
        <v>2.0099999999999998</v>
      </c>
      <c r="D20" s="1779">
        <v>2.0099999999999998</v>
      </c>
      <c r="E20" s="1772">
        <v>2.0099999999999998</v>
      </c>
      <c r="F20" s="1772">
        <v>2.0099999999999998</v>
      </c>
      <c r="G20" s="1772">
        <v>1.19</v>
      </c>
      <c r="H20" s="1772">
        <v>1.19</v>
      </c>
      <c r="I20" s="1772">
        <v>1.19</v>
      </c>
      <c r="J20" s="1772">
        <v>1.19</v>
      </c>
      <c r="K20" s="1774">
        <v>1.19</v>
      </c>
      <c r="L20" s="1778" t="s">
        <v>35</v>
      </c>
      <c r="M20" s="1778" t="s">
        <v>35</v>
      </c>
      <c r="N20" s="1778" t="s">
        <v>35</v>
      </c>
      <c r="O20" s="1778" t="s">
        <v>35</v>
      </c>
      <c r="P20" s="1761"/>
      <c r="Q20" s="1761"/>
    </row>
    <row r="21" spans="1:17">
      <c r="A21" s="1777">
        <v>2.02</v>
      </c>
      <c r="B21" s="1777">
        <v>2.02</v>
      </c>
      <c r="C21" s="1777">
        <v>2.02</v>
      </c>
      <c r="D21" s="1772">
        <v>2.02</v>
      </c>
      <c r="E21" s="1772">
        <v>2.02</v>
      </c>
      <c r="F21" s="1772">
        <v>2.02</v>
      </c>
      <c r="G21" s="1772">
        <v>1.2</v>
      </c>
      <c r="H21" s="1772">
        <v>1.2</v>
      </c>
      <c r="I21" s="1772">
        <v>1.2</v>
      </c>
      <c r="J21" s="1772">
        <v>1.2</v>
      </c>
      <c r="K21" s="1774">
        <v>1.2</v>
      </c>
      <c r="L21" s="1778" t="s">
        <v>35</v>
      </c>
      <c r="M21" s="1778" t="s">
        <v>35</v>
      </c>
      <c r="N21" s="1778" t="s">
        <v>35</v>
      </c>
      <c r="O21" s="1778" t="s">
        <v>35</v>
      </c>
      <c r="P21" s="1761"/>
      <c r="Q21" s="1761"/>
    </row>
    <row r="22" spans="1:17">
      <c r="A22" s="1777">
        <v>2.0299999999999998</v>
      </c>
      <c r="B22" s="1777">
        <v>2.0299999999999998</v>
      </c>
      <c r="C22" s="1777">
        <v>2.0299999999999998</v>
      </c>
      <c r="D22" s="1772">
        <v>2.0299999999999998</v>
      </c>
      <c r="E22" s="1772">
        <v>2.0299999999999998</v>
      </c>
      <c r="F22" s="1772">
        <v>2.0299999999999998</v>
      </c>
      <c r="G22" s="1776">
        <v>1.51</v>
      </c>
      <c r="H22" s="1777" t="s">
        <v>35</v>
      </c>
      <c r="I22" s="1777" t="s">
        <v>35</v>
      </c>
      <c r="J22" s="1777" t="s">
        <v>35</v>
      </c>
      <c r="K22" s="1777" t="s">
        <v>35</v>
      </c>
      <c r="L22" s="1777" t="s">
        <v>35</v>
      </c>
      <c r="M22" s="1777" t="s">
        <v>35</v>
      </c>
      <c r="N22" s="1777" t="s">
        <v>35</v>
      </c>
      <c r="O22" s="1777" t="s">
        <v>35</v>
      </c>
      <c r="P22" s="1761"/>
      <c r="Q22" s="1761"/>
    </row>
    <row r="23" spans="1:17">
      <c r="A23" s="1777">
        <v>2.04</v>
      </c>
      <c r="B23" s="1777">
        <v>2.04</v>
      </c>
      <c r="C23" s="1777">
        <v>2.04</v>
      </c>
      <c r="D23" s="1776">
        <v>2.04</v>
      </c>
      <c r="E23" s="1776">
        <v>2.04</v>
      </c>
      <c r="F23" s="1776">
        <v>2.04</v>
      </c>
      <c r="G23" s="1777">
        <v>2.04</v>
      </c>
      <c r="H23" s="1777">
        <v>2.04</v>
      </c>
      <c r="I23" s="1777">
        <v>2.04</v>
      </c>
      <c r="J23" s="1777">
        <v>2.04</v>
      </c>
      <c r="K23" s="1775">
        <v>2.04</v>
      </c>
      <c r="L23" s="1775" t="s">
        <v>22</v>
      </c>
      <c r="M23" s="1775" t="s">
        <v>22</v>
      </c>
      <c r="N23" s="1775" t="s">
        <v>35</v>
      </c>
      <c r="O23" s="1775" t="s">
        <v>35</v>
      </c>
      <c r="P23" s="1761"/>
      <c r="Q23" s="1761"/>
    </row>
    <row r="24" spans="1:17">
      <c r="A24" s="1777">
        <v>2.0499999999999998</v>
      </c>
      <c r="B24" s="1777">
        <v>2.0499999999999998</v>
      </c>
      <c r="C24" s="1777">
        <v>2.0499999999999998</v>
      </c>
      <c r="D24" s="1772">
        <v>2.0499999999999998</v>
      </c>
      <c r="E24" s="1772">
        <v>2.0499999999999998</v>
      </c>
      <c r="F24" s="1772">
        <v>2.0499999999999998</v>
      </c>
      <c r="G24" s="1777">
        <v>2.0499999999999998</v>
      </c>
      <c r="H24" s="1777">
        <v>2.0499999999999998</v>
      </c>
      <c r="I24" s="1777">
        <v>2.0499999999999998</v>
      </c>
      <c r="J24" s="1777">
        <v>2.0499999999999998</v>
      </c>
      <c r="K24" s="1775">
        <v>2.0499999999999998</v>
      </c>
      <c r="L24" s="1775" t="s">
        <v>194</v>
      </c>
      <c r="M24" s="1775" t="s">
        <v>194</v>
      </c>
      <c r="N24" s="1775" t="s">
        <v>35</v>
      </c>
      <c r="O24" s="1775" t="s">
        <v>35</v>
      </c>
      <c r="P24" s="1761"/>
      <c r="Q24" s="1761"/>
    </row>
    <row r="25" spans="1:17">
      <c r="A25" s="1777">
        <v>2.06</v>
      </c>
      <c r="B25" s="1777">
        <v>2.06</v>
      </c>
      <c r="C25" s="1777">
        <v>2.06</v>
      </c>
      <c r="D25" s="1777">
        <v>2.06</v>
      </c>
      <c r="E25" s="1777">
        <v>2.06</v>
      </c>
      <c r="F25" s="1777">
        <v>2.06</v>
      </c>
      <c r="G25" s="1777">
        <v>2.06</v>
      </c>
      <c r="H25" s="1777">
        <v>2.06</v>
      </c>
      <c r="I25" s="1777">
        <v>2.06</v>
      </c>
      <c r="J25" s="1777">
        <v>2.06</v>
      </c>
      <c r="K25" s="1775">
        <v>2.06</v>
      </c>
      <c r="L25" s="1775" t="s">
        <v>25</v>
      </c>
      <c r="M25" s="1775" t="s">
        <v>25</v>
      </c>
      <c r="N25" s="1775" t="s">
        <v>35</v>
      </c>
      <c r="O25" s="1775" t="s">
        <v>35</v>
      </c>
      <c r="P25" s="1761"/>
      <c r="Q25" s="1761"/>
    </row>
    <row r="26" spans="1:17">
      <c r="A26" s="1777">
        <v>2.0699999999999998</v>
      </c>
      <c r="B26" s="1777">
        <v>2.0699999999999998</v>
      </c>
      <c r="C26" s="1777" t="s">
        <v>35</v>
      </c>
      <c r="D26" s="1777" t="s">
        <v>35</v>
      </c>
      <c r="E26" s="1777" t="s">
        <v>35</v>
      </c>
      <c r="F26" s="1777" t="s">
        <v>35</v>
      </c>
      <c r="G26" s="1777" t="s">
        <v>35</v>
      </c>
      <c r="H26" s="1777" t="s">
        <v>35</v>
      </c>
      <c r="I26" s="1777" t="s">
        <v>35</v>
      </c>
      <c r="J26" s="1777" t="s">
        <v>35</v>
      </c>
      <c r="K26" s="1777" t="s">
        <v>35</v>
      </c>
      <c r="L26" s="1777" t="s">
        <v>35</v>
      </c>
      <c r="M26" s="1777" t="s">
        <v>35</v>
      </c>
      <c r="N26" s="1777" t="s">
        <v>35</v>
      </c>
      <c r="O26" s="1777" t="s">
        <v>35</v>
      </c>
      <c r="P26" s="1761"/>
      <c r="Q26" s="1761"/>
    </row>
    <row r="27" spans="1:17">
      <c r="A27" s="1777">
        <v>2.08</v>
      </c>
      <c r="B27" s="1777">
        <v>2.08</v>
      </c>
      <c r="C27" s="1777" t="s">
        <v>35</v>
      </c>
      <c r="D27" s="1777" t="s">
        <v>35</v>
      </c>
      <c r="E27" s="1777" t="s">
        <v>35</v>
      </c>
      <c r="F27" s="1777" t="s">
        <v>35</v>
      </c>
      <c r="G27" s="1777" t="s">
        <v>35</v>
      </c>
      <c r="H27" s="1777" t="s">
        <v>35</v>
      </c>
      <c r="I27" s="1777" t="s">
        <v>35</v>
      </c>
      <c r="J27" s="1777" t="s">
        <v>35</v>
      </c>
      <c r="K27" s="1777" t="s">
        <v>35</v>
      </c>
      <c r="L27" s="1777" t="s">
        <v>35</v>
      </c>
      <c r="M27" s="1777" t="s">
        <v>35</v>
      </c>
      <c r="N27" s="1777" t="s">
        <v>35</v>
      </c>
      <c r="O27" s="1777" t="s">
        <v>35</v>
      </c>
      <c r="P27" s="1761"/>
      <c r="Q27" s="1761"/>
    </row>
    <row r="28" spans="1:17">
      <c r="A28" s="1777">
        <v>2.09</v>
      </c>
      <c r="B28" s="1777">
        <v>2.09</v>
      </c>
      <c r="C28" s="1777">
        <v>2.09</v>
      </c>
      <c r="D28" s="1777">
        <v>2.09</v>
      </c>
      <c r="E28" s="1777">
        <v>2.09</v>
      </c>
      <c r="F28" s="1777">
        <v>2.09</v>
      </c>
      <c r="G28" s="1777">
        <v>2.09</v>
      </c>
      <c r="H28" s="1777">
        <v>2.09</v>
      </c>
      <c r="I28" s="1777">
        <v>2.09</v>
      </c>
      <c r="J28" s="1777">
        <v>2.09</v>
      </c>
      <c r="K28" s="1775">
        <v>2.09</v>
      </c>
      <c r="L28" s="1775" t="s">
        <v>53</v>
      </c>
      <c r="M28" s="1775" t="s">
        <v>35</v>
      </c>
      <c r="N28" s="1775" t="s">
        <v>35</v>
      </c>
      <c r="O28" s="1775" t="s">
        <v>35</v>
      </c>
      <c r="P28" s="1761"/>
      <c r="Q28" s="1761"/>
    </row>
    <row r="29" spans="1:17">
      <c r="A29" s="1776" t="s">
        <v>54</v>
      </c>
      <c r="B29" s="1776" t="s">
        <v>54</v>
      </c>
      <c r="C29" s="1777" t="s">
        <v>35</v>
      </c>
      <c r="D29" s="1777" t="s">
        <v>35</v>
      </c>
      <c r="E29" s="1777" t="s">
        <v>35</v>
      </c>
      <c r="F29" s="1777" t="s">
        <v>35</v>
      </c>
      <c r="G29" s="1777" t="s">
        <v>35</v>
      </c>
      <c r="H29" s="1777" t="s">
        <v>35</v>
      </c>
      <c r="I29" s="1777" t="s">
        <v>35</v>
      </c>
      <c r="J29" s="1777" t="s">
        <v>35</v>
      </c>
      <c r="K29" s="1777" t="s">
        <v>35</v>
      </c>
      <c r="L29" s="1777" t="s">
        <v>35</v>
      </c>
      <c r="M29" s="1777" t="s">
        <v>35</v>
      </c>
      <c r="N29" s="1777" t="s">
        <v>35</v>
      </c>
      <c r="O29" s="1777" t="s">
        <v>35</v>
      </c>
      <c r="P29" s="1761"/>
      <c r="Q29" s="1761"/>
    </row>
    <row r="30" spans="1:17">
      <c r="A30" s="1777">
        <v>2.11</v>
      </c>
      <c r="B30" s="1777">
        <v>2.11</v>
      </c>
      <c r="C30" s="1777">
        <v>2.11</v>
      </c>
      <c r="D30" s="1777">
        <v>2.11</v>
      </c>
      <c r="E30" s="1777">
        <v>2.11</v>
      </c>
      <c r="F30" s="1777">
        <v>2.11</v>
      </c>
      <c r="G30" s="1772">
        <v>2.11</v>
      </c>
      <c r="H30" s="1772">
        <v>2.11</v>
      </c>
      <c r="I30" s="1772">
        <v>2.11</v>
      </c>
      <c r="J30" s="1772">
        <v>2.11</v>
      </c>
      <c r="K30" s="1774" t="s">
        <v>35</v>
      </c>
      <c r="L30" s="1778" t="s">
        <v>35</v>
      </c>
      <c r="M30" s="1778" t="s">
        <v>35</v>
      </c>
      <c r="N30" s="1778" t="s">
        <v>35</v>
      </c>
      <c r="O30" s="1778" t="s">
        <v>35</v>
      </c>
      <c r="P30" s="1761"/>
      <c r="Q30" s="1761"/>
    </row>
    <row r="31" spans="1:17">
      <c r="A31" s="1777">
        <v>2.12</v>
      </c>
      <c r="B31" s="1777">
        <v>2.12</v>
      </c>
      <c r="C31" s="1777">
        <v>2.12</v>
      </c>
      <c r="D31" s="1777">
        <v>2.12</v>
      </c>
      <c r="E31" s="1777">
        <v>2.12</v>
      </c>
      <c r="F31" s="1777">
        <v>2.12</v>
      </c>
      <c r="G31" s="1772">
        <v>2.12</v>
      </c>
      <c r="H31" s="1772" t="s">
        <v>35</v>
      </c>
      <c r="I31" s="1772" t="s">
        <v>35</v>
      </c>
      <c r="J31" s="1772" t="s">
        <v>35</v>
      </c>
      <c r="K31" s="1772" t="s">
        <v>35</v>
      </c>
      <c r="L31" s="1772" t="s">
        <v>35</v>
      </c>
      <c r="M31" s="1772" t="s">
        <v>35</v>
      </c>
      <c r="N31" s="1772" t="s">
        <v>35</v>
      </c>
      <c r="O31" s="1772" t="s">
        <v>35</v>
      </c>
      <c r="P31" s="1761"/>
      <c r="Q31" s="1761"/>
    </row>
    <row r="32" spans="1:17">
      <c r="A32" s="1777">
        <v>2.13</v>
      </c>
      <c r="B32" s="1777">
        <v>2.13</v>
      </c>
      <c r="C32" s="1777">
        <v>2.13</v>
      </c>
      <c r="D32" s="1780">
        <v>2.13</v>
      </c>
      <c r="E32" s="1780">
        <v>2.13</v>
      </c>
      <c r="F32" s="1780">
        <v>2.13</v>
      </c>
      <c r="G32" s="1772">
        <v>2.13</v>
      </c>
      <c r="H32" s="1772" t="s">
        <v>35</v>
      </c>
      <c r="I32" s="1772" t="s">
        <v>35</v>
      </c>
      <c r="J32" s="1772" t="s">
        <v>35</v>
      </c>
      <c r="K32" s="1772" t="s">
        <v>35</v>
      </c>
      <c r="L32" s="1772" t="s">
        <v>35</v>
      </c>
      <c r="M32" s="1772" t="s">
        <v>35</v>
      </c>
      <c r="N32" s="1772" t="s">
        <v>35</v>
      </c>
      <c r="O32" s="1772" t="s">
        <v>35</v>
      </c>
      <c r="P32" s="1761"/>
      <c r="Q32" s="1761"/>
    </row>
    <row r="33" spans="1:17">
      <c r="A33" s="1777">
        <v>2.14</v>
      </c>
      <c r="B33" s="1777">
        <v>2.14</v>
      </c>
      <c r="C33" s="1777">
        <v>2.14</v>
      </c>
      <c r="D33" s="1772">
        <v>2.14</v>
      </c>
      <c r="E33" s="1772">
        <v>2.14</v>
      </c>
      <c r="F33" s="1772">
        <v>2.14</v>
      </c>
      <c r="G33" s="1772">
        <v>1.1299999999999999</v>
      </c>
      <c r="H33" s="1772">
        <v>1.1299999999999999</v>
      </c>
      <c r="I33" s="1772">
        <v>1.1299999999999999</v>
      </c>
      <c r="J33" s="1772">
        <v>1.1299999999999999</v>
      </c>
      <c r="K33" s="1774">
        <v>1.1299999999999999</v>
      </c>
      <c r="L33" s="1775" t="s">
        <v>166</v>
      </c>
      <c r="M33" s="1775" t="s">
        <v>166</v>
      </c>
      <c r="N33" s="1775" t="s">
        <v>166</v>
      </c>
      <c r="O33" s="1775" t="s">
        <v>166</v>
      </c>
      <c r="P33" s="1761"/>
      <c r="Q33" s="1761"/>
    </row>
    <row r="34" spans="1:17">
      <c r="A34" s="1777">
        <v>2.15</v>
      </c>
      <c r="B34" s="1777">
        <v>2.15</v>
      </c>
      <c r="C34" s="1777">
        <v>2.15</v>
      </c>
      <c r="D34" s="1772">
        <v>2.15</v>
      </c>
      <c r="E34" s="1772">
        <v>2.15</v>
      </c>
      <c r="F34" s="1772">
        <v>2.15</v>
      </c>
      <c r="G34" s="1772">
        <v>1.1399999999999999</v>
      </c>
      <c r="H34" s="1772">
        <v>1.1399999999999999</v>
      </c>
      <c r="I34" s="1772">
        <v>1.1399999999999999</v>
      </c>
      <c r="J34" s="1772">
        <v>1.1399999999999999</v>
      </c>
      <c r="K34" s="1774">
        <v>1.1399999999999999</v>
      </c>
      <c r="L34" s="1775" t="s">
        <v>168</v>
      </c>
      <c r="M34" s="1775" t="s">
        <v>168</v>
      </c>
      <c r="N34" s="1775" t="s">
        <v>168</v>
      </c>
      <c r="O34" s="1775" t="s">
        <v>168</v>
      </c>
      <c r="P34" s="1761"/>
      <c r="Q34" s="1761"/>
    </row>
    <row r="35" spans="1:17">
      <c r="A35" s="1777">
        <v>2.16</v>
      </c>
      <c r="B35" s="1777">
        <v>2.16</v>
      </c>
      <c r="C35" s="1777">
        <v>2.16</v>
      </c>
      <c r="D35" s="1772">
        <v>2.16</v>
      </c>
      <c r="E35" s="1772">
        <v>2.16</v>
      </c>
      <c r="F35" s="1772">
        <v>2.16</v>
      </c>
      <c r="G35" s="1772">
        <v>1.1499999999999999</v>
      </c>
      <c r="H35" s="1772">
        <v>1.1499999999999999</v>
      </c>
      <c r="I35" s="1772">
        <v>1.1499999999999999</v>
      </c>
      <c r="J35" s="1772">
        <v>1.1499999999999999</v>
      </c>
      <c r="K35" s="1774">
        <v>1.1499999999999999</v>
      </c>
      <c r="L35" s="1775" t="s">
        <v>170</v>
      </c>
      <c r="M35" s="1775" t="s">
        <v>170</v>
      </c>
      <c r="N35" s="1775" t="s">
        <v>170</v>
      </c>
      <c r="O35" s="1775" t="s">
        <v>170</v>
      </c>
      <c r="P35" s="1761"/>
      <c r="Q35" s="1761"/>
    </row>
    <row r="36" spans="1:17">
      <c r="A36" s="1777">
        <v>2.17</v>
      </c>
      <c r="B36" s="1777">
        <v>2.17</v>
      </c>
      <c r="C36" s="1777">
        <v>2.17</v>
      </c>
      <c r="D36" s="1772">
        <v>2.17</v>
      </c>
      <c r="E36" s="1772">
        <v>2.17</v>
      </c>
      <c r="F36" s="1772">
        <v>2.17</v>
      </c>
      <c r="G36" s="1772">
        <v>1.1599999999999999</v>
      </c>
      <c r="H36" s="1772">
        <v>1.1599999999999999</v>
      </c>
      <c r="I36" s="1772">
        <v>1.1599999999999999</v>
      </c>
      <c r="J36" s="1772">
        <v>1.1599999999999999</v>
      </c>
      <c r="K36" s="1774">
        <v>1.1599999999999999</v>
      </c>
      <c r="L36" s="1775" t="s">
        <v>171</v>
      </c>
      <c r="M36" s="1775" t="s">
        <v>171</v>
      </c>
      <c r="N36" s="1775" t="s">
        <v>171</v>
      </c>
      <c r="O36" s="1775" t="s">
        <v>171</v>
      </c>
      <c r="P36" s="1761"/>
      <c r="Q36" s="1761"/>
    </row>
    <row r="37" spans="1:17">
      <c r="A37" s="1777">
        <v>2.1800000000000002</v>
      </c>
      <c r="B37" s="1777">
        <v>2.1800000000000002</v>
      </c>
      <c r="C37" s="1777">
        <v>2.1800000000000002</v>
      </c>
      <c r="D37" s="1772">
        <v>2.1800000000000002</v>
      </c>
      <c r="E37" s="1772">
        <v>2.1800000000000002</v>
      </c>
      <c r="F37" s="1772">
        <v>2.1800000000000002</v>
      </c>
      <c r="G37" s="1772">
        <v>1.17</v>
      </c>
      <c r="H37" s="1772">
        <v>1.17</v>
      </c>
      <c r="I37" s="1772">
        <v>1.17</v>
      </c>
      <c r="J37" s="1772">
        <v>1.17</v>
      </c>
      <c r="K37" s="1774">
        <v>1.17</v>
      </c>
      <c r="L37" s="1775" t="s">
        <v>172</v>
      </c>
      <c r="M37" s="1775" t="s">
        <v>172</v>
      </c>
      <c r="N37" s="1775" t="s">
        <v>172</v>
      </c>
      <c r="O37" s="1775" t="s">
        <v>172</v>
      </c>
      <c r="P37" s="1761"/>
      <c r="Q37" s="1761"/>
    </row>
    <row r="38" spans="1:17">
      <c r="A38" s="1777">
        <v>2.19</v>
      </c>
      <c r="B38" s="1777">
        <v>2.19</v>
      </c>
      <c r="C38" s="1777">
        <v>2.19</v>
      </c>
      <c r="D38" s="1772">
        <v>2.19</v>
      </c>
      <c r="E38" s="1772">
        <v>2.19</v>
      </c>
      <c r="F38" s="1772">
        <v>2.19</v>
      </c>
      <c r="G38" s="1772">
        <v>1.18</v>
      </c>
      <c r="H38" s="1772">
        <v>1.18</v>
      </c>
      <c r="I38" s="1772">
        <v>1.18</v>
      </c>
      <c r="J38" s="1772">
        <v>1.18</v>
      </c>
      <c r="K38" s="1774">
        <v>1.18</v>
      </c>
      <c r="L38" s="1775" t="s">
        <v>173</v>
      </c>
      <c r="M38" s="1775" t="s">
        <v>173</v>
      </c>
      <c r="N38" s="1775" t="s">
        <v>173</v>
      </c>
      <c r="O38" s="1775" t="s">
        <v>173</v>
      </c>
      <c r="P38" s="1761"/>
      <c r="Q38" s="1761"/>
    </row>
    <row r="39" spans="1:17">
      <c r="A39" s="1776" t="s">
        <v>46</v>
      </c>
      <c r="B39" s="1776" t="s">
        <v>46</v>
      </c>
      <c r="C39" s="1776" t="s">
        <v>46</v>
      </c>
      <c r="D39" s="1772" t="s">
        <v>46</v>
      </c>
      <c r="E39" s="1772" t="s">
        <v>46</v>
      </c>
      <c r="F39" s="1772" t="s">
        <v>46</v>
      </c>
      <c r="G39" s="1772">
        <v>1.21</v>
      </c>
      <c r="H39" s="1772">
        <v>1.21</v>
      </c>
      <c r="I39" s="1772">
        <v>1.21</v>
      </c>
      <c r="J39" s="1772">
        <v>1.21</v>
      </c>
      <c r="K39" s="1774">
        <v>1.21</v>
      </c>
      <c r="L39" s="1778" t="s">
        <v>35</v>
      </c>
      <c r="M39" s="1778" t="s">
        <v>35</v>
      </c>
      <c r="N39" s="1778" t="s">
        <v>35</v>
      </c>
      <c r="O39" s="1778" t="s">
        <v>35</v>
      </c>
      <c r="P39" s="1761"/>
      <c r="Q39" s="1761"/>
    </row>
    <row r="40" spans="1:17">
      <c r="A40" s="1777">
        <v>2.21</v>
      </c>
      <c r="B40" s="1777">
        <v>2.21</v>
      </c>
      <c r="C40" s="1777">
        <v>2.21</v>
      </c>
      <c r="D40" s="1772">
        <v>2.21</v>
      </c>
      <c r="E40" s="1772">
        <v>2.21</v>
      </c>
      <c r="F40" s="1772">
        <v>2.21</v>
      </c>
      <c r="G40" s="1772">
        <v>1.22</v>
      </c>
      <c r="H40" s="1772">
        <v>1.22</v>
      </c>
      <c r="I40" s="1772">
        <v>1.22</v>
      </c>
      <c r="J40" s="1772">
        <v>1.22</v>
      </c>
      <c r="K40" s="1774">
        <v>1.22</v>
      </c>
      <c r="L40" s="1778" t="s">
        <v>35</v>
      </c>
      <c r="M40" s="1778" t="s">
        <v>35</v>
      </c>
      <c r="N40" s="1778" t="s">
        <v>35</v>
      </c>
      <c r="O40" s="1778" t="s">
        <v>35</v>
      </c>
      <c r="P40" s="1761"/>
      <c r="Q40" s="1761"/>
    </row>
    <row r="41" spans="1:17">
      <c r="A41" s="1777">
        <v>2.2200000000000002</v>
      </c>
      <c r="B41" s="1777">
        <v>2.2200000000000002</v>
      </c>
      <c r="C41" s="1777">
        <v>2.2200000000000002</v>
      </c>
      <c r="D41" s="1772">
        <v>2.2200000000000002</v>
      </c>
      <c r="E41" s="1772">
        <v>2.2200000000000002</v>
      </c>
      <c r="F41" s="1772">
        <v>2.2200000000000002</v>
      </c>
      <c r="G41" s="1772">
        <v>1.39</v>
      </c>
      <c r="H41" s="1772">
        <v>1.39</v>
      </c>
      <c r="I41" s="1772">
        <v>1.39</v>
      </c>
      <c r="J41" s="1772">
        <v>1.39</v>
      </c>
      <c r="K41" s="1774" t="s">
        <v>35</v>
      </c>
      <c r="L41" s="1775" t="s">
        <v>167</v>
      </c>
      <c r="M41" s="1775" t="s">
        <v>167</v>
      </c>
      <c r="N41" s="1775" t="s">
        <v>167</v>
      </c>
      <c r="O41" s="1775" t="s">
        <v>167</v>
      </c>
      <c r="P41" s="1761"/>
      <c r="Q41" s="1761"/>
    </row>
    <row r="42" spans="1:17">
      <c r="A42" s="1777">
        <v>2.23</v>
      </c>
      <c r="B42" s="1777">
        <v>2.23</v>
      </c>
      <c r="C42" s="1777" t="s">
        <v>35</v>
      </c>
      <c r="D42" s="1777" t="s">
        <v>35</v>
      </c>
      <c r="E42" s="1777" t="s">
        <v>35</v>
      </c>
      <c r="F42" s="1777" t="s">
        <v>35</v>
      </c>
      <c r="G42" s="1777" t="s">
        <v>35</v>
      </c>
      <c r="H42" s="1777" t="s">
        <v>35</v>
      </c>
      <c r="I42" s="1777" t="s">
        <v>35</v>
      </c>
      <c r="J42" s="1777" t="s">
        <v>35</v>
      </c>
      <c r="K42" s="1777" t="s">
        <v>35</v>
      </c>
      <c r="L42" s="1777" t="s">
        <v>35</v>
      </c>
      <c r="M42" s="1777" t="s">
        <v>35</v>
      </c>
      <c r="N42" s="1777" t="s">
        <v>35</v>
      </c>
      <c r="O42" s="1777" t="s">
        <v>35</v>
      </c>
      <c r="P42" s="1761"/>
      <c r="Q42" s="1761"/>
    </row>
    <row r="43" spans="1:17">
      <c r="A43" s="1777">
        <v>2.2400000000000002</v>
      </c>
      <c r="B43" s="1777">
        <v>2.2400000000000002</v>
      </c>
      <c r="C43" s="1777" t="s">
        <v>35</v>
      </c>
      <c r="D43" s="1777" t="s">
        <v>35</v>
      </c>
      <c r="E43" s="1777" t="s">
        <v>35</v>
      </c>
      <c r="F43" s="1777" t="s">
        <v>35</v>
      </c>
      <c r="G43" s="1777" t="s">
        <v>35</v>
      </c>
      <c r="H43" s="1777" t="s">
        <v>35</v>
      </c>
      <c r="I43" s="1777" t="s">
        <v>35</v>
      </c>
      <c r="J43" s="1777" t="s">
        <v>35</v>
      </c>
      <c r="K43" s="1777" t="s">
        <v>35</v>
      </c>
      <c r="L43" s="1777" t="s">
        <v>35</v>
      </c>
      <c r="M43" s="1777" t="s">
        <v>35</v>
      </c>
      <c r="N43" s="1777" t="s">
        <v>35</v>
      </c>
      <c r="O43" s="1777" t="s">
        <v>35</v>
      </c>
      <c r="P43" s="1761"/>
      <c r="Q43" s="1761"/>
    </row>
    <row r="44" spans="1:17">
      <c r="A44" s="1777">
        <v>2.25</v>
      </c>
      <c r="B44" s="1777" t="s">
        <v>35</v>
      </c>
      <c r="C44" s="1777" t="s">
        <v>35</v>
      </c>
      <c r="D44" s="1777" t="s">
        <v>35</v>
      </c>
      <c r="E44" s="1777" t="s">
        <v>35</v>
      </c>
      <c r="F44" s="1777" t="s">
        <v>35</v>
      </c>
      <c r="G44" s="1777" t="s">
        <v>35</v>
      </c>
      <c r="H44" s="1777" t="s">
        <v>35</v>
      </c>
      <c r="I44" s="1777" t="s">
        <v>35</v>
      </c>
      <c r="J44" s="1777" t="s">
        <v>35</v>
      </c>
      <c r="K44" s="1777" t="s">
        <v>35</v>
      </c>
      <c r="L44" s="1777" t="s">
        <v>35</v>
      </c>
      <c r="M44" s="1777" t="s">
        <v>35</v>
      </c>
      <c r="N44" s="1777" t="s">
        <v>35</v>
      </c>
      <c r="O44" s="1777" t="s">
        <v>35</v>
      </c>
      <c r="P44" s="1761"/>
      <c r="Q44" s="1761"/>
    </row>
    <row r="45" spans="1:17">
      <c r="A45" s="1777">
        <v>2.2599999999999998</v>
      </c>
      <c r="B45" s="1777" t="s">
        <v>35</v>
      </c>
      <c r="C45" s="1777" t="s">
        <v>35</v>
      </c>
      <c r="D45" s="1777" t="s">
        <v>35</v>
      </c>
      <c r="E45" s="1777" t="s">
        <v>35</v>
      </c>
      <c r="F45" s="1777" t="s">
        <v>35</v>
      </c>
      <c r="G45" s="1777" t="s">
        <v>35</v>
      </c>
      <c r="H45" s="1777" t="s">
        <v>35</v>
      </c>
      <c r="I45" s="1777" t="s">
        <v>35</v>
      </c>
      <c r="J45" s="1777" t="s">
        <v>35</v>
      </c>
      <c r="K45" s="1777" t="s">
        <v>35</v>
      </c>
      <c r="L45" s="1777" t="s">
        <v>35</v>
      </c>
      <c r="M45" s="1777" t="s">
        <v>35</v>
      </c>
      <c r="N45" s="1777" t="s">
        <v>35</v>
      </c>
      <c r="O45" s="1777" t="s">
        <v>35</v>
      </c>
      <c r="P45" s="1761"/>
      <c r="Q45" s="1761"/>
    </row>
    <row r="46" spans="1:17">
      <c r="A46" s="1777">
        <v>3.01</v>
      </c>
      <c r="B46" s="1777">
        <v>3.01</v>
      </c>
      <c r="C46" s="1777">
        <v>3.01</v>
      </c>
      <c r="D46" s="1772">
        <v>3.01</v>
      </c>
      <c r="E46" s="1772">
        <v>3.01</v>
      </c>
      <c r="F46" s="1772">
        <v>3.01</v>
      </c>
      <c r="G46" s="1772" t="s">
        <v>35</v>
      </c>
      <c r="H46" s="1772" t="s">
        <v>35</v>
      </c>
      <c r="I46" s="1772" t="s">
        <v>35</v>
      </c>
      <c r="J46" s="1772" t="s">
        <v>35</v>
      </c>
      <c r="K46" s="1772" t="s">
        <v>35</v>
      </c>
      <c r="L46" s="1772" t="s">
        <v>35</v>
      </c>
      <c r="M46" s="1772" t="s">
        <v>35</v>
      </c>
      <c r="N46" s="1772" t="s">
        <v>35</v>
      </c>
      <c r="O46" s="1772" t="s">
        <v>35</v>
      </c>
      <c r="P46" s="1761"/>
      <c r="Q46" s="1761"/>
    </row>
    <row r="47" spans="1:17">
      <c r="A47" s="1777">
        <v>3.02</v>
      </c>
      <c r="B47" s="1777">
        <v>3.02</v>
      </c>
      <c r="C47" s="1777">
        <v>3.02</v>
      </c>
      <c r="D47" s="1777">
        <v>3.02</v>
      </c>
      <c r="E47" s="1777">
        <v>3.02</v>
      </c>
      <c r="F47" s="1777">
        <v>3.02</v>
      </c>
      <c r="G47" s="1776" t="s">
        <v>59</v>
      </c>
      <c r="H47" s="1776" t="s">
        <v>59</v>
      </c>
      <c r="I47" s="1776" t="s">
        <v>59</v>
      </c>
      <c r="J47" s="1777" t="s">
        <v>35</v>
      </c>
      <c r="K47" s="1777" t="s">
        <v>35</v>
      </c>
      <c r="L47" s="1777" t="s">
        <v>35</v>
      </c>
      <c r="M47" s="1777" t="s">
        <v>35</v>
      </c>
      <c r="N47" s="1777" t="s">
        <v>35</v>
      </c>
      <c r="O47" s="1777" t="s">
        <v>35</v>
      </c>
      <c r="P47" s="1761"/>
      <c r="Q47" s="1761"/>
    </row>
    <row r="48" spans="1:17">
      <c r="A48" s="1777">
        <v>3.03</v>
      </c>
      <c r="B48" s="1777">
        <v>3.03</v>
      </c>
      <c r="C48" s="1777">
        <v>3.03</v>
      </c>
      <c r="D48" s="1777">
        <v>3.03</v>
      </c>
      <c r="E48" s="1777">
        <v>3.03</v>
      </c>
      <c r="F48" s="1777">
        <v>3.03</v>
      </c>
      <c r="G48" s="1776" t="s">
        <v>60</v>
      </c>
      <c r="H48" s="1776" t="s">
        <v>60</v>
      </c>
      <c r="I48" s="1776" t="s">
        <v>60</v>
      </c>
      <c r="J48" s="1777" t="s">
        <v>35</v>
      </c>
      <c r="K48" s="1777" t="s">
        <v>35</v>
      </c>
      <c r="L48" s="1777" t="s">
        <v>35</v>
      </c>
      <c r="M48" s="1777" t="s">
        <v>35</v>
      </c>
      <c r="N48" s="1777" t="s">
        <v>35</v>
      </c>
      <c r="O48" s="1777" t="s">
        <v>35</v>
      </c>
      <c r="P48" s="1761"/>
      <c r="Q48" s="1761"/>
    </row>
    <row r="49" spans="1:17">
      <c r="A49" s="1777">
        <v>3.04</v>
      </c>
      <c r="B49" s="1777">
        <v>3.04</v>
      </c>
      <c r="C49" s="1777">
        <v>3.04</v>
      </c>
      <c r="D49" s="1777">
        <v>3.04</v>
      </c>
      <c r="E49" s="1777">
        <v>3.04</v>
      </c>
      <c r="F49" s="1777">
        <v>3.04</v>
      </c>
      <c r="G49" s="1776" t="s">
        <v>61</v>
      </c>
      <c r="H49" s="1776" t="s">
        <v>61</v>
      </c>
      <c r="I49" s="1776" t="s">
        <v>61</v>
      </c>
      <c r="J49" s="1777" t="s">
        <v>35</v>
      </c>
      <c r="K49" s="1777" t="s">
        <v>35</v>
      </c>
      <c r="L49" s="1777" t="s">
        <v>35</v>
      </c>
      <c r="M49" s="1777" t="s">
        <v>35</v>
      </c>
      <c r="N49" s="1777" t="s">
        <v>35</v>
      </c>
      <c r="O49" s="1777" t="s">
        <v>35</v>
      </c>
      <c r="P49" s="1761"/>
      <c r="Q49" s="1761"/>
    </row>
    <row r="50" spans="1:17">
      <c r="A50" s="1777">
        <v>3.05</v>
      </c>
      <c r="B50" s="1777">
        <v>3.05</v>
      </c>
      <c r="C50" s="1777">
        <v>3.05</v>
      </c>
      <c r="D50" s="1772">
        <v>3.05</v>
      </c>
      <c r="E50" s="1772">
        <v>3.05</v>
      </c>
      <c r="F50" s="1772">
        <v>3.05</v>
      </c>
      <c r="G50" s="1777">
        <v>3.07</v>
      </c>
      <c r="H50" s="1777">
        <v>3.07</v>
      </c>
      <c r="I50" s="1777">
        <v>3.07</v>
      </c>
      <c r="J50" s="1777">
        <v>3.07</v>
      </c>
      <c r="K50" s="1775" t="s">
        <v>35</v>
      </c>
      <c r="L50" s="1778" t="s">
        <v>35</v>
      </c>
      <c r="M50" s="1778" t="s">
        <v>35</v>
      </c>
      <c r="N50" s="1778" t="s">
        <v>35</v>
      </c>
      <c r="O50" s="1778" t="s">
        <v>35</v>
      </c>
      <c r="P50" s="1761"/>
      <c r="Q50" s="1761"/>
    </row>
    <row r="51" spans="1:17">
      <c r="A51" s="1777">
        <v>3.06</v>
      </c>
      <c r="B51" s="1777">
        <v>3.06</v>
      </c>
      <c r="C51" s="1777">
        <v>3.06</v>
      </c>
      <c r="D51" s="1772">
        <v>3.06</v>
      </c>
      <c r="E51" s="1772">
        <v>3.06</v>
      </c>
      <c r="F51" s="1772">
        <v>3.06</v>
      </c>
      <c r="G51" s="1777">
        <v>3.08</v>
      </c>
      <c r="H51" s="1777">
        <v>3.08</v>
      </c>
      <c r="I51" s="1777">
        <v>3.08</v>
      </c>
      <c r="J51" s="1777">
        <v>3.08</v>
      </c>
      <c r="K51" s="1775" t="s">
        <v>35</v>
      </c>
      <c r="L51" s="1778" t="s">
        <v>35</v>
      </c>
      <c r="M51" s="1778" t="s">
        <v>35</v>
      </c>
      <c r="N51" s="1778" t="s">
        <v>35</v>
      </c>
      <c r="O51" s="1778" t="s">
        <v>35</v>
      </c>
      <c r="P51" s="1761"/>
      <c r="Q51" s="1761"/>
    </row>
    <row r="52" spans="1:17">
      <c r="A52" s="1777">
        <v>3.07</v>
      </c>
      <c r="B52" s="1777">
        <v>3.07</v>
      </c>
      <c r="C52" s="1777">
        <v>3.07</v>
      </c>
      <c r="D52" s="1772">
        <v>3.07</v>
      </c>
      <c r="E52" s="1772">
        <v>3.07</v>
      </c>
      <c r="F52" s="1772">
        <v>3.07</v>
      </c>
      <c r="G52" s="1777">
        <v>3.09</v>
      </c>
      <c r="H52" s="1777">
        <v>3.09</v>
      </c>
      <c r="I52" s="1777">
        <v>3.09</v>
      </c>
      <c r="J52" s="1777">
        <v>3.09</v>
      </c>
      <c r="K52" s="1775" t="s">
        <v>35</v>
      </c>
      <c r="L52" s="1778" t="s">
        <v>35</v>
      </c>
      <c r="M52" s="1778" t="s">
        <v>35</v>
      </c>
      <c r="N52" s="1778" t="s">
        <v>35</v>
      </c>
      <c r="O52" s="1778" t="s">
        <v>35</v>
      </c>
      <c r="P52" s="1761"/>
      <c r="Q52" s="1761"/>
    </row>
    <row r="53" spans="1:17">
      <c r="A53" s="1777">
        <v>3.08</v>
      </c>
      <c r="B53" s="1777">
        <v>3.08</v>
      </c>
      <c r="C53" s="1777">
        <v>3.08</v>
      </c>
      <c r="D53" s="1781">
        <v>3.08</v>
      </c>
      <c r="E53" s="1781">
        <v>3.08</v>
      </c>
      <c r="F53" s="1781">
        <v>3.08</v>
      </c>
      <c r="G53" s="1776" t="s">
        <v>101</v>
      </c>
      <c r="H53" s="1777" t="s">
        <v>35</v>
      </c>
      <c r="I53" s="1777" t="s">
        <v>35</v>
      </c>
      <c r="J53" s="1777" t="s">
        <v>35</v>
      </c>
      <c r="K53" s="1777" t="s">
        <v>35</v>
      </c>
      <c r="L53" s="1777" t="s">
        <v>35</v>
      </c>
      <c r="M53" s="1777" t="s">
        <v>35</v>
      </c>
      <c r="N53" s="1777" t="s">
        <v>35</v>
      </c>
      <c r="O53" s="1777" t="s">
        <v>35</v>
      </c>
      <c r="P53" s="1761"/>
      <c r="Q53" s="1761"/>
    </row>
    <row r="54" spans="1:17">
      <c r="A54" s="1777">
        <v>3.09</v>
      </c>
      <c r="B54" s="1777">
        <v>3.09</v>
      </c>
      <c r="C54" s="1777">
        <v>3.09</v>
      </c>
      <c r="D54" s="1772">
        <v>3.09</v>
      </c>
      <c r="E54" s="1772">
        <v>3.09</v>
      </c>
      <c r="F54" s="1772">
        <v>3.09</v>
      </c>
      <c r="G54" s="1772">
        <v>1.0900000000000001</v>
      </c>
      <c r="H54" s="1772">
        <v>1.0900000000000001</v>
      </c>
      <c r="I54" s="1772">
        <v>1.0900000000000001</v>
      </c>
      <c r="J54" s="1772">
        <v>1.0900000000000001</v>
      </c>
      <c r="K54" s="1774">
        <v>1.0900000000000001</v>
      </c>
      <c r="L54" s="1775" t="s">
        <v>162</v>
      </c>
      <c r="M54" s="1775" t="s">
        <v>162</v>
      </c>
      <c r="N54" s="1775" t="s">
        <v>162</v>
      </c>
      <c r="O54" s="1775" t="s">
        <v>162</v>
      </c>
      <c r="P54" s="1761"/>
      <c r="Q54" s="1761"/>
    </row>
    <row r="55" spans="1:17">
      <c r="A55" s="1776" t="s">
        <v>101</v>
      </c>
      <c r="B55" s="1776" t="s">
        <v>101</v>
      </c>
      <c r="C55" s="1776" t="s">
        <v>101</v>
      </c>
      <c r="D55" s="1772" t="s">
        <v>101</v>
      </c>
      <c r="E55" s="1772" t="s">
        <v>101</v>
      </c>
      <c r="F55" s="1772" t="s">
        <v>101</v>
      </c>
      <c r="G55" s="1772">
        <v>1.1100000000000001</v>
      </c>
      <c r="H55" s="1772">
        <v>1.1100000000000001</v>
      </c>
      <c r="I55" s="1772">
        <v>1.1100000000000001</v>
      </c>
      <c r="J55" s="1772">
        <v>1.1100000000000001</v>
      </c>
      <c r="K55" s="1774">
        <v>1.1100000000000001</v>
      </c>
      <c r="L55" s="1775" t="s">
        <v>163</v>
      </c>
      <c r="M55" s="1775" t="s">
        <v>163</v>
      </c>
      <c r="N55" s="1775" t="s">
        <v>163</v>
      </c>
      <c r="O55" s="1775" t="s">
        <v>163</v>
      </c>
      <c r="P55" s="1761"/>
      <c r="Q55" s="1761"/>
    </row>
    <row r="56" spans="1:17">
      <c r="A56" s="1782">
        <v>3.11</v>
      </c>
      <c r="B56" s="1782">
        <v>3.11</v>
      </c>
      <c r="C56" s="1782" t="s">
        <v>35</v>
      </c>
      <c r="D56" s="1777" t="s">
        <v>35</v>
      </c>
      <c r="E56" s="1777" t="s">
        <v>35</v>
      </c>
      <c r="F56" s="1777" t="s">
        <v>35</v>
      </c>
      <c r="G56" s="1777" t="s">
        <v>35</v>
      </c>
      <c r="H56" s="1777" t="s">
        <v>35</v>
      </c>
      <c r="I56" s="1777" t="s">
        <v>35</v>
      </c>
      <c r="J56" s="1777" t="s">
        <v>35</v>
      </c>
      <c r="K56" s="1777" t="s">
        <v>35</v>
      </c>
      <c r="L56" s="1777" t="s">
        <v>35</v>
      </c>
      <c r="M56" s="1777" t="s">
        <v>35</v>
      </c>
      <c r="N56" s="1777" t="s">
        <v>35</v>
      </c>
      <c r="O56" s="1777" t="s">
        <v>35</v>
      </c>
      <c r="P56" s="1761"/>
      <c r="Q56" s="1761"/>
    </row>
    <row r="57" spans="1:17">
      <c r="A57" s="1782">
        <v>3.12</v>
      </c>
      <c r="B57" s="1782">
        <v>3.12</v>
      </c>
      <c r="C57" s="1782">
        <v>3.12</v>
      </c>
      <c r="D57" s="1769">
        <v>3.12</v>
      </c>
      <c r="E57" s="1769">
        <v>3.12</v>
      </c>
      <c r="F57" s="1769">
        <v>3.12</v>
      </c>
      <c r="G57" s="1772">
        <v>1.1000000000000001</v>
      </c>
      <c r="H57" s="1772">
        <v>1.1000000000000001</v>
      </c>
      <c r="I57" s="1772">
        <v>1.1000000000000001</v>
      </c>
      <c r="J57" s="1772">
        <v>1.1000000000000001</v>
      </c>
      <c r="K57" s="1774">
        <v>1.1000000000000001</v>
      </c>
      <c r="L57" s="1775" t="s">
        <v>164</v>
      </c>
      <c r="M57" s="1775" t="s">
        <v>164</v>
      </c>
      <c r="N57" s="1775" t="s">
        <v>164</v>
      </c>
      <c r="O57" s="1775" t="s">
        <v>164</v>
      </c>
      <c r="P57" s="1761"/>
      <c r="Q57" s="1761"/>
    </row>
    <row r="58" spans="1:17">
      <c r="A58" s="1773">
        <v>3.13</v>
      </c>
      <c r="B58" s="1773">
        <v>3.13</v>
      </c>
      <c r="C58" s="1773">
        <v>3.13</v>
      </c>
      <c r="D58" s="1772" t="s">
        <v>35</v>
      </c>
      <c r="E58" s="1772" t="s">
        <v>35</v>
      </c>
      <c r="F58" s="1772" t="s">
        <v>35</v>
      </c>
      <c r="G58" s="1772" t="s">
        <v>35</v>
      </c>
      <c r="H58" s="1772" t="s">
        <v>35</v>
      </c>
      <c r="I58" s="1772" t="s">
        <v>35</v>
      </c>
      <c r="J58" s="1772" t="s">
        <v>35</v>
      </c>
      <c r="K58" s="1772" t="s">
        <v>35</v>
      </c>
      <c r="L58" s="1772" t="s">
        <v>35</v>
      </c>
      <c r="M58" s="1772" t="s">
        <v>35</v>
      </c>
      <c r="N58" s="1772" t="s">
        <v>35</v>
      </c>
      <c r="O58" s="1772" t="s">
        <v>35</v>
      </c>
      <c r="P58" s="1761"/>
      <c r="Q58" s="1761"/>
    </row>
    <row r="59" spans="1:17">
      <c r="A59" s="1782">
        <v>3.14</v>
      </c>
      <c r="B59" s="1782">
        <v>3.14</v>
      </c>
      <c r="C59" s="1782" t="s">
        <v>35</v>
      </c>
      <c r="D59" s="1777" t="s">
        <v>35</v>
      </c>
      <c r="E59" s="1777" t="s">
        <v>35</v>
      </c>
      <c r="F59" s="1777" t="s">
        <v>35</v>
      </c>
      <c r="G59" s="1777" t="s">
        <v>35</v>
      </c>
      <c r="H59" s="1777" t="s">
        <v>35</v>
      </c>
      <c r="I59" s="1777" t="s">
        <v>35</v>
      </c>
      <c r="J59" s="1777" t="s">
        <v>35</v>
      </c>
      <c r="K59" s="1777" t="s">
        <v>35</v>
      </c>
      <c r="L59" s="1777" t="s">
        <v>35</v>
      </c>
      <c r="M59" s="1777" t="s">
        <v>35</v>
      </c>
      <c r="N59" s="1777" t="s">
        <v>35</v>
      </c>
      <c r="O59" s="1777" t="s">
        <v>35</v>
      </c>
      <c r="P59" s="1761"/>
      <c r="Q59" s="1761"/>
    </row>
    <row r="60" spans="1:17">
      <c r="A60" s="1782">
        <v>3.15</v>
      </c>
      <c r="B60" s="1782">
        <v>3.15</v>
      </c>
      <c r="C60" s="1782" t="s">
        <v>35</v>
      </c>
      <c r="D60" s="1777" t="s">
        <v>35</v>
      </c>
      <c r="E60" s="1777" t="s">
        <v>35</v>
      </c>
      <c r="F60" s="1777" t="s">
        <v>35</v>
      </c>
      <c r="G60" s="1777" t="s">
        <v>35</v>
      </c>
      <c r="H60" s="1777" t="s">
        <v>35</v>
      </c>
      <c r="I60" s="1777" t="s">
        <v>35</v>
      </c>
      <c r="J60" s="1777" t="s">
        <v>35</v>
      </c>
      <c r="K60" s="1777" t="s">
        <v>35</v>
      </c>
      <c r="L60" s="1777" t="s">
        <v>35</v>
      </c>
      <c r="M60" s="1777" t="s">
        <v>35</v>
      </c>
      <c r="N60" s="1777" t="s">
        <v>35</v>
      </c>
      <c r="O60" s="1777" t="s">
        <v>35</v>
      </c>
      <c r="P60" s="1761"/>
      <c r="Q60" s="1761"/>
    </row>
    <row r="61" spans="1:17">
      <c r="A61" s="1777">
        <v>4.01</v>
      </c>
      <c r="B61" s="1777">
        <v>4.01</v>
      </c>
      <c r="C61" s="1777">
        <v>4.01</v>
      </c>
      <c r="D61" s="1777">
        <v>4.01</v>
      </c>
      <c r="E61" s="1777">
        <v>4.01</v>
      </c>
      <c r="F61" s="1777">
        <v>4.01</v>
      </c>
      <c r="G61" s="1777">
        <v>4.01</v>
      </c>
      <c r="H61" s="1777">
        <v>4.01</v>
      </c>
      <c r="I61" s="1777">
        <v>4.01</v>
      </c>
      <c r="J61" s="1777">
        <v>4.01</v>
      </c>
      <c r="K61" s="1775">
        <v>4.01</v>
      </c>
      <c r="L61" s="1775" t="s">
        <v>76</v>
      </c>
      <c r="M61" s="1775" t="s">
        <v>76</v>
      </c>
      <c r="N61" s="1775" t="s">
        <v>35</v>
      </c>
      <c r="O61" s="1775" t="s">
        <v>35</v>
      </c>
      <c r="P61" s="1761"/>
      <c r="Q61" s="1761"/>
    </row>
    <row r="62" spans="1:17">
      <c r="A62" s="1777">
        <v>4.0199999999999996</v>
      </c>
      <c r="B62" s="1777">
        <v>4.0199999999999996</v>
      </c>
      <c r="C62" s="1777">
        <v>4.0199999999999996</v>
      </c>
      <c r="D62" s="1777">
        <v>4.0199999999999996</v>
      </c>
      <c r="E62" s="1777">
        <v>4.0199999999999996</v>
      </c>
      <c r="F62" s="1777">
        <v>4.0199999999999996</v>
      </c>
      <c r="G62" s="1777">
        <v>4.0199999999999996</v>
      </c>
      <c r="H62" s="1777">
        <v>4.0199999999999996</v>
      </c>
      <c r="I62" s="1777">
        <v>4.0199999999999996</v>
      </c>
      <c r="J62" s="1777">
        <v>4.0199999999999996</v>
      </c>
      <c r="K62" s="1775">
        <v>4.0199999999999996</v>
      </c>
      <c r="L62" s="1775" t="s">
        <v>105</v>
      </c>
      <c r="M62" s="1775" t="s">
        <v>105</v>
      </c>
      <c r="N62" s="1775" t="s">
        <v>104</v>
      </c>
      <c r="O62" s="1775" t="s">
        <v>104</v>
      </c>
      <c r="P62" s="1761"/>
      <c r="Q62" s="1761"/>
    </row>
    <row r="63" spans="1:17">
      <c r="A63" s="1777">
        <v>4.03</v>
      </c>
      <c r="B63" s="1777">
        <v>4.03</v>
      </c>
      <c r="C63" s="1777">
        <v>4.03</v>
      </c>
      <c r="D63" s="1777">
        <v>4.03</v>
      </c>
      <c r="E63" s="1777">
        <v>4.03</v>
      </c>
      <c r="F63" s="1777">
        <v>4.03</v>
      </c>
      <c r="G63" s="1777">
        <v>4.03</v>
      </c>
      <c r="H63" s="1777">
        <v>4.03</v>
      </c>
      <c r="I63" s="1777">
        <v>4.03</v>
      </c>
      <c r="J63" s="1777">
        <v>4.03</v>
      </c>
      <c r="K63" s="1775">
        <v>4.03</v>
      </c>
      <c r="L63" s="1778" t="s">
        <v>35</v>
      </c>
      <c r="M63" s="1778" t="s">
        <v>35</v>
      </c>
      <c r="N63" s="1778" t="s">
        <v>35</v>
      </c>
      <c r="O63" s="1778" t="s">
        <v>35</v>
      </c>
      <c r="P63" s="1761"/>
      <c r="Q63" s="1761"/>
    </row>
    <row r="64" spans="1:17">
      <c r="A64" s="1777">
        <v>4.04</v>
      </c>
      <c r="B64" s="1777">
        <v>4.04</v>
      </c>
      <c r="C64" s="1777">
        <v>4.04</v>
      </c>
      <c r="D64" s="1777">
        <v>4.04</v>
      </c>
      <c r="E64" s="1777">
        <v>4.04</v>
      </c>
      <c r="F64" s="1777">
        <v>4.04</v>
      </c>
      <c r="G64" s="1777">
        <v>4.04</v>
      </c>
      <c r="H64" s="1777">
        <v>4.04</v>
      </c>
      <c r="I64" s="1777">
        <v>4.04</v>
      </c>
      <c r="J64" s="1777">
        <v>4.04</v>
      </c>
      <c r="K64" s="1775">
        <v>4.04</v>
      </c>
      <c r="L64" s="1775" t="s">
        <v>109</v>
      </c>
      <c r="M64" s="1775" t="s">
        <v>109</v>
      </c>
      <c r="N64" s="1775" t="s">
        <v>108</v>
      </c>
      <c r="O64" s="1775" t="s">
        <v>108</v>
      </c>
      <c r="P64" s="1761"/>
      <c r="Q64" s="1761"/>
    </row>
    <row r="65" spans="1:17">
      <c r="A65" s="1777">
        <v>4.05</v>
      </c>
      <c r="B65" s="1777">
        <v>4.05</v>
      </c>
      <c r="C65" s="1777">
        <v>4.05</v>
      </c>
      <c r="D65" s="1777">
        <v>4.05</v>
      </c>
      <c r="E65" s="1777">
        <v>4.05</v>
      </c>
      <c r="F65" s="1777">
        <v>4.05</v>
      </c>
      <c r="G65" s="1777">
        <v>4.05</v>
      </c>
      <c r="H65" s="1777">
        <v>4.05</v>
      </c>
      <c r="I65" s="1777">
        <v>4.05</v>
      </c>
      <c r="J65" s="1777">
        <v>4.05</v>
      </c>
      <c r="K65" s="1775">
        <v>4.05</v>
      </c>
      <c r="L65" s="1775" t="s">
        <v>110</v>
      </c>
      <c r="M65" s="1775" t="s">
        <v>110</v>
      </c>
      <c r="N65" s="1775" t="s">
        <v>109</v>
      </c>
      <c r="O65" s="1775" t="s">
        <v>109</v>
      </c>
      <c r="P65" s="1761"/>
      <c r="Q65" s="1761"/>
    </row>
    <row r="66" spans="1:17">
      <c r="A66" s="1777">
        <v>4.0599999999999996</v>
      </c>
      <c r="B66" s="1777">
        <v>4.0599999999999996</v>
      </c>
      <c r="C66" s="1777" t="s">
        <v>35</v>
      </c>
      <c r="D66" s="1777" t="s">
        <v>35</v>
      </c>
      <c r="E66" s="1777" t="s">
        <v>35</v>
      </c>
      <c r="F66" s="1777" t="s">
        <v>35</v>
      </c>
      <c r="G66" s="1777" t="s">
        <v>35</v>
      </c>
      <c r="H66" s="1777" t="s">
        <v>35</v>
      </c>
      <c r="I66" s="1777" t="s">
        <v>35</v>
      </c>
      <c r="J66" s="1777" t="s">
        <v>35</v>
      </c>
      <c r="K66" s="1777" t="s">
        <v>35</v>
      </c>
      <c r="L66" s="1777" t="s">
        <v>35</v>
      </c>
      <c r="M66" s="1777" t="s">
        <v>35</v>
      </c>
      <c r="N66" s="1777" t="s">
        <v>35</v>
      </c>
      <c r="O66" s="1777" t="s">
        <v>35</v>
      </c>
      <c r="P66" s="1761"/>
      <c r="Q66" s="1761"/>
    </row>
    <row r="67" spans="1:17">
      <c r="A67" s="1777">
        <v>4.07</v>
      </c>
      <c r="B67" s="1777">
        <v>4.07</v>
      </c>
      <c r="C67" s="1777">
        <v>4.08</v>
      </c>
      <c r="D67" s="1776">
        <v>4.08</v>
      </c>
      <c r="E67" s="1776">
        <v>4.08</v>
      </c>
      <c r="F67" s="1776">
        <v>4.08</v>
      </c>
      <c r="G67" s="1777">
        <v>4.08</v>
      </c>
      <c r="H67" s="1777">
        <v>4.08</v>
      </c>
      <c r="I67" s="1777">
        <v>4.08</v>
      </c>
      <c r="J67" s="1777">
        <v>4.08</v>
      </c>
      <c r="K67" s="1775">
        <v>4.08</v>
      </c>
      <c r="L67" s="1775" t="s">
        <v>78</v>
      </c>
      <c r="M67" s="1775" t="s">
        <v>78</v>
      </c>
      <c r="N67" s="1775" t="s">
        <v>77</v>
      </c>
      <c r="O67" s="1775" t="s">
        <v>77</v>
      </c>
      <c r="P67" s="1761"/>
      <c r="Q67" s="1761"/>
    </row>
    <row r="68" spans="1:17">
      <c r="A68" s="1776">
        <v>4.08</v>
      </c>
      <c r="B68" s="1776">
        <v>4.08</v>
      </c>
      <c r="C68" s="1776" t="s">
        <v>16</v>
      </c>
      <c r="D68" s="1776" t="s">
        <v>45</v>
      </c>
      <c r="E68" s="1776" t="s">
        <v>45</v>
      </c>
      <c r="F68" s="1776" t="s">
        <v>45</v>
      </c>
      <c r="G68" s="1772">
        <v>4.0999999999999996</v>
      </c>
      <c r="H68" s="1772">
        <v>4.0999999999999996</v>
      </c>
      <c r="I68" s="1772">
        <v>4.0999999999999996</v>
      </c>
      <c r="J68" s="1772">
        <v>4.0999999999999996</v>
      </c>
      <c r="K68" s="1774">
        <v>4.0999999999999996</v>
      </c>
      <c r="L68" s="1775" t="s">
        <v>104</v>
      </c>
      <c r="M68" s="1775" t="s">
        <v>104</v>
      </c>
      <c r="N68" s="1775" t="s">
        <v>103</v>
      </c>
      <c r="O68" s="1775" t="s">
        <v>103</v>
      </c>
      <c r="P68" s="1761"/>
      <c r="Q68" s="1761"/>
    </row>
    <row r="69" spans="1:17">
      <c r="A69" s="1776">
        <v>4.09</v>
      </c>
      <c r="B69" s="1776">
        <v>4.09</v>
      </c>
      <c r="C69" s="1776" t="s">
        <v>45</v>
      </c>
      <c r="D69" s="1777" t="s">
        <v>35</v>
      </c>
      <c r="E69" s="1777" t="s">
        <v>35</v>
      </c>
      <c r="F69" s="1777" t="s">
        <v>35</v>
      </c>
      <c r="G69" s="1777" t="s">
        <v>35</v>
      </c>
      <c r="H69" s="1777" t="s">
        <v>35</v>
      </c>
      <c r="I69" s="1777" t="s">
        <v>35</v>
      </c>
      <c r="J69" s="1777" t="s">
        <v>35</v>
      </c>
      <c r="K69" s="1777" t="s">
        <v>35</v>
      </c>
      <c r="L69" s="1777" t="s">
        <v>35</v>
      </c>
      <c r="M69" s="1777" t="s">
        <v>35</v>
      </c>
      <c r="N69" s="1777" t="s">
        <v>35</v>
      </c>
      <c r="O69" s="1777" t="s">
        <v>35</v>
      </c>
      <c r="P69" s="1761"/>
      <c r="Q69" s="1761"/>
    </row>
    <row r="70" spans="1:17">
      <c r="A70" s="1777">
        <v>5.01</v>
      </c>
      <c r="B70" s="1777">
        <v>5.01</v>
      </c>
      <c r="C70" s="1777">
        <v>5.01</v>
      </c>
      <c r="D70" s="1777">
        <v>5.01</v>
      </c>
      <c r="E70" s="1777">
        <v>5.01</v>
      </c>
      <c r="F70" s="1777">
        <v>5.01</v>
      </c>
      <c r="G70" s="1777">
        <v>5.01</v>
      </c>
      <c r="H70" s="1777">
        <v>5.01</v>
      </c>
      <c r="I70" s="1777">
        <v>5.01</v>
      </c>
      <c r="J70" s="1777">
        <v>5.0199999999999996</v>
      </c>
      <c r="K70" s="1775" t="s">
        <v>62</v>
      </c>
      <c r="L70" s="1778" t="s">
        <v>35</v>
      </c>
      <c r="M70" s="1778" t="s">
        <v>35</v>
      </c>
      <c r="N70" s="1778" t="s">
        <v>35</v>
      </c>
      <c r="O70" s="1778" t="s">
        <v>35</v>
      </c>
      <c r="P70" s="1761"/>
      <c r="Q70" s="1761"/>
    </row>
    <row r="71" spans="1:17">
      <c r="A71" s="1782">
        <v>5.0199999999999996</v>
      </c>
      <c r="B71" s="1782">
        <v>5.0199999999999996</v>
      </c>
      <c r="C71" s="1782">
        <v>5.0199999999999996</v>
      </c>
      <c r="D71" s="1777">
        <v>5.0199999999999996</v>
      </c>
      <c r="E71" s="1777">
        <v>5.0199999999999996</v>
      </c>
      <c r="F71" s="1777">
        <v>5.0199999999999996</v>
      </c>
      <c r="G71" s="1777">
        <v>5.0199999999999996</v>
      </c>
      <c r="H71" s="1777">
        <v>5.0199999999999996</v>
      </c>
      <c r="I71" s="1777">
        <v>5.0199999999999996</v>
      </c>
      <c r="J71" s="1777">
        <v>5.01</v>
      </c>
      <c r="K71" s="1778" t="s">
        <v>63</v>
      </c>
      <c r="L71" s="1775" t="s">
        <v>35</v>
      </c>
      <c r="M71" s="1775" t="s">
        <v>35</v>
      </c>
      <c r="N71" s="1775" t="s">
        <v>35</v>
      </c>
      <c r="O71" s="1775" t="s">
        <v>35</v>
      </c>
      <c r="P71" s="1761"/>
      <c r="Q71" s="1761"/>
    </row>
    <row r="72" spans="1:17">
      <c r="A72" s="1782">
        <v>5.03</v>
      </c>
      <c r="B72" s="1782">
        <v>5.03</v>
      </c>
      <c r="C72" s="1782">
        <v>5.03</v>
      </c>
      <c r="D72" s="1777">
        <v>5.03</v>
      </c>
      <c r="E72" s="1777">
        <v>5.03</v>
      </c>
      <c r="F72" s="1777">
        <v>5.03</v>
      </c>
      <c r="G72" s="1777">
        <v>5.03</v>
      </c>
      <c r="H72" s="1777">
        <v>5.03</v>
      </c>
      <c r="I72" s="1777">
        <v>5.03</v>
      </c>
      <c r="J72" s="1777" t="s">
        <v>35</v>
      </c>
      <c r="K72" s="1777" t="s">
        <v>35</v>
      </c>
      <c r="L72" s="1777" t="s">
        <v>35</v>
      </c>
      <c r="M72" s="1777" t="s">
        <v>35</v>
      </c>
      <c r="N72" s="1777" t="s">
        <v>35</v>
      </c>
      <c r="O72" s="1777" t="s">
        <v>35</v>
      </c>
      <c r="P72" s="1761"/>
      <c r="Q72" s="1761"/>
    </row>
    <row r="73" spans="1:17">
      <c r="A73" s="1777">
        <v>5.04</v>
      </c>
      <c r="B73" s="1777">
        <v>5.04</v>
      </c>
      <c r="C73" s="1777">
        <v>5.04</v>
      </c>
      <c r="D73" s="1777">
        <v>5.04</v>
      </c>
      <c r="E73" s="1777">
        <v>5.04</v>
      </c>
      <c r="F73" s="1777">
        <v>5.04</v>
      </c>
      <c r="G73" s="1777">
        <v>5.04</v>
      </c>
      <c r="H73" s="1777">
        <v>5.04</v>
      </c>
      <c r="I73" s="1777">
        <v>5.04</v>
      </c>
      <c r="J73" s="1777" t="s">
        <v>35</v>
      </c>
      <c r="K73" s="1777" t="s">
        <v>35</v>
      </c>
      <c r="L73" s="1777" t="s">
        <v>35</v>
      </c>
      <c r="M73" s="1777" t="s">
        <v>35</v>
      </c>
      <c r="N73" s="1777" t="s">
        <v>35</v>
      </c>
      <c r="O73" s="1777" t="s">
        <v>35</v>
      </c>
      <c r="P73" s="1761"/>
      <c r="Q73" s="1761"/>
    </row>
    <row r="74" spans="1:17">
      <c r="A74" s="1777">
        <v>5.05</v>
      </c>
      <c r="B74" s="1777">
        <v>5.05</v>
      </c>
      <c r="C74" s="1777" t="s">
        <v>35</v>
      </c>
      <c r="D74" s="1777" t="s">
        <v>35</v>
      </c>
      <c r="E74" s="1777" t="s">
        <v>35</v>
      </c>
      <c r="F74" s="1777" t="s">
        <v>35</v>
      </c>
      <c r="G74" s="1777" t="s">
        <v>35</v>
      </c>
      <c r="H74" s="1777" t="s">
        <v>35</v>
      </c>
      <c r="I74" s="1777" t="s">
        <v>35</v>
      </c>
      <c r="J74" s="1777" t="s">
        <v>35</v>
      </c>
      <c r="K74" s="1777" t="s">
        <v>35</v>
      </c>
      <c r="L74" s="1777" t="s">
        <v>35</v>
      </c>
      <c r="M74" s="1777" t="s">
        <v>35</v>
      </c>
      <c r="N74" s="1777" t="s">
        <v>35</v>
      </c>
      <c r="O74" s="1777" t="s">
        <v>35</v>
      </c>
      <c r="P74" s="1761"/>
      <c r="Q74" s="1761"/>
    </row>
    <row r="75" spans="1:17">
      <c r="A75" s="1777">
        <v>6.01</v>
      </c>
      <c r="B75" s="1777">
        <v>6.01</v>
      </c>
      <c r="C75" s="1777">
        <v>6.01</v>
      </c>
      <c r="D75" s="1777">
        <v>6.01</v>
      </c>
      <c r="E75" s="1777">
        <v>6.01</v>
      </c>
      <c r="F75" s="1777">
        <v>6.01</v>
      </c>
      <c r="G75" s="1777">
        <v>6.01</v>
      </c>
      <c r="H75" s="1777">
        <v>6.01</v>
      </c>
      <c r="I75" s="1777">
        <v>6.01</v>
      </c>
      <c r="J75" s="1777">
        <v>6.01</v>
      </c>
      <c r="K75" s="1775">
        <v>6.01</v>
      </c>
      <c r="L75" s="1775" t="s">
        <v>185</v>
      </c>
      <c r="M75" s="1775" t="s">
        <v>185</v>
      </c>
      <c r="N75" s="1775" t="s">
        <v>185</v>
      </c>
      <c r="O75" s="1775" t="s">
        <v>185</v>
      </c>
      <c r="P75" s="1761"/>
      <c r="Q75" s="1761"/>
    </row>
    <row r="76" spans="1:17">
      <c r="A76" s="1777">
        <v>6.02</v>
      </c>
      <c r="B76" s="1777">
        <v>6.02</v>
      </c>
      <c r="C76" s="1777">
        <v>6.02</v>
      </c>
      <c r="D76" s="1777">
        <v>6.02</v>
      </c>
      <c r="E76" s="1777">
        <v>6.02</v>
      </c>
      <c r="F76" s="1777">
        <v>6.02</v>
      </c>
      <c r="G76" s="1777">
        <v>6.02</v>
      </c>
      <c r="H76" s="1777">
        <v>6.02</v>
      </c>
      <c r="I76" s="1777">
        <v>6.02</v>
      </c>
      <c r="J76" s="1777">
        <v>6.02</v>
      </c>
      <c r="K76" s="1775">
        <v>6.02</v>
      </c>
      <c r="L76" s="1775" t="s">
        <v>65</v>
      </c>
      <c r="M76" s="1775" t="s">
        <v>65</v>
      </c>
      <c r="N76" s="1775" t="s">
        <v>65</v>
      </c>
      <c r="O76" s="1775" t="s">
        <v>65</v>
      </c>
      <c r="P76" s="1761"/>
      <c r="Q76" s="1761"/>
    </row>
    <row r="77" spans="1:17">
      <c r="A77" s="1777">
        <v>6.03</v>
      </c>
      <c r="B77" s="1777">
        <v>6.03</v>
      </c>
      <c r="C77" s="1777">
        <v>6.03</v>
      </c>
      <c r="D77" s="1777">
        <v>6.03</v>
      </c>
      <c r="E77" s="1777">
        <v>6.03</v>
      </c>
      <c r="F77" s="1777">
        <v>6.03</v>
      </c>
      <c r="G77" s="1777">
        <v>6.03</v>
      </c>
      <c r="H77" s="1777">
        <v>6.03</v>
      </c>
      <c r="I77" s="1777">
        <v>6.03</v>
      </c>
      <c r="J77" s="1777">
        <v>6.03</v>
      </c>
      <c r="K77" s="1775">
        <v>6.03</v>
      </c>
      <c r="L77" s="1775" t="s">
        <v>186</v>
      </c>
      <c r="M77" s="1775" t="s">
        <v>186</v>
      </c>
      <c r="N77" s="1775" t="s">
        <v>186</v>
      </c>
      <c r="O77" s="1775" t="s">
        <v>186</v>
      </c>
      <c r="P77" s="1761"/>
      <c r="Q77" s="1761"/>
    </row>
    <row r="78" spans="1:17">
      <c r="A78" s="1777">
        <v>6.04</v>
      </c>
      <c r="B78" s="1777">
        <v>6.04</v>
      </c>
      <c r="C78" s="1777">
        <v>6.04</v>
      </c>
      <c r="D78" s="1772">
        <v>6.04</v>
      </c>
      <c r="E78" s="1772">
        <v>6.04</v>
      </c>
      <c r="F78" s="1772">
        <v>6.04</v>
      </c>
      <c r="G78" s="1777">
        <v>6.04</v>
      </c>
      <c r="H78" s="1777">
        <v>6.04</v>
      </c>
      <c r="I78" s="1777">
        <v>6.04</v>
      </c>
      <c r="J78" s="1777">
        <v>6.04</v>
      </c>
      <c r="K78" s="1775">
        <v>6.04</v>
      </c>
      <c r="L78" s="1775" t="s">
        <v>67</v>
      </c>
      <c r="M78" s="1775" t="s">
        <v>67</v>
      </c>
      <c r="N78" s="1775" t="s">
        <v>67</v>
      </c>
      <c r="O78" s="1775" t="s">
        <v>67</v>
      </c>
      <c r="P78" s="1761"/>
      <c r="Q78" s="1761"/>
    </row>
    <row r="79" spans="1:17">
      <c r="A79" s="1777">
        <v>6.05</v>
      </c>
      <c r="B79" s="1777">
        <v>6.05</v>
      </c>
      <c r="C79" s="1777">
        <v>6.05</v>
      </c>
      <c r="D79" s="1772">
        <v>6.05</v>
      </c>
      <c r="E79" s="1772">
        <v>6.05</v>
      </c>
      <c r="F79" s="1772">
        <v>6.05</v>
      </c>
      <c r="G79" s="1777">
        <v>6.05</v>
      </c>
      <c r="H79" s="1777">
        <v>6.05</v>
      </c>
      <c r="I79" s="1777">
        <v>6.05</v>
      </c>
      <c r="J79" s="1777">
        <v>6.05</v>
      </c>
      <c r="K79" s="1775">
        <v>6.05</v>
      </c>
      <c r="L79" s="1775" t="s">
        <v>68</v>
      </c>
      <c r="M79" s="1775" t="s">
        <v>68</v>
      </c>
      <c r="N79" s="1775" t="s">
        <v>68</v>
      </c>
      <c r="O79" s="1775" t="s">
        <v>68</v>
      </c>
      <c r="P79" s="1761"/>
      <c r="Q79" s="1761"/>
    </row>
    <row r="80" spans="1:17">
      <c r="A80" s="1777">
        <v>6.06</v>
      </c>
      <c r="B80" s="1777">
        <v>6.06</v>
      </c>
      <c r="C80" s="1777">
        <v>6.06</v>
      </c>
      <c r="D80" s="1769">
        <v>6.06</v>
      </c>
      <c r="E80" s="1769">
        <v>6.06</v>
      </c>
      <c r="F80" s="1769">
        <v>6.06</v>
      </c>
      <c r="G80" s="1777">
        <v>6.06</v>
      </c>
      <c r="H80" s="1777">
        <v>6.06</v>
      </c>
      <c r="I80" s="1777">
        <v>6.06</v>
      </c>
      <c r="J80" s="1777">
        <v>6.06</v>
      </c>
      <c r="K80" s="1775">
        <v>6.06</v>
      </c>
      <c r="L80" s="1775" t="s">
        <v>69</v>
      </c>
      <c r="M80" s="1775" t="s">
        <v>69</v>
      </c>
      <c r="N80" s="1775" t="s">
        <v>69</v>
      </c>
      <c r="O80" s="1775" t="s">
        <v>69</v>
      </c>
      <c r="P80" s="1761"/>
      <c r="Q80" s="1761"/>
    </row>
    <row r="81" spans="1:17">
      <c r="A81" s="1777">
        <v>7.01</v>
      </c>
      <c r="B81" s="1777">
        <v>7.01</v>
      </c>
      <c r="C81" s="1777">
        <v>7.01</v>
      </c>
      <c r="D81" s="1772">
        <v>7.01</v>
      </c>
      <c r="E81" s="1772">
        <v>7.01</v>
      </c>
      <c r="F81" s="1772">
        <v>7.01</v>
      </c>
      <c r="G81" s="1777">
        <v>7.01</v>
      </c>
      <c r="H81" s="1777">
        <v>7.01</v>
      </c>
      <c r="I81" s="1777">
        <v>7.01</v>
      </c>
      <c r="J81" s="1777">
        <v>7.01</v>
      </c>
      <c r="K81" s="1775">
        <v>7.01</v>
      </c>
      <c r="L81" s="1775" t="s">
        <v>70</v>
      </c>
      <c r="M81" s="1775" t="s">
        <v>70</v>
      </c>
      <c r="N81" s="1775" t="s">
        <v>70</v>
      </c>
      <c r="O81" s="1775" t="s">
        <v>70</v>
      </c>
      <c r="P81" s="1761"/>
      <c r="Q81" s="1761"/>
    </row>
    <row r="82" spans="1:17">
      <c r="A82" s="1777">
        <v>7.02</v>
      </c>
      <c r="B82" s="1777">
        <v>7.02</v>
      </c>
      <c r="C82" s="1777">
        <v>7.02</v>
      </c>
      <c r="D82" s="1777">
        <v>7.02</v>
      </c>
      <c r="E82" s="1777">
        <v>7.02</v>
      </c>
      <c r="F82" s="1777">
        <v>7.02</v>
      </c>
      <c r="G82" s="1777">
        <v>7.02</v>
      </c>
      <c r="H82" s="1777">
        <v>7.02</v>
      </c>
      <c r="I82" s="1777">
        <v>7.02</v>
      </c>
      <c r="J82" s="1777">
        <v>7.02</v>
      </c>
      <c r="K82" s="1775">
        <v>7.02</v>
      </c>
      <c r="L82" s="1775" t="s">
        <v>71</v>
      </c>
      <c r="M82" s="1775" t="s">
        <v>71</v>
      </c>
      <c r="N82" s="1775" t="s">
        <v>71</v>
      </c>
      <c r="O82" s="1775" t="s">
        <v>71</v>
      </c>
      <c r="P82" s="1761"/>
      <c r="Q82" s="1761"/>
    </row>
    <row r="83" spans="1:17">
      <c r="A83" s="1777">
        <v>7.03</v>
      </c>
      <c r="B83" s="1777">
        <v>7.03</v>
      </c>
      <c r="C83" s="1777">
        <v>7.03</v>
      </c>
      <c r="D83" s="1777">
        <v>7.03</v>
      </c>
      <c r="E83" s="1777">
        <v>7.03</v>
      </c>
      <c r="F83" s="1777">
        <v>7.03</v>
      </c>
      <c r="G83" s="1777">
        <v>7.03</v>
      </c>
      <c r="H83" s="1777">
        <v>7.03</v>
      </c>
      <c r="I83" s="1777">
        <v>7.03</v>
      </c>
      <c r="J83" s="1777">
        <v>7.03</v>
      </c>
      <c r="K83" s="1775">
        <v>7.03</v>
      </c>
      <c r="L83" s="1775" t="s">
        <v>72</v>
      </c>
      <c r="M83" s="1775" t="s">
        <v>72</v>
      </c>
      <c r="N83" s="1775" t="s">
        <v>72</v>
      </c>
      <c r="O83" s="1775" t="s">
        <v>72</v>
      </c>
      <c r="P83" s="1761"/>
      <c r="Q83" s="1761"/>
    </row>
    <row r="84" spans="1:17">
      <c r="A84" s="1776">
        <v>7.04</v>
      </c>
      <c r="B84" s="1776">
        <v>7.04</v>
      </c>
      <c r="C84" s="1776">
        <v>7.04</v>
      </c>
      <c r="D84" s="1777">
        <v>7.04</v>
      </c>
      <c r="E84" s="1777">
        <v>7.04</v>
      </c>
      <c r="F84" s="1777">
        <v>7.04</v>
      </c>
      <c r="G84" s="1782">
        <v>7.04</v>
      </c>
      <c r="H84" s="1782">
        <v>7.04</v>
      </c>
      <c r="I84" s="1782">
        <v>7.04</v>
      </c>
      <c r="J84" s="1782">
        <v>7.04</v>
      </c>
      <c r="K84" s="1773">
        <v>7.04</v>
      </c>
      <c r="L84" s="1773" t="s">
        <v>73</v>
      </c>
      <c r="M84" s="1773" t="s">
        <v>73</v>
      </c>
      <c r="N84" s="1773" t="s">
        <v>73</v>
      </c>
      <c r="O84" s="1773" t="s">
        <v>73</v>
      </c>
      <c r="P84" s="1761"/>
      <c r="Q84" s="1761"/>
    </row>
    <row r="85" spans="1:17">
      <c r="A85" s="1776">
        <v>7.05</v>
      </c>
      <c r="B85" s="1776">
        <v>7.05</v>
      </c>
      <c r="C85" s="1776">
        <v>7.05</v>
      </c>
      <c r="D85" s="1777">
        <v>7.05</v>
      </c>
      <c r="E85" s="1777">
        <v>7.05</v>
      </c>
      <c r="F85" s="1777">
        <v>7.05</v>
      </c>
      <c r="G85" s="1782">
        <v>7.05</v>
      </c>
      <c r="H85" s="1782">
        <v>7.05</v>
      </c>
      <c r="I85" s="1782">
        <v>7.05</v>
      </c>
      <c r="J85" s="1782">
        <v>7.05</v>
      </c>
      <c r="K85" s="1773">
        <v>7.05</v>
      </c>
      <c r="L85" s="1773" t="s">
        <v>74</v>
      </c>
      <c r="M85" s="1773" t="s">
        <v>74</v>
      </c>
      <c r="N85" s="1773" t="s">
        <v>74</v>
      </c>
      <c r="O85" s="1773" t="s">
        <v>74</v>
      </c>
      <c r="P85" s="1761"/>
      <c r="Q85" s="1761"/>
    </row>
    <row r="86" spans="1:17">
      <c r="A86" s="1783">
        <v>8.01</v>
      </c>
      <c r="B86" s="1783">
        <v>8.01</v>
      </c>
      <c r="C86" s="1783">
        <v>8.01</v>
      </c>
      <c r="D86" s="1777">
        <v>8.01</v>
      </c>
      <c r="E86" s="1777">
        <v>8.01</v>
      </c>
      <c r="F86" s="1777">
        <v>8.01</v>
      </c>
      <c r="G86" s="1769">
        <v>8.01</v>
      </c>
      <c r="H86" s="1769">
        <v>8.01</v>
      </c>
      <c r="I86" s="1769">
        <v>8.01</v>
      </c>
      <c r="J86" s="1769">
        <v>8.01</v>
      </c>
      <c r="K86" s="1770">
        <v>8.01</v>
      </c>
      <c r="L86" s="1773" t="s">
        <v>135</v>
      </c>
      <c r="M86" s="1773" t="s">
        <v>135</v>
      </c>
      <c r="N86" s="1773" t="s">
        <v>135</v>
      </c>
      <c r="O86" s="1773" t="s">
        <v>135</v>
      </c>
      <c r="P86" s="1761"/>
      <c r="Q86" s="1761"/>
    </row>
    <row r="87" spans="1:17">
      <c r="A87" s="1783">
        <v>8.02</v>
      </c>
      <c r="B87" s="1783">
        <v>8.02</v>
      </c>
      <c r="C87" s="1783">
        <v>8.02</v>
      </c>
      <c r="D87" s="1772">
        <v>8.02</v>
      </c>
      <c r="E87" s="1772">
        <v>8.02</v>
      </c>
      <c r="F87" s="1772">
        <v>8.02</v>
      </c>
      <c r="G87" s="1769">
        <v>1.01</v>
      </c>
      <c r="H87" s="1769">
        <v>1.01</v>
      </c>
      <c r="I87" s="1769">
        <v>1.01</v>
      </c>
      <c r="J87" s="1769">
        <v>1.01</v>
      </c>
      <c r="K87" s="1770">
        <v>1.01</v>
      </c>
      <c r="L87" s="1771" t="s">
        <v>35</v>
      </c>
      <c r="M87" s="1771" t="s">
        <v>35</v>
      </c>
      <c r="N87" s="1771" t="s">
        <v>35</v>
      </c>
      <c r="O87" s="1771" t="s">
        <v>35</v>
      </c>
      <c r="P87" s="1761"/>
      <c r="Q87" s="1761"/>
    </row>
    <row r="88" spans="1:17">
      <c r="A88" s="1783">
        <v>8.0299999999999994</v>
      </c>
      <c r="B88" s="1783">
        <v>8.0299999999999994</v>
      </c>
      <c r="C88" s="1783">
        <v>8.0299999999999994</v>
      </c>
      <c r="D88" s="1777">
        <v>8.0299999999999994</v>
      </c>
      <c r="E88" s="1777">
        <v>8.0299999999999994</v>
      </c>
      <c r="F88" s="1777">
        <v>8.0299999999999994</v>
      </c>
      <c r="G88" s="1769">
        <v>8.0299999999999994</v>
      </c>
      <c r="H88" s="1769">
        <v>8.0299999999999994</v>
      </c>
      <c r="I88" s="1769">
        <v>8.0299999999999994</v>
      </c>
      <c r="J88" s="1769">
        <v>8.0299999999999994</v>
      </c>
      <c r="K88" s="1770">
        <v>8.0299999999999994</v>
      </c>
      <c r="L88" s="1773" t="s">
        <v>140</v>
      </c>
      <c r="M88" s="1773" t="s">
        <v>140</v>
      </c>
      <c r="N88" s="1773" t="s">
        <v>140</v>
      </c>
      <c r="O88" s="1773" t="s">
        <v>140</v>
      </c>
      <c r="P88" s="1761"/>
      <c r="Q88" s="1761"/>
    </row>
    <row r="89" spans="1:17">
      <c r="A89" s="1783">
        <v>8.0399999999999991</v>
      </c>
      <c r="B89" s="1783">
        <v>8.0399999999999991</v>
      </c>
      <c r="C89" s="1783">
        <v>8.0399999999999991</v>
      </c>
      <c r="D89" s="1777">
        <v>8.0399999999999991</v>
      </c>
      <c r="E89" s="1777">
        <v>8.0399999999999991</v>
      </c>
      <c r="F89" s="1777">
        <v>8.0399999999999991</v>
      </c>
      <c r="G89" s="1772">
        <v>8.0399999999999991</v>
      </c>
      <c r="H89" s="1772">
        <v>8.0399999999999991</v>
      </c>
      <c r="I89" s="1772">
        <v>8.0399999999999991</v>
      </c>
      <c r="J89" s="1772">
        <v>8.0399999999999991</v>
      </c>
      <c r="K89" s="1774">
        <v>8.0399999999999991</v>
      </c>
      <c r="L89" s="1775" t="s">
        <v>142</v>
      </c>
      <c r="M89" s="1775" t="s">
        <v>142</v>
      </c>
      <c r="N89" s="1773" t="s">
        <v>142</v>
      </c>
      <c r="O89" s="1773" t="s">
        <v>142</v>
      </c>
      <c r="P89" s="1761"/>
      <c r="Q89" s="1761"/>
    </row>
    <row r="90" spans="1:17">
      <c r="A90" s="1783">
        <v>8.0500000000000007</v>
      </c>
      <c r="B90" s="1783">
        <v>8.0500000000000007</v>
      </c>
      <c r="C90" s="1783">
        <v>8.0500000000000007</v>
      </c>
      <c r="D90" s="1777">
        <v>8.0500000000000007</v>
      </c>
      <c r="E90" s="1777">
        <v>8.0500000000000007</v>
      </c>
      <c r="F90" s="1777">
        <v>8.0500000000000007</v>
      </c>
      <c r="G90" s="1772">
        <v>8.0500000000000007</v>
      </c>
      <c r="H90" s="1772">
        <v>8.0500000000000007</v>
      </c>
      <c r="I90" s="1772">
        <v>8.0500000000000007</v>
      </c>
      <c r="J90" s="1772">
        <v>8.0500000000000007</v>
      </c>
      <c r="K90" s="1774">
        <v>8.0500000000000007</v>
      </c>
      <c r="L90" s="1775" t="s">
        <v>144</v>
      </c>
      <c r="M90" s="1775" t="s">
        <v>144</v>
      </c>
      <c r="N90" s="1775" t="s">
        <v>144</v>
      </c>
      <c r="O90" s="1775" t="s">
        <v>144</v>
      </c>
      <c r="P90" s="1761"/>
      <c r="Q90" s="1761"/>
    </row>
    <row r="91" spans="1:17">
      <c r="A91" s="1783">
        <v>8.06</v>
      </c>
      <c r="B91" s="1783">
        <v>8.06</v>
      </c>
      <c r="C91" s="1783">
        <v>8.06</v>
      </c>
      <c r="D91" s="1777">
        <v>8.06</v>
      </c>
      <c r="E91" s="1777">
        <v>8.06</v>
      </c>
      <c r="F91" s="1777">
        <v>8.06</v>
      </c>
      <c r="G91" s="1772">
        <v>8.06</v>
      </c>
      <c r="H91" s="1772">
        <v>8.06</v>
      </c>
      <c r="I91" s="1772">
        <v>8.06</v>
      </c>
      <c r="J91" s="1772">
        <v>8.06</v>
      </c>
      <c r="K91" s="1774">
        <v>8.06</v>
      </c>
      <c r="L91" s="1775" t="s">
        <v>145</v>
      </c>
      <c r="M91" s="1775" t="s">
        <v>145</v>
      </c>
      <c r="N91" s="1775" t="s">
        <v>145</v>
      </c>
      <c r="O91" s="1775" t="s">
        <v>145</v>
      </c>
      <c r="P91" s="1761"/>
      <c r="Q91" s="1761"/>
    </row>
    <row r="92" spans="1:17">
      <c r="A92" s="1783">
        <v>8.07</v>
      </c>
      <c r="B92" s="1783">
        <v>8.07</v>
      </c>
      <c r="C92" s="1783">
        <v>8.07</v>
      </c>
      <c r="D92" s="1777">
        <v>8.07</v>
      </c>
      <c r="E92" s="1777">
        <v>8.07</v>
      </c>
      <c r="F92" s="1777">
        <v>8.07</v>
      </c>
      <c r="G92" s="1772">
        <v>8.07</v>
      </c>
      <c r="H92" s="1772">
        <v>8.07</v>
      </c>
      <c r="I92" s="1772">
        <v>8.07</v>
      </c>
      <c r="J92" s="1772">
        <v>8.07</v>
      </c>
      <c r="K92" s="1774">
        <v>8.07</v>
      </c>
      <c r="L92" s="1775" t="s">
        <v>148</v>
      </c>
      <c r="M92" s="1775" t="s">
        <v>148</v>
      </c>
      <c r="N92" s="1775" t="s">
        <v>148</v>
      </c>
      <c r="O92" s="1775" t="s">
        <v>148</v>
      </c>
      <c r="P92" s="1761"/>
      <c r="Q92" s="1761"/>
    </row>
    <row r="93" spans="1:17">
      <c r="A93" s="1783">
        <v>8.08</v>
      </c>
      <c r="B93" s="1783">
        <v>8.08</v>
      </c>
      <c r="C93" s="1783">
        <v>8.08</v>
      </c>
      <c r="D93" s="1782">
        <v>8.08</v>
      </c>
      <c r="E93" s="1782">
        <v>8.08</v>
      </c>
      <c r="F93" s="1782">
        <v>8.08</v>
      </c>
      <c r="G93" s="1772">
        <v>8.08</v>
      </c>
      <c r="H93" s="1772">
        <v>8.08</v>
      </c>
      <c r="I93" s="1772">
        <v>8.08</v>
      </c>
      <c r="J93" s="1772">
        <v>8.08</v>
      </c>
      <c r="K93" s="1774">
        <v>8.08</v>
      </c>
      <c r="L93" s="1775" t="s">
        <v>152</v>
      </c>
      <c r="M93" s="1775" t="s">
        <v>152</v>
      </c>
      <c r="N93" s="1775" t="s">
        <v>152</v>
      </c>
      <c r="O93" s="1775" t="s">
        <v>152</v>
      </c>
      <c r="P93" s="1761"/>
      <c r="Q93" s="1761"/>
    </row>
    <row r="94" spans="1:17">
      <c r="A94" s="1783">
        <v>8.09</v>
      </c>
      <c r="B94" s="1783">
        <v>8.09</v>
      </c>
      <c r="C94" s="1783">
        <v>8.09</v>
      </c>
      <c r="D94" s="1782">
        <v>8.09</v>
      </c>
      <c r="E94" s="1782">
        <v>8.09</v>
      </c>
      <c r="F94" s="1782">
        <v>8.09</v>
      </c>
      <c r="G94" s="1772">
        <v>8.09</v>
      </c>
      <c r="H94" s="1772">
        <v>8.09</v>
      </c>
      <c r="I94" s="1772">
        <v>8.09</v>
      </c>
      <c r="J94" s="1772">
        <v>8.09</v>
      </c>
      <c r="K94" s="1774">
        <v>8.09</v>
      </c>
      <c r="L94" s="1775" t="s">
        <v>150</v>
      </c>
      <c r="M94" s="1775" t="s">
        <v>150</v>
      </c>
      <c r="N94" s="1775" t="s">
        <v>150</v>
      </c>
      <c r="O94" s="1775" t="s">
        <v>150</v>
      </c>
      <c r="P94" s="1761"/>
      <c r="Q94" s="1761"/>
    </row>
    <row r="95" spans="1:17">
      <c r="A95" s="1782" t="s">
        <v>47</v>
      </c>
      <c r="B95" s="1782" t="s">
        <v>47</v>
      </c>
      <c r="C95" s="1782" t="s">
        <v>47</v>
      </c>
      <c r="D95" s="1782" t="s">
        <v>47</v>
      </c>
      <c r="E95" s="1782" t="s">
        <v>47</v>
      </c>
      <c r="F95" s="1782" t="s">
        <v>47</v>
      </c>
      <c r="G95" s="1772">
        <v>8.1</v>
      </c>
      <c r="H95" s="1772">
        <v>8.1</v>
      </c>
      <c r="I95" s="1772">
        <v>8.1</v>
      </c>
      <c r="J95" s="1772">
        <v>8.1</v>
      </c>
      <c r="K95" s="1774">
        <v>8.1</v>
      </c>
      <c r="L95" s="1775" t="s">
        <v>151</v>
      </c>
      <c r="M95" s="1775" t="s">
        <v>151</v>
      </c>
      <c r="N95" s="1775" t="s">
        <v>151</v>
      </c>
      <c r="O95" s="1775" t="s">
        <v>151</v>
      </c>
      <c r="P95" s="1761"/>
      <c r="Q95" s="1761"/>
    </row>
    <row r="96" spans="1:17">
      <c r="A96" s="1782" t="s">
        <v>48</v>
      </c>
      <c r="B96" s="1782" t="s">
        <v>48</v>
      </c>
      <c r="C96" s="1782" t="s">
        <v>48</v>
      </c>
      <c r="D96" s="1782" t="s">
        <v>48</v>
      </c>
      <c r="E96" s="1782" t="s">
        <v>48</v>
      </c>
      <c r="F96" s="1782" t="s">
        <v>48</v>
      </c>
      <c r="G96" s="1772">
        <v>8.11</v>
      </c>
      <c r="H96" s="1772">
        <v>8.11</v>
      </c>
      <c r="I96" s="1772" t="s">
        <v>35</v>
      </c>
      <c r="J96" s="1772" t="s">
        <v>35</v>
      </c>
      <c r="K96" s="1772" t="s">
        <v>35</v>
      </c>
      <c r="L96" s="1772" t="s">
        <v>35</v>
      </c>
      <c r="M96" s="1772" t="s">
        <v>35</v>
      </c>
      <c r="N96" s="1772" t="s">
        <v>35</v>
      </c>
      <c r="O96" s="1772" t="s">
        <v>35</v>
      </c>
      <c r="P96" s="1761"/>
      <c r="Q96" s="1761"/>
    </row>
    <row r="97" spans="1:17">
      <c r="A97" s="1776">
        <v>8.1199999999999992</v>
      </c>
      <c r="B97" s="1776">
        <v>8.1199999999999992</v>
      </c>
      <c r="C97" s="1776">
        <v>8.1199999999999992</v>
      </c>
      <c r="D97" s="1782">
        <v>8.1199999999999992</v>
      </c>
      <c r="E97" s="1782">
        <v>8.1199999999999992</v>
      </c>
      <c r="F97" s="1782">
        <v>8.1199999999999992</v>
      </c>
      <c r="G97" s="1772">
        <v>8.02</v>
      </c>
      <c r="H97" s="1772">
        <v>8.1199999999999992</v>
      </c>
      <c r="I97" s="1772" t="s">
        <v>35</v>
      </c>
      <c r="J97" s="1772" t="s">
        <v>35</v>
      </c>
      <c r="K97" s="1772" t="s">
        <v>35</v>
      </c>
      <c r="L97" s="1772" t="s">
        <v>35</v>
      </c>
      <c r="M97" s="1772" t="s">
        <v>35</v>
      </c>
      <c r="N97" s="1772" t="s">
        <v>35</v>
      </c>
      <c r="O97" s="1772" t="s">
        <v>35</v>
      </c>
      <c r="P97" s="1761"/>
      <c r="Q97" s="1761"/>
    </row>
    <row r="98" spans="1:17">
      <c r="A98" s="1776">
        <v>9.01</v>
      </c>
      <c r="B98" s="1776">
        <v>9.01</v>
      </c>
      <c r="C98" s="1776">
        <v>9.01</v>
      </c>
      <c r="D98" s="1772">
        <v>9.01</v>
      </c>
      <c r="E98" s="1772">
        <v>9.01</v>
      </c>
      <c r="F98" s="1772">
        <v>9.01</v>
      </c>
      <c r="G98" s="1772">
        <v>9.01</v>
      </c>
      <c r="H98" s="1772">
        <v>9.01</v>
      </c>
      <c r="I98" s="1772" t="s">
        <v>35</v>
      </c>
      <c r="J98" s="1772" t="s">
        <v>35</v>
      </c>
      <c r="K98" s="1772" t="s">
        <v>35</v>
      </c>
      <c r="L98" s="1778" t="s">
        <v>35</v>
      </c>
      <c r="M98" s="1778" t="s">
        <v>35</v>
      </c>
      <c r="N98" s="1778" t="s">
        <v>35</v>
      </c>
      <c r="O98" s="1778" t="s">
        <v>35</v>
      </c>
      <c r="P98" s="1761"/>
      <c r="Q98" s="1761"/>
    </row>
    <row r="99" spans="1:17">
      <c r="A99" s="1783">
        <v>9.02</v>
      </c>
      <c r="B99" s="1783">
        <v>9.02</v>
      </c>
      <c r="C99" s="1783">
        <v>9.02</v>
      </c>
      <c r="D99" s="1772">
        <v>9.02</v>
      </c>
      <c r="E99" s="1772">
        <v>9.02</v>
      </c>
      <c r="F99" s="1772">
        <v>9.02</v>
      </c>
      <c r="G99" s="1772">
        <v>9.02</v>
      </c>
      <c r="H99" s="1772">
        <v>9.02</v>
      </c>
      <c r="I99" s="1772">
        <v>9.02</v>
      </c>
      <c r="J99" s="1772">
        <v>9.02</v>
      </c>
      <c r="K99" s="1774">
        <v>9.02</v>
      </c>
      <c r="L99" s="1778" t="s">
        <v>35</v>
      </c>
      <c r="M99" s="1778" t="s">
        <v>35</v>
      </c>
      <c r="N99" s="1778" t="s">
        <v>35</v>
      </c>
      <c r="O99" s="1778" t="s">
        <v>35</v>
      </c>
      <c r="P99" s="1761"/>
      <c r="Q99" s="1761"/>
    </row>
    <row r="100" spans="1:17">
      <c r="A100" s="1783">
        <v>9.0299999999999994</v>
      </c>
      <c r="B100" s="1783">
        <v>9.0299999999999994</v>
      </c>
      <c r="C100" s="1783">
        <v>9.0299999999999994</v>
      </c>
      <c r="D100" s="1772">
        <v>9.0299999999999994</v>
      </c>
      <c r="E100" s="1772">
        <v>9.0299999999999994</v>
      </c>
      <c r="F100" s="1772">
        <v>9.0299999999999994</v>
      </c>
      <c r="G100" s="1772">
        <v>9.0299999999999994</v>
      </c>
      <c r="H100" s="1772">
        <v>9.0299999999999994</v>
      </c>
      <c r="I100" s="1772">
        <v>9.0299999999999994</v>
      </c>
      <c r="J100" s="1772">
        <v>9.0299999999999994</v>
      </c>
      <c r="K100" s="1774">
        <v>9.0299999999999994</v>
      </c>
      <c r="L100" s="1778" t="s">
        <v>35</v>
      </c>
      <c r="M100" s="1778" t="s">
        <v>35</v>
      </c>
      <c r="N100" s="1778" t="s">
        <v>35</v>
      </c>
      <c r="O100" s="1778" t="s">
        <v>35</v>
      </c>
      <c r="P100" s="1761"/>
      <c r="Q100" s="1761"/>
    </row>
    <row r="101" spans="1:17">
      <c r="A101" s="1783">
        <v>9.0399999999999991</v>
      </c>
      <c r="B101" s="1783">
        <v>9.0399999999999991</v>
      </c>
      <c r="C101" s="1783">
        <v>9.0399999999999991</v>
      </c>
      <c r="D101" s="1772">
        <v>9.0399999999999991</v>
      </c>
      <c r="E101" s="1772">
        <v>9.0399999999999991</v>
      </c>
      <c r="F101" s="1772">
        <v>9.0399999999999991</v>
      </c>
      <c r="G101" s="1772">
        <v>9.0399999999999991</v>
      </c>
      <c r="H101" s="1772">
        <v>9.0399999999999991</v>
      </c>
      <c r="I101" s="1772">
        <v>9.0399999999999991</v>
      </c>
      <c r="J101" s="1772">
        <v>9.0399999999999991</v>
      </c>
      <c r="K101" s="1784" t="s">
        <v>35</v>
      </c>
      <c r="L101" s="1778" t="s">
        <v>35</v>
      </c>
      <c r="M101" s="1778" t="s">
        <v>35</v>
      </c>
      <c r="N101" s="1778" t="s">
        <v>35</v>
      </c>
      <c r="O101" s="1778" t="s">
        <v>35</v>
      </c>
      <c r="P101" s="1761"/>
      <c r="Q101" s="1761"/>
    </row>
    <row r="102" spans="1:17">
      <c r="A102" s="1783">
        <v>9.0500000000000007</v>
      </c>
      <c r="B102" s="1783">
        <v>9.0500000000000007</v>
      </c>
      <c r="C102" s="1783">
        <v>9.0500000000000007</v>
      </c>
      <c r="D102" s="1772">
        <v>9.0500000000000007</v>
      </c>
      <c r="E102" s="1772">
        <v>9.0500000000000007</v>
      </c>
      <c r="F102" s="1772">
        <v>9.0500000000000007</v>
      </c>
      <c r="G102" s="1772">
        <v>9.0500000000000007</v>
      </c>
      <c r="H102" s="1772">
        <v>9.0500000000000007</v>
      </c>
      <c r="I102" s="1772">
        <v>9.0500000000000007</v>
      </c>
      <c r="J102" s="1772">
        <v>9.0500000000000007</v>
      </c>
      <c r="K102" s="1784" t="s">
        <v>35</v>
      </c>
      <c r="L102" s="1778" t="s">
        <v>35</v>
      </c>
      <c r="M102" s="1778" t="s">
        <v>35</v>
      </c>
      <c r="N102" s="1778" t="s">
        <v>35</v>
      </c>
      <c r="O102" s="1778" t="s">
        <v>35</v>
      </c>
      <c r="P102" s="1761"/>
      <c r="Q102" s="1761"/>
    </row>
    <row r="103" spans="1:17">
      <c r="A103" s="1783">
        <v>9.06</v>
      </c>
      <c r="B103" s="1783">
        <v>9.06</v>
      </c>
      <c r="C103" s="1783">
        <v>9.06</v>
      </c>
      <c r="D103" s="1772">
        <v>9.06</v>
      </c>
      <c r="E103" s="1772">
        <v>9.06</v>
      </c>
      <c r="F103" s="1772">
        <v>9.06</v>
      </c>
      <c r="G103" s="1772">
        <v>9.06</v>
      </c>
      <c r="H103" s="1772">
        <v>9.06</v>
      </c>
      <c r="I103" s="1772">
        <v>9.06</v>
      </c>
      <c r="J103" s="1772">
        <v>9.06</v>
      </c>
      <c r="K103" s="1774" t="s">
        <v>35</v>
      </c>
      <c r="L103" s="1775" t="s">
        <v>35</v>
      </c>
      <c r="M103" s="1775" t="s">
        <v>35</v>
      </c>
      <c r="N103" s="1775" t="s">
        <v>35</v>
      </c>
      <c r="O103" s="1775" t="s">
        <v>35</v>
      </c>
      <c r="P103" s="1761"/>
      <c r="Q103" s="1761"/>
    </row>
    <row r="104" spans="1:17">
      <c r="A104" s="1783">
        <v>9.07</v>
      </c>
      <c r="B104" s="1783">
        <v>9.07</v>
      </c>
      <c r="C104" s="1783">
        <v>9.07</v>
      </c>
      <c r="D104" s="1772">
        <v>9.07</v>
      </c>
      <c r="E104" s="1772">
        <v>9.07</v>
      </c>
      <c r="F104" s="1772">
        <v>9.07</v>
      </c>
      <c r="G104" s="1776">
        <v>9.2100000000000009</v>
      </c>
      <c r="H104" s="1777" t="s">
        <v>35</v>
      </c>
      <c r="I104" s="1777" t="s">
        <v>35</v>
      </c>
      <c r="J104" s="1777" t="s">
        <v>35</v>
      </c>
      <c r="K104" s="1777" t="s">
        <v>35</v>
      </c>
      <c r="L104" s="1777" t="s">
        <v>35</v>
      </c>
      <c r="M104" s="1777" t="s">
        <v>35</v>
      </c>
      <c r="N104" s="1777" t="s">
        <v>35</v>
      </c>
      <c r="O104" s="1777" t="s">
        <v>35</v>
      </c>
      <c r="P104" s="1761"/>
      <c r="Q104" s="1761"/>
    </row>
    <row r="105" spans="1:17">
      <c r="A105" s="1783">
        <v>9.08</v>
      </c>
      <c r="B105" s="1783">
        <v>9.08</v>
      </c>
      <c r="C105" s="1783">
        <v>9.08</v>
      </c>
      <c r="D105" s="1772">
        <v>9.08</v>
      </c>
      <c r="E105" s="1772">
        <v>9.08</v>
      </c>
      <c r="F105" s="1772">
        <v>9.08</v>
      </c>
      <c r="G105" s="1772">
        <v>9.08</v>
      </c>
      <c r="H105" s="1772">
        <v>9.08</v>
      </c>
      <c r="I105" s="1772">
        <v>9.08</v>
      </c>
      <c r="J105" s="1772">
        <v>9.08</v>
      </c>
      <c r="K105" s="1774" t="s">
        <v>35</v>
      </c>
      <c r="L105" s="1775" t="s">
        <v>35</v>
      </c>
      <c r="M105" s="1775" t="s">
        <v>35</v>
      </c>
      <c r="N105" s="1775" t="s">
        <v>35</v>
      </c>
      <c r="O105" s="1775" t="s">
        <v>35</v>
      </c>
      <c r="P105" s="1761"/>
      <c r="Q105" s="1761"/>
    </row>
    <row r="106" spans="1:17">
      <c r="A106" s="1783">
        <v>9.09</v>
      </c>
      <c r="B106" s="1783">
        <v>9.09</v>
      </c>
      <c r="C106" s="1783">
        <v>9.09</v>
      </c>
      <c r="D106" s="1772">
        <v>9.09</v>
      </c>
      <c r="E106" s="1772">
        <v>9.09</v>
      </c>
      <c r="F106" s="1772">
        <v>9.09</v>
      </c>
      <c r="G106" s="1772">
        <v>9.09</v>
      </c>
      <c r="H106" s="1772">
        <v>9.09</v>
      </c>
      <c r="I106" s="1772">
        <v>9.09</v>
      </c>
      <c r="J106" s="1772">
        <v>9.09</v>
      </c>
      <c r="K106" s="1774">
        <v>9.09</v>
      </c>
      <c r="L106" s="1775" t="s">
        <v>64</v>
      </c>
      <c r="M106" s="1775" t="s">
        <v>64</v>
      </c>
      <c r="N106" s="1775" t="s">
        <v>64</v>
      </c>
      <c r="O106" s="1775" t="s">
        <v>34</v>
      </c>
      <c r="P106" s="1761"/>
      <c r="Q106" s="1761"/>
    </row>
    <row r="107" spans="1:17">
      <c r="A107" s="1783" t="s">
        <v>27</v>
      </c>
      <c r="B107" s="1783" t="s">
        <v>27</v>
      </c>
      <c r="C107" s="1783" t="s">
        <v>27</v>
      </c>
      <c r="D107" s="1772" t="s">
        <v>27</v>
      </c>
      <c r="E107" s="1772" t="s">
        <v>27</v>
      </c>
      <c r="F107" s="1772" t="s">
        <v>27</v>
      </c>
      <c r="G107" s="1780" t="s">
        <v>27</v>
      </c>
      <c r="H107" s="1772">
        <v>9.09</v>
      </c>
      <c r="I107" s="1772">
        <v>9.09</v>
      </c>
      <c r="J107" s="1780" t="s">
        <v>27</v>
      </c>
      <c r="K107" s="1774">
        <v>9.08</v>
      </c>
      <c r="L107" s="1775" t="s">
        <v>29</v>
      </c>
      <c r="M107" s="1775" t="s">
        <v>26</v>
      </c>
      <c r="N107" s="1775" t="s">
        <v>26</v>
      </c>
      <c r="O107" s="1775" t="s">
        <v>25</v>
      </c>
      <c r="P107" s="1761"/>
      <c r="Q107" s="1761"/>
    </row>
    <row r="108" spans="1:17">
      <c r="A108" s="1783">
        <v>9.11</v>
      </c>
      <c r="B108" s="1783">
        <v>9.11</v>
      </c>
      <c r="C108" s="1783">
        <v>9.11</v>
      </c>
      <c r="D108" s="1772">
        <v>9.11</v>
      </c>
      <c r="E108" s="1772">
        <v>9.11</v>
      </c>
      <c r="F108" s="1772">
        <v>9.11</v>
      </c>
      <c r="G108" s="1772">
        <v>9.11</v>
      </c>
      <c r="H108" s="1772">
        <v>9.11</v>
      </c>
      <c r="I108" s="1772">
        <v>9.11</v>
      </c>
      <c r="J108" s="1772">
        <v>9.11</v>
      </c>
      <c r="K108" s="1774">
        <v>9.11</v>
      </c>
      <c r="L108" s="1778" t="s">
        <v>35</v>
      </c>
      <c r="M108" s="1778" t="s">
        <v>35</v>
      </c>
      <c r="N108" s="1778" t="s">
        <v>35</v>
      </c>
      <c r="O108" s="1778" t="s">
        <v>35</v>
      </c>
      <c r="P108" s="1761"/>
      <c r="Q108" s="1761"/>
    </row>
    <row r="109" spans="1:17">
      <c r="A109" s="1783">
        <v>9.1199999999999992</v>
      </c>
      <c r="B109" s="1783">
        <v>9.1199999999999992</v>
      </c>
      <c r="C109" s="1783">
        <v>9.1199999999999992</v>
      </c>
      <c r="D109" s="1772">
        <v>9.1199999999999992</v>
      </c>
      <c r="E109" s="1772">
        <v>9.1199999999999992</v>
      </c>
      <c r="F109" s="1772">
        <v>9.1199999999999992</v>
      </c>
      <c r="G109" s="1772">
        <v>9.1199999999999992</v>
      </c>
      <c r="H109" s="1772">
        <v>9.1199999999999992</v>
      </c>
      <c r="I109" s="1772">
        <v>9.1199999999999992</v>
      </c>
      <c r="J109" s="1772">
        <v>9.1199999999999992</v>
      </c>
      <c r="K109" s="1774">
        <v>9.0399999999999991</v>
      </c>
      <c r="L109" s="1775" t="s">
        <v>119</v>
      </c>
      <c r="M109" s="1775" t="s">
        <v>119</v>
      </c>
      <c r="N109" s="1775" t="s">
        <v>119</v>
      </c>
      <c r="O109" s="1775" t="s">
        <v>118</v>
      </c>
      <c r="P109" s="1761"/>
      <c r="Q109" s="1761"/>
    </row>
    <row r="110" spans="1:17">
      <c r="A110" s="1783">
        <v>9.1300000000000008</v>
      </c>
      <c r="B110" s="1783">
        <v>9.1300000000000008</v>
      </c>
      <c r="C110" s="1783">
        <v>9.1300000000000008</v>
      </c>
      <c r="D110" s="1772">
        <v>9.1300000000000008</v>
      </c>
      <c r="E110" s="1772">
        <v>9.1300000000000008</v>
      </c>
      <c r="F110" s="1772">
        <v>9.1300000000000008</v>
      </c>
      <c r="G110" s="1772">
        <v>9.1300000000000008</v>
      </c>
      <c r="H110" s="1772">
        <v>9.1300000000000008</v>
      </c>
      <c r="I110" s="1772">
        <v>9.1300000000000008</v>
      </c>
      <c r="J110" s="1772">
        <v>9.1300000000000008</v>
      </c>
      <c r="K110" s="1774">
        <v>9.0500000000000007</v>
      </c>
      <c r="L110" s="1775" t="s">
        <v>121</v>
      </c>
      <c r="M110" s="1775" t="s">
        <v>121</v>
      </c>
      <c r="N110" s="1775" t="s">
        <v>121</v>
      </c>
      <c r="O110" s="1775" t="s">
        <v>120</v>
      </c>
      <c r="P110" s="1761"/>
      <c r="Q110" s="1761"/>
    </row>
    <row r="111" spans="1:17">
      <c r="A111" s="1783">
        <v>9.14</v>
      </c>
      <c r="B111" s="1783">
        <v>9.14</v>
      </c>
      <c r="C111" s="1783">
        <v>9.14</v>
      </c>
      <c r="D111" s="1772">
        <v>9.14</v>
      </c>
      <c r="E111" s="1772">
        <v>9.14</v>
      </c>
      <c r="F111" s="1772">
        <v>9.14</v>
      </c>
      <c r="G111" s="1772">
        <v>9.14</v>
      </c>
      <c r="H111" s="1772">
        <v>9.14</v>
      </c>
      <c r="I111" s="1772">
        <v>9.14</v>
      </c>
      <c r="J111" s="1772">
        <v>9.14</v>
      </c>
      <c r="K111" s="1774">
        <v>9.06</v>
      </c>
      <c r="L111" s="1775" t="s">
        <v>117</v>
      </c>
      <c r="M111" s="1775" t="s">
        <v>117</v>
      </c>
      <c r="N111" s="1775" t="s">
        <v>117</v>
      </c>
      <c r="O111" s="1775" t="s">
        <v>116</v>
      </c>
      <c r="P111" s="1761"/>
      <c r="Q111" s="1761"/>
    </row>
    <row r="112" spans="1:17">
      <c r="A112" s="1783">
        <v>9.15</v>
      </c>
      <c r="B112" s="1783">
        <v>9.15</v>
      </c>
      <c r="C112" s="1783">
        <v>9.15</v>
      </c>
      <c r="D112" s="1772">
        <v>9.15</v>
      </c>
      <c r="E112" s="1772">
        <v>9.15</v>
      </c>
      <c r="F112" s="1772">
        <v>9.15</v>
      </c>
      <c r="G112" s="1772">
        <v>1.41</v>
      </c>
      <c r="H112" s="1772" t="s">
        <v>35</v>
      </c>
      <c r="I112" s="1772" t="s">
        <v>35</v>
      </c>
      <c r="J112" s="1772" t="s">
        <v>35</v>
      </c>
      <c r="K112" s="1772" t="s">
        <v>35</v>
      </c>
      <c r="L112" s="1772" t="s">
        <v>35</v>
      </c>
      <c r="M112" s="1772" t="s">
        <v>35</v>
      </c>
      <c r="N112" s="1772" t="s">
        <v>35</v>
      </c>
      <c r="O112" s="1772" t="s">
        <v>35</v>
      </c>
      <c r="P112" s="1761"/>
      <c r="Q112" s="1761"/>
    </row>
    <row r="113" spans="1:17">
      <c r="A113" s="1783" t="s">
        <v>15</v>
      </c>
      <c r="B113" s="1783" t="s">
        <v>15</v>
      </c>
      <c r="C113" s="1783" t="s">
        <v>15</v>
      </c>
      <c r="D113" s="1772" t="s">
        <v>50</v>
      </c>
      <c r="E113" s="1772" t="s">
        <v>50</v>
      </c>
      <c r="F113" s="1772" t="s">
        <v>50</v>
      </c>
      <c r="G113" s="1772">
        <v>1.07</v>
      </c>
      <c r="H113" s="1772">
        <v>1.07</v>
      </c>
      <c r="I113" s="1772">
        <v>1.07</v>
      </c>
      <c r="J113" s="1772">
        <v>1.07</v>
      </c>
      <c r="K113" s="1774">
        <v>1.07</v>
      </c>
      <c r="L113" s="1775" t="s">
        <v>176</v>
      </c>
      <c r="M113" s="1775" t="s">
        <v>176</v>
      </c>
      <c r="N113" s="1775" t="s">
        <v>176</v>
      </c>
      <c r="O113" s="1775" t="s">
        <v>176</v>
      </c>
      <c r="P113" s="1761"/>
      <c r="Q113" s="1761"/>
    </row>
    <row r="114" spans="1:17">
      <c r="A114" s="1783">
        <v>9.17</v>
      </c>
      <c r="B114" s="1783">
        <v>9.17</v>
      </c>
      <c r="C114" s="1783">
        <v>9.17</v>
      </c>
      <c r="D114" s="1772">
        <v>9.17</v>
      </c>
      <c r="E114" s="1772">
        <v>9.17</v>
      </c>
      <c r="F114" s="1772">
        <v>9.17</v>
      </c>
      <c r="G114" s="1772">
        <v>9.17</v>
      </c>
      <c r="H114" s="1772">
        <v>9.17</v>
      </c>
      <c r="I114" s="1772">
        <v>9.17</v>
      </c>
      <c r="J114" s="1772">
        <v>9.17</v>
      </c>
      <c r="K114" s="1784" t="s">
        <v>35</v>
      </c>
      <c r="L114" s="1778" t="s">
        <v>35</v>
      </c>
      <c r="M114" s="1778" t="s">
        <v>35</v>
      </c>
      <c r="N114" s="1778" t="s">
        <v>35</v>
      </c>
      <c r="O114" s="1778" t="s">
        <v>35</v>
      </c>
      <c r="P114" s="1761"/>
      <c r="Q114" s="1761"/>
    </row>
    <row r="115" spans="1:17">
      <c r="A115" s="1783">
        <v>9.18</v>
      </c>
      <c r="B115" s="1783">
        <v>9.18</v>
      </c>
      <c r="C115" s="1783">
        <v>9.18</v>
      </c>
      <c r="D115" s="1772">
        <v>9.18</v>
      </c>
      <c r="E115" s="1772">
        <v>9.18</v>
      </c>
      <c r="F115" s="1772">
        <v>9.18</v>
      </c>
      <c r="G115" s="1772">
        <v>9.18</v>
      </c>
      <c r="H115" s="1772">
        <v>9.18</v>
      </c>
      <c r="I115" s="1772">
        <v>9.18</v>
      </c>
      <c r="J115" s="1772">
        <v>9.18</v>
      </c>
      <c r="K115" s="1784" t="s">
        <v>35</v>
      </c>
      <c r="L115" s="1778" t="s">
        <v>35</v>
      </c>
      <c r="M115" s="1778" t="s">
        <v>35</v>
      </c>
      <c r="N115" s="1778" t="s">
        <v>35</v>
      </c>
      <c r="O115" s="1778" t="s">
        <v>35</v>
      </c>
      <c r="P115" s="1761"/>
      <c r="Q115" s="1761"/>
    </row>
    <row r="116" spans="1:17">
      <c r="A116" s="1783">
        <v>9.19</v>
      </c>
      <c r="B116" s="1783">
        <v>9.19</v>
      </c>
      <c r="C116" s="1783">
        <v>9.19</v>
      </c>
      <c r="D116" s="1772">
        <v>9.19</v>
      </c>
      <c r="E116" s="1772">
        <v>9.19</v>
      </c>
      <c r="F116" s="1772">
        <v>9.19</v>
      </c>
      <c r="G116" s="1772">
        <v>9.19</v>
      </c>
      <c r="H116" s="1772">
        <v>9.19</v>
      </c>
      <c r="I116" s="1772">
        <v>9.01</v>
      </c>
      <c r="J116" s="1772">
        <v>9.01</v>
      </c>
      <c r="K116" s="1774">
        <v>9.01</v>
      </c>
      <c r="L116" s="1778" t="s">
        <v>35</v>
      </c>
      <c r="M116" s="1778" t="s">
        <v>35</v>
      </c>
      <c r="N116" s="1778" t="s">
        <v>35</v>
      </c>
      <c r="O116" s="1778" t="s">
        <v>35</v>
      </c>
      <c r="P116" s="1761"/>
      <c r="Q116" s="1761"/>
    </row>
    <row r="117" spans="1:17">
      <c r="A117" s="1783" t="s">
        <v>126</v>
      </c>
      <c r="B117" s="1783" t="s">
        <v>126</v>
      </c>
      <c r="C117" s="1783" t="s">
        <v>79</v>
      </c>
      <c r="D117" s="1772" t="s">
        <v>79</v>
      </c>
      <c r="E117" s="1772" t="s">
        <v>79</v>
      </c>
      <c r="F117" s="1772" t="s">
        <v>79</v>
      </c>
      <c r="G117" s="1772">
        <v>1.08</v>
      </c>
      <c r="H117" s="1772">
        <v>1.08</v>
      </c>
      <c r="I117" s="1772">
        <v>1.08</v>
      </c>
      <c r="J117" s="1772">
        <v>1.08</v>
      </c>
      <c r="K117" s="1774">
        <v>1.08</v>
      </c>
      <c r="L117" s="1775" t="s">
        <v>177</v>
      </c>
      <c r="M117" s="1775" t="s">
        <v>177</v>
      </c>
      <c r="N117" s="1775" t="s">
        <v>177</v>
      </c>
      <c r="O117" s="1775" t="s">
        <v>177</v>
      </c>
      <c r="P117" s="1761"/>
      <c r="Q117" s="1761"/>
    </row>
    <row r="118" spans="1:17">
      <c r="A118" s="1783" t="s">
        <v>38</v>
      </c>
      <c r="B118" s="1783" t="s">
        <v>38</v>
      </c>
      <c r="C118" s="1783" t="s">
        <v>38</v>
      </c>
      <c r="D118" s="1772" t="s">
        <v>38</v>
      </c>
      <c r="E118" s="1772" t="s">
        <v>38</v>
      </c>
      <c r="F118" s="1772" t="s">
        <v>38</v>
      </c>
      <c r="G118" s="1776" t="s">
        <v>38</v>
      </c>
      <c r="H118" s="1777">
        <v>2.0099999999999998</v>
      </c>
      <c r="I118" s="1777">
        <v>2.0099999999999998</v>
      </c>
      <c r="J118" s="1777">
        <v>2.0099999999999998</v>
      </c>
      <c r="K118" s="1777">
        <v>2.0099999999999998</v>
      </c>
      <c r="L118" s="1775" t="s">
        <v>30</v>
      </c>
      <c r="M118" s="1775" t="s">
        <v>30</v>
      </c>
      <c r="N118" s="1775" t="s">
        <v>30</v>
      </c>
      <c r="O118" s="1775" t="s">
        <v>35</v>
      </c>
      <c r="P118" s="1761"/>
      <c r="Q118" s="1761"/>
    </row>
    <row r="119" spans="1:17">
      <c r="A119" s="1783" t="s">
        <v>39</v>
      </c>
      <c r="B119" s="1783" t="s">
        <v>39</v>
      </c>
      <c r="C119" s="1783" t="s">
        <v>39</v>
      </c>
      <c r="D119" s="1780" t="s">
        <v>39</v>
      </c>
      <c r="E119" s="1780" t="s">
        <v>39</v>
      </c>
      <c r="F119" s="1780" t="s">
        <v>39</v>
      </c>
      <c r="G119" s="1776" t="s">
        <v>39</v>
      </c>
      <c r="H119" s="1777">
        <v>2.02</v>
      </c>
      <c r="I119" s="1777">
        <v>2.02</v>
      </c>
      <c r="J119" s="1777">
        <v>2.02</v>
      </c>
      <c r="K119" s="1777">
        <v>2.02</v>
      </c>
      <c r="L119" s="1775" t="s">
        <v>30</v>
      </c>
      <c r="M119" s="1775" t="s">
        <v>30</v>
      </c>
      <c r="N119" s="1775" t="s">
        <v>30</v>
      </c>
      <c r="O119" s="1775" t="s">
        <v>35</v>
      </c>
      <c r="P119" s="1761"/>
      <c r="Q119" s="1761"/>
    </row>
    <row r="120" spans="1:17">
      <c r="A120" s="1783" t="s">
        <v>40</v>
      </c>
      <c r="B120" s="1783" t="s">
        <v>40</v>
      </c>
      <c r="C120" s="1783" t="s">
        <v>40</v>
      </c>
      <c r="D120" s="1772" t="s">
        <v>40</v>
      </c>
      <c r="E120" s="1772" t="s">
        <v>40</v>
      </c>
      <c r="F120" s="1772" t="s">
        <v>40</v>
      </c>
      <c r="G120" s="1780" t="s">
        <v>40</v>
      </c>
      <c r="H120" s="1772">
        <v>2.13</v>
      </c>
      <c r="I120" s="1772" t="s">
        <v>35</v>
      </c>
      <c r="J120" s="1772" t="s">
        <v>35</v>
      </c>
      <c r="K120" s="1772" t="s">
        <v>35</v>
      </c>
      <c r="L120" s="1772" t="s">
        <v>35</v>
      </c>
      <c r="M120" s="1772" t="s">
        <v>35</v>
      </c>
      <c r="N120" s="1772" t="s">
        <v>35</v>
      </c>
      <c r="O120" s="1772" t="s">
        <v>35</v>
      </c>
      <c r="P120" s="1761"/>
      <c r="Q120" s="1761"/>
    </row>
    <row r="121" spans="1:17">
      <c r="A121" s="1769">
        <v>10.039999999999999</v>
      </c>
      <c r="B121" s="1769">
        <v>10.039999999999999</v>
      </c>
      <c r="C121" s="1769">
        <v>11.16</v>
      </c>
      <c r="D121" s="1776">
        <v>11.16</v>
      </c>
      <c r="E121" s="1776">
        <v>11.16</v>
      </c>
      <c r="F121" s="1776">
        <v>11.16</v>
      </c>
      <c r="G121" s="1777">
        <v>2.0299999999999998</v>
      </c>
      <c r="H121" s="1777">
        <v>2.0299999999999998</v>
      </c>
      <c r="I121" s="1777">
        <v>2.0299999999999998</v>
      </c>
      <c r="J121" s="1777">
        <v>2.0299999999999998</v>
      </c>
      <c r="K121" s="1775">
        <v>2.0299999999999998</v>
      </c>
      <c r="L121" s="1775" t="s">
        <v>193</v>
      </c>
      <c r="M121" s="1775" t="s">
        <v>193</v>
      </c>
      <c r="N121" s="1775" t="s">
        <v>193</v>
      </c>
      <c r="O121" s="1775" t="s">
        <v>35</v>
      </c>
      <c r="P121" s="1761"/>
      <c r="Q121" s="1761"/>
    </row>
    <row r="122" spans="1:17">
      <c r="A122" s="1782">
        <v>10.050000000000001</v>
      </c>
      <c r="B122" s="1782">
        <v>10.050000000000001</v>
      </c>
      <c r="C122" s="1782">
        <v>2.0699999999999998</v>
      </c>
      <c r="D122" s="1777">
        <v>2.0699999999999998</v>
      </c>
      <c r="E122" s="1777">
        <v>2.0699999999999998</v>
      </c>
      <c r="F122" s="1777">
        <v>2.0699999999999998</v>
      </c>
      <c r="G122" s="1777">
        <v>2.0699999999999998</v>
      </c>
      <c r="H122" s="1777">
        <v>2.0699999999999998</v>
      </c>
      <c r="I122" s="1777">
        <v>2.0699999999999998</v>
      </c>
      <c r="J122" s="1777">
        <v>2.0699999999999998</v>
      </c>
      <c r="K122" s="1775">
        <v>2.0699999999999998</v>
      </c>
      <c r="L122" s="1775" t="s">
        <v>28</v>
      </c>
      <c r="M122" s="1775" t="s">
        <v>28</v>
      </c>
      <c r="N122" s="1775" t="s">
        <v>22</v>
      </c>
      <c r="O122" s="1775" t="s">
        <v>35</v>
      </c>
      <c r="P122" s="1761"/>
      <c r="Q122" s="1761"/>
    </row>
    <row r="123" spans="1:17">
      <c r="A123" s="1783">
        <v>11.01</v>
      </c>
      <c r="B123" s="1783">
        <v>11.01</v>
      </c>
      <c r="C123" s="1783">
        <v>11.01</v>
      </c>
      <c r="D123" s="1772">
        <v>11.01</v>
      </c>
      <c r="E123" s="1772">
        <v>11.01</v>
      </c>
      <c r="F123" s="1772">
        <v>11.01</v>
      </c>
      <c r="G123" s="1772">
        <v>1.42</v>
      </c>
      <c r="H123" s="1772">
        <v>1.42</v>
      </c>
      <c r="I123" s="1772">
        <v>1.42</v>
      </c>
      <c r="J123" s="1772">
        <v>1.42</v>
      </c>
      <c r="K123" s="1774">
        <v>8.02</v>
      </c>
      <c r="L123" s="1775" t="s">
        <v>138</v>
      </c>
      <c r="M123" s="1775" t="s">
        <v>138</v>
      </c>
      <c r="N123" s="1775" t="s">
        <v>138</v>
      </c>
      <c r="O123" s="1775" t="s">
        <v>138</v>
      </c>
      <c r="P123" s="1761"/>
      <c r="Q123" s="1761"/>
    </row>
    <row r="124" spans="1:17">
      <c r="A124" s="1783">
        <v>11.02</v>
      </c>
      <c r="B124" s="1783">
        <v>11.02</v>
      </c>
      <c r="C124" s="1783">
        <v>11.02</v>
      </c>
      <c r="D124" s="1772">
        <v>11.02</v>
      </c>
      <c r="E124" s="1772">
        <v>11.02</v>
      </c>
      <c r="F124" s="1772">
        <v>11.02</v>
      </c>
      <c r="G124" s="1772">
        <v>1.02</v>
      </c>
      <c r="H124" s="1772">
        <v>1.02</v>
      </c>
      <c r="I124" s="1772">
        <v>1.02</v>
      </c>
      <c r="J124" s="1772">
        <v>1.02</v>
      </c>
      <c r="K124" s="1774">
        <v>1.02</v>
      </c>
      <c r="L124" s="1778" t="s">
        <v>35</v>
      </c>
      <c r="M124" s="1778" t="s">
        <v>35</v>
      </c>
      <c r="N124" s="1778" t="s">
        <v>35</v>
      </c>
      <c r="O124" s="1778" t="s">
        <v>35</v>
      </c>
      <c r="P124" s="1761"/>
      <c r="Q124" s="1761"/>
    </row>
    <row r="125" spans="1:17">
      <c r="A125" s="1783">
        <v>11.03</v>
      </c>
      <c r="B125" s="1783">
        <v>11.03</v>
      </c>
      <c r="C125" s="1783">
        <v>11.03</v>
      </c>
      <c r="D125" s="1772">
        <v>11.03</v>
      </c>
      <c r="E125" s="1772">
        <v>11.03</v>
      </c>
      <c r="F125" s="1772">
        <v>11.03</v>
      </c>
      <c r="G125" s="1772">
        <v>1.03</v>
      </c>
      <c r="H125" s="1772">
        <v>1.03</v>
      </c>
      <c r="I125" s="1772">
        <v>1.03</v>
      </c>
      <c r="J125" s="1772">
        <v>1.03</v>
      </c>
      <c r="K125" s="1774">
        <v>1.03</v>
      </c>
      <c r="L125" s="1775" t="s">
        <v>156</v>
      </c>
      <c r="M125" s="1775" t="s">
        <v>156</v>
      </c>
      <c r="N125" s="1775" t="s">
        <v>156</v>
      </c>
      <c r="O125" s="1775" t="s">
        <v>156</v>
      </c>
      <c r="P125" s="1761"/>
      <c r="Q125" s="1761"/>
    </row>
    <row r="126" spans="1:17">
      <c r="A126" s="1782">
        <v>11.04</v>
      </c>
      <c r="B126" s="1782">
        <v>11.04</v>
      </c>
      <c r="C126" s="1782" t="s">
        <v>35</v>
      </c>
      <c r="D126" s="1777" t="s">
        <v>35</v>
      </c>
      <c r="E126" s="1777" t="s">
        <v>35</v>
      </c>
      <c r="F126" s="1777" t="s">
        <v>35</v>
      </c>
      <c r="G126" s="1777" t="s">
        <v>35</v>
      </c>
      <c r="H126" s="1777" t="s">
        <v>35</v>
      </c>
      <c r="I126" s="1777" t="s">
        <v>35</v>
      </c>
      <c r="J126" s="1777" t="s">
        <v>35</v>
      </c>
      <c r="K126" s="1777" t="s">
        <v>35</v>
      </c>
      <c r="L126" s="1777" t="s">
        <v>35</v>
      </c>
      <c r="M126" s="1777" t="s">
        <v>35</v>
      </c>
      <c r="N126" s="1777" t="s">
        <v>35</v>
      </c>
      <c r="O126" s="1777" t="s">
        <v>35</v>
      </c>
      <c r="P126" s="1761"/>
      <c r="Q126" s="1761"/>
    </row>
    <row r="127" spans="1:17">
      <c r="A127" s="1783">
        <v>11.05</v>
      </c>
      <c r="B127" s="1783">
        <v>11.05</v>
      </c>
      <c r="C127" s="1783">
        <v>11.05</v>
      </c>
      <c r="D127" s="1772">
        <v>11.05</v>
      </c>
      <c r="E127" s="1772">
        <v>11.05</v>
      </c>
      <c r="F127" s="1772">
        <v>11.05</v>
      </c>
      <c r="G127" s="1772">
        <v>1.05</v>
      </c>
      <c r="H127" s="1772">
        <v>1.05</v>
      </c>
      <c r="I127" s="1772">
        <v>1.05</v>
      </c>
      <c r="J127" s="1772">
        <v>1.05</v>
      </c>
      <c r="K127" s="1774">
        <v>1.05</v>
      </c>
      <c r="L127" s="1775" t="s">
        <v>160</v>
      </c>
      <c r="M127" s="1775" t="s">
        <v>160</v>
      </c>
      <c r="N127" s="1775" t="s">
        <v>160</v>
      </c>
      <c r="O127" s="1775" t="s">
        <v>160</v>
      </c>
      <c r="P127" s="1761"/>
      <c r="Q127" s="1761"/>
    </row>
    <row r="128" spans="1:17">
      <c r="A128" s="1783">
        <v>11.06</v>
      </c>
      <c r="B128" s="1783">
        <v>11.06</v>
      </c>
      <c r="C128" s="1783">
        <v>11.06</v>
      </c>
      <c r="D128" s="1772">
        <v>11.06</v>
      </c>
      <c r="E128" s="1772">
        <v>11.06</v>
      </c>
      <c r="F128" s="1772">
        <v>11.06</v>
      </c>
      <c r="G128" s="1772">
        <v>1.06</v>
      </c>
      <c r="H128" s="1772">
        <v>1.06</v>
      </c>
      <c r="I128" s="1772">
        <v>1.06</v>
      </c>
      <c r="J128" s="1772">
        <v>1.06</v>
      </c>
      <c r="K128" s="1774">
        <v>1.06</v>
      </c>
      <c r="L128" s="1775" t="s">
        <v>161</v>
      </c>
      <c r="M128" s="1775" t="s">
        <v>161</v>
      </c>
      <c r="N128" s="1775" t="s">
        <v>161</v>
      </c>
      <c r="O128" s="1775" t="s">
        <v>161</v>
      </c>
      <c r="P128" s="1761"/>
      <c r="Q128" s="1761"/>
    </row>
    <row r="129" spans="1:17">
      <c r="A129" s="1783">
        <v>11.07</v>
      </c>
      <c r="B129" s="1783">
        <v>11.07</v>
      </c>
      <c r="C129" s="1783">
        <v>11.07</v>
      </c>
      <c r="D129" s="1772">
        <v>11.11</v>
      </c>
      <c r="E129" s="1772">
        <v>11.11</v>
      </c>
      <c r="F129" s="1772">
        <v>11.11</v>
      </c>
      <c r="G129" s="1772">
        <v>1.34</v>
      </c>
      <c r="H129" s="1772">
        <v>1.34</v>
      </c>
      <c r="I129" s="1772">
        <v>1.34</v>
      </c>
      <c r="J129" s="1772">
        <v>1.34</v>
      </c>
      <c r="K129" s="1774" t="s">
        <v>35</v>
      </c>
      <c r="L129" s="1778" t="s">
        <v>35</v>
      </c>
      <c r="M129" s="1778" t="s">
        <v>35</v>
      </c>
      <c r="N129" s="1778" t="s">
        <v>35</v>
      </c>
      <c r="O129" s="1778" t="s">
        <v>35</v>
      </c>
      <c r="P129" s="1761"/>
      <c r="Q129" s="1761"/>
    </row>
    <row r="130" spans="1:17">
      <c r="A130" s="1783">
        <v>11.08</v>
      </c>
      <c r="B130" s="1783">
        <v>11.08</v>
      </c>
      <c r="C130" s="1783">
        <v>11.08</v>
      </c>
      <c r="D130" s="1772">
        <v>11.08</v>
      </c>
      <c r="E130" s="1772">
        <v>11.08</v>
      </c>
      <c r="F130" s="1772">
        <v>11.08</v>
      </c>
      <c r="G130" s="1772">
        <v>1.36</v>
      </c>
      <c r="H130" s="1772">
        <v>1.36</v>
      </c>
      <c r="I130" s="1772">
        <v>1.36</v>
      </c>
      <c r="J130" s="1772">
        <v>1.36</v>
      </c>
      <c r="K130" s="1774" t="s">
        <v>35</v>
      </c>
      <c r="L130" s="1778" t="s">
        <v>35</v>
      </c>
      <c r="M130" s="1778" t="s">
        <v>35</v>
      </c>
      <c r="N130" s="1778" t="s">
        <v>35</v>
      </c>
      <c r="O130" s="1778" t="s">
        <v>35</v>
      </c>
      <c r="P130" s="1761"/>
      <c r="Q130" s="1761"/>
    </row>
    <row r="131" spans="1:17">
      <c r="A131" s="1782">
        <v>11.09</v>
      </c>
      <c r="B131" s="1782">
        <v>11.09</v>
      </c>
      <c r="C131" s="1782" t="s">
        <v>35</v>
      </c>
      <c r="D131" s="1777" t="s">
        <v>35</v>
      </c>
      <c r="E131" s="1777" t="s">
        <v>35</v>
      </c>
      <c r="F131" s="1777" t="s">
        <v>35</v>
      </c>
      <c r="G131" s="1777" t="s">
        <v>35</v>
      </c>
      <c r="H131" s="1777" t="s">
        <v>35</v>
      </c>
      <c r="I131" s="1777" t="s">
        <v>35</v>
      </c>
      <c r="J131" s="1777" t="s">
        <v>35</v>
      </c>
      <c r="K131" s="1777" t="s">
        <v>35</v>
      </c>
      <c r="L131" s="1777" t="s">
        <v>35</v>
      </c>
      <c r="M131" s="1777" t="s">
        <v>35</v>
      </c>
      <c r="N131" s="1777" t="s">
        <v>35</v>
      </c>
      <c r="O131" s="1777" t="s">
        <v>35</v>
      </c>
      <c r="P131" s="1761"/>
      <c r="Q131" s="1761"/>
    </row>
    <row r="132" spans="1:17">
      <c r="A132" s="1773" t="s">
        <v>49</v>
      </c>
      <c r="B132" s="1773" t="s">
        <v>49</v>
      </c>
      <c r="C132" s="1773" t="s">
        <v>49</v>
      </c>
      <c r="D132" s="1772">
        <v>11.17</v>
      </c>
      <c r="E132" s="1772">
        <v>11.17</v>
      </c>
      <c r="F132" s="1772">
        <v>11.17</v>
      </c>
      <c r="G132" s="1772">
        <v>1.49</v>
      </c>
      <c r="H132" s="1772">
        <v>1.49</v>
      </c>
      <c r="I132" s="1772" t="s">
        <v>35</v>
      </c>
      <c r="J132" s="1772" t="s">
        <v>35</v>
      </c>
      <c r="K132" s="1772" t="s">
        <v>35</v>
      </c>
      <c r="L132" s="1772" t="s">
        <v>35</v>
      </c>
      <c r="M132" s="1772" t="s">
        <v>35</v>
      </c>
      <c r="N132" s="1772" t="s">
        <v>35</v>
      </c>
      <c r="O132" s="1772" t="s">
        <v>35</v>
      </c>
      <c r="P132" s="1761"/>
      <c r="Q132" s="1761"/>
    </row>
    <row r="133" spans="1:17">
      <c r="A133" s="1773">
        <v>11.11</v>
      </c>
      <c r="B133" s="1773">
        <v>11.11</v>
      </c>
      <c r="C133" s="1773">
        <v>11.11</v>
      </c>
      <c r="D133" s="1772">
        <v>11.18</v>
      </c>
      <c r="E133" s="1772">
        <v>11.18</v>
      </c>
      <c r="F133" s="1772">
        <v>11.18</v>
      </c>
      <c r="G133" s="1772" t="s">
        <v>35</v>
      </c>
      <c r="H133" s="1772" t="s">
        <v>35</v>
      </c>
      <c r="I133" s="1772" t="s">
        <v>35</v>
      </c>
      <c r="J133" s="1772" t="s">
        <v>35</v>
      </c>
      <c r="K133" s="1772" t="s">
        <v>35</v>
      </c>
      <c r="L133" s="1772" t="s">
        <v>35</v>
      </c>
      <c r="M133" s="1772" t="s">
        <v>35</v>
      </c>
      <c r="N133" s="1772" t="s">
        <v>35</v>
      </c>
      <c r="O133" s="1772" t="s">
        <v>35</v>
      </c>
      <c r="P133" s="1761"/>
      <c r="Q133" s="1761"/>
    </row>
    <row r="134" spans="1:17">
      <c r="A134" s="1783">
        <v>11.12</v>
      </c>
      <c r="B134" s="1783">
        <v>11.12</v>
      </c>
      <c r="C134" s="1783">
        <v>11.12</v>
      </c>
      <c r="D134" s="1779">
        <v>11.12</v>
      </c>
      <c r="E134" s="1779">
        <v>11.12</v>
      </c>
      <c r="F134" s="1779">
        <v>11.12</v>
      </c>
      <c r="G134" s="1772">
        <v>1.48</v>
      </c>
      <c r="H134" s="1772">
        <v>1.48</v>
      </c>
      <c r="I134" s="1772" t="s">
        <v>35</v>
      </c>
      <c r="J134" s="1772" t="s">
        <v>35</v>
      </c>
      <c r="K134" s="1772" t="s">
        <v>35</v>
      </c>
      <c r="L134" s="1772" t="s">
        <v>35</v>
      </c>
      <c r="M134" s="1772" t="s">
        <v>35</v>
      </c>
      <c r="N134" s="1772" t="s">
        <v>35</v>
      </c>
      <c r="O134" s="1772" t="s">
        <v>35</v>
      </c>
      <c r="P134" s="1761"/>
      <c r="Q134" s="1761"/>
    </row>
    <row r="135" spans="1:17">
      <c r="A135" s="1783">
        <v>11.13</v>
      </c>
      <c r="B135" s="1783">
        <v>11.13</v>
      </c>
      <c r="C135" s="1783">
        <v>11.13</v>
      </c>
      <c r="D135" s="1772">
        <v>11.13</v>
      </c>
      <c r="E135" s="1772">
        <v>11.13</v>
      </c>
      <c r="F135" s="1772">
        <v>11.13</v>
      </c>
      <c r="G135" s="1772">
        <v>1.47</v>
      </c>
      <c r="H135" s="1772">
        <v>1.47</v>
      </c>
      <c r="I135" s="1772" t="s">
        <v>35</v>
      </c>
      <c r="J135" s="1772" t="s">
        <v>35</v>
      </c>
      <c r="K135" s="1772" t="s">
        <v>35</v>
      </c>
      <c r="L135" s="1772" t="s">
        <v>35</v>
      </c>
      <c r="M135" s="1772" t="s">
        <v>35</v>
      </c>
      <c r="N135" s="1772" t="s">
        <v>35</v>
      </c>
      <c r="O135" s="1772" t="s">
        <v>35</v>
      </c>
      <c r="P135" s="1761"/>
      <c r="Q135" s="1761"/>
    </row>
    <row r="136" spans="1:17">
      <c r="A136" s="1783">
        <v>11.14</v>
      </c>
      <c r="B136" s="1783">
        <v>11.14</v>
      </c>
      <c r="C136" s="1783">
        <v>11.14</v>
      </c>
      <c r="D136" s="1772">
        <v>11.14</v>
      </c>
      <c r="E136" s="1772">
        <v>11.14</v>
      </c>
      <c r="F136" s="1772">
        <v>11.14</v>
      </c>
      <c r="G136" s="1776">
        <v>2.0099999999999998</v>
      </c>
      <c r="H136" s="1777" t="s">
        <v>35</v>
      </c>
      <c r="I136" s="1777" t="s">
        <v>35</v>
      </c>
      <c r="J136" s="1777" t="s">
        <v>35</v>
      </c>
      <c r="K136" s="1777" t="s">
        <v>35</v>
      </c>
      <c r="L136" s="1777" t="s">
        <v>35</v>
      </c>
      <c r="M136" s="1777" t="s">
        <v>35</v>
      </c>
      <c r="N136" s="1777" t="s">
        <v>35</v>
      </c>
      <c r="O136" s="1777" t="s">
        <v>35</v>
      </c>
      <c r="P136" s="1761"/>
      <c r="Q136" s="1761"/>
    </row>
    <row r="137" spans="1:17">
      <c r="A137" s="1782">
        <v>11.15</v>
      </c>
      <c r="B137" s="1782">
        <v>11.15</v>
      </c>
      <c r="C137" s="1782">
        <v>11.15</v>
      </c>
      <c r="D137" s="1776">
        <v>11.15</v>
      </c>
      <c r="E137" s="1776">
        <v>11.15</v>
      </c>
      <c r="F137" s="1776">
        <v>11.15</v>
      </c>
      <c r="G137" s="1772">
        <v>2.02</v>
      </c>
      <c r="H137" s="1772">
        <v>2.12</v>
      </c>
      <c r="I137" s="1772">
        <v>2.12</v>
      </c>
      <c r="J137" s="1772" t="s">
        <v>35</v>
      </c>
      <c r="K137" s="1772" t="s">
        <v>35</v>
      </c>
      <c r="L137" s="1772" t="s">
        <v>35</v>
      </c>
      <c r="M137" s="1772" t="s">
        <v>35</v>
      </c>
      <c r="N137" s="1772" t="s">
        <v>35</v>
      </c>
      <c r="O137" s="1772" t="s">
        <v>35</v>
      </c>
      <c r="P137" s="1761"/>
      <c r="Q137" s="1761"/>
    </row>
    <row r="138" spans="1:17">
      <c r="A138" s="1782">
        <v>11.16</v>
      </c>
      <c r="B138" s="1782">
        <v>11.16</v>
      </c>
      <c r="C138" s="1782" t="s">
        <v>35</v>
      </c>
      <c r="D138" s="1777" t="s">
        <v>35</v>
      </c>
      <c r="E138" s="1777" t="s">
        <v>35</v>
      </c>
      <c r="F138" s="1777" t="s">
        <v>35</v>
      </c>
      <c r="G138" s="1777" t="s">
        <v>35</v>
      </c>
      <c r="H138" s="1777" t="s">
        <v>35</v>
      </c>
      <c r="I138" s="1777" t="s">
        <v>35</v>
      </c>
      <c r="J138" s="1777" t="s">
        <v>35</v>
      </c>
      <c r="K138" s="1777" t="s">
        <v>35</v>
      </c>
      <c r="L138" s="1777" t="s">
        <v>35</v>
      </c>
      <c r="M138" s="1777" t="s">
        <v>35</v>
      </c>
      <c r="N138" s="1777" t="s">
        <v>35</v>
      </c>
      <c r="O138" s="1777" t="s">
        <v>35</v>
      </c>
      <c r="P138" s="1761"/>
      <c r="Q138" s="1761"/>
    </row>
    <row r="139" spans="1:17">
      <c r="A139" s="1775">
        <v>11.17</v>
      </c>
      <c r="B139" s="1775">
        <v>11.17</v>
      </c>
      <c r="C139" s="1775">
        <v>11.17</v>
      </c>
      <c r="D139" s="1772">
        <v>11.19</v>
      </c>
      <c r="E139" s="1772">
        <v>11.19</v>
      </c>
      <c r="F139" s="1772" t="s">
        <v>35</v>
      </c>
      <c r="G139" s="1772" t="s">
        <v>35</v>
      </c>
      <c r="H139" s="1772" t="s">
        <v>35</v>
      </c>
      <c r="I139" s="1772" t="s">
        <v>35</v>
      </c>
      <c r="J139" s="1772" t="s">
        <v>35</v>
      </c>
      <c r="K139" s="1772" t="s">
        <v>35</v>
      </c>
      <c r="L139" s="1772" t="s">
        <v>35</v>
      </c>
      <c r="M139" s="1772" t="s">
        <v>35</v>
      </c>
      <c r="N139" s="1772" t="s">
        <v>35</v>
      </c>
      <c r="O139" s="1772" t="s">
        <v>35</v>
      </c>
      <c r="P139" s="1761"/>
      <c r="Q139" s="1761"/>
    </row>
    <row r="140" spans="1:17">
      <c r="A140" s="1772" t="s">
        <v>35</v>
      </c>
      <c r="B140" s="1772" t="s">
        <v>35</v>
      </c>
      <c r="C140" s="1772">
        <v>1.1399999999999999</v>
      </c>
      <c r="D140" s="1772">
        <v>1.1399999999999999</v>
      </c>
      <c r="E140" s="1772" t="s">
        <v>35</v>
      </c>
      <c r="F140" s="1772" t="s">
        <v>35</v>
      </c>
      <c r="G140" s="1772" t="s">
        <v>35</v>
      </c>
      <c r="H140" s="1772" t="s">
        <v>35</v>
      </c>
      <c r="I140" s="1772" t="s">
        <v>35</v>
      </c>
      <c r="J140" s="1772" t="s">
        <v>35</v>
      </c>
      <c r="K140" s="1774" t="s">
        <v>35</v>
      </c>
      <c r="L140" s="1774" t="s">
        <v>35</v>
      </c>
      <c r="M140" s="1774" t="s">
        <v>35</v>
      </c>
      <c r="N140" s="1774" t="s">
        <v>35</v>
      </c>
      <c r="O140" s="1774" t="s">
        <v>35</v>
      </c>
      <c r="P140" s="1761"/>
      <c r="Q140" s="1761"/>
    </row>
    <row r="141" spans="1:17">
      <c r="A141" s="1772" t="s">
        <v>35</v>
      </c>
      <c r="B141" s="1772" t="s">
        <v>35</v>
      </c>
      <c r="C141" s="1772">
        <v>1.1499999999999999</v>
      </c>
      <c r="D141" s="1772">
        <v>1.1499999999999999</v>
      </c>
      <c r="E141" s="1777" t="s">
        <v>35</v>
      </c>
      <c r="F141" s="1777" t="s">
        <v>35</v>
      </c>
      <c r="G141" s="1777" t="s">
        <v>35</v>
      </c>
      <c r="H141" s="1777" t="s">
        <v>35</v>
      </c>
      <c r="I141" s="1777" t="s">
        <v>35</v>
      </c>
      <c r="J141" s="1777" t="s">
        <v>35</v>
      </c>
      <c r="K141" s="1775" t="s">
        <v>35</v>
      </c>
      <c r="L141" s="1775" t="s">
        <v>35</v>
      </c>
      <c r="M141" s="1775" t="s">
        <v>35</v>
      </c>
      <c r="N141" s="1775" t="s">
        <v>35</v>
      </c>
      <c r="O141" s="1775" t="s">
        <v>35</v>
      </c>
      <c r="P141" s="1761"/>
      <c r="Q141" s="1761"/>
    </row>
    <row r="142" spans="1:17">
      <c r="A142" s="1777" t="s">
        <v>35</v>
      </c>
      <c r="B142" s="1777" t="s">
        <v>35</v>
      </c>
      <c r="C142" s="1777">
        <v>2.08</v>
      </c>
      <c r="D142" s="1777">
        <v>2.08</v>
      </c>
      <c r="E142" s="1777">
        <v>2.08</v>
      </c>
      <c r="F142" s="1777">
        <v>2.08</v>
      </c>
      <c r="G142" s="1777">
        <v>2.08</v>
      </c>
      <c r="H142" s="1777">
        <v>2.08</v>
      </c>
      <c r="I142" s="1777">
        <v>2.08</v>
      </c>
      <c r="J142" s="1777">
        <v>2.08</v>
      </c>
      <c r="K142" s="1775">
        <v>2.08</v>
      </c>
      <c r="L142" s="1775" t="s">
        <v>51</v>
      </c>
      <c r="M142" s="1775" t="s">
        <v>51</v>
      </c>
      <c r="N142" s="1775" t="s">
        <v>194</v>
      </c>
      <c r="O142" s="1775" t="s">
        <v>35</v>
      </c>
      <c r="P142" s="1761"/>
      <c r="Q142" s="1761"/>
    </row>
    <row r="143" spans="1:17">
      <c r="A143" s="1777" t="s">
        <v>35</v>
      </c>
      <c r="B143" s="1777" t="s">
        <v>35</v>
      </c>
      <c r="C143" s="1777" t="s">
        <v>54</v>
      </c>
      <c r="D143" s="1785" t="s">
        <v>54</v>
      </c>
      <c r="E143" s="1785" t="s">
        <v>54</v>
      </c>
      <c r="F143" s="1785" t="s">
        <v>54</v>
      </c>
      <c r="G143" s="1780" t="s">
        <v>54</v>
      </c>
      <c r="H143" s="1780" t="s">
        <v>54</v>
      </c>
      <c r="I143" s="1780" t="s">
        <v>54</v>
      </c>
      <c r="J143" s="1780" t="s">
        <v>54</v>
      </c>
      <c r="K143" s="1774" t="s">
        <v>35</v>
      </c>
      <c r="L143" s="1778" t="s">
        <v>35</v>
      </c>
      <c r="M143" s="1778" t="s">
        <v>35</v>
      </c>
      <c r="N143" s="1778" t="s">
        <v>35</v>
      </c>
      <c r="O143" s="1778" t="s">
        <v>35</v>
      </c>
      <c r="P143" s="1761"/>
      <c r="Q143" s="1761"/>
    </row>
    <row r="144" spans="1:17">
      <c r="A144" s="1777" t="s">
        <v>35</v>
      </c>
      <c r="B144" s="1777" t="s">
        <v>35</v>
      </c>
      <c r="C144" s="1777">
        <v>2.23</v>
      </c>
      <c r="D144" s="1772">
        <v>2.23</v>
      </c>
      <c r="E144" s="1772">
        <v>2.23</v>
      </c>
      <c r="F144" s="1772">
        <v>2.23</v>
      </c>
      <c r="G144" s="1772">
        <v>1.4</v>
      </c>
      <c r="H144" s="1772">
        <v>1.4</v>
      </c>
      <c r="I144" s="1772">
        <v>1.4</v>
      </c>
      <c r="J144" s="1772">
        <v>1.4</v>
      </c>
      <c r="K144" s="1774" t="s">
        <v>35</v>
      </c>
      <c r="L144" s="1775" t="s">
        <v>169</v>
      </c>
      <c r="M144" s="1775" t="s">
        <v>169</v>
      </c>
      <c r="N144" s="1775" t="s">
        <v>169</v>
      </c>
      <c r="O144" s="1775" t="s">
        <v>169</v>
      </c>
      <c r="P144" s="1761"/>
      <c r="Q144" s="1761"/>
    </row>
    <row r="145" spans="1:17">
      <c r="A145" s="1777" t="s">
        <v>35</v>
      </c>
      <c r="B145" s="1777" t="s">
        <v>35</v>
      </c>
      <c r="C145" s="1777">
        <v>3.11</v>
      </c>
      <c r="D145" s="1772">
        <v>3.11</v>
      </c>
      <c r="E145" s="1772">
        <v>3.11</v>
      </c>
      <c r="F145" s="1772">
        <v>3.11</v>
      </c>
      <c r="G145" s="1772">
        <v>1.1200000000000001</v>
      </c>
      <c r="H145" s="1772">
        <v>1.1200000000000001</v>
      </c>
      <c r="I145" s="1772">
        <v>1.1200000000000001</v>
      </c>
      <c r="J145" s="1772">
        <v>1.1200000000000001</v>
      </c>
      <c r="K145" s="1774">
        <v>1.1200000000000001</v>
      </c>
      <c r="L145" s="1775" t="s">
        <v>165</v>
      </c>
      <c r="M145" s="1775" t="s">
        <v>165</v>
      </c>
      <c r="N145" s="1775" t="s">
        <v>165</v>
      </c>
      <c r="O145" s="1775" t="s">
        <v>165</v>
      </c>
      <c r="P145" s="1761"/>
      <c r="Q145" s="1761"/>
    </row>
    <row r="146" spans="1:17">
      <c r="A146" s="1777" t="s">
        <v>35</v>
      </c>
      <c r="B146" s="1777" t="s">
        <v>35</v>
      </c>
      <c r="C146" s="1776">
        <v>4.0599999999999996</v>
      </c>
      <c r="D146" s="1777">
        <v>4.1100000000000003</v>
      </c>
      <c r="E146" s="1777">
        <v>4.1100000000000003</v>
      </c>
      <c r="F146" s="1777">
        <v>4.1100000000000003</v>
      </c>
      <c r="G146" s="1772">
        <v>4.13</v>
      </c>
      <c r="H146" s="1772">
        <v>4.13</v>
      </c>
      <c r="I146" s="1772">
        <v>4.13</v>
      </c>
      <c r="J146" s="1772" t="s">
        <v>35</v>
      </c>
      <c r="K146" s="1772" t="s">
        <v>35</v>
      </c>
      <c r="L146" s="1772" t="s">
        <v>35</v>
      </c>
      <c r="M146" s="1772" t="s">
        <v>35</v>
      </c>
      <c r="N146" s="1772" t="s">
        <v>35</v>
      </c>
      <c r="O146" s="1772" t="s">
        <v>35</v>
      </c>
      <c r="P146" s="1761"/>
      <c r="Q146" s="1761"/>
    </row>
    <row r="147" spans="1:17">
      <c r="A147" s="1777" t="s">
        <v>35</v>
      </c>
      <c r="B147" s="1777" t="s">
        <v>35</v>
      </c>
      <c r="C147" s="1777">
        <v>4.07</v>
      </c>
      <c r="D147" s="1776">
        <v>4.07</v>
      </c>
      <c r="E147" s="1776">
        <v>4.07</v>
      </c>
      <c r="F147" s="1776">
        <v>4.07</v>
      </c>
      <c r="G147" s="1777">
        <v>4.07</v>
      </c>
      <c r="H147" s="1777">
        <v>4.07</v>
      </c>
      <c r="I147" s="1777">
        <v>4.07</v>
      </c>
      <c r="J147" s="1777">
        <v>4.07</v>
      </c>
      <c r="K147" s="1775">
        <v>4.07</v>
      </c>
      <c r="L147" s="1775" t="s">
        <v>75</v>
      </c>
      <c r="M147" s="1775" t="s">
        <v>75</v>
      </c>
      <c r="N147" s="1775" t="s">
        <v>35</v>
      </c>
      <c r="O147" s="1775" t="s">
        <v>35</v>
      </c>
      <c r="P147" s="1761"/>
      <c r="Q147" s="1761"/>
    </row>
    <row r="148" spans="1:17">
      <c r="A148" s="1777" t="s">
        <v>35</v>
      </c>
      <c r="B148" s="1777" t="s">
        <v>35</v>
      </c>
      <c r="C148" s="1776">
        <v>8.1300000000000008</v>
      </c>
      <c r="D148" s="1772">
        <v>8.1300000000000008</v>
      </c>
      <c r="E148" s="1777" t="s">
        <v>35</v>
      </c>
      <c r="F148" s="1777" t="s">
        <v>35</v>
      </c>
      <c r="G148" s="1777" t="s">
        <v>35</v>
      </c>
      <c r="H148" s="1777" t="s">
        <v>35</v>
      </c>
      <c r="I148" s="1777" t="s">
        <v>35</v>
      </c>
      <c r="J148" s="1777" t="s">
        <v>35</v>
      </c>
      <c r="K148" s="1775" t="s">
        <v>35</v>
      </c>
      <c r="L148" s="1775" t="s">
        <v>35</v>
      </c>
      <c r="M148" s="1775" t="s">
        <v>35</v>
      </c>
      <c r="N148" s="1775" t="s">
        <v>35</v>
      </c>
      <c r="O148" s="1775" t="s">
        <v>35</v>
      </c>
      <c r="P148" s="1761"/>
      <c r="Q148" s="1761"/>
    </row>
    <row r="149" spans="1:17">
      <c r="A149" s="1777" t="s">
        <v>35</v>
      </c>
      <c r="B149" s="1777" t="s">
        <v>35</v>
      </c>
      <c r="C149" s="1776" t="s">
        <v>126</v>
      </c>
      <c r="D149" s="1772" t="s">
        <v>126</v>
      </c>
      <c r="E149" s="1772" t="s">
        <v>126</v>
      </c>
      <c r="F149" s="1772" t="s">
        <v>126</v>
      </c>
      <c r="G149" s="1772">
        <v>9.1999999999999993</v>
      </c>
      <c r="H149" s="1772">
        <v>9.1999999999999993</v>
      </c>
      <c r="I149" s="1772" t="s">
        <v>35</v>
      </c>
      <c r="J149" s="1772" t="s">
        <v>35</v>
      </c>
      <c r="K149" s="1772" t="s">
        <v>35</v>
      </c>
      <c r="L149" s="1772" t="s">
        <v>35</v>
      </c>
      <c r="M149" s="1772" t="s">
        <v>35</v>
      </c>
      <c r="N149" s="1772" t="s">
        <v>35</v>
      </c>
      <c r="O149" s="1772" t="s">
        <v>35</v>
      </c>
      <c r="P149" s="1761"/>
      <c r="Q149" s="1761"/>
    </row>
    <row r="150" spans="1:17">
      <c r="A150" s="1777" t="s">
        <v>35</v>
      </c>
      <c r="B150" s="1777" t="s">
        <v>35</v>
      </c>
      <c r="C150" s="1776">
        <v>11.04</v>
      </c>
      <c r="D150" s="1772">
        <v>11.04</v>
      </c>
      <c r="E150" s="1772">
        <v>11.04</v>
      </c>
      <c r="F150" s="1772">
        <v>11.04</v>
      </c>
      <c r="G150" s="1772">
        <v>1.04</v>
      </c>
      <c r="H150" s="1772">
        <v>1.04</v>
      </c>
      <c r="I150" s="1772">
        <v>1.04</v>
      </c>
      <c r="J150" s="1772">
        <v>1.04</v>
      </c>
      <c r="K150" s="1774">
        <v>1.04</v>
      </c>
      <c r="L150" s="1775" t="s">
        <v>157</v>
      </c>
      <c r="M150" s="1775" t="s">
        <v>157</v>
      </c>
      <c r="N150" s="1775" t="s">
        <v>157</v>
      </c>
      <c r="O150" s="1775" t="s">
        <v>157</v>
      </c>
      <c r="P150" s="1761"/>
      <c r="Q150" s="1761"/>
    </row>
    <row r="151" spans="1:17" ht="9.75" customHeight="1">
      <c r="A151" s="1777" t="s">
        <v>35</v>
      </c>
      <c r="B151" s="1777" t="s">
        <v>35</v>
      </c>
      <c r="C151" s="1776">
        <v>11.09</v>
      </c>
      <c r="D151" s="1772">
        <v>11.07</v>
      </c>
      <c r="E151" s="1772">
        <v>11.07</v>
      </c>
      <c r="F151" s="1772">
        <v>11.07</v>
      </c>
      <c r="G151" s="1772">
        <v>1.35</v>
      </c>
      <c r="H151" s="1772">
        <v>1.35</v>
      </c>
      <c r="I151" s="1772">
        <v>1.35</v>
      </c>
      <c r="J151" s="1772">
        <v>1.35</v>
      </c>
      <c r="K151" s="1774" t="s">
        <v>35</v>
      </c>
      <c r="L151" s="1778" t="s">
        <v>35</v>
      </c>
      <c r="M151" s="1778" t="s">
        <v>35</v>
      </c>
      <c r="N151" s="1778" t="s">
        <v>35</v>
      </c>
      <c r="O151" s="1778" t="s">
        <v>35</v>
      </c>
      <c r="P151" s="1761"/>
      <c r="Q151" s="1761"/>
    </row>
    <row r="152" spans="1:17" ht="9.75" customHeight="1">
      <c r="A152" s="1777" t="s">
        <v>35</v>
      </c>
      <c r="B152" s="1777" t="s">
        <v>35</v>
      </c>
      <c r="C152" s="1777" t="s">
        <v>35</v>
      </c>
      <c r="D152" s="1776">
        <v>4.0599999999999996</v>
      </c>
      <c r="E152" s="1776">
        <v>4.0599999999999996</v>
      </c>
      <c r="F152" s="1776">
        <v>4.0599999999999996</v>
      </c>
      <c r="G152" s="1777">
        <v>4.0599999999999996</v>
      </c>
      <c r="H152" s="1777">
        <v>4.0599999999999996</v>
      </c>
      <c r="I152" s="1777">
        <v>4.0599999999999996</v>
      </c>
      <c r="J152" s="1777">
        <v>4.0599999999999996</v>
      </c>
      <c r="K152" s="1775">
        <v>4.0599999999999996</v>
      </c>
      <c r="L152" s="1775" t="s">
        <v>111</v>
      </c>
      <c r="M152" s="1775" t="s">
        <v>111</v>
      </c>
      <c r="N152" s="1775" t="s">
        <v>110</v>
      </c>
      <c r="O152" s="1775" t="s">
        <v>110</v>
      </c>
      <c r="P152" s="1761"/>
      <c r="Q152" s="1761"/>
    </row>
    <row r="153" spans="1:17">
      <c r="A153" s="1777" t="s">
        <v>35</v>
      </c>
      <c r="B153" s="1777" t="s">
        <v>35</v>
      </c>
      <c r="C153" s="1777" t="s">
        <v>35</v>
      </c>
      <c r="D153" s="1776">
        <v>4.09</v>
      </c>
      <c r="E153" s="1776">
        <v>4.09</v>
      </c>
      <c r="F153" s="1776">
        <v>4.09</v>
      </c>
      <c r="G153" s="1777">
        <v>4.09</v>
      </c>
      <c r="H153" s="1777">
        <v>4.09</v>
      </c>
      <c r="I153" s="1777">
        <v>4.09</v>
      </c>
      <c r="J153" s="1777">
        <v>4.09</v>
      </c>
      <c r="K153" s="1775">
        <v>4.09</v>
      </c>
      <c r="L153" s="1775" t="s">
        <v>103</v>
      </c>
      <c r="M153" s="1775" t="s">
        <v>103</v>
      </c>
      <c r="N153" s="1775" t="s">
        <v>78</v>
      </c>
      <c r="O153" s="1775" t="s">
        <v>78</v>
      </c>
      <c r="P153" s="1761"/>
      <c r="Q153" s="1761"/>
    </row>
    <row r="154" spans="1:17">
      <c r="A154" s="1777" t="s">
        <v>35</v>
      </c>
      <c r="B154" s="1777" t="s">
        <v>35</v>
      </c>
      <c r="C154" s="1777" t="s">
        <v>35</v>
      </c>
      <c r="D154" s="1772">
        <v>9.16</v>
      </c>
      <c r="E154" s="1772">
        <v>9.16</v>
      </c>
      <c r="F154" s="1772">
        <v>9.16</v>
      </c>
      <c r="G154" s="1772">
        <v>9.16</v>
      </c>
      <c r="H154" s="1772">
        <v>9.16</v>
      </c>
      <c r="I154" s="1772">
        <v>9.16</v>
      </c>
      <c r="J154" s="1772">
        <v>9.16</v>
      </c>
      <c r="K154" s="1774">
        <v>9.1</v>
      </c>
      <c r="L154" s="1775" t="s">
        <v>29</v>
      </c>
      <c r="M154" s="1775" t="s">
        <v>29</v>
      </c>
      <c r="N154" s="1775" t="s">
        <v>29</v>
      </c>
      <c r="O154" s="1775" t="s">
        <v>28</v>
      </c>
      <c r="P154" s="1761"/>
      <c r="Q154" s="1761"/>
    </row>
    <row r="155" spans="1:17">
      <c r="A155" s="1777" t="s">
        <v>35</v>
      </c>
      <c r="B155" s="1777" t="s">
        <v>35</v>
      </c>
      <c r="C155" s="1777" t="s">
        <v>35</v>
      </c>
      <c r="D155" s="1772">
        <v>11.09</v>
      </c>
      <c r="E155" s="1772">
        <v>11.09</v>
      </c>
      <c r="F155" s="1772">
        <v>11.09</v>
      </c>
      <c r="G155" s="1772">
        <v>1.37</v>
      </c>
      <c r="H155" s="1772">
        <v>1.37</v>
      </c>
      <c r="I155" s="1772">
        <v>1.37</v>
      </c>
      <c r="J155" s="1772">
        <v>1.37</v>
      </c>
      <c r="K155" s="1774" t="s">
        <v>35</v>
      </c>
      <c r="L155" s="1778" t="s">
        <v>35</v>
      </c>
      <c r="M155" s="1778" t="s">
        <v>35</v>
      </c>
      <c r="N155" s="1778" t="s">
        <v>35</v>
      </c>
      <c r="O155" s="1778" t="s">
        <v>35</v>
      </c>
      <c r="P155" s="1761"/>
      <c r="Q155" s="1761"/>
    </row>
    <row r="156" spans="1:17">
      <c r="A156" s="1777" t="s">
        <v>35</v>
      </c>
      <c r="B156" s="1777" t="s">
        <v>35</v>
      </c>
      <c r="C156" s="1777" t="s">
        <v>35</v>
      </c>
      <c r="D156" s="1772" t="s">
        <v>49</v>
      </c>
      <c r="E156" s="1772" t="s">
        <v>49</v>
      </c>
      <c r="F156" s="1772" t="s">
        <v>49</v>
      </c>
      <c r="G156" s="1772">
        <v>1.38</v>
      </c>
      <c r="H156" s="1772">
        <v>1.38</v>
      </c>
      <c r="I156" s="1772">
        <v>1.38</v>
      </c>
      <c r="J156" s="1772">
        <v>1.38</v>
      </c>
      <c r="K156" s="1774" t="s">
        <v>35</v>
      </c>
      <c r="L156" s="1778" t="s">
        <v>35</v>
      </c>
      <c r="M156" s="1778" t="s">
        <v>35</v>
      </c>
      <c r="N156" s="1778" t="s">
        <v>35</v>
      </c>
      <c r="O156" s="1778" t="s">
        <v>35</v>
      </c>
      <c r="P156" s="1761"/>
      <c r="Q156" s="1761"/>
    </row>
    <row r="157" spans="1:17">
      <c r="A157" s="1777" t="s">
        <v>35</v>
      </c>
      <c r="B157" s="1777" t="s">
        <v>35</v>
      </c>
      <c r="C157" s="1777" t="s">
        <v>35</v>
      </c>
      <c r="D157" s="1782" t="s">
        <v>35</v>
      </c>
      <c r="E157" s="1782" t="s">
        <v>35</v>
      </c>
      <c r="F157" s="1782" t="s">
        <v>35</v>
      </c>
      <c r="G157" s="1769">
        <v>1.44</v>
      </c>
      <c r="H157" s="1769">
        <v>1.44</v>
      </c>
      <c r="I157" s="1769">
        <v>1.44</v>
      </c>
      <c r="J157" s="1769" t="s">
        <v>35</v>
      </c>
      <c r="K157" s="1769" t="s">
        <v>35</v>
      </c>
      <c r="L157" s="1769" t="s">
        <v>35</v>
      </c>
      <c r="M157" s="1769" t="s">
        <v>35</v>
      </c>
      <c r="N157" s="1769" t="s">
        <v>35</v>
      </c>
      <c r="O157" s="1769" t="s">
        <v>35</v>
      </c>
      <c r="P157" s="1761"/>
      <c r="Q157" s="1761"/>
    </row>
    <row r="158" spans="1:17">
      <c r="A158" s="1777" t="s">
        <v>35</v>
      </c>
      <c r="B158" s="1777" t="s">
        <v>35</v>
      </c>
      <c r="C158" s="1777" t="s">
        <v>35</v>
      </c>
      <c r="D158" s="1772" t="s">
        <v>35</v>
      </c>
      <c r="E158" s="1772" t="s">
        <v>35</v>
      </c>
      <c r="F158" s="1772" t="s">
        <v>35</v>
      </c>
      <c r="G158" s="1772">
        <v>1.45</v>
      </c>
      <c r="H158" s="1772">
        <v>1.45</v>
      </c>
      <c r="I158" s="1772" t="s">
        <v>35</v>
      </c>
      <c r="J158" s="1772" t="s">
        <v>35</v>
      </c>
      <c r="K158" s="1772" t="s">
        <v>35</v>
      </c>
      <c r="L158" s="1772" t="s">
        <v>35</v>
      </c>
      <c r="M158" s="1772" t="s">
        <v>35</v>
      </c>
      <c r="N158" s="1772" t="s">
        <v>35</v>
      </c>
      <c r="O158" s="1772" t="s">
        <v>35</v>
      </c>
      <c r="P158" s="1761"/>
      <c r="Q158" s="1761"/>
    </row>
    <row r="159" spans="1:17">
      <c r="A159" s="1777" t="s">
        <v>35</v>
      </c>
      <c r="B159" s="1777" t="s">
        <v>35</v>
      </c>
      <c r="C159" s="1777" t="s">
        <v>35</v>
      </c>
      <c r="D159" s="1772" t="s">
        <v>35</v>
      </c>
      <c r="E159" s="1772" t="s">
        <v>35</v>
      </c>
      <c r="F159" s="1772" t="s">
        <v>35</v>
      </c>
      <c r="G159" s="1772">
        <v>1.46</v>
      </c>
      <c r="H159" s="1772">
        <v>1.46</v>
      </c>
      <c r="I159" s="1772" t="s">
        <v>35</v>
      </c>
      <c r="J159" s="1772" t="s">
        <v>35</v>
      </c>
      <c r="K159" s="1772" t="s">
        <v>35</v>
      </c>
      <c r="L159" s="1772" t="s">
        <v>35</v>
      </c>
      <c r="M159" s="1772" t="s">
        <v>35</v>
      </c>
      <c r="N159" s="1772" t="s">
        <v>35</v>
      </c>
      <c r="O159" s="1772" t="s">
        <v>35</v>
      </c>
      <c r="P159" s="1761"/>
      <c r="Q159" s="1761"/>
    </row>
    <row r="160" spans="1:17">
      <c r="A160" s="1777" t="s">
        <v>35</v>
      </c>
      <c r="B160" s="1777" t="s">
        <v>35</v>
      </c>
      <c r="C160" s="1777" t="s">
        <v>35</v>
      </c>
      <c r="D160" s="1778" t="s">
        <v>35</v>
      </c>
      <c r="E160" s="1778" t="s">
        <v>35</v>
      </c>
      <c r="F160" s="1778" t="s">
        <v>35</v>
      </c>
      <c r="G160" s="1777">
        <v>3.01</v>
      </c>
      <c r="H160" s="1777">
        <v>3.01</v>
      </c>
      <c r="I160" s="1777">
        <v>3.01</v>
      </c>
      <c r="J160" s="1777">
        <v>3.01</v>
      </c>
      <c r="K160" s="1775">
        <v>3.01</v>
      </c>
      <c r="L160" s="1775" t="s">
        <v>112</v>
      </c>
      <c r="M160" s="1775" t="s">
        <v>112</v>
      </c>
      <c r="N160" s="1775" t="s">
        <v>57</v>
      </c>
      <c r="O160" s="1775" t="s">
        <v>58</v>
      </c>
      <c r="P160" s="1761"/>
      <c r="Q160" s="1761"/>
    </row>
    <row r="161" spans="1:17">
      <c r="A161" s="1777" t="s">
        <v>35</v>
      </c>
      <c r="B161" s="1777" t="s">
        <v>35</v>
      </c>
      <c r="C161" s="1777" t="s">
        <v>35</v>
      </c>
      <c r="D161" s="1778" t="s">
        <v>35</v>
      </c>
      <c r="E161" s="1778" t="s">
        <v>35</v>
      </c>
      <c r="F161" s="1778" t="s">
        <v>35</v>
      </c>
      <c r="G161" s="1777">
        <v>3.02</v>
      </c>
      <c r="H161" s="1777">
        <v>3.02</v>
      </c>
      <c r="I161" s="1777">
        <v>3.02</v>
      </c>
      <c r="J161" s="1777">
        <v>3.02</v>
      </c>
      <c r="K161" s="1775">
        <v>3.02</v>
      </c>
      <c r="L161" s="1778" t="s">
        <v>35</v>
      </c>
      <c r="M161" s="1778" t="s">
        <v>35</v>
      </c>
      <c r="N161" s="1778" t="s">
        <v>35</v>
      </c>
      <c r="O161" s="1778" t="s">
        <v>35</v>
      </c>
      <c r="P161" s="1761"/>
      <c r="Q161" s="1761"/>
    </row>
    <row r="162" spans="1:17">
      <c r="A162" s="1777" t="s">
        <v>35</v>
      </c>
      <c r="B162" s="1777" t="s">
        <v>35</v>
      </c>
      <c r="C162" s="1777" t="s">
        <v>35</v>
      </c>
      <c r="D162" s="1778" t="s">
        <v>35</v>
      </c>
      <c r="E162" s="1778" t="s">
        <v>35</v>
      </c>
      <c r="F162" s="1778" t="s">
        <v>35</v>
      </c>
      <c r="G162" s="1777">
        <v>3.03</v>
      </c>
      <c r="H162" s="1777">
        <v>3.03</v>
      </c>
      <c r="I162" s="1777">
        <v>3.03</v>
      </c>
      <c r="J162" s="1777">
        <v>3.03</v>
      </c>
      <c r="K162" s="1775">
        <v>3.03</v>
      </c>
      <c r="L162" s="1775" t="s">
        <v>113</v>
      </c>
      <c r="M162" s="1775" t="s">
        <v>113</v>
      </c>
      <c r="N162" s="1775" t="s">
        <v>35</v>
      </c>
      <c r="O162" s="1775" t="s">
        <v>35</v>
      </c>
      <c r="P162" s="1761"/>
      <c r="Q162" s="1761"/>
    </row>
    <row r="163" spans="1:17">
      <c r="A163" s="1777" t="s">
        <v>35</v>
      </c>
      <c r="B163" s="1777" t="s">
        <v>35</v>
      </c>
      <c r="C163" s="1777" t="s">
        <v>35</v>
      </c>
      <c r="D163" s="1778" t="s">
        <v>35</v>
      </c>
      <c r="E163" s="1778" t="s">
        <v>35</v>
      </c>
      <c r="F163" s="1778" t="s">
        <v>35</v>
      </c>
      <c r="G163" s="1777">
        <v>3.05</v>
      </c>
      <c r="H163" s="1777">
        <v>3.05</v>
      </c>
      <c r="I163" s="1777">
        <v>3.05</v>
      </c>
      <c r="J163" s="1777">
        <v>3.05</v>
      </c>
      <c r="K163" s="1775">
        <v>3.05</v>
      </c>
      <c r="L163" s="1775" t="s">
        <v>114</v>
      </c>
      <c r="M163" s="1775" t="s">
        <v>114</v>
      </c>
      <c r="N163" s="1775" t="s">
        <v>35</v>
      </c>
      <c r="O163" s="1775" t="s">
        <v>35</v>
      </c>
      <c r="P163" s="1761"/>
      <c r="Q163" s="1761"/>
    </row>
    <row r="164" spans="1:17">
      <c r="A164" s="1777" t="s">
        <v>35</v>
      </c>
      <c r="B164" s="1777" t="s">
        <v>35</v>
      </c>
      <c r="C164" s="1777" t="s">
        <v>35</v>
      </c>
      <c r="D164" s="1777" t="s">
        <v>35</v>
      </c>
      <c r="E164" s="1777" t="s">
        <v>35</v>
      </c>
      <c r="F164" s="1777" t="s">
        <v>35</v>
      </c>
      <c r="G164" s="1777">
        <v>3.06</v>
      </c>
      <c r="H164" s="1777">
        <v>3.06</v>
      </c>
      <c r="I164" s="1777">
        <v>3.06</v>
      </c>
      <c r="J164" s="1777">
        <v>3.06</v>
      </c>
      <c r="K164" s="1775">
        <v>3.06</v>
      </c>
      <c r="L164" s="1778" t="s">
        <v>35</v>
      </c>
      <c r="M164" s="1778" t="s">
        <v>35</v>
      </c>
      <c r="N164" s="1778" t="s">
        <v>35</v>
      </c>
      <c r="O164" s="1778" t="s">
        <v>35</v>
      </c>
      <c r="P164" s="1761"/>
      <c r="Q164" s="1761"/>
    </row>
    <row r="165" spans="1:17">
      <c r="A165" s="1777" t="s">
        <v>35</v>
      </c>
      <c r="B165" s="1777" t="s">
        <v>35</v>
      </c>
      <c r="C165" s="1777" t="s">
        <v>35</v>
      </c>
      <c r="D165" s="1772" t="s">
        <v>35</v>
      </c>
      <c r="E165" s="1772" t="s">
        <v>35</v>
      </c>
      <c r="F165" s="1772" t="s">
        <v>35</v>
      </c>
      <c r="G165" s="1772">
        <v>4.1100000000000003</v>
      </c>
      <c r="H165" s="1772">
        <v>4.1100000000000003</v>
      </c>
      <c r="I165" s="1772">
        <v>4.1100000000000003</v>
      </c>
      <c r="J165" s="1772" t="s">
        <v>35</v>
      </c>
      <c r="K165" s="1772" t="s">
        <v>35</v>
      </c>
      <c r="L165" s="1772" t="s">
        <v>35</v>
      </c>
      <c r="M165" s="1772" t="s">
        <v>35</v>
      </c>
      <c r="N165" s="1772" t="s">
        <v>35</v>
      </c>
      <c r="O165" s="1772" t="s">
        <v>35</v>
      </c>
      <c r="P165" s="1761"/>
      <c r="Q165" s="1761"/>
    </row>
    <row r="166" spans="1:17">
      <c r="A166" s="1777" t="s">
        <v>35</v>
      </c>
      <c r="B166" s="1777" t="s">
        <v>35</v>
      </c>
      <c r="C166" s="1777" t="s">
        <v>35</v>
      </c>
      <c r="D166" s="1772" t="s">
        <v>35</v>
      </c>
      <c r="E166" s="1772" t="s">
        <v>35</v>
      </c>
      <c r="F166" s="1772" t="s">
        <v>35</v>
      </c>
      <c r="G166" s="1772">
        <v>4.12</v>
      </c>
      <c r="H166" s="1772">
        <v>4.12</v>
      </c>
      <c r="I166" s="1772">
        <v>4.12</v>
      </c>
      <c r="J166" s="1772" t="s">
        <v>35</v>
      </c>
      <c r="K166" s="1772" t="s">
        <v>35</v>
      </c>
      <c r="L166" s="1772" t="s">
        <v>35</v>
      </c>
      <c r="M166" s="1772" t="s">
        <v>35</v>
      </c>
      <c r="N166" s="1772" t="s">
        <v>35</v>
      </c>
      <c r="O166" s="1772" t="s">
        <v>35</v>
      </c>
      <c r="P166" s="1761"/>
      <c r="Q166" s="1761"/>
    </row>
    <row r="167" spans="1:17">
      <c r="A167" s="1777" t="s">
        <v>35</v>
      </c>
      <c r="B167" s="1777" t="s">
        <v>35</v>
      </c>
      <c r="C167" s="1777" t="s">
        <v>35</v>
      </c>
      <c r="D167" s="1775" t="s">
        <v>35</v>
      </c>
      <c r="E167" s="1775" t="s">
        <v>35</v>
      </c>
      <c r="F167" s="1775" t="s">
        <v>35</v>
      </c>
      <c r="G167" s="1772">
        <v>9.07</v>
      </c>
      <c r="H167" s="1772">
        <v>9.07</v>
      </c>
      <c r="I167" s="1772">
        <v>9.07</v>
      </c>
      <c r="J167" s="1772">
        <v>9.07</v>
      </c>
      <c r="K167" s="1774" t="s">
        <v>35</v>
      </c>
      <c r="L167" s="1775" t="s">
        <v>35</v>
      </c>
      <c r="M167" s="1775" t="s">
        <v>35</v>
      </c>
      <c r="N167" s="1775" t="s">
        <v>35</v>
      </c>
      <c r="O167" s="1775" t="s">
        <v>35</v>
      </c>
      <c r="P167" s="1761"/>
      <c r="Q167" s="1761"/>
    </row>
    <row r="168" spans="1:17">
      <c r="A168" s="1777" t="s">
        <v>35</v>
      </c>
      <c r="B168" s="1777" t="s">
        <v>35</v>
      </c>
      <c r="C168" s="1777" t="s">
        <v>35</v>
      </c>
      <c r="D168" s="1775" t="s">
        <v>35</v>
      </c>
      <c r="E168" s="1775" t="s">
        <v>35</v>
      </c>
      <c r="F168" s="1775" t="s">
        <v>35</v>
      </c>
      <c r="G168" s="1772">
        <v>9.15</v>
      </c>
      <c r="H168" s="1772">
        <v>9.15</v>
      </c>
      <c r="I168" s="1772">
        <v>9.15</v>
      </c>
      <c r="J168" s="1772">
        <v>9.15</v>
      </c>
      <c r="K168" s="1774" t="s">
        <v>35</v>
      </c>
      <c r="L168" s="1778" t="s">
        <v>35</v>
      </c>
      <c r="M168" s="1778" t="s">
        <v>35</v>
      </c>
      <c r="N168" s="1778" t="s">
        <v>35</v>
      </c>
      <c r="O168" s="1778" t="s">
        <v>35</v>
      </c>
      <c r="P168" s="1761"/>
      <c r="Q168" s="1761"/>
    </row>
    <row r="169" spans="1:17">
      <c r="A169" s="1777" t="s">
        <v>35</v>
      </c>
      <c r="B169" s="1777" t="s">
        <v>35</v>
      </c>
      <c r="C169" s="1777" t="s">
        <v>35</v>
      </c>
      <c r="D169" s="1772" t="s">
        <v>35</v>
      </c>
      <c r="E169" s="1772" t="s">
        <v>35</v>
      </c>
      <c r="F169" s="1772" t="s">
        <v>35</v>
      </c>
      <c r="G169" s="1772" t="s">
        <v>35</v>
      </c>
      <c r="H169" s="1772">
        <v>1.41</v>
      </c>
      <c r="I169" s="1772">
        <v>1.41</v>
      </c>
      <c r="J169" s="1772">
        <v>1.41</v>
      </c>
      <c r="K169" s="1774">
        <v>9.07</v>
      </c>
      <c r="L169" s="1778" t="s">
        <v>35</v>
      </c>
      <c r="M169" s="1778" t="s">
        <v>35</v>
      </c>
      <c r="N169" s="1778" t="s">
        <v>35</v>
      </c>
      <c r="O169" s="1778" t="s">
        <v>35</v>
      </c>
      <c r="P169" s="1761"/>
      <c r="Q169" s="1761"/>
    </row>
    <row r="170" spans="1:17">
      <c r="A170" s="1777" t="s">
        <v>35</v>
      </c>
      <c r="B170" s="1777" t="s">
        <v>35</v>
      </c>
      <c r="C170" s="1777" t="s">
        <v>35</v>
      </c>
      <c r="D170" s="1777" t="s">
        <v>35</v>
      </c>
      <c r="E170" s="1777" t="s">
        <v>35</v>
      </c>
      <c r="F170" s="1777" t="s">
        <v>35</v>
      </c>
      <c r="G170" s="1777" t="s">
        <v>35</v>
      </c>
      <c r="H170" s="1776" t="s">
        <v>101</v>
      </c>
      <c r="I170" s="1776" t="s">
        <v>101</v>
      </c>
      <c r="J170" s="1777" t="s">
        <v>35</v>
      </c>
      <c r="K170" s="1777" t="s">
        <v>35</v>
      </c>
      <c r="L170" s="1777" t="s">
        <v>35</v>
      </c>
      <c r="M170" s="1777" t="s">
        <v>115</v>
      </c>
      <c r="N170" s="1777" t="s">
        <v>35</v>
      </c>
      <c r="O170" s="1777" t="s">
        <v>35</v>
      </c>
      <c r="P170" s="1761"/>
      <c r="Q170" s="1761"/>
    </row>
    <row r="171" spans="1:17">
      <c r="A171" s="1777" t="s">
        <v>35</v>
      </c>
      <c r="B171" s="1777" t="s">
        <v>35</v>
      </c>
      <c r="C171" s="1777" t="s">
        <v>35</v>
      </c>
      <c r="D171" s="1772" t="s">
        <v>35</v>
      </c>
      <c r="E171" s="1772" t="s">
        <v>35</v>
      </c>
      <c r="F171" s="1772" t="s">
        <v>35</v>
      </c>
      <c r="G171" s="1772" t="s">
        <v>35</v>
      </c>
      <c r="H171" s="1772">
        <v>8.02</v>
      </c>
      <c r="I171" s="1772">
        <v>8.02</v>
      </c>
      <c r="J171" s="1772">
        <v>8.02</v>
      </c>
      <c r="K171" s="1774">
        <v>8.01</v>
      </c>
      <c r="L171" s="1775" t="s">
        <v>135</v>
      </c>
      <c r="M171" s="1775" t="s">
        <v>135</v>
      </c>
      <c r="N171" s="1775" t="s">
        <v>135</v>
      </c>
      <c r="O171" s="1775" t="s">
        <v>135</v>
      </c>
      <c r="P171" s="1761"/>
      <c r="Q171" s="1761"/>
    </row>
    <row r="172" spans="1:17">
      <c r="A172" s="1777" t="s">
        <v>35</v>
      </c>
      <c r="B172" s="1777" t="s">
        <v>35</v>
      </c>
      <c r="C172" s="1777" t="s">
        <v>35</v>
      </c>
      <c r="D172" s="1772" t="s">
        <v>35</v>
      </c>
      <c r="E172" s="1772" t="s">
        <v>35</v>
      </c>
      <c r="F172" s="1772" t="s">
        <v>35</v>
      </c>
      <c r="G172" s="1772" t="s">
        <v>35</v>
      </c>
      <c r="H172" s="1772" t="s">
        <v>35</v>
      </c>
      <c r="I172" s="1772" t="s">
        <v>35</v>
      </c>
      <c r="J172" s="1772" t="s">
        <v>35</v>
      </c>
      <c r="K172" s="1774" t="s">
        <v>35</v>
      </c>
      <c r="L172" s="1775" t="s">
        <v>136</v>
      </c>
      <c r="M172" s="1775" t="s">
        <v>136</v>
      </c>
      <c r="N172" s="1775" t="s">
        <v>136</v>
      </c>
      <c r="O172" s="1775" t="s">
        <v>136</v>
      </c>
      <c r="P172" s="1761"/>
      <c r="Q172" s="1761"/>
    </row>
    <row r="173" spans="1:17">
      <c r="A173" s="1777" t="s">
        <v>35</v>
      </c>
      <c r="B173" s="1777" t="s">
        <v>35</v>
      </c>
      <c r="C173" s="1777" t="s">
        <v>35</v>
      </c>
      <c r="D173" s="1772" t="s">
        <v>35</v>
      </c>
      <c r="E173" s="1772" t="s">
        <v>35</v>
      </c>
      <c r="F173" s="1772" t="s">
        <v>35</v>
      </c>
      <c r="G173" s="1772" t="s">
        <v>35</v>
      </c>
      <c r="H173" s="1772" t="s">
        <v>35</v>
      </c>
      <c r="I173" s="1772" t="s">
        <v>35</v>
      </c>
      <c r="J173" s="1772" t="s">
        <v>35</v>
      </c>
      <c r="K173" s="1774" t="s">
        <v>35</v>
      </c>
      <c r="L173" s="1775" t="s">
        <v>137</v>
      </c>
      <c r="M173" s="1775" t="s">
        <v>137</v>
      </c>
      <c r="N173" s="1775" t="s">
        <v>137</v>
      </c>
      <c r="O173" s="1775" t="s">
        <v>137</v>
      </c>
      <c r="P173" s="1761"/>
      <c r="Q173" s="1761"/>
    </row>
    <row r="174" spans="1:17">
      <c r="A174" s="1777" t="s">
        <v>35</v>
      </c>
      <c r="B174" s="1777" t="s">
        <v>35</v>
      </c>
      <c r="C174" s="1777" t="s">
        <v>35</v>
      </c>
      <c r="D174" s="1772" t="s">
        <v>35</v>
      </c>
      <c r="E174" s="1772" t="s">
        <v>35</v>
      </c>
      <c r="F174" s="1772" t="s">
        <v>35</v>
      </c>
      <c r="G174" s="1772" t="s">
        <v>35</v>
      </c>
      <c r="H174" s="1772" t="s">
        <v>35</v>
      </c>
      <c r="I174" s="1772" t="s">
        <v>35</v>
      </c>
      <c r="J174" s="1772" t="s">
        <v>35</v>
      </c>
      <c r="K174" s="1774" t="s">
        <v>35</v>
      </c>
      <c r="L174" s="1775" t="s">
        <v>139</v>
      </c>
      <c r="M174" s="1775" t="s">
        <v>139</v>
      </c>
      <c r="N174" s="1775" t="s">
        <v>139</v>
      </c>
      <c r="O174" s="1775" t="s">
        <v>139</v>
      </c>
      <c r="P174" s="1761"/>
      <c r="Q174" s="1761"/>
    </row>
    <row r="175" spans="1:17">
      <c r="A175" s="1777" t="s">
        <v>35</v>
      </c>
      <c r="B175" s="1777" t="s">
        <v>35</v>
      </c>
      <c r="C175" s="1777" t="s">
        <v>35</v>
      </c>
      <c r="D175" s="1772" t="s">
        <v>35</v>
      </c>
      <c r="E175" s="1772" t="s">
        <v>35</v>
      </c>
      <c r="F175" s="1772" t="s">
        <v>35</v>
      </c>
      <c r="G175" s="1772" t="s">
        <v>35</v>
      </c>
      <c r="H175" s="1772" t="s">
        <v>35</v>
      </c>
      <c r="I175" s="1772" t="s">
        <v>35</v>
      </c>
      <c r="J175" s="1772" t="s">
        <v>35</v>
      </c>
      <c r="K175" s="1774" t="s">
        <v>35</v>
      </c>
      <c r="L175" s="1775" t="s">
        <v>141</v>
      </c>
      <c r="M175" s="1775" t="s">
        <v>141</v>
      </c>
      <c r="N175" s="1775" t="s">
        <v>141</v>
      </c>
      <c r="O175" s="1775" t="s">
        <v>141</v>
      </c>
      <c r="P175" s="1761"/>
      <c r="Q175" s="1761"/>
    </row>
    <row r="176" spans="1:17">
      <c r="A176" s="1777" t="s">
        <v>35</v>
      </c>
      <c r="B176" s="1777" t="s">
        <v>35</v>
      </c>
      <c r="C176" s="1777" t="s">
        <v>35</v>
      </c>
      <c r="D176" s="1772" t="s">
        <v>35</v>
      </c>
      <c r="E176" s="1772" t="s">
        <v>35</v>
      </c>
      <c r="F176" s="1772" t="s">
        <v>35</v>
      </c>
      <c r="G176" s="1772" t="s">
        <v>35</v>
      </c>
      <c r="H176" s="1772" t="s">
        <v>35</v>
      </c>
      <c r="I176" s="1772" t="s">
        <v>35</v>
      </c>
      <c r="J176" s="1772" t="s">
        <v>35</v>
      </c>
      <c r="K176" s="1774" t="s">
        <v>35</v>
      </c>
      <c r="L176" s="1775" t="s">
        <v>143</v>
      </c>
      <c r="M176" s="1775" t="s">
        <v>143</v>
      </c>
      <c r="N176" s="1775" t="s">
        <v>143</v>
      </c>
      <c r="O176" s="1775" t="s">
        <v>143</v>
      </c>
      <c r="P176" s="1761"/>
      <c r="Q176" s="1761"/>
    </row>
    <row r="177" spans="1:17">
      <c r="A177" s="1777" t="s">
        <v>35</v>
      </c>
      <c r="B177" s="1777" t="s">
        <v>35</v>
      </c>
      <c r="C177" s="1777" t="s">
        <v>35</v>
      </c>
      <c r="D177" s="1772" t="s">
        <v>35</v>
      </c>
      <c r="E177" s="1772" t="s">
        <v>35</v>
      </c>
      <c r="F177" s="1772" t="s">
        <v>35</v>
      </c>
      <c r="G177" s="1772" t="s">
        <v>35</v>
      </c>
      <c r="H177" s="1772" t="s">
        <v>35</v>
      </c>
      <c r="I177" s="1772" t="s">
        <v>35</v>
      </c>
      <c r="J177" s="1772" t="s">
        <v>35</v>
      </c>
      <c r="K177" s="1774" t="s">
        <v>35</v>
      </c>
      <c r="L177" s="1775" t="s">
        <v>146</v>
      </c>
      <c r="M177" s="1775" t="s">
        <v>146</v>
      </c>
      <c r="N177" s="1775" t="s">
        <v>146</v>
      </c>
      <c r="O177" s="1775" t="s">
        <v>146</v>
      </c>
      <c r="P177" s="1761"/>
      <c r="Q177" s="1761"/>
    </row>
    <row r="178" spans="1:17">
      <c r="A178" s="1777" t="s">
        <v>35</v>
      </c>
      <c r="B178" s="1777" t="s">
        <v>35</v>
      </c>
      <c r="C178" s="1777" t="s">
        <v>35</v>
      </c>
      <c r="D178" s="1772" t="s">
        <v>35</v>
      </c>
      <c r="E178" s="1772" t="s">
        <v>35</v>
      </c>
      <c r="F178" s="1772" t="s">
        <v>35</v>
      </c>
      <c r="G178" s="1772" t="s">
        <v>35</v>
      </c>
      <c r="H178" s="1772" t="s">
        <v>35</v>
      </c>
      <c r="I178" s="1772" t="s">
        <v>35</v>
      </c>
      <c r="J178" s="1772" t="s">
        <v>35</v>
      </c>
      <c r="K178" s="1774" t="s">
        <v>35</v>
      </c>
      <c r="L178" s="1775" t="s">
        <v>147</v>
      </c>
      <c r="M178" s="1775" t="s">
        <v>147</v>
      </c>
      <c r="N178" s="1775" t="s">
        <v>147</v>
      </c>
      <c r="O178" s="1775" t="s">
        <v>147</v>
      </c>
      <c r="P178" s="1761"/>
      <c r="Q178" s="1761"/>
    </row>
    <row r="179" spans="1:17">
      <c r="A179" s="1777" t="s">
        <v>35</v>
      </c>
      <c r="B179" s="1777" t="s">
        <v>35</v>
      </c>
      <c r="C179" s="1777" t="s">
        <v>35</v>
      </c>
      <c r="D179" s="1772" t="s">
        <v>35</v>
      </c>
      <c r="E179" s="1772" t="s">
        <v>35</v>
      </c>
      <c r="F179" s="1772" t="s">
        <v>35</v>
      </c>
      <c r="G179" s="1772" t="s">
        <v>35</v>
      </c>
      <c r="H179" s="1772" t="s">
        <v>35</v>
      </c>
      <c r="I179" s="1772" t="s">
        <v>35</v>
      </c>
      <c r="J179" s="1772" t="s">
        <v>35</v>
      </c>
      <c r="K179" s="1774" t="s">
        <v>35</v>
      </c>
      <c r="L179" s="1775" t="s">
        <v>149</v>
      </c>
      <c r="M179" s="1775" t="s">
        <v>149</v>
      </c>
      <c r="N179" s="1775" t="s">
        <v>149</v>
      </c>
      <c r="O179" s="1775" t="s">
        <v>149</v>
      </c>
      <c r="P179" s="1761"/>
      <c r="Q179" s="1761"/>
    </row>
    <row r="180" spans="1:17">
      <c r="A180" s="1777" t="s">
        <v>35</v>
      </c>
      <c r="B180" s="1777" t="s">
        <v>35</v>
      </c>
      <c r="C180" s="1777" t="s">
        <v>35</v>
      </c>
      <c r="D180" s="1772" t="s">
        <v>35</v>
      </c>
      <c r="E180" s="1772" t="s">
        <v>35</v>
      </c>
      <c r="F180" s="1772" t="s">
        <v>35</v>
      </c>
      <c r="G180" s="1772" t="s">
        <v>35</v>
      </c>
      <c r="H180" s="1772" t="s">
        <v>35</v>
      </c>
      <c r="I180" s="1772" t="s">
        <v>35</v>
      </c>
      <c r="J180" s="1772" t="s">
        <v>35</v>
      </c>
      <c r="K180" s="1774" t="s">
        <v>35</v>
      </c>
      <c r="L180" s="1775" t="s">
        <v>153</v>
      </c>
      <c r="M180" s="1775" t="s">
        <v>153</v>
      </c>
      <c r="N180" s="1775" t="s">
        <v>153</v>
      </c>
      <c r="O180" s="1775" t="s">
        <v>153</v>
      </c>
      <c r="P180" s="1761"/>
      <c r="Q180" s="1761"/>
    </row>
    <row r="181" spans="1:17">
      <c r="A181" s="1777" t="s">
        <v>35</v>
      </c>
      <c r="B181" s="1777" t="s">
        <v>35</v>
      </c>
      <c r="C181" s="1777" t="s">
        <v>35</v>
      </c>
      <c r="D181" s="1772" t="s">
        <v>35</v>
      </c>
      <c r="E181" s="1772" t="s">
        <v>35</v>
      </c>
      <c r="F181" s="1772" t="s">
        <v>35</v>
      </c>
      <c r="G181" s="1772" t="s">
        <v>35</v>
      </c>
      <c r="H181" s="1772" t="s">
        <v>35</v>
      </c>
      <c r="I181" s="1772" t="s">
        <v>35</v>
      </c>
      <c r="J181" s="1772" t="s">
        <v>35</v>
      </c>
      <c r="K181" s="1774" t="s">
        <v>35</v>
      </c>
      <c r="L181" s="1775" t="s">
        <v>154</v>
      </c>
      <c r="M181" s="1775" t="s">
        <v>154</v>
      </c>
      <c r="N181" s="1775" t="s">
        <v>154</v>
      </c>
      <c r="O181" s="1775" t="s">
        <v>154</v>
      </c>
      <c r="P181" s="1761"/>
      <c r="Q181" s="1761"/>
    </row>
    <row r="182" spans="1:17">
      <c r="A182" s="1777" t="s">
        <v>35</v>
      </c>
      <c r="B182" s="1777" t="s">
        <v>35</v>
      </c>
      <c r="C182" s="1777" t="s">
        <v>35</v>
      </c>
      <c r="D182" s="1772" t="s">
        <v>35</v>
      </c>
      <c r="E182" s="1772" t="s">
        <v>35</v>
      </c>
      <c r="F182" s="1772" t="s">
        <v>35</v>
      </c>
      <c r="G182" s="1772" t="s">
        <v>35</v>
      </c>
      <c r="H182" s="1772" t="s">
        <v>35</v>
      </c>
      <c r="I182" s="1772" t="s">
        <v>35</v>
      </c>
      <c r="J182" s="1772" t="s">
        <v>35</v>
      </c>
      <c r="K182" s="1774" t="s">
        <v>35</v>
      </c>
      <c r="L182" s="1775" t="s">
        <v>155</v>
      </c>
      <c r="M182" s="1775" t="s">
        <v>155</v>
      </c>
      <c r="N182" s="1775" t="s">
        <v>155</v>
      </c>
      <c r="O182" s="1775" t="s">
        <v>155</v>
      </c>
      <c r="P182" s="1761"/>
      <c r="Q182" s="1761"/>
    </row>
    <row r="183" spans="1:17">
      <c r="A183" s="1777" t="s">
        <v>35</v>
      </c>
      <c r="B183" s="1777" t="s">
        <v>35</v>
      </c>
      <c r="C183" s="1777" t="s">
        <v>35</v>
      </c>
      <c r="D183" s="1772" t="s">
        <v>35</v>
      </c>
      <c r="E183" s="1772" t="s">
        <v>35</v>
      </c>
      <c r="F183" s="1772" t="s">
        <v>35</v>
      </c>
      <c r="G183" s="1772" t="s">
        <v>35</v>
      </c>
      <c r="H183" s="1772" t="s">
        <v>35</v>
      </c>
      <c r="I183" s="1772" t="s">
        <v>35</v>
      </c>
      <c r="J183" s="1772" t="s">
        <v>35</v>
      </c>
      <c r="K183" s="1774" t="s">
        <v>35</v>
      </c>
      <c r="L183" s="1775" t="s">
        <v>158</v>
      </c>
      <c r="M183" s="1775" t="s">
        <v>158</v>
      </c>
      <c r="N183" s="1775" t="s">
        <v>158</v>
      </c>
      <c r="O183" s="1775" t="s">
        <v>158</v>
      </c>
      <c r="P183" s="1761"/>
      <c r="Q183" s="1761"/>
    </row>
    <row r="184" spans="1:17">
      <c r="A184" s="1777" t="s">
        <v>35</v>
      </c>
      <c r="B184" s="1777" t="s">
        <v>35</v>
      </c>
      <c r="C184" s="1777" t="s">
        <v>35</v>
      </c>
      <c r="D184" s="1772" t="s">
        <v>35</v>
      </c>
      <c r="E184" s="1772" t="s">
        <v>35</v>
      </c>
      <c r="F184" s="1772" t="s">
        <v>35</v>
      </c>
      <c r="G184" s="1772" t="s">
        <v>35</v>
      </c>
      <c r="H184" s="1772" t="s">
        <v>35</v>
      </c>
      <c r="I184" s="1772" t="s">
        <v>35</v>
      </c>
      <c r="J184" s="1772" t="s">
        <v>35</v>
      </c>
      <c r="K184" s="1774" t="s">
        <v>35</v>
      </c>
      <c r="L184" s="1775" t="s">
        <v>159</v>
      </c>
      <c r="M184" s="1775" t="s">
        <v>159</v>
      </c>
      <c r="N184" s="1775" t="s">
        <v>159</v>
      </c>
      <c r="O184" s="1775" t="s">
        <v>159</v>
      </c>
      <c r="P184" s="1761"/>
      <c r="Q184" s="1761"/>
    </row>
    <row r="185" spans="1:17">
      <c r="A185" s="1777" t="s">
        <v>35</v>
      </c>
      <c r="B185" s="1777" t="s">
        <v>35</v>
      </c>
      <c r="C185" s="1777" t="s">
        <v>35</v>
      </c>
      <c r="D185" s="1772" t="s">
        <v>35</v>
      </c>
      <c r="E185" s="1772" t="s">
        <v>35</v>
      </c>
      <c r="F185" s="1772" t="s">
        <v>35</v>
      </c>
      <c r="G185" s="1772" t="s">
        <v>35</v>
      </c>
      <c r="H185" s="1772" t="s">
        <v>35</v>
      </c>
      <c r="I185" s="1772" t="s">
        <v>35</v>
      </c>
      <c r="J185" s="1772" t="s">
        <v>35</v>
      </c>
      <c r="K185" s="1774" t="s">
        <v>35</v>
      </c>
      <c r="L185" s="1775" t="s">
        <v>174</v>
      </c>
      <c r="M185" s="1775" t="s">
        <v>174</v>
      </c>
      <c r="N185" s="1775" t="s">
        <v>174</v>
      </c>
      <c r="O185" s="1775" t="s">
        <v>174</v>
      </c>
      <c r="P185" s="1761"/>
      <c r="Q185" s="1761"/>
    </row>
    <row r="186" spans="1:17">
      <c r="A186" s="1777" t="s">
        <v>35</v>
      </c>
      <c r="B186" s="1777" t="s">
        <v>35</v>
      </c>
      <c r="C186" s="1777" t="s">
        <v>35</v>
      </c>
      <c r="D186" s="1772" t="s">
        <v>35</v>
      </c>
      <c r="E186" s="1772" t="s">
        <v>35</v>
      </c>
      <c r="F186" s="1772" t="s">
        <v>35</v>
      </c>
      <c r="G186" s="1772" t="s">
        <v>35</v>
      </c>
      <c r="H186" s="1772" t="s">
        <v>35</v>
      </c>
      <c r="I186" s="1772" t="s">
        <v>35</v>
      </c>
      <c r="J186" s="1772" t="s">
        <v>35</v>
      </c>
      <c r="K186" s="1774" t="s">
        <v>35</v>
      </c>
      <c r="L186" s="1775" t="s">
        <v>175</v>
      </c>
      <c r="M186" s="1775" t="s">
        <v>175</v>
      </c>
      <c r="N186" s="1775" t="s">
        <v>175</v>
      </c>
      <c r="O186" s="1775" t="s">
        <v>175</v>
      </c>
      <c r="P186" s="1761"/>
      <c r="Q186" s="1761"/>
    </row>
    <row r="187" spans="1:17">
      <c r="A187" s="1777" t="s">
        <v>35</v>
      </c>
      <c r="B187" s="1777" t="s">
        <v>35</v>
      </c>
      <c r="C187" s="1777" t="s">
        <v>35</v>
      </c>
      <c r="D187" s="1772" t="s">
        <v>35</v>
      </c>
      <c r="E187" s="1772" t="s">
        <v>35</v>
      </c>
      <c r="F187" s="1772" t="s">
        <v>35</v>
      </c>
      <c r="G187" s="1772" t="s">
        <v>35</v>
      </c>
      <c r="H187" s="1772" t="s">
        <v>35</v>
      </c>
      <c r="I187" s="1772" t="s">
        <v>35</v>
      </c>
      <c r="J187" s="1772" t="s">
        <v>35</v>
      </c>
      <c r="K187" s="1774" t="s">
        <v>35</v>
      </c>
      <c r="L187" s="1775" t="s">
        <v>179</v>
      </c>
      <c r="M187" s="1775" t="s">
        <v>179</v>
      </c>
      <c r="N187" s="1775" t="s">
        <v>179</v>
      </c>
      <c r="O187" s="1775" t="s">
        <v>179</v>
      </c>
      <c r="P187" s="1761"/>
      <c r="Q187" s="1761"/>
    </row>
    <row r="188" spans="1:17">
      <c r="A188" s="1777" t="s">
        <v>35</v>
      </c>
      <c r="B188" s="1777" t="s">
        <v>35</v>
      </c>
      <c r="C188" s="1777" t="s">
        <v>35</v>
      </c>
      <c r="D188" s="1772" t="s">
        <v>35</v>
      </c>
      <c r="E188" s="1772" t="s">
        <v>35</v>
      </c>
      <c r="F188" s="1772" t="s">
        <v>35</v>
      </c>
      <c r="G188" s="1772" t="s">
        <v>35</v>
      </c>
      <c r="H188" s="1772" t="s">
        <v>35</v>
      </c>
      <c r="I188" s="1772" t="s">
        <v>35</v>
      </c>
      <c r="J188" s="1772" t="s">
        <v>35</v>
      </c>
      <c r="K188" s="1774" t="s">
        <v>35</v>
      </c>
      <c r="L188" s="1775" t="s">
        <v>66</v>
      </c>
      <c r="M188" s="1775" t="s">
        <v>66</v>
      </c>
      <c r="N188" s="1775" t="s">
        <v>66</v>
      </c>
      <c r="O188" s="1775" t="s">
        <v>66</v>
      </c>
      <c r="P188" s="1761"/>
      <c r="Q188" s="1761"/>
    </row>
    <row r="189" spans="1:17">
      <c r="A189" s="1777" t="s">
        <v>35</v>
      </c>
      <c r="B189" s="1777" t="s">
        <v>35</v>
      </c>
      <c r="C189" s="1777" t="s">
        <v>35</v>
      </c>
      <c r="D189" s="1772" t="s">
        <v>35</v>
      </c>
      <c r="E189" s="1772" t="s">
        <v>35</v>
      </c>
      <c r="F189" s="1772" t="s">
        <v>35</v>
      </c>
      <c r="G189" s="1772" t="s">
        <v>35</v>
      </c>
      <c r="H189" s="1772" t="s">
        <v>35</v>
      </c>
      <c r="I189" s="1772" t="s">
        <v>35</v>
      </c>
      <c r="J189" s="1772" t="s">
        <v>35</v>
      </c>
      <c r="K189" s="1774" t="s">
        <v>35</v>
      </c>
      <c r="L189" s="1775" t="s">
        <v>106</v>
      </c>
      <c r="M189" s="1775" t="s">
        <v>106</v>
      </c>
      <c r="N189" s="1775" t="s">
        <v>105</v>
      </c>
      <c r="O189" s="1775" t="s">
        <v>105</v>
      </c>
      <c r="P189" s="1761"/>
      <c r="Q189" s="1761"/>
    </row>
    <row r="190" spans="1:17">
      <c r="A190" s="1777" t="s">
        <v>35</v>
      </c>
      <c r="B190" s="1777" t="s">
        <v>35</v>
      </c>
      <c r="C190" s="1777" t="s">
        <v>35</v>
      </c>
      <c r="D190" s="1772" t="s">
        <v>35</v>
      </c>
      <c r="E190" s="1772" t="s">
        <v>35</v>
      </c>
      <c r="F190" s="1772" t="s">
        <v>35</v>
      </c>
      <c r="G190" s="1772" t="s">
        <v>35</v>
      </c>
      <c r="H190" s="1772" t="s">
        <v>35</v>
      </c>
      <c r="I190" s="1772" t="s">
        <v>35</v>
      </c>
      <c r="J190" s="1772" t="s">
        <v>35</v>
      </c>
      <c r="K190" s="1774" t="s">
        <v>35</v>
      </c>
      <c r="L190" s="1775" t="s">
        <v>107</v>
      </c>
      <c r="M190" s="1775" t="s">
        <v>107</v>
      </c>
      <c r="N190" s="1775" t="s">
        <v>106</v>
      </c>
      <c r="O190" s="1775" t="s">
        <v>106</v>
      </c>
      <c r="P190" s="1761"/>
      <c r="Q190" s="1761"/>
    </row>
    <row r="191" spans="1:17">
      <c r="A191" s="1777" t="s">
        <v>35</v>
      </c>
      <c r="B191" s="1777" t="s">
        <v>35</v>
      </c>
      <c r="C191" s="1777" t="s">
        <v>35</v>
      </c>
      <c r="D191" s="1772" t="s">
        <v>35</v>
      </c>
      <c r="E191" s="1772" t="s">
        <v>35</v>
      </c>
      <c r="F191" s="1772" t="s">
        <v>35</v>
      </c>
      <c r="G191" s="1772" t="s">
        <v>35</v>
      </c>
      <c r="H191" s="1772" t="s">
        <v>35</v>
      </c>
      <c r="I191" s="1772" t="s">
        <v>35</v>
      </c>
      <c r="J191" s="1772" t="s">
        <v>35</v>
      </c>
      <c r="K191" s="1774" t="s">
        <v>35</v>
      </c>
      <c r="L191" s="1775" t="s">
        <v>108</v>
      </c>
      <c r="M191" s="1775" t="s">
        <v>108</v>
      </c>
      <c r="N191" s="1775" t="s">
        <v>107</v>
      </c>
      <c r="O191" s="1775" t="s">
        <v>107</v>
      </c>
      <c r="P191" s="1761"/>
      <c r="Q191" s="1761"/>
    </row>
    <row r="192" spans="1:17">
      <c r="A192" s="1777" t="s">
        <v>35</v>
      </c>
      <c r="B192" s="1777" t="s">
        <v>35</v>
      </c>
      <c r="C192" s="1777" t="s">
        <v>35</v>
      </c>
      <c r="D192" s="1772" t="s">
        <v>35</v>
      </c>
      <c r="E192" s="1772" t="s">
        <v>35</v>
      </c>
      <c r="F192" s="1772" t="s">
        <v>35</v>
      </c>
      <c r="G192" s="1772" t="s">
        <v>35</v>
      </c>
      <c r="H192" s="1772" t="s">
        <v>35</v>
      </c>
      <c r="I192" s="1772" t="s">
        <v>35</v>
      </c>
      <c r="J192" s="1772" t="s">
        <v>35</v>
      </c>
      <c r="K192" s="1774" t="s">
        <v>35</v>
      </c>
      <c r="L192" s="1775" t="s">
        <v>118</v>
      </c>
      <c r="M192" s="1775" t="s">
        <v>118</v>
      </c>
      <c r="N192" s="1775" t="s">
        <v>118</v>
      </c>
      <c r="O192" s="1775" t="s">
        <v>35</v>
      </c>
      <c r="P192" s="1761"/>
      <c r="Q192" s="1761"/>
    </row>
    <row r="193" spans="1:19">
      <c r="A193" s="1777" t="s">
        <v>35</v>
      </c>
      <c r="B193" s="1777" t="s">
        <v>35</v>
      </c>
      <c r="C193" s="1777" t="s">
        <v>35</v>
      </c>
      <c r="D193" s="1772" t="s">
        <v>35</v>
      </c>
      <c r="E193" s="1772" t="s">
        <v>35</v>
      </c>
      <c r="F193" s="1772" t="s">
        <v>35</v>
      </c>
      <c r="G193" s="1772" t="s">
        <v>35</v>
      </c>
      <c r="H193" s="1772" t="s">
        <v>35</v>
      </c>
      <c r="I193" s="1772" t="s">
        <v>35</v>
      </c>
      <c r="J193" s="1772" t="s">
        <v>35</v>
      </c>
      <c r="K193" s="1774" t="s">
        <v>35</v>
      </c>
      <c r="L193" s="1775" t="s">
        <v>120</v>
      </c>
      <c r="M193" s="1775" t="s">
        <v>120</v>
      </c>
      <c r="N193" s="1775" t="s">
        <v>120</v>
      </c>
      <c r="O193" s="1775" t="s">
        <v>35</v>
      </c>
      <c r="P193" s="1761"/>
      <c r="Q193" s="1761"/>
    </row>
    <row r="194" spans="1:19">
      <c r="A194" s="1777" t="s">
        <v>35</v>
      </c>
      <c r="B194" s="1777" t="s">
        <v>35</v>
      </c>
      <c r="C194" s="1777" t="s">
        <v>35</v>
      </c>
      <c r="D194" s="1772" t="s">
        <v>35</v>
      </c>
      <c r="E194" s="1772" t="s">
        <v>35</v>
      </c>
      <c r="F194" s="1772" t="s">
        <v>35</v>
      </c>
      <c r="G194" s="1772" t="s">
        <v>35</v>
      </c>
      <c r="H194" s="1772" t="s">
        <v>35</v>
      </c>
      <c r="I194" s="1772" t="s">
        <v>35</v>
      </c>
      <c r="J194" s="1772" t="s">
        <v>35</v>
      </c>
      <c r="K194" s="1774" t="s">
        <v>35</v>
      </c>
      <c r="L194" s="1775" t="s">
        <v>31</v>
      </c>
      <c r="M194" s="1775" t="s">
        <v>31</v>
      </c>
      <c r="N194" s="1775" t="s">
        <v>31</v>
      </c>
      <c r="O194" s="1775" t="s">
        <v>35</v>
      </c>
      <c r="P194" s="1761"/>
      <c r="Q194" s="1761"/>
    </row>
    <row r="195" spans="1:19">
      <c r="A195" s="1777" t="s">
        <v>35</v>
      </c>
      <c r="B195" s="1777" t="s">
        <v>35</v>
      </c>
      <c r="C195" s="1777" t="s">
        <v>35</v>
      </c>
      <c r="D195" s="1772" t="s">
        <v>35</v>
      </c>
      <c r="E195" s="1772" t="s">
        <v>35</v>
      </c>
      <c r="F195" s="1772" t="s">
        <v>35</v>
      </c>
      <c r="G195" s="1772" t="s">
        <v>35</v>
      </c>
      <c r="H195" s="1772" t="s">
        <v>35</v>
      </c>
      <c r="I195" s="1772" t="s">
        <v>35</v>
      </c>
      <c r="J195" s="1772" t="s">
        <v>35</v>
      </c>
      <c r="K195" s="1774" t="s">
        <v>35</v>
      </c>
      <c r="L195" s="1775" t="s">
        <v>192</v>
      </c>
      <c r="M195" s="1775" t="s">
        <v>192</v>
      </c>
      <c r="N195" s="1775" t="s">
        <v>192</v>
      </c>
      <c r="O195" s="1775" t="s">
        <v>35</v>
      </c>
      <c r="P195" s="1761"/>
      <c r="Q195" s="1761"/>
    </row>
    <row r="196" spans="1:19">
      <c r="A196" s="1777" t="s">
        <v>35</v>
      </c>
      <c r="B196" s="1777" t="s">
        <v>35</v>
      </c>
      <c r="C196" s="1777" t="s">
        <v>35</v>
      </c>
      <c r="D196" s="1772" t="s">
        <v>35</v>
      </c>
      <c r="E196" s="1772" t="s">
        <v>35</v>
      </c>
      <c r="F196" s="1772" t="s">
        <v>35</v>
      </c>
      <c r="G196" s="1772" t="s">
        <v>35</v>
      </c>
      <c r="H196" s="1772" t="s">
        <v>35</v>
      </c>
      <c r="I196" s="1772" t="s">
        <v>35</v>
      </c>
      <c r="J196" s="1772" t="s">
        <v>35</v>
      </c>
      <c r="K196" s="1774" t="s">
        <v>35</v>
      </c>
      <c r="L196" s="1775" t="s">
        <v>24</v>
      </c>
      <c r="M196" s="1775" t="s">
        <v>24</v>
      </c>
      <c r="N196" s="1775" t="s">
        <v>35</v>
      </c>
      <c r="O196" s="1775" t="s">
        <v>35</v>
      </c>
      <c r="P196" s="1761"/>
      <c r="Q196" s="1761"/>
    </row>
    <row r="197" spans="1:19">
      <c r="A197" s="1777" t="s">
        <v>35</v>
      </c>
      <c r="B197" s="1777" t="s">
        <v>35</v>
      </c>
      <c r="C197" s="1777" t="s">
        <v>35</v>
      </c>
      <c r="D197" s="1772" t="s">
        <v>35</v>
      </c>
      <c r="E197" s="1772" t="s">
        <v>35</v>
      </c>
      <c r="F197" s="1772" t="s">
        <v>35</v>
      </c>
      <c r="G197" s="1772" t="s">
        <v>35</v>
      </c>
      <c r="H197" s="1772" t="s">
        <v>35</v>
      </c>
      <c r="I197" s="1772" t="s">
        <v>35</v>
      </c>
      <c r="J197" s="1772" t="s">
        <v>35</v>
      </c>
      <c r="K197" s="1774" t="s">
        <v>35</v>
      </c>
      <c r="L197" s="1775" t="s">
        <v>52</v>
      </c>
      <c r="M197" s="1775" t="s">
        <v>35</v>
      </c>
      <c r="N197" s="1775" t="s">
        <v>35</v>
      </c>
      <c r="O197" s="1775" t="s">
        <v>35</v>
      </c>
      <c r="P197" s="1761"/>
      <c r="Q197" s="1761"/>
    </row>
    <row r="198" spans="1:19">
      <c r="A198" s="1777" t="s">
        <v>35</v>
      </c>
      <c r="B198" s="1777" t="s">
        <v>35</v>
      </c>
      <c r="C198" s="1777" t="s">
        <v>35</v>
      </c>
      <c r="D198" s="1772" t="s">
        <v>35</v>
      </c>
      <c r="E198" s="1772" t="s">
        <v>35</v>
      </c>
      <c r="F198" s="1772" t="s">
        <v>35</v>
      </c>
      <c r="G198" s="1772" t="s">
        <v>35</v>
      </c>
      <c r="H198" s="1772" t="s">
        <v>35</v>
      </c>
      <c r="I198" s="1772" t="s">
        <v>35</v>
      </c>
      <c r="J198" s="1772" t="s">
        <v>35</v>
      </c>
      <c r="K198" s="1774" t="s">
        <v>35</v>
      </c>
      <c r="L198" s="1775" t="s">
        <v>123</v>
      </c>
      <c r="M198" s="1775" t="s">
        <v>123</v>
      </c>
      <c r="N198" s="1775" t="s">
        <v>123</v>
      </c>
      <c r="O198" s="1775" t="s">
        <v>122</v>
      </c>
      <c r="P198" s="1761"/>
      <c r="Q198" s="1761"/>
    </row>
    <row r="199" spans="1:19">
      <c r="A199" s="1777" t="s">
        <v>35</v>
      </c>
      <c r="B199" s="1777" t="s">
        <v>35</v>
      </c>
      <c r="C199" s="1777" t="s">
        <v>35</v>
      </c>
      <c r="D199" s="1772" t="s">
        <v>35</v>
      </c>
      <c r="E199" s="1772" t="s">
        <v>35</v>
      </c>
      <c r="F199" s="1772" t="s">
        <v>35</v>
      </c>
      <c r="G199" s="1772" t="s">
        <v>35</v>
      </c>
      <c r="H199" s="1772" t="s">
        <v>35</v>
      </c>
      <c r="I199" s="1772" t="s">
        <v>35</v>
      </c>
      <c r="J199" s="1772" t="s">
        <v>35</v>
      </c>
      <c r="K199" s="1774" t="s">
        <v>35</v>
      </c>
      <c r="L199" s="1775" t="s">
        <v>19</v>
      </c>
      <c r="M199" s="1775" t="s">
        <v>19</v>
      </c>
      <c r="N199" s="1775" t="s">
        <v>19</v>
      </c>
      <c r="O199" s="1775" t="s">
        <v>124</v>
      </c>
      <c r="P199" s="1761"/>
      <c r="Q199" s="1761"/>
    </row>
    <row r="200" spans="1:19">
      <c r="A200" s="1777" t="s">
        <v>35</v>
      </c>
      <c r="B200" s="1777" t="s">
        <v>35</v>
      </c>
      <c r="C200" s="1777" t="s">
        <v>35</v>
      </c>
      <c r="D200" s="1772" t="s">
        <v>35</v>
      </c>
      <c r="E200" s="1772" t="s">
        <v>35</v>
      </c>
      <c r="F200" s="1772" t="s">
        <v>35</v>
      </c>
      <c r="G200" s="1772" t="s">
        <v>35</v>
      </c>
      <c r="H200" s="1772" t="s">
        <v>35</v>
      </c>
      <c r="I200" s="1772" t="s">
        <v>35</v>
      </c>
      <c r="J200" s="1772" t="s">
        <v>35</v>
      </c>
      <c r="K200" s="1774" t="s">
        <v>35</v>
      </c>
      <c r="L200" s="1775" t="s">
        <v>21</v>
      </c>
      <c r="M200" s="1775" t="s">
        <v>21</v>
      </c>
      <c r="N200" s="1775" t="s">
        <v>21</v>
      </c>
      <c r="O200" s="1775" t="s">
        <v>20</v>
      </c>
      <c r="P200" s="1761"/>
      <c r="Q200" s="1761"/>
    </row>
    <row r="201" spans="1:19">
      <c r="A201" s="1777" t="s">
        <v>35</v>
      </c>
      <c r="B201" s="1777" t="s">
        <v>35</v>
      </c>
      <c r="C201" s="1777" t="s">
        <v>35</v>
      </c>
      <c r="D201" s="1772" t="s">
        <v>35</v>
      </c>
      <c r="E201" s="1772" t="s">
        <v>35</v>
      </c>
      <c r="F201" s="1772" t="s">
        <v>35</v>
      </c>
      <c r="G201" s="1772" t="s">
        <v>35</v>
      </c>
      <c r="H201" s="1772" t="s">
        <v>35</v>
      </c>
      <c r="I201" s="1772" t="s">
        <v>35</v>
      </c>
      <c r="J201" s="1772" t="s">
        <v>35</v>
      </c>
      <c r="K201" s="1774" t="s">
        <v>35</v>
      </c>
      <c r="L201" s="1775" t="s">
        <v>23</v>
      </c>
      <c r="M201" s="1775" t="s">
        <v>23</v>
      </c>
      <c r="N201" s="1775" t="s">
        <v>23</v>
      </c>
      <c r="O201" s="1775" t="s">
        <v>22</v>
      </c>
      <c r="P201" s="1761"/>
      <c r="Q201" s="1761"/>
    </row>
    <row r="202" spans="1:19">
      <c r="A202" s="1777" t="s">
        <v>35</v>
      </c>
      <c r="B202" s="1777" t="s">
        <v>35</v>
      </c>
      <c r="C202" s="1777" t="s">
        <v>35</v>
      </c>
      <c r="D202" s="1777" t="s">
        <v>35</v>
      </c>
      <c r="E202" s="1777" t="s">
        <v>35</v>
      </c>
      <c r="F202" s="1777" t="s">
        <v>35</v>
      </c>
      <c r="G202" s="1777" t="s">
        <v>35</v>
      </c>
      <c r="H202" s="1777" t="s">
        <v>35</v>
      </c>
      <c r="I202" s="1777" t="s">
        <v>35</v>
      </c>
      <c r="J202" s="1777" t="s">
        <v>35</v>
      </c>
      <c r="K202" s="1775" t="s">
        <v>35</v>
      </c>
      <c r="L202" s="1775" t="s">
        <v>35</v>
      </c>
      <c r="M202" s="1775" t="s">
        <v>115</v>
      </c>
      <c r="N202" s="1775" t="s">
        <v>35</v>
      </c>
      <c r="O202" s="1775" t="s">
        <v>35</v>
      </c>
      <c r="P202" s="1761"/>
      <c r="Q202" s="1761"/>
    </row>
    <row r="203" spans="1:19">
      <c r="A203" s="1777" t="s">
        <v>35</v>
      </c>
      <c r="B203" s="1777" t="s">
        <v>35</v>
      </c>
      <c r="C203" s="1777" t="s">
        <v>35</v>
      </c>
      <c r="D203" s="1777" t="s">
        <v>35</v>
      </c>
      <c r="E203" s="1777" t="s">
        <v>35</v>
      </c>
      <c r="F203" s="1777" t="s">
        <v>35</v>
      </c>
      <c r="G203" s="1777" t="s">
        <v>35</v>
      </c>
      <c r="H203" s="1777" t="s">
        <v>35</v>
      </c>
      <c r="I203" s="1777" t="s">
        <v>35</v>
      </c>
      <c r="J203" s="1777" t="s">
        <v>35</v>
      </c>
      <c r="K203" s="1775" t="s">
        <v>35</v>
      </c>
      <c r="L203" s="1775" t="s">
        <v>35</v>
      </c>
      <c r="M203" s="1775" t="s">
        <v>35</v>
      </c>
      <c r="N203" s="1775" t="s">
        <v>112</v>
      </c>
      <c r="O203" s="1775" t="s">
        <v>115</v>
      </c>
      <c r="P203" s="1761"/>
      <c r="Q203" s="1761"/>
    </row>
    <row r="204" spans="1:19">
      <c r="A204" s="1786">
        <f>COUNTIF(A7:A203,"&lt;&gt;-")</f>
        <v>133</v>
      </c>
      <c r="B204" s="1786">
        <f>COUNTIF(B7:B203,"&lt;&gt;-")</f>
        <v>131</v>
      </c>
      <c r="C204" s="1786">
        <f>COUNTIF(C7:C190,"&lt;&gt;-")</f>
        <v>130</v>
      </c>
      <c r="D204" s="1786">
        <f>COUNTIF(D7:D190,"&lt;&gt;-")</f>
        <v>133</v>
      </c>
      <c r="E204" s="1786">
        <f t="shared" ref="E204:O204" si="0">COUNTIF(E7:E190,"&lt;&gt;-")</f>
        <v>130</v>
      </c>
      <c r="F204" s="1786">
        <f t="shared" si="0"/>
        <v>129</v>
      </c>
      <c r="G204" s="1786">
        <v>140</v>
      </c>
      <c r="H204" s="1786">
        <f t="shared" si="0"/>
        <v>135</v>
      </c>
      <c r="I204" s="1786">
        <f t="shared" si="0"/>
        <v>125</v>
      </c>
      <c r="J204" s="1786">
        <f t="shared" si="0"/>
        <v>113</v>
      </c>
      <c r="K204" s="1786">
        <f t="shared" si="0"/>
        <v>92</v>
      </c>
      <c r="L204" s="1786">
        <f t="shared" si="0"/>
        <v>92</v>
      </c>
      <c r="M204" s="1786">
        <f t="shared" si="0"/>
        <v>92</v>
      </c>
      <c r="N204" s="1786">
        <f t="shared" si="0"/>
        <v>84</v>
      </c>
      <c r="O204" s="1786">
        <f t="shared" si="0"/>
        <v>79</v>
      </c>
      <c r="P204" s="1761"/>
      <c r="Q204" s="1761"/>
    </row>
    <row r="205" spans="1:19">
      <c r="E205" s="1787"/>
      <c r="F205" s="1787"/>
      <c r="G205" s="1787"/>
      <c r="H205" s="1787"/>
      <c r="I205" s="1787"/>
      <c r="J205" s="1787"/>
      <c r="K205" s="1787"/>
      <c r="L205" s="1787"/>
      <c r="M205" s="1787"/>
      <c r="N205" s="1787"/>
      <c r="P205" s="1761"/>
      <c r="Q205" s="1761"/>
    </row>
    <row r="206" spans="1:19" ht="13">
      <c r="A206" s="1761" t="s">
        <v>55</v>
      </c>
      <c r="F206" s="1761"/>
      <c r="G206" s="1761"/>
      <c r="H206" s="1635"/>
      <c r="I206" s="1635"/>
      <c r="L206" s="1762"/>
      <c r="M206" s="1762"/>
      <c r="N206" s="1788"/>
      <c r="O206" s="1788"/>
      <c r="P206" s="1788"/>
      <c r="Q206" s="1788"/>
      <c r="R206" s="1785"/>
      <c r="S206" s="1785"/>
    </row>
    <row r="207" spans="1:19" ht="9.75" customHeight="1">
      <c r="F207" s="1761"/>
      <c r="G207" s="1635"/>
      <c r="H207" s="1635"/>
      <c r="L207" s="1762"/>
      <c r="P207" s="1761"/>
      <c r="R207" s="1762"/>
    </row>
    <row r="208" spans="1:19">
      <c r="F208" s="1761"/>
      <c r="L208" s="1762"/>
      <c r="P208" s="1761"/>
      <c r="R208" s="1762"/>
    </row>
    <row r="209" spans="6:18">
      <c r="F209" s="1761"/>
      <c r="L209" s="1762"/>
      <c r="P209" s="1761"/>
      <c r="R209" s="1762"/>
    </row>
  </sheetData>
  <pageMargins left="0.55118110236220474" right="0.39370078740157483" top="0.31496062992125984" bottom="0.35433070866141736" header="0.23622047244094491" footer="0.23622047244094491"/>
  <pageSetup paperSize="9" scale="61" fitToHeight="2" orientation="landscape"/>
  <headerFooter alignWithMargins="0">
    <oddFooter>&amp;R&amp;P/&amp;N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1C6AC-A7F9-7749-A1D2-ED9B401F53C9}">
  <sheetPr>
    <pageSetUpPr fitToPage="1"/>
  </sheetPr>
  <dimension ref="A1:C87"/>
  <sheetViews>
    <sheetView topLeftCell="A70" workbookViewId="0">
      <selection activeCell="A82" sqref="A82"/>
    </sheetView>
  </sheetViews>
  <sheetFormatPr baseColWidth="10" defaultColWidth="11.3984375" defaultRowHeight="13"/>
  <cols>
    <col min="1" max="1" width="25.59765625" style="1649" customWidth="1"/>
    <col min="2" max="2" width="23" style="1649" customWidth="1"/>
    <col min="3" max="3" width="28.59765625" style="1649" customWidth="1"/>
    <col min="4" max="4" width="7.796875" style="1649" customWidth="1"/>
    <col min="5" max="5" width="4.59765625" style="1649" customWidth="1"/>
    <col min="6" max="16384" width="11.3984375" style="1649"/>
  </cols>
  <sheetData>
    <row r="1" spans="1:2" ht="14">
      <c r="A1" s="1648" t="s">
        <v>2475</v>
      </c>
    </row>
    <row r="2" spans="1:2" ht="16">
      <c r="A2" s="1650"/>
    </row>
    <row r="3" spans="1:2" ht="14">
      <c r="A3" s="1648" t="s">
        <v>2476</v>
      </c>
    </row>
    <row r="4" spans="1:2" ht="15.75" customHeight="1"/>
    <row r="5" spans="1:2" ht="21" customHeight="1">
      <c r="A5" s="1651" t="s">
        <v>2477</v>
      </c>
      <c r="B5" s="1652" t="s">
        <v>2478</v>
      </c>
    </row>
    <row r="6" spans="1:2" ht="18.75" customHeight="1">
      <c r="A6" s="1653" t="s">
        <v>2479</v>
      </c>
      <c r="B6" s="1654" t="s">
        <v>2480</v>
      </c>
    </row>
    <row r="7" spans="1:2" ht="41.25" customHeight="1">
      <c r="A7" s="1655" t="s">
        <v>2481</v>
      </c>
      <c r="B7" s="1656" t="s">
        <v>2482</v>
      </c>
    </row>
    <row r="8" spans="1:2" ht="22.5" customHeight="1">
      <c r="A8" s="1657" t="s">
        <v>2483</v>
      </c>
      <c r="B8" s="1658" t="s">
        <v>35</v>
      </c>
    </row>
    <row r="9" spans="1:2" ht="14">
      <c r="A9" s="1657" t="s">
        <v>2484</v>
      </c>
      <c r="B9" s="1659">
        <v>0.1</v>
      </c>
    </row>
    <row r="10" spans="1:2" ht="14">
      <c r="A10" s="1657" t="s">
        <v>2485</v>
      </c>
      <c r="B10" s="1659">
        <v>0.2</v>
      </c>
    </row>
    <row r="11" spans="1:2" ht="14">
      <c r="A11" s="1657" t="s">
        <v>2486</v>
      </c>
      <c r="B11" s="1659">
        <v>0.35</v>
      </c>
    </row>
    <row r="12" spans="1:2" ht="14">
      <c r="A12" s="1657" t="s">
        <v>2487</v>
      </c>
      <c r="B12" s="1659">
        <v>0.4</v>
      </c>
    </row>
    <row r="13" spans="1:2" ht="25.5" customHeight="1">
      <c r="A13" s="1660"/>
    </row>
    <row r="14" spans="1:2" ht="21" customHeight="1">
      <c r="A14" s="1651" t="s">
        <v>2477</v>
      </c>
      <c r="B14" s="1661" t="s">
        <v>2488</v>
      </c>
    </row>
    <row r="15" spans="1:2" ht="19.5" customHeight="1">
      <c r="A15" s="1662" t="s">
        <v>2479</v>
      </c>
      <c r="B15" s="1663" t="s">
        <v>2480</v>
      </c>
    </row>
    <row r="16" spans="1:2" ht="42" customHeight="1">
      <c r="A16" s="1655" t="s">
        <v>2481</v>
      </c>
      <c r="B16" s="1656" t="s">
        <v>2482</v>
      </c>
    </row>
    <row r="17" spans="1:3" ht="24" customHeight="1">
      <c r="A17" s="1664" t="s">
        <v>2489</v>
      </c>
      <c r="B17" s="1658" t="s">
        <v>35</v>
      </c>
    </row>
    <row r="18" spans="1:3" ht="14">
      <c r="A18" s="1665" t="s">
        <v>2490</v>
      </c>
      <c r="B18" s="1666">
        <v>0.08</v>
      </c>
    </row>
    <row r="19" spans="1:3" ht="14">
      <c r="A19" s="1657" t="s">
        <v>2485</v>
      </c>
      <c r="B19" s="1666">
        <v>0.15</v>
      </c>
    </row>
    <row r="20" spans="1:3" ht="14">
      <c r="A20" s="1657" t="s">
        <v>2486</v>
      </c>
      <c r="B20" s="1666">
        <v>0.3</v>
      </c>
    </row>
    <row r="21" spans="1:3" ht="14">
      <c r="A21" s="1657" t="s">
        <v>2487</v>
      </c>
      <c r="B21" s="1659">
        <v>0.4</v>
      </c>
    </row>
    <row r="22" spans="1:3" ht="24" customHeight="1">
      <c r="A22" s="1660"/>
    </row>
    <row r="23" spans="1:3" ht="21" customHeight="1">
      <c r="A23" s="1651" t="s">
        <v>2477</v>
      </c>
      <c r="B23" s="1661" t="s">
        <v>2491</v>
      </c>
      <c r="C23" s="1667"/>
    </row>
    <row r="24" spans="1:3" ht="21.75" customHeight="1">
      <c r="A24" s="1662" t="s">
        <v>2479</v>
      </c>
      <c r="B24" s="1663" t="s">
        <v>2480</v>
      </c>
      <c r="C24" s="1668"/>
    </row>
    <row r="25" spans="1:3" ht="21" customHeight="1">
      <c r="A25" s="1790" t="s">
        <v>2481</v>
      </c>
      <c r="B25" s="1792" t="s">
        <v>2482</v>
      </c>
      <c r="C25" s="1669" t="s">
        <v>2492</v>
      </c>
    </row>
    <row r="26" spans="1:3" ht="29.25" customHeight="1">
      <c r="A26" s="1791"/>
      <c r="B26" s="1793"/>
      <c r="C26" s="1670" t="s">
        <v>2493</v>
      </c>
    </row>
    <row r="27" spans="1:3" ht="18.75" customHeight="1">
      <c r="A27" s="1671" t="s">
        <v>2494</v>
      </c>
      <c r="B27" s="1658" t="s">
        <v>35</v>
      </c>
      <c r="C27" s="1672" t="s">
        <v>35</v>
      </c>
    </row>
    <row r="28" spans="1:3" ht="14">
      <c r="A28" s="1657" t="s">
        <v>2495</v>
      </c>
      <c r="B28" s="1659">
        <v>0.08</v>
      </c>
      <c r="C28" s="1673">
        <v>170</v>
      </c>
    </row>
    <row r="29" spans="1:3" ht="14">
      <c r="A29" s="1657" t="s">
        <v>2485</v>
      </c>
      <c r="B29" s="1659">
        <v>0.15</v>
      </c>
      <c r="C29" s="1673">
        <v>370</v>
      </c>
    </row>
    <row r="30" spans="1:3" ht="14">
      <c r="A30" s="1657" t="s">
        <v>2486</v>
      </c>
      <c r="B30" s="1659">
        <v>0.3</v>
      </c>
      <c r="C30" s="1673">
        <v>970</v>
      </c>
    </row>
    <row r="31" spans="1:3" ht="14">
      <c r="A31" s="1657" t="s">
        <v>2487</v>
      </c>
      <c r="B31" s="1659">
        <v>0.4</v>
      </c>
      <c r="C31" s="1673">
        <v>1270</v>
      </c>
    </row>
    <row r="32" spans="1:3" ht="25.5" customHeight="1">
      <c r="A32" s="1660"/>
    </row>
    <row r="33" spans="1:3" ht="15" customHeight="1">
      <c r="A33" s="1660"/>
    </row>
    <row r="34" spans="1:3" ht="21" customHeight="1">
      <c r="A34" s="1651" t="s">
        <v>2477</v>
      </c>
      <c r="B34" s="1674">
        <v>2004</v>
      </c>
      <c r="C34" s="1667"/>
    </row>
    <row r="35" spans="1:3" ht="21.75" customHeight="1">
      <c r="A35" s="1662" t="s">
        <v>2479</v>
      </c>
      <c r="B35" s="1675" t="s">
        <v>2496</v>
      </c>
      <c r="C35" s="1668"/>
    </row>
    <row r="36" spans="1:3" ht="19.5" customHeight="1">
      <c r="A36" s="1790" t="s">
        <v>2481</v>
      </c>
      <c r="B36" s="1792" t="s">
        <v>2482</v>
      </c>
      <c r="C36" s="1669" t="s">
        <v>2492</v>
      </c>
    </row>
    <row r="37" spans="1:3" ht="42" customHeight="1">
      <c r="A37" s="1791"/>
      <c r="B37" s="1793"/>
      <c r="C37" s="1670" t="s">
        <v>2497</v>
      </c>
    </row>
    <row r="38" spans="1:3" ht="16.5" customHeight="1">
      <c r="A38" s="1664" t="s">
        <v>2498</v>
      </c>
      <c r="B38" s="1658" t="s">
        <v>35</v>
      </c>
      <c r="C38" s="1672" t="s">
        <v>35</v>
      </c>
    </row>
    <row r="39" spans="1:3" ht="14">
      <c r="A39" s="1657" t="s">
        <v>2495</v>
      </c>
      <c r="B39" s="1666">
        <v>0.03</v>
      </c>
      <c r="C39" s="1673">
        <v>80</v>
      </c>
    </row>
    <row r="40" spans="1:3" ht="14">
      <c r="A40" s="1657" t="s">
        <v>2485</v>
      </c>
      <c r="B40" s="1666">
        <v>0.09</v>
      </c>
      <c r="C40" s="1673">
        <v>240</v>
      </c>
    </row>
    <row r="41" spans="1:3" ht="14">
      <c r="A41" s="1657" t="s">
        <v>2486</v>
      </c>
      <c r="B41" s="1666">
        <v>0.24</v>
      </c>
      <c r="C41" s="1673">
        <v>720</v>
      </c>
    </row>
    <row r="42" spans="1:3" ht="14">
      <c r="A42" s="1657" t="s">
        <v>2487</v>
      </c>
      <c r="B42" s="1666">
        <v>0.3</v>
      </c>
      <c r="C42" s="1673">
        <v>960</v>
      </c>
    </row>
    <row r="43" spans="1:3" ht="22.5" customHeight="1">
      <c r="A43" s="1660"/>
    </row>
    <row r="44" spans="1:3" ht="21" customHeight="1">
      <c r="A44" s="1651" t="s">
        <v>2477</v>
      </c>
      <c r="B44" s="1674">
        <v>2005</v>
      </c>
      <c r="C44" s="1667"/>
    </row>
    <row r="45" spans="1:3" ht="21" customHeight="1">
      <c r="A45" s="1662" t="s">
        <v>2479</v>
      </c>
      <c r="B45" s="1663" t="s">
        <v>2499</v>
      </c>
      <c r="C45" s="1668"/>
    </row>
    <row r="46" spans="1:3" ht="20.25" customHeight="1">
      <c r="A46" s="1790" t="s">
        <v>2481</v>
      </c>
      <c r="B46" s="1792" t="s">
        <v>2482</v>
      </c>
      <c r="C46" s="1669" t="s">
        <v>2492</v>
      </c>
    </row>
    <row r="47" spans="1:3" ht="41.25" customHeight="1">
      <c r="A47" s="1791"/>
      <c r="B47" s="1793"/>
      <c r="C47" s="1676" t="s">
        <v>2497</v>
      </c>
    </row>
    <row r="48" spans="1:3" ht="15" customHeight="1">
      <c r="A48" s="1657" t="s">
        <v>2500</v>
      </c>
      <c r="B48" s="1658" t="s">
        <v>35</v>
      </c>
      <c r="C48" s="1672" t="s">
        <v>35</v>
      </c>
    </row>
    <row r="49" spans="1:3" ht="14">
      <c r="A49" s="1677" t="s">
        <v>2501</v>
      </c>
      <c r="B49" s="1666">
        <v>0.5</v>
      </c>
      <c r="C49" s="1673">
        <v>160</v>
      </c>
    </row>
    <row r="50" spans="1:3" ht="14">
      <c r="A50" s="1677" t="s">
        <v>2502</v>
      </c>
      <c r="B50" s="1666">
        <v>0.5</v>
      </c>
      <c r="C50" s="1673">
        <v>560</v>
      </c>
    </row>
    <row r="51" spans="1:3" ht="14">
      <c r="A51" s="1657" t="s">
        <v>2503</v>
      </c>
      <c r="B51" s="1666">
        <v>0.5</v>
      </c>
      <c r="C51" s="1672">
        <v>960</v>
      </c>
    </row>
    <row r="52" spans="1:3" ht="14">
      <c r="A52" s="1677" t="s">
        <v>2504</v>
      </c>
      <c r="B52" s="1666">
        <v>0.5</v>
      </c>
      <c r="C52" s="1673">
        <v>1360</v>
      </c>
    </row>
    <row r="53" spans="1:3" ht="14">
      <c r="A53" s="1677" t="s">
        <v>2505</v>
      </c>
      <c r="B53" s="1666">
        <v>0.5</v>
      </c>
      <c r="C53" s="1673">
        <v>1760</v>
      </c>
    </row>
    <row r="54" spans="1:3" ht="22.5" customHeight="1">
      <c r="A54" s="1678"/>
    </row>
    <row r="55" spans="1:3" ht="23.25" customHeight="1">
      <c r="A55" s="1651" t="s">
        <v>2477</v>
      </c>
      <c r="B55" s="1661" t="s">
        <v>2506</v>
      </c>
      <c r="C55" s="1667"/>
    </row>
    <row r="56" spans="1:3" ht="21" customHeight="1">
      <c r="A56" s="1662" t="s">
        <v>2479</v>
      </c>
      <c r="B56" s="1679" t="s">
        <v>2507</v>
      </c>
      <c r="C56" s="1668"/>
    </row>
    <row r="57" spans="1:3" ht="20.25" customHeight="1">
      <c r="A57" s="1790" t="s">
        <v>2481</v>
      </c>
      <c r="B57" s="1792" t="s">
        <v>2482</v>
      </c>
      <c r="C57" s="1669" t="s">
        <v>2492</v>
      </c>
    </row>
    <row r="58" spans="1:3" ht="41.25" customHeight="1">
      <c r="A58" s="1791"/>
      <c r="B58" s="1793"/>
      <c r="C58" s="1676" t="s">
        <v>2497</v>
      </c>
    </row>
    <row r="59" spans="1:3" ht="12.75" customHeight="1">
      <c r="A59" s="1657" t="s">
        <v>2500</v>
      </c>
      <c r="B59" s="1658" t="s">
        <v>35</v>
      </c>
      <c r="C59" s="1672" t="s">
        <v>35</v>
      </c>
    </row>
    <row r="60" spans="1:3" ht="14">
      <c r="A60" s="1671" t="s">
        <v>2501</v>
      </c>
      <c r="B60" s="1680">
        <v>0.5</v>
      </c>
      <c r="C60" s="1681">
        <v>160</v>
      </c>
    </row>
    <row r="61" spans="1:3" ht="14">
      <c r="A61" s="1671" t="s">
        <v>2502</v>
      </c>
      <c r="B61" s="1680">
        <v>0.5</v>
      </c>
      <c r="C61" s="1681">
        <v>560</v>
      </c>
    </row>
    <row r="62" spans="1:3" ht="14">
      <c r="A62" s="1671" t="s">
        <v>2503</v>
      </c>
      <c r="B62" s="1680">
        <v>0.5</v>
      </c>
      <c r="C62" s="1681">
        <v>960</v>
      </c>
    </row>
    <row r="63" spans="1:3" ht="14">
      <c r="A63" s="1671" t="s">
        <v>2504</v>
      </c>
      <c r="B63" s="1680">
        <v>0.5</v>
      </c>
      <c r="C63" s="1681">
        <v>1360</v>
      </c>
    </row>
    <row r="64" spans="1:3" ht="14">
      <c r="A64" s="1671" t="s">
        <v>2505</v>
      </c>
      <c r="B64" s="1680">
        <v>0.5</v>
      </c>
      <c r="C64" s="1681">
        <v>1760</v>
      </c>
    </row>
    <row r="65" spans="1:3" ht="22.5" customHeight="1">
      <c r="A65" s="1678"/>
    </row>
    <row r="66" spans="1:3" ht="23.25" customHeight="1">
      <c r="A66" s="1651" t="s">
        <v>2477</v>
      </c>
      <c r="B66" s="1661" t="s">
        <v>2508</v>
      </c>
      <c r="C66" s="1667"/>
    </row>
    <row r="67" spans="1:3" ht="21" customHeight="1">
      <c r="A67" s="1662" t="s">
        <v>2479</v>
      </c>
      <c r="B67" s="1682" t="s">
        <v>2507</v>
      </c>
      <c r="C67" s="1668"/>
    </row>
    <row r="68" spans="1:3" ht="20.25" customHeight="1">
      <c r="A68" s="1790" t="s">
        <v>2481</v>
      </c>
      <c r="B68" s="1792" t="s">
        <v>2482</v>
      </c>
      <c r="C68" s="1669" t="s">
        <v>2492</v>
      </c>
    </row>
    <row r="69" spans="1:3" ht="41.25" customHeight="1">
      <c r="A69" s="1791"/>
      <c r="B69" s="1793"/>
      <c r="C69" s="1683" t="s">
        <v>2509</v>
      </c>
    </row>
    <row r="70" spans="1:3" ht="12.75" customHeight="1">
      <c r="A70" s="1657" t="s">
        <v>2500</v>
      </c>
      <c r="B70" s="1658" t="s">
        <v>35</v>
      </c>
      <c r="C70" s="1684" t="s">
        <v>35</v>
      </c>
    </row>
    <row r="71" spans="1:3" ht="14">
      <c r="A71" s="1671" t="s">
        <v>2501</v>
      </c>
      <c r="B71" s="1680">
        <v>0.5</v>
      </c>
      <c r="C71" s="1683">
        <f>(0.7*(500-300))</f>
        <v>140</v>
      </c>
    </row>
    <row r="72" spans="1:3" ht="14">
      <c r="A72" s="1671" t="s">
        <v>2502</v>
      </c>
      <c r="B72" s="1680">
        <v>0.5</v>
      </c>
      <c r="C72" s="1683">
        <f>(0.7*(1000-300))</f>
        <v>489.99999999999994</v>
      </c>
    </row>
    <row r="73" spans="1:3" ht="14">
      <c r="A73" s="1671" t="s">
        <v>2503</v>
      </c>
      <c r="B73" s="1680">
        <v>0.5</v>
      </c>
      <c r="C73" s="1683">
        <f>(0.7*(1500-300))</f>
        <v>840</v>
      </c>
    </row>
    <row r="74" spans="1:3" ht="14">
      <c r="A74" s="1671" t="s">
        <v>2504</v>
      </c>
      <c r="B74" s="1680">
        <v>0.5</v>
      </c>
      <c r="C74" s="1683">
        <f>(0.7*(2000-300))</f>
        <v>1190</v>
      </c>
    </row>
    <row r="75" spans="1:3" ht="14">
      <c r="A75" s="1671" t="s">
        <v>2505</v>
      </c>
      <c r="B75" s="1680">
        <v>0.5</v>
      </c>
      <c r="C75" s="1683">
        <f>(0.7*(2500-300))</f>
        <v>1540</v>
      </c>
    </row>
    <row r="76" spans="1:3" ht="15.75" customHeight="1">
      <c r="A76" s="1685" t="s">
        <v>2510</v>
      </c>
    </row>
    <row r="77" spans="1:3" ht="9" customHeight="1">
      <c r="A77" s="1686"/>
    </row>
    <row r="78" spans="1:3">
      <c r="A78" s="1686" t="s">
        <v>2511</v>
      </c>
    </row>
    <row r="79" spans="1:3">
      <c r="A79" s="1686"/>
    </row>
    <row r="80" spans="1:3">
      <c r="A80" s="1686" t="s">
        <v>2512</v>
      </c>
    </row>
    <row r="81" spans="1:1">
      <c r="A81" s="1686" t="s">
        <v>2513</v>
      </c>
    </row>
    <row r="82" spans="1:1">
      <c r="A82" s="1686" t="s">
        <v>2514</v>
      </c>
    </row>
    <row r="83" spans="1:1">
      <c r="A83" s="1686"/>
    </row>
    <row r="84" spans="1:1">
      <c r="A84" s="1687" t="s">
        <v>2515</v>
      </c>
    </row>
    <row r="85" spans="1:1">
      <c r="A85" s="1686"/>
    </row>
    <row r="86" spans="1:1">
      <c r="A86" s="1686"/>
    </row>
    <row r="87" spans="1:1">
      <c r="A87" s="1686"/>
    </row>
  </sheetData>
  <mergeCells count="10">
    <mergeCell ref="A57:A58"/>
    <mergeCell ref="B57:B58"/>
    <mergeCell ref="A68:A69"/>
    <mergeCell ref="B68:B69"/>
    <mergeCell ref="A25:A26"/>
    <mergeCell ref="B25:B26"/>
    <mergeCell ref="A36:A37"/>
    <mergeCell ref="B36:B37"/>
    <mergeCell ref="A46:A47"/>
    <mergeCell ref="B46:B47"/>
  </mergeCells>
  <pageMargins left="0.62992125984251968" right="0.35433070866141736" top="0.35433070866141736" bottom="0.39370078740157483" header="0.23622047244094491" footer="0.19685039370078741"/>
  <pageSetup paperSize="9" fitToHeight="2" orientation="portrait"/>
  <headerFooter alignWithMargins="0"/>
  <rowBreaks count="1" manualBreakCount="1">
    <brk id="32"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9CD2F-72AD-1741-91CD-31A82990D370}">
  <sheetPr>
    <pageSetUpPr fitToPage="1"/>
  </sheetPr>
  <dimension ref="A1:C85"/>
  <sheetViews>
    <sheetView workbookViewId="0">
      <selection activeCell="A80" sqref="A80"/>
    </sheetView>
  </sheetViews>
  <sheetFormatPr baseColWidth="10" defaultColWidth="11.3984375" defaultRowHeight="13"/>
  <cols>
    <col min="1" max="1" width="23.19921875" style="1649" customWidth="1"/>
    <col min="2" max="2" width="23.3984375" style="1649" customWidth="1"/>
    <col min="3" max="3" width="28.796875" style="1649" customWidth="1"/>
    <col min="4" max="4" width="13.3984375" style="1649" customWidth="1"/>
    <col min="5" max="5" width="6" style="1649" customWidth="1"/>
    <col min="6" max="16384" width="11.3984375" style="1649"/>
  </cols>
  <sheetData>
    <row r="1" spans="1:2" ht="14">
      <c r="A1" s="1648" t="s">
        <v>2516</v>
      </c>
    </row>
    <row r="2" spans="1:2" ht="14">
      <c r="A2" s="1688"/>
    </row>
    <row r="3" spans="1:2" ht="14">
      <c r="A3" s="1648" t="s">
        <v>2517</v>
      </c>
    </row>
    <row r="4" spans="1:2" ht="25.5" customHeight="1"/>
    <row r="5" spans="1:2" ht="21.75" customHeight="1">
      <c r="A5" s="1689" t="s">
        <v>594</v>
      </c>
      <c r="B5" s="1652" t="s">
        <v>2478</v>
      </c>
    </row>
    <row r="6" spans="1:2" ht="21.75" customHeight="1">
      <c r="A6" s="1653" t="s">
        <v>2479</v>
      </c>
      <c r="B6" s="1654" t="s">
        <v>2518</v>
      </c>
    </row>
    <row r="7" spans="1:2" ht="43.5" customHeight="1">
      <c r="A7" s="1655" t="s">
        <v>2481</v>
      </c>
      <c r="B7" s="1656" t="s">
        <v>2482</v>
      </c>
    </row>
    <row r="8" spans="1:2" ht="22.5" customHeight="1">
      <c r="A8" s="1657" t="s">
        <v>2519</v>
      </c>
      <c r="B8" s="1658" t="s">
        <v>35</v>
      </c>
    </row>
    <row r="9" spans="1:2" ht="14">
      <c r="A9" s="1657" t="s">
        <v>2520</v>
      </c>
      <c r="B9" s="1659">
        <v>0.2</v>
      </c>
    </row>
    <row r="10" spans="1:2" ht="14">
      <c r="A10" s="1657" t="s">
        <v>2521</v>
      </c>
      <c r="B10" s="1659">
        <v>0.35</v>
      </c>
    </row>
    <row r="11" spans="1:2" ht="14">
      <c r="A11" s="1657" t="s">
        <v>2522</v>
      </c>
      <c r="B11" s="1659">
        <v>0.4</v>
      </c>
    </row>
    <row r="12" spans="1:2" ht="34.5" customHeight="1">
      <c r="A12" s="1660"/>
    </row>
    <row r="13" spans="1:2" ht="21.75" customHeight="1">
      <c r="A13" s="1689" t="s">
        <v>594</v>
      </c>
      <c r="B13" s="1661" t="s">
        <v>2488</v>
      </c>
    </row>
    <row r="14" spans="1:2" ht="17.25" customHeight="1">
      <c r="A14" s="1662" t="s">
        <v>2479</v>
      </c>
      <c r="B14" s="1663" t="s">
        <v>2518</v>
      </c>
    </row>
    <row r="15" spans="1:2" ht="33" customHeight="1">
      <c r="A15" s="1655" t="s">
        <v>2481</v>
      </c>
      <c r="B15" s="1656" t="s">
        <v>2482</v>
      </c>
    </row>
    <row r="16" spans="1:2" ht="20.25" customHeight="1">
      <c r="A16" s="1657" t="s">
        <v>2519</v>
      </c>
      <c r="B16" s="1658" t="s">
        <v>35</v>
      </c>
    </row>
    <row r="17" spans="1:3" ht="14">
      <c r="A17" s="1657" t="s">
        <v>2520</v>
      </c>
      <c r="B17" s="1666">
        <v>0.15</v>
      </c>
    </row>
    <row r="18" spans="1:3" ht="14">
      <c r="A18" s="1657" t="s">
        <v>2521</v>
      </c>
      <c r="B18" s="1666">
        <v>0.3</v>
      </c>
    </row>
    <row r="19" spans="1:3" ht="14">
      <c r="A19" s="1657" t="s">
        <v>2522</v>
      </c>
      <c r="B19" s="1659">
        <v>0.4</v>
      </c>
    </row>
    <row r="20" spans="1:3" ht="30.75" customHeight="1">
      <c r="A20" s="1660"/>
    </row>
    <row r="21" spans="1:3" ht="20.25" customHeight="1">
      <c r="A21" s="1689" t="s">
        <v>594</v>
      </c>
      <c r="B21" s="1661" t="s">
        <v>2491</v>
      </c>
      <c r="C21" s="1667"/>
    </row>
    <row r="22" spans="1:3" ht="25.5" customHeight="1">
      <c r="A22" s="1662" t="s">
        <v>2479</v>
      </c>
      <c r="B22" s="1663" t="s">
        <v>2518</v>
      </c>
      <c r="C22" s="1668"/>
    </row>
    <row r="23" spans="1:3" ht="28">
      <c r="A23" s="1790" t="s">
        <v>2481</v>
      </c>
      <c r="B23" s="1792" t="s">
        <v>2482</v>
      </c>
      <c r="C23" s="1690" t="s">
        <v>2492</v>
      </c>
    </row>
    <row r="24" spans="1:3" ht="39" customHeight="1">
      <c r="A24" s="1791"/>
      <c r="B24" s="1793"/>
      <c r="C24" s="1670" t="s">
        <v>2493</v>
      </c>
    </row>
    <row r="25" spans="1:3" ht="19.5" customHeight="1">
      <c r="A25" s="1657" t="s">
        <v>2519</v>
      </c>
      <c r="B25" s="1658" t="s">
        <v>35</v>
      </c>
      <c r="C25" s="1681" t="s">
        <v>35</v>
      </c>
    </row>
    <row r="26" spans="1:3" ht="14">
      <c r="A26" s="1657" t="s">
        <v>2520</v>
      </c>
      <c r="B26" s="1659">
        <v>0.15</v>
      </c>
      <c r="C26" s="1673">
        <v>150</v>
      </c>
    </row>
    <row r="27" spans="1:3" ht="14">
      <c r="A27" s="1657" t="s">
        <v>2521</v>
      </c>
      <c r="B27" s="1659">
        <v>0.3</v>
      </c>
      <c r="C27" s="1673">
        <v>300</v>
      </c>
    </row>
    <row r="28" spans="1:3" ht="14">
      <c r="A28" s="1657" t="s">
        <v>2522</v>
      </c>
      <c r="B28" s="1659">
        <v>0.4</v>
      </c>
      <c r="C28" s="1673">
        <v>375</v>
      </c>
    </row>
    <row r="29" spans="1:3" ht="30.75" customHeight="1">
      <c r="A29" s="1660"/>
    </row>
    <row r="30" spans="1:3" ht="18.75" customHeight="1">
      <c r="A30" s="1660"/>
    </row>
    <row r="31" spans="1:3" ht="15.75" customHeight="1">
      <c r="A31" s="1689" t="s">
        <v>594</v>
      </c>
      <c r="B31" s="1674">
        <v>2004</v>
      </c>
      <c r="C31" s="1667"/>
    </row>
    <row r="32" spans="1:3" ht="29.25" customHeight="1">
      <c r="A32" s="1662" t="s">
        <v>2479</v>
      </c>
      <c r="B32" s="1675" t="s">
        <v>2523</v>
      </c>
      <c r="C32" s="1668"/>
    </row>
    <row r="33" spans="1:3" ht="19.5" customHeight="1">
      <c r="A33" s="1790" t="s">
        <v>2481</v>
      </c>
      <c r="B33" s="1792" t="s">
        <v>2482</v>
      </c>
      <c r="C33" s="1669" t="s">
        <v>2492</v>
      </c>
    </row>
    <row r="34" spans="1:3" ht="49.5" customHeight="1">
      <c r="A34" s="1791"/>
      <c r="B34" s="1793"/>
      <c r="C34" s="1670" t="s">
        <v>2497</v>
      </c>
    </row>
    <row r="35" spans="1:3" ht="15" customHeight="1">
      <c r="A35" s="1657" t="s">
        <v>2519</v>
      </c>
      <c r="B35" s="1658" t="s">
        <v>35</v>
      </c>
      <c r="C35" s="1672" t="s">
        <v>35</v>
      </c>
    </row>
    <row r="36" spans="1:3" ht="14">
      <c r="A36" s="1657" t="s">
        <v>2520</v>
      </c>
      <c r="B36" s="1666">
        <v>0.21</v>
      </c>
      <c r="C36" s="1673">
        <v>120</v>
      </c>
    </row>
    <row r="37" spans="1:3" ht="14">
      <c r="A37" s="1657" t="s">
        <v>2521</v>
      </c>
      <c r="B37" s="1691">
        <v>0.37</v>
      </c>
      <c r="C37" s="1673">
        <v>240</v>
      </c>
    </row>
    <row r="38" spans="1:3" ht="14">
      <c r="A38" s="1657" t="s">
        <v>2522</v>
      </c>
      <c r="B38" s="1666">
        <v>0.43</v>
      </c>
      <c r="C38" s="1673">
        <v>300</v>
      </c>
    </row>
    <row r="39" spans="1:3" ht="26.25" customHeight="1">
      <c r="A39" s="1660"/>
    </row>
    <row r="40" spans="1:3" ht="20.25" customHeight="1">
      <c r="A40" s="1689" t="s">
        <v>594</v>
      </c>
      <c r="B40" s="1674">
        <v>2005</v>
      </c>
      <c r="C40" s="1667"/>
    </row>
    <row r="41" spans="1:3" ht="18" customHeight="1">
      <c r="A41" s="1662" t="s">
        <v>2479</v>
      </c>
      <c r="B41" s="1663" t="s">
        <v>2524</v>
      </c>
      <c r="C41" s="1668"/>
    </row>
    <row r="42" spans="1:3" ht="19.5" customHeight="1">
      <c r="A42" s="1790" t="s">
        <v>2481</v>
      </c>
      <c r="B42" s="1792" t="s">
        <v>2482</v>
      </c>
      <c r="C42" s="1669" t="s">
        <v>2492</v>
      </c>
    </row>
    <row r="43" spans="1:3" ht="42.75" customHeight="1">
      <c r="A43" s="1791"/>
      <c r="B43" s="1793"/>
      <c r="C43" s="1676" t="s">
        <v>2497</v>
      </c>
    </row>
    <row r="44" spans="1:3" ht="15.75" customHeight="1">
      <c r="A44" s="1657" t="s">
        <v>2519</v>
      </c>
      <c r="B44" s="1658" t="s">
        <v>35</v>
      </c>
      <c r="C44" s="1672" t="s">
        <v>35</v>
      </c>
    </row>
    <row r="45" spans="1:3" ht="14">
      <c r="A45" s="1677" t="s">
        <v>2525</v>
      </c>
      <c r="B45" s="1666">
        <v>0.5</v>
      </c>
      <c r="C45" s="1673">
        <v>80</v>
      </c>
    </row>
    <row r="46" spans="1:3" ht="14">
      <c r="A46" s="1677" t="s">
        <v>2526</v>
      </c>
      <c r="B46" s="1666">
        <v>0.5</v>
      </c>
      <c r="C46" s="1673">
        <v>160</v>
      </c>
    </row>
    <row r="47" spans="1:3" ht="14">
      <c r="A47" s="1657" t="s">
        <v>2527</v>
      </c>
      <c r="B47" s="1666">
        <v>0.5</v>
      </c>
      <c r="C47" s="1672">
        <v>240</v>
      </c>
    </row>
    <row r="48" spans="1:3" ht="14">
      <c r="A48" s="1677" t="s">
        <v>2528</v>
      </c>
      <c r="B48" s="1666">
        <v>0.5</v>
      </c>
      <c r="C48" s="1673">
        <v>320</v>
      </c>
    </row>
    <row r="49" spans="1:3" ht="14">
      <c r="A49" s="1677" t="s">
        <v>2529</v>
      </c>
      <c r="B49" s="1666">
        <v>0.5</v>
      </c>
      <c r="C49" s="1673">
        <v>400</v>
      </c>
    </row>
    <row r="50" spans="1:3" ht="14">
      <c r="A50" s="1677" t="s">
        <v>2530</v>
      </c>
      <c r="B50" s="1666">
        <v>0.5</v>
      </c>
      <c r="C50" s="1673">
        <v>480</v>
      </c>
    </row>
    <row r="51" spans="1:3" ht="29.25" customHeight="1">
      <c r="A51" s="1686"/>
    </row>
    <row r="52" spans="1:3" ht="20.25" customHeight="1">
      <c r="A52" s="1689" t="s">
        <v>594</v>
      </c>
      <c r="B52" s="1661" t="s">
        <v>2506</v>
      </c>
      <c r="C52" s="1667"/>
    </row>
    <row r="53" spans="1:3" ht="18" customHeight="1">
      <c r="A53" s="1662" t="s">
        <v>2479</v>
      </c>
      <c r="B53" s="1679" t="s">
        <v>2531</v>
      </c>
      <c r="C53" s="1668"/>
    </row>
    <row r="54" spans="1:3" ht="20.25" customHeight="1">
      <c r="A54" s="1790" t="s">
        <v>2481</v>
      </c>
      <c r="B54" s="1792" t="s">
        <v>2482</v>
      </c>
      <c r="C54" s="1669" t="s">
        <v>2492</v>
      </c>
    </row>
    <row r="55" spans="1:3" ht="39" customHeight="1">
      <c r="A55" s="1791"/>
      <c r="B55" s="1793"/>
      <c r="C55" s="1676" t="s">
        <v>2497</v>
      </c>
    </row>
    <row r="56" spans="1:3" ht="14.25" customHeight="1">
      <c r="A56" s="1657" t="s">
        <v>2519</v>
      </c>
      <c r="B56" s="1658" t="s">
        <v>35</v>
      </c>
      <c r="C56" s="1672" t="s">
        <v>35</v>
      </c>
    </row>
    <row r="57" spans="1:3" ht="14">
      <c r="A57" s="1671" t="s">
        <v>2525</v>
      </c>
      <c r="B57" s="1680">
        <v>0.5</v>
      </c>
      <c r="C57" s="1681">
        <v>80</v>
      </c>
    </row>
    <row r="58" spans="1:3" ht="14">
      <c r="A58" s="1671" t="s">
        <v>2526</v>
      </c>
      <c r="B58" s="1680">
        <v>0.5</v>
      </c>
      <c r="C58" s="1681">
        <v>160</v>
      </c>
    </row>
    <row r="59" spans="1:3" ht="14">
      <c r="A59" s="1671" t="s">
        <v>2527</v>
      </c>
      <c r="B59" s="1680">
        <v>0.5</v>
      </c>
      <c r="C59" s="1681">
        <v>240</v>
      </c>
    </row>
    <row r="60" spans="1:3" ht="14">
      <c r="A60" s="1671" t="s">
        <v>2528</v>
      </c>
      <c r="B60" s="1680">
        <v>0.5</v>
      </c>
      <c r="C60" s="1681">
        <v>320</v>
      </c>
    </row>
    <row r="61" spans="1:3" ht="14">
      <c r="A61" s="1671" t="s">
        <v>2529</v>
      </c>
      <c r="B61" s="1680">
        <v>0.5</v>
      </c>
      <c r="C61" s="1681">
        <v>400</v>
      </c>
    </row>
    <row r="62" spans="1:3" ht="14">
      <c r="A62" s="1671" t="s">
        <v>2530</v>
      </c>
      <c r="B62" s="1680">
        <v>0.5</v>
      </c>
      <c r="C62" s="1681">
        <v>480</v>
      </c>
    </row>
    <row r="63" spans="1:3" ht="29.25" customHeight="1">
      <c r="A63" s="1686"/>
    </row>
    <row r="64" spans="1:3" ht="20.25" customHeight="1">
      <c r="A64" s="1689" t="s">
        <v>594</v>
      </c>
      <c r="B64" s="1661" t="s">
        <v>2508</v>
      </c>
      <c r="C64" s="1667"/>
    </row>
    <row r="65" spans="1:3" ht="18" customHeight="1">
      <c r="A65" s="1662" t="s">
        <v>2479</v>
      </c>
      <c r="B65" s="1682" t="s">
        <v>2531</v>
      </c>
      <c r="C65" s="1668"/>
    </row>
    <row r="66" spans="1:3" ht="20.25" customHeight="1">
      <c r="A66" s="1790" t="s">
        <v>2481</v>
      </c>
      <c r="B66" s="1792" t="s">
        <v>2482</v>
      </c>
      <c r="C66" s="1669" t="s">
        <v>2492</v>
      </c>
    </row>
    <row r="67" spans="1:3" ht="39" customHeight="1">
      <c r="A67" s="1791"/>
      <c r="B67" s="1793"/>
      <c r="C67" s="1683" t="s">
        <v>2509</v>
      </c>
    </row>
    <row r="68" spans="1:3" ht="14.25" customHeight="1">
      <c r="A68" s="1657" t="s">
        <v>2519</v>
      </c>
      <c r="B68" s="1658" t="s">
        <v>35</v>
      </c>
      <c r="C68" s="1692" t="s">
        <v>35</v>
      </c>
    </row>
    <row r="69" spans="1:3" ht="14">
      <c r="A69" s="1671" t="s">
        <v>2525</v>
      </c>
      <c r="B69" s="1680">
        <v>0.5</v>
      </c>
      <c r="C69" s="1673">
        <v>70</v>
      </c>
    </row>
    <row r="70" spans="1:3" ht="14">
      <c r="A70" s="1671" t="s">
        <v>2526</v>
      </c>
      <c r="B70" s="1680">
        <v>0.5</v>
      </c>
      <c r="C70" s="1673">
        <v>140</v>
      </c>
    </row>
    <row r="71" spans="1:3" ht="14">
      <c r="A71" s="1671" t="s">
        <v>2527</v>
      </c>
      <c r="B71" s="1680">
        <v>0.5</v>
      </c>
      <c r="C71" s="1673">
        <v>210</v>
      </c>
    </row>
    <row r="72" spans="1:3" ht="14">
      <c r="A72" s="1671" t="s">
        <v>2528</v>
      </c>
      <c r="B72" s="1680">
        <v>0.5</v>
      </c>
      <c r="C72" s="1673">
        <v>280</v>
      </c>
    </row>
    <row r="73" spans="1:3" ht="14">
      <c r="A73" s="1671" t="s">
        <v>2529</v>
      </c>
      <c r="B73" s="1680">
        <v>0.5</v>
      </c>
      <c r="C73" s="1673">
        <v>350</v>
      </c>
    </row>
    <row r="74" spans="1:3" ht="14">
      <c r="A74" s="1671" t="s">
        <v>2530</v>
      </c>
      <c r="B74" s="1680">
        <v>0.5</v>
      </c>
      <c r="C74" s="1673">
        <v>420</v>
      </c>
    </row>
    <row r="75" spans="1:3">
      <c r="A75" s="1678" t="s">
        <v>2510</v>
      </c>
    </row>
    <row r="76" spans="1:3">
      <c r="A76" s="1678"/>
    </row>
    <row r="77" spans="1:3">
      <c r="A77" s="1686" t="s">
        <v>2511</v>
      </c>
    </row>
    <row r="78" spans="1:3">
      <c r="A78" s="1686"/>
    </row>
    <row r="79" spans="1:3">
      <c r="A79" s="1686" t="s">
        <v>2532</v>
      </c>
    </row>
    <row r="80" spans="1:3">
      <c r="A80" s="1686" t="s">
        <v>2514</v>
      </c>
    </row>
    <row r="81" spans="1:1">
      <c r="A81" s="1686"/>
    </row>
    <row r="82" spans="1:1">
      <c r="A82" s="1687" t="s">
        <v>2515</v>
      </c>
    </row>
    <row r="83" spans="1:1">
      <c r="A83" s="1686"/>
    </row>
    <row r="84" spans="1:1">
      <c r="A84" s="1686"/>
    </row>
    <row r="85" spans="1:1">
      <c r="A85" s="1686"/>
    </row>
  </sheetData>
  <mergeCells count="10">
    <mergeCell ref="A54:A55"/>
    <mergeCell ref="B54:B55"/>
    <mergeCell ref="A66:A67"/>
    <mergeCell ref="B66:B67"/>
    <mergeCell ref="A23:A24"/>
    <mergeCell ref="B23:B24"/>
    <mergeCell ref="A33:A34"/>
    <mergeCell ref="B33:B34"/>
    <mergeCell ref="A42:A43"/>
    <mergeCell ref="B42:B43"/>
  </mergeCells>
  <pageMargins left="0.47" right="0.6" top="0.48" bottom="0.54" header="0.35" footer="0.33"/>
  <pageSetup paperSize="9" scale="97" fitToHeight="2" orientation="portrait"/>
  <headerFooter alignWithMargins="0"/>
  <rowBreaks count="1" manualBreakCount="1">
    <brk id="29"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C7E77-F69E-804A-8594-24BCE223AA72}">
  <sheetPr>
    <pageSetUpPr fitToPage="1"/>
  </sheetPr>
  <dimension ref="A1:O59"/>
  <sheetViews>
    <sheetView topLeftCell="A27" workbookViewId="0">
      <selection activeCell="L48" sqref="L48"/>
    </sheetView>
  </sheetViews>
  <sheetFormatPr baseColWidth="10" defaultRowHeight="13"/>
  <cols>
    <col min="1" max="1" width="24.796875" customWidth="1"/>
    <col min="2" max="2" width="14.3984375" customWidth="1"/>
    <col min="3" max="3" width="14.59765625" customWidth="1"/>
    <col min="4" max="4" width="14.3984375" customWidth="1"/>
    <col min="5" max="5" width="14.59765625" customWidth="1"/>
    <col min="6" max="6" width="10" customWidth="1"/>
    <col min="7" max="7" width="9.59765625" customWidth="1"/>
    <col min="8" max="8" width="10.59765625" customWidth="1"/>
    <col min="9" max="9" width="11.19921875" customWidth="1"/>
  </cols>
  <sheetData>
    <row r="1" spans="1:10" ht="14">
      <c r="A1" s="1693" t="s">
        <v>2533</v>
      </c>
      <c r="B1" s="83"/>
      <c r="C1" s="83"/>
      <c r="D1" s="83"/>
      <c r="E1" s="83"/>
      <c r="F1" s="83"/>
      <c r="G1" s="83"/>
      <c r="H1" s="83"/>
      <c r="I1" s="83"/>
    </row>
    <row r="2" spans="1:10" ht="14">
      <c r="A2" s="83"/>
      <c r="B2" s="83"/>
      <c r="C2" s="83"/>
      <c r="D2" s="83"/>
      <c r="E2" s="83"/>
      <c r="F2" s="83"/>
      <c r="G2" s="83"/>
      <c r="H2" s="83"/>
      <c r="I2" s="83"/>
    </row>
    <row r="3" spans="1:10" ht="39.75" customHeight="1">
      <c r="A3" s="1806" t="s">
        <v>2534</v>
      </c>
      <c r="B3" s="1806"/>
      <c r="C3" s="1806"/>
      <c r="D3" s="1806"/>
      <c r="E3" s="1806"/>
      <c r="F3" s="1806"/>
      <c r="G3" s="1806"/>
      <c r="H3" s="1806"/>
      <c r="I3" s="1806"/>
      <c r="J3" s="533"/>
    </row>
    <row r="4" spans="1:10" ht="20.25" customHeight="1">
      <c r="A4" s="1694"/>
      <c r="B4" s="1695"/>
      <c r="C4" s="1695"/>
      <c r="D4" s="1695"/>
      <c r="E4" s="1695"/>
      <c r="F4" s="1695"/>
      <c r="G4" s="1695"/>
      <c r="H4" s="1695"/>
      <c r="I4" s="1695"/>
      <c r="J4" s="533"/>
    </row>
    <row r="5" spans="1:10" ht="18.75" customHeight="1">
      <c r="A5" s="1696"/>
      <c r="B5" s="1697"/>
      <c r="C5" s="1697"/>
      <c r="D5" s="1697"/>
      <c r="E5" s="1697"/>
      <c r="G5" s="24"/>
    </row>
    <row r="6" spans="1:10" ht="23.25" customHeight="1">
      <c r="A6" s="1794" t="s">
        <v>2535</v>
      </c>
      <c r="B6" s="1795"/>
      <c r="C6" s="1796"/>
      <c r="D6" s="4"/>
      <c r="E6" s="3"/>
      <c r="F6" s="3"/>
      <c r="G6" s="3"/>
      <c r="H6" s="3"/>
      <c r="I6" s="3"/>
    </row>
    <row r="7" spans="1:10" ht="28.5" customHeight="1">
      <c r="A7" s="1797" t="s">
        <v>2536</v>
      </c>
      <c r="B7" s="1798"/>
      <c r="C7" s="1798"/>
      <c r="D7" s="1799" t="s">
        <v>2537</v>
      </c>
      <c r="E7" s="1800"/>
      <c r="F7" s="1799" t="s">
        <v>2538</v>
      </c>
      <c r="G7" s="1801"/>
      <c r="H7" s="1801"/>
      <c r="I7" s="1800"/>
    </row>
    <row r="8" spans="1:10" ht="41.25" customHeight="1">
      <c r="A8" s="1698" t="s">
        <v>2481</v>
      </c>
      <c r="B8" s="1699" t="s">
        <v>2539</v>
      </c>
      <c r="C8" s="1700" t="s">
        <v>2540</v>
      </c>
      <c r="D8" s="1699" t="s">
        <v>2539</v>
      </c>
      <c r="E8" s="1701" t="s">
        <v>2540</v>
      </c>
      <c r="F8" s="1802" t="s">
        <v>2539</v>
      </c>
      <c r="G8" s="1803"/>
      <c r="H8" s="1804" t="s">
        <v>2540</v>
      </c>
      <c r="I8" s="1805"/>
    </row>
    <row r="9" spans="1:10" ht="13.5" customHeight="1">
      <c r="A9" s="1702" t="s">
        <v>2541</v>
      </c>
      <c r="B9" s="1703">
        <v>2.1936864633493869E-2</v>
      </c>
      <c r="C9" s="1704">
        <v>1.7937873705702101E-2</v>
      </c>
      <c r="D9" s="1705">
        <v>4584</v>
      </c>
      <c r="E9" s="1706">
        <v>5584</v>
      </c>
      <c r="F9" s="1705" t="s">
        <v>35</v>
      </c>
      <c r="G9" s="1705" t="s">
        <v>35</v>
      </c>
      <c r="H9" s="1706" t="s">
        <v>35</v>
      </c>
      <c r="I9" s="1706" t="s">
        <v>35</v>
      </c>
    </row>
    <row r="10" spans="1:10" ht="13.5" customHeight="1">
      <c r="A10" s="1707" t="s">
        <v>2542</v>
      </c>
      <c r="B10" s="1708">
        <v>2.2643593519882099E-2</v>
      </c>
      <c r="C10" s="1704">
        <v>1.7743796884016172E-2</v>
      </c>
      <c r="D10" s="1705">
        <v>4444</v>
      </c>
      <c r="E10" s="1706">
        <v>5644</v>
      </c>
      <c r="F10" s="1705">
        <v>140</v>
      </c>
      <c r="G10" s="1708">
        <v>3.0541012216404886E-2</v>
      </c>
      <c r="H10" s="1706">
        <v>-60</v>
      </c>
      <c r="I10" s="1704">
        <v>-1.0744985673352435E-2</v>
      </c>
    </row>
    <row r="11" spans="1:10" ht="13.5" customHeight="1">
      <c r="A11" s="1707" t="s">
        <v>2543</v>
      </c>
      <c r="B11" s="1708">
        <v>2.462708979877859E-2</v>
      </c>
      <c r="C11" s="1704">
        <v>1.7276494135824105E-2</v>
      </c>
      <c r="D11" s="1705">
        <v>4094</v>
      </c>
      <c r="E11" s="1706">
        <v>5794</v>
      </c>
      <c r="F11" s="1705">
        <v>490</v>
      </c>
      <c r="G11" s="1708">
        <v>0.10689354275741711</v>
      </c>
      <c r="H11" s="1706">
        <v>-210</v>
      </c>
      <c r="I11" s="1704">
        <v>-3.7607449856733526E-2</v>
      </c>
    </row>
    <row r="12" spans="1:10" ht="13.5" customHeight="1">
      <c r="A12" s="1707" t="s">
        <v>2503</v>
      </c>
      <c r="B12" s="1708">
        <v>2.6991441737985511E-2</v>
      </c>
      <c r="C12" s="1704">
        <v>1.6833173669084323E-2</v>
      </c>
      <c r="D12" s="1705">
        <v>3744</v>
      </c>
      <c r="E12" s="1706">
        <v>5944</v>
      </c>
      <c r="F12" s="1705">
        <v>840</v>
      </c>
      <c r="G12" s="1708">
        <v>0.18324607329842932</v>
      </c>
      <c r="H12" s="1706">
        <v>-360</v>
      </c>
      <c r="I12" s="1704">
        <v>-6.4469914040114609E-2</v>
      </c>
    </row>
    <row r="13" spans="1:10" ht="13.5" customHeight="1">
      <c r="A13" s="1707" t="s">
        <v>2504</v>
      </c>
      <c r="B13" s="1708">
        <v>2.9857992474815021E-2</v>
      </c>
      <c r="C13" s="1704">
        <v>1.6412035492694654E-2</v>
      </c>
      <c r="D13" s="1705">
        <v>3394</v>
      </c>
      <c r="E13" s="1706">
        <v>6094</v>
      </c>
      <c r="F13" s="1705">
        <v>1190</v>
      </c>
      <c r="G13" s="1708">
        <v>0.25959860383944156</v>
      </c>
      <c r="H13" s="1706">
        <v>-510</v>
      </c>
      <c r="I13" s="1704">
        <v>-9.13323782234957E-2</v>
      </c>
    </row>
    <row r="14" spans="1:10" ht="13.5" customHeight="1">
      <c r="A14" s="1707" t="s">
        <v>2505</v>
      </c>
      <c r="B14" s="1708">
        <v>3.3405757740358588E-2</v>
      </c>
      <c r="C14" s="1704">
        <v>1.6011455350169124E-2</v>
      </c>
      <c r="D14" s="1705">
        <v>3044</v>
      </c>
      <c r="E14" s="1706">
        <v>6244</v>
      </c>
      <c r="F14" s="1705">
        <v>1540</v>
      </c>
      <c r="G14" s="1708">
        <v>0.33595113438045376</v>
      </c>
      <c r="H14" s="1706">
        <v>-660</v>
      </c>
      <c r="I14" s="1704">
        <v>-0.11819484240687679</v>
      </c>
    </row>
    <row r="15" spans="1:10" ht="45.75" customHeight="1">
      <c r="A15" s="1696"/>
      <c r="B15" s="1697"/>
      <c r="C15" s="1697"/>
      <c r="D15" s="1697"/>
      <c r="E15" s="1697"/>
      <c r="G15" s="24"/>
    </row>
    <row r="16" spans="1:10" ht="24.75" customHeight="1">
      <c r="A16" s="1794" t="s">
        <v>2544</v>
      </c>
      <c r="B16" s="1795"/>
      <c r="C16" s="1796"/>
      <c r="D16" s="4"/>
      <c r="E16" s="4"/>
      <c r="F16" s="4"/>
      <c r="G16" s="4"/>
      <c r="H16" s="4"/>
      <c r="I16" s="4"/>
    </row>
    <row r="17" spans="1:9" ht="30" customHeight="1">
      <c r="A17" s="1797" t="s">
        <v>2545</v>
      </c>
      <c r="B17" s="1798"/>
      <c r="C17" s="1798"/>
      <c r="D17" s="1799" t="s">
        <v>2537</v>
      </c>
      <c r="E17" s="1800"/>
      <c r="F17" s="1799" t="s">
        <v>2538</v>
      </c>
      <c r="G17" s="1801"/>
      <c r="H17" s="1801"/>
      <c r="I17" s="1800"/>
    </row>
    <row r="18" spans="1:9" ht="36.75" customHeight="1">
      <c r="A18" s="1698" t="s">
        <v>2481</v>
      </c>
      <c r="B18" s="1699" t="s">
        <v>2539</v>
      </c>
      <c r="C18" s="1700" t="s">
        <v>2540</v>
      </c>
      <c r="D18" s="1699" t="s">
        <v>2539</v>
      </c>
      <c r="E18" s="1701" t="s">
        <v>2540</v>
      </c>
      <c r="F18" s="1802" t="s">
        <v>2539</v>
      </c>
      <c r="G18" s="1803"/>
      <c r="H18" s="1804" t="s">
        <v>2540</v>
      </c>
      <c r="I18" s="1805"/>
    </row>
    <row r="19" spans="1:9" ht="15" customHeight="1">
      <c r="A19" s="1702" t="s">
        <v>2541</v>
      </c>
      <c r="B19" s="1703">
        <v>4.4444444444444731E-2</v>
      </c>
      <c r="C19" s="1704">
        <v>3.5451234318089941E-2</v>
      </c>
      <c r="D19" s="1705">
        <v>4117.2000000000007</v>
      </c>
      <c r="E19" s="1706">
        <v>5117.2000000000007</v>
      </c>
      <c r="F19" s="1705" t="s">
        <v>35</v>
      </c>
      <c r="G19" s="1705" t="s">
        <v>35</v>
      </c>
      <c r="H19" s="1706" t="s">
        <v>35</v>
      </c>
      <c r="I19" s="1706" t="s">
        <v>35</v>
      </c>
    </row>
    <row r="20" spans="1:9" ht="15" customHeight="1">
      <c r="A20" s="1707" t="s">
        <v>2542</v>
      </c>
      <c r="B20" s="1708">
        <v>4.6081009994739741E-2</v>
      </c>
      <c r="C20" s="1704">
        <v>3.5025989604158481E-2</v>
      </c>
      <c r="D20" s="1705">
        <v>3977.2000000000007</v>
      </c>
      <c r="E20" s="1706">
        <v>5177.2000000000007</v>
      </c>
      <c r="F20" s="1705">
        <v>140</v>
      </c>
      <c r="G20" s="1708">
        <v>3.4003691829398615E-2</v>
      </c>
      <c r="H20" s="1706">
        <v>-60</v>
      </c>
      <c r="I20" s="1704">
        <v>-1.1725162198077071E-2</v>
      </c>
    </row>
    <row r="21" spans="1:9" ht="15" customHeight="1">
      <c r="A21" s="1707" t="s">
        <v>2543</v>
      </c>
      <c r="B21" s="1708">
        <v>5.0753186558516905E-2</v>
      </c>
      <c r="C21" s="1704">
        <v>3.4006211180124257E-2</v>
      </c>
      <c r="D21" s="1705">
        <v>3627.2000000000007</v>
      </c>
      <c r="E21" s="1706">
        <v>5327.2000000000007</v>
      </c>
      <c r="F21" s="1705">
        <v>490</v>
      </c>
      <c r="G21" s="1708">
        <v>0.11901292140289516</v>
      </c>
      <c r="H21" s="1706">
        <v>-210</v>
      </c>
      <c r="I21" s="1704">
        <v>-4.1038067693269752E-2</v>
      </c>
    </row>
    <row r="22" spans="1:9" ht="15" customHeight="1">
      <c r="A22" s="1707" t="s">
        <v>2503</v>
      </c>
      <c r="B22" s="1708">
        <v>5.6479690522243997E-2</v>
      </c>
      <c r="C22" s="1704">
        <v>3.3044134288947813E-2</v>
      </c>
      <c r="D22" s="1705">
        <v>3277.2000000000007</v>
      </c>
      <c r="E22" s="1706">
        <v>5477.2000000000007</v>
      </c>
      <c r="F22" s="1705">
        <v>840</v>
      </c>
      <c r="G22" s="1708">
        <v>0.20402215097639168</v>
      </c>
      <c r="H22" s="1706">
        <v>-360</v>
      </c>
      <c r="I22" s="1704">
        <v>-7.0350973188462437E-2</v>
      </c>
    </row>
    <row r="23" spans="1:9" ht="15" customHeight="1">
      <c r="A23" s="1707" t="s">
        <v>2504</v>
      </c>
      <c r="B23" s="1708">
        <v>6.3662790697674776E-2</v>
      </c>
      <c r="C23" s="1704">
        <v>3.2134996331621535E-2</v>
      </c>
      <c r="D23" s="1705">
        <v>2927.2000000000007</v>
      </c>
      <c r="E23" s="1706">
        <v>5627.2000000000007</v>
      </c>
      <c r="F23" s="1705">
        <v>1190</v>
      </c>
      <c r="G23" s="1708">
        <v>0.28903138054988819</v>
      </c>
      <c r="H23" s="1706">
        <v>-510</v>
      </c>
      <c r="I23" s="1704">
        <v>-9.9663878683655116E-2</v>
      </c>
    </row>
    <row r="24" spans="1:9" ht="15" customHeight="1">
      <c r="A24" s="1707" t="s">
        <v>2505</v>
      </c>
      <c r="B24" s="1708">
        <v>7.2939217318901184E-2</v>
      </c>
      <c r="C24" s="1704">
        <v>3.1274544805426796E-2</v>
      </c>
      <c r="D24" s="1705">
        <v>2577.2000000000007</v>
      </c>
      <c r="E24" s="1706">
        <v>5777.2000000000007</v>
      </c>
      <c r="F24" s="1705">
        <v>1540</v>
      </c>
      <c r="G24" s="1708">
        <v>0.37404061012338474</v>
      </c>
      <c r="H24" s="1706">
        <v>-660</v>
      </c>
      <c r="I24" s="1704">
        <v>-0.12897678417884778</v>
      </c>
    </row>
    <row r="25" spans="1:9" ht="39.75" customHeight="1">
      <c r="A25" s="1696"/>
      <c r="B25" s="1697"/>
      <c r="C25" s="1697"/>
      <c r="D25" s="1697"/>
      <c r="E25" s="1697"/>
      <c r="G25" s="24"/>
    </row>
    <row r="26" spans="1:9" ht="24" customHeight="1">
      <c r="A26" s="1794" t="s">
        <v>2546</v>
      </c>
      <c r="B26" s="1795"/>
      <c r="C26" s="1796"/>
      <c r="D26" s="4"/>
      <c r="E26" s="3"/>
      <c r="F26" s="3"/>
      <c r="G26" s="3"/>
      <c r="H26" s="3"/>
      <c r="I26" s="3"/>
    </row>
    <row r="27" spans="1:9" ht="31.5" customHeight="1">
      <c r="A27" s="1797" t="s">
        <v>2547</v>
      </c>
      <c r="B27" s="1798"/>
      <c r="C27" s="1798"/>
      <c r="D27" s="1799" t="s">
        <v>2548</v>
      </c>
      <c r="E27" s="1800"/>
      <c r="F27" s="1799" t="s">
        <v>2549</v>
      </c>
      <c r="G27" s="1801"/>
      <c r="H27" s="1801"/>
      <c r="I27" s="1800"/>
    </row>
    <row r="28" spans="1:9" ht="39" customHeight="1">
      <c r="A28" s="1698" t="s">
        <v>2481</v>
      </c>
      <c r="B28" s="1699" t="s">
        <v>2539</v>
      </c>
      <c r="C28" s="1700" t="s">
        <v>2550</v>
      </c>
      <c r="D28" s="1699" t="s">
        <v>2539</v>
      </c>
      <c r="E28" s="1701" t="s">
        <v>2550</v>
      </c>
      <c r="F28" s="1802" t="s">
        <v>2539</v>
      </c>
      <c r="G28" s="1803"/>
      <c r="H28" s="1804" t="s">
        <v>2550</v>
      </c>
      <c r="I28" s="1805"/>
    </row>
    <row r="29" spans="1:9" ht="15" customHeight="1">
      <c r="A29" s="1702" t="s">
        <v>2541</v>
      </c>
      <c r="B29" s="1703">
        <v>1.4333706606943108E-2</v>
      </c>
      <c r="C29" s="1704">
        <v>1.0804727068092435E-2</v>
      </c>
      <c r="D29" s="1705">
        <v>1086.96</v>
      </c>
      <c r="E29" s="1706">
        <v>1436.96</v>
      </c>
      <c r="F29" s="1705" t="s">
        <v>35</v>
      </c>
      <c r="G29" s="1705" t="s">
        <v>35</v>
      </c>
      <c r="H29" s="1706" t="s">
        <v>35</v>
      </c>
      <c r="I29" s="1706" t="s">
        <v>35</v>
      </c>
    </row>
    <row r="30" spans="1:9" ht="15" customHeight="1">
      <c r="A30" s="1707" t="s">
        <v>2525</v>
      </c>
      <c r="B30" s="1708">
        <v>1.5335463258785875E-2</v>
      </c>
      <c r="C30" s="1704">
        <v>1.0581427390465858E-2</v>
      </c>
      <c r="D30" s="1705">
        <v>1016.96</v>
      </c>
      <c r="E30" s="1706">
        <v>1466.96</v>
      </c>
      <c r="F30" s="1705">
        <v>70</v>
      </c>
      <c r="G30" s="1708">
        <v>6.4399793920659448E-2</v>
      </c>
      <c r="H30" s="1706">
        <v>-30</v>
      </c>
      <c r="I30" s="1704">
        <v>-2.0877407861039973E-2</v>
      </c>
    </row>
    <row r="31" spans="1:9" ht="15" customHeight="1">
      <c r="A31" s="1707" t="s">
        <v>2526</v>
      </c>
      <c r="B31" s="1708">
        <v>1.648776298840704E-2</v>
      </c>
      <c r="C31" s="1704">
        <v>1.0367170626349953E-2</v>
      </c>
      <c r="D31" s="1705">
        <v>946.96</v>
      </c>
      <c r="E31" s="1706">
        <v>1496.96</v>
      </c>
      <c r="F31" s="1705">
        <v>140</v>
      </c>
      <c r="G31" s="1708">
        <v>0.1287995878413189</v>
      </c>
      <c r="H31" s="1706">
        <v>-60</v>
      </c>
      <c r="I31" s="1704">
        <v>-4.1754815722079945E-2</v>
      </c>
    </row>
    <row r="32" spans="1:9" ht="15" customHeight="1">
      <c r="A32" s="1707" t="s">
        <v>2527</v>
      </c>
      <c r="B32" s="1708">
        <v>1.7827298050139273E-2</v>
      </c>
      <c r="C32" s="1704">
        <v>1.016141836464679E-2</v>
      </c>
      <c r="D32" s="1705">
        <v>876.96</v>
      </c>
      <c r="E32" s="1706">
        <v>1526.96</v>
      </c>
      <c r="F32" s="1705">
        <v>210</v>
      </c>
      <c r="G32" s="1708">
        <v>0.19319938176197834</v>
      </c>
      <c r="H32" s="1706">
        <v>-90</v>
      </c>
      <c r="I32" s="1704">
        <v>-6.2632223583119914E-2</v>
      </c>
    </row>
    <row r="33" spans="1:15" ht="15" customHeight="1">
      <c r="A33" s="1707" t="s">
        <v>2551</v>
      </c>
      <c r="B33" s="1708">
        <v>1.9403739262253694E-2</v>
      </c>
      <c r="C33" s="1704">
        <v>9.9636741048263477E-3</v>
      </c>
      <c r="D33" s="1705">
        <v>806.96</v>
      </c>
      <c r="E33" s="1706">
        <v>1556.96</v>
      </c>
      <c r="F33" s="1705">
        <v>280</v>
      </c>
      <c r="G33" s="1708">
        <v>0.25759917568263779</v>
      </c>
      <c r="H33" s="1706">
        <v>-120</v>
      </c>
      <c r="I33" s="1704">
        <v>-8.350963144415989E-2</v>
      </c>
    </row>
    <row r="34" spans="1:15" ht="15" customHeight="1">
      <c r="A34" s="1707" t="s">
        <v>2529</v>
      </c>
      <c r="B34" s="1708">
        <v>2.1585160202360898E-2</v>
      </c>
      <c r="C34" s="1704">
        <v>9.8360655737705915E-3</v>
      </c>
      <c r="D34" s="1705">
        <v>726.96</v>
      </c>
      <c r="E34" s="1706">
        <v>1576.96</v>
      </c>
      <c r="F34" s="1705">
        <v>360</v>
      </c>
      <c r="G34" s="1708">
        <v>0.33119894016339146</v>
      </c>
      <c r="H34" s="1706">
        <v>-140</v>
      </c>
      <c r="I34" s="1704">
        <v>-9.7427903351519879E-2</v>
      </c>
    </row>
    <row r="35" spans="1:15" ht="15" customHeight="1">
      <c r="A35" s="1707" t="s">
        <v>2552</v>
      </c>
      <c r="B35" s="1708">
        <v>2.3572744014733082E-2</v>
      </c>
      <c r="C35" s="1704">
        <v>9.5904095904095765E-3</v>
      </c>
      <c r="D35" s="1705">
        <v>666.96</v>
      </c>
      <c r="E35" s="1706">
        <v>1616.96</v>
      </c>
      <c r="F35" s="1705">
        <v>420</v>
      </c>
      <c r="G35" s="1708">
        <v>0.38639876352395669</v>
      </c>
      <c r="H35" s="1706">
        <v>-180</v>
      </c>
      <c r="I35" s="1704">
        <v>-0.12526444716623983</v>
      </c>
    </row>
    <row r="36" spans="1:15" ht="11.25" customHeight="1">
      <c r="A36" s="1709"/>
      <c r="B36" s="1710"/>
      <c r="C36" s="1710"/>
      <c r="D36" s="1711"/>
      <c r="E36" s="1711"/>
      <c r="F36" s="1711"/>
      <c r="G36" s="1710"/>
      <c r="H36" s="1711"/>
      <c r="I36" s="1710"/>
      <c r="L36" s="451"/>
      <c r="M36" s="451"/>
      <c r="N36" s="451"/>
      <c r="O36" s="451"/>
    </row>
    <row r="37" spans="1:15">
      <c r="A37" s="1712" t="s">
        <v>2510</v>
      </c>
    </row>
    <row r="38" spans="1:15">
      <c r="A38" s="3"/>
    </row>
    <row r="39" spans="1:15">
      <c r="A39" s="1712" t="s">
        <v>2553</v>
      </c>
      <c r="C39" s="1713"/>
    </row>
    <row r="40" spans="1:15">
      <c r="A40" s="3"/>
    </row>
    <row r="41" spans="1:15">
      <c r="A41" s="64" t="s">
        <v>2554</v>
      </c>
    </row>
    <row r="42" spans="1:15">
      <c r="A42" s="64" t="s">
        <v>2555</v>
      </c>
    </row>
    <row r="43" spans="1:15">
      <c r="A43" s="64" t="s">
        <v>2556</v>
      </c>
    </row>
    <row r="44" spans="1:15">
      <c r="A44" s="64" t="s">
        <v>2557</v>
      </c>
    </row>
    <row r="45" spans="1:15">
      <c r="A45" s="64" t="s">
        <v>2558</v>
      </c>
    </row>
    <row r="46" spans="1:15">
      <c r="A46" s="1714" t="s">
        <v>2559</v>
      </c>
    </row>
    <row r="47" spans="1:15">
      <c r="A47" s="1714" t="s">
        <v>2560</v>
      </c>
    </row>
    <row r="48" spans="1:15">
      <c r="A48" s="1714" t="s">
        <v>2561</v>
      </c>
    </row>
    <row r="49" spans="1:5">
      <c r="A49" s="64" t="s">
        <v>2562</v>
      </c>
    </row>
    <row r="50" spans="1:5">
      <c r="A50" s="275" t="s">
        <v>2563</v>
      </c>
    </row>
    <row r="51" spans="1:5">
      <c r="A51" s="1715" t="s">
        <v>2564</v>
      </c>
    </row>
    <row r="54" spans="1:5">
      <c r="A54" s="249"/>
    </row>
    <row r="57" spans="1:5">
      <c r="A57" s="24"/>
      <c r="B57" s="24"/>
      <c r="C57" s="24"/>
      <c r="D57" s="24"/>
      <c r="E57" s="24"/>
    </row>
    <row r="59" spans="1:5">
      <c r="A59" s="1716" t="s">
        <v>2565</v>
      </c>
      <c r="B59" s="11"/>
      <c r="C59" s="11"/>
      <c r="D59" s="11"/>
      <c r="E59" s="11"/>
    </row>
  </sheetData>
  <mergeCells count="19">
    <mergeCell ref="A3:I3"/>
    <mergeCell ref="A6:C6"/>
    <mergeCell ref="A7:C7"/>
    <mergeCell ref="D7:E7"/>
    <mergeCell ref="F7:I7"/>
    <mergeCell ref="F8:G8"/>
    <mergeCell ref="H8:I8"/>
    <mergeCell ref="A16:C16"/>
    <mergeCell ref="A17:C17"/>
    <mergeCell ref="D17:E17"/>
    <mergeCell ref="F17:I17"/>
    <mergeCell ref="F18:G18"/>
    <mergeCell ref="H18:I18"/>
    <mergeCell ref="A26:C26"/>
    <mergeCell ref="A27:C27"/>
    <mergeCell ref="D27:E27"/>
    <mergeCell ref="F27:I27"/>
    <mergeCell ref="F28:G28"/>
    <mergeCell ref="H28:I28"/>
  </mergeCells>
  <pageMargins left="0.4" right="0.31" top="0.48" bottom="0.42" header="0.28999999999999998" footer="0.31"/>
  <pageSetup paperSize="9" scale="77" fitToHeight="3" orientation="portrait"/>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F736E-7E55-124A-9339-C52682B3B42F}">
  <sheetPr>
    <pageSetUpPr fitToPage="1"/>
  </sheetPr>
  <dimension ref="A1:P67"/>
  <sheetViews>
    <sheetView zoomScale="115" zoomScaleNormal="115" workbookViewId="0">
      <pane ySplit="5" topLeftCell="A6" activePane="bottomLeft" state="frozen"/>
      <selection pane="bottomLeft" activeCell="Q23" sqref="Q23"/>
    </sheetView>
  </sheetViews>
  <sheetFormatPr baseColWidth="10" defaultColWidth="11.59765625" defaultRowHeight="13"/>
  <cols>
    <col min="1" max="1" width="2.59765625" style="673" customWidth="1"/>
    <col min="2" max="2" width="18.59765625" style="904" customWidth="1"/>
    <col min="3" max="4" width="0.19921875" style="673" customWidth="1"/>
    <col min="5" max="8" width="9.19921875" style="673" customWidth="1"/>
    <col min="9" max="9" width="8.59765625" style="675" customWidth="1"/>
    <col min="10" max="10" width="9.19921875" style="673" customWidth="1"/>
    <col min="11" max="11" width="8.59765625" style="902" customWidth="1"/>
    <col min="12" max="12" width="8.3984375" style="673" customWidth="1"/>
    <col min="13" max="13" width="7.59765625" style="673" customWidth="1"/>
    <col min="14" max="14" width="9.3984375" style="903" customWidth="1"/>
    <col min="15" max="15" width="7.59765625" style="673" customWidth="1"/>
    <col min="16" max="16" width="8.19921875" style="673" customWidth="1"/>
    <col min="17" max="16384" width="11.59765625" style="673"/>
  </cols>
  <sheetData>
    <row r="1" spans="1:16">
      <c r="B1" s="901" t="s">
        <v>318</v>
      </c>
    </row>
    <row r="3" spans="1:16">
      <c r="B3" s="901" t="s">
        <v>1577</v>
      </c>
    </row>
    <row r="4" spans="1:16">
      <c r="I4" s="905"/>
      <c r="K4" s="906"/>
    </row>
    <row r="5" spans="1:16" ht="37.5" customHeight="1">
      <c r="C5" s="907">
        <v>2000</v>
      </c>
      <c r="D5" s="907">
        <v>2001</v>
      </c>
      <c r="E5" s="907">
        <v>2002</v>
      </c>
      <c r="F5" s="907">
        <v>2003</v>
      </c>
      <c r="G5" s="907">
        <v>2004</v>
      </c>
      <c r="H5" s="907">
        <v>2005</v>
      </c>
      <c r="I5" s="907">
        <v>2006</v>
      </c>
      <c r="J5" s="907">
        <v>2007</v>
      </c>
      <c r="K5" s="907">
        <v>2008</v>
      </c>
      <c r="L5" s="908">
        <v>2009</v>
      </c>
      <c r="M5" s="908">
        <v>2010</v>
      </c>
      <c r="N5" s="909" t="s">
        <v>1578</v>
      </c>
      <c r="O5" s="908">
        <v>2011</v>
      </c>
      <c r="P5" s="908">
        <v>2012</v>
      </c>
    </row>
    <row r="6" spans="1:16">
      <c r="A6" s="910">
        <v>1</v>
      </c>
      <c r="B6" s="901" t="s">
        <v>501</v>
      </c>
      <c r="C6" s="911">
        <v>7265.1130000000003</v>
      </c>
      <c r="D6" s="912">
        <v>7301.05</v>
      </c>
      <c r="E6" s="912">
        <v>7344.6319999999996</v>
      </c>
      <c r="F6" s="912">
        <v>7372.5050000000001</v>
      </c>
      <c r="G6" s="912">
        <v>7383.5739999999996</v>
      </c>
      <c r="H6" s="912">
        <v>7435.8649999999998</v>
      </c>
      <c r="I6" s="912">
        <v>7478.4290000000001</v>
      </c>
      <c r="J6" s="912">
        <v>7537.5873800000008</v>
      </c>
      <c r="K6" s="911">
        <v>7615.5633200000002</v>
      </c>
      <c r="L6" s="913">
        <v>7708.8515100000004</v>
      </c>
      <c r="M6" s="913">
        <v>7779.661790000001</v>
      </c>
      <c r="N6" s="914">
        <v>9.1855810049195075E-3</v>
      </c>
      <c r="O6" s="913"/>
      <c r="P6" s="913"/>
    </row>
    <row r="7" spans="1:16">
      <c r="B7" s="915" t="s">
        <v>1579</v>
      </c>
      <c r="C7" s="913">
        <v>7263.2904821520033</v>
      </c>
      <c r="D7" s="916">
        <v>7277.9087635100614</v>
      </c>
      <c r="E7" s="916">
        <v>7294.8725866470413</v>
      </c>
      <c r="F7" s="916">
        <v>7381</v>
      </c>
      <c r="G7" s="916">
        <v>7369</v>
      </c>
      <c r="H7" s="916">
        <v>7439</v>
      </c>
      <c r="I7" s="916">
        <v>7479.1931914420002</v>
      </c>
      <c r="J7" s="916">
        <v>7540.1476616999998</v>
      </c>
      <c r="K7" s="913">
        <v>7616.5542101510009</v>
      </c>
      <c r="L7" s="913">
        <v>7702.4292549230004</v>
      </c>
      <c r="M7" s="913">
        <v>7781.1743319099996</v>
      </c>
      <c r="N7" s="917"/>
      <c r="O7" s="913">
        <v>7860.2017131350012</v>
      </c>
      <c r="P7" s="913"/>
    </row>
    <row r="8" spans="1:16">
      <c r="B8" s="915" t="s">
        <v>1580</v>
      </c>
      <c r="C8" s="918">
        <v>-2.5085884390196878E-4</v>
      </c>
      <c r="D8" s="919">
        <v>-3.1695764978926233E-3</v>
      </c>
      <c r="E8" s="919">
        <v>-6.774936219126837E-3</v>
      </c>
      <c r="F8" s="919">
        <v>1.1522542202413444E-3</v>
      </c>
      <c r="G8" s="919">
        <v>-1.9738408526818185E-3</v>
      </c>
      <c r="H8" s="919">
        <v>4.2160528734713765E-4</v>
      </c>
      <c r="I8" s="919">
        <v>1.0218609309520232E-4</v>
      </c>
      <c r="J8" s="919">
        <v>3.3966859300260666E-4</v>
      </c>
      <c r="K8" s="919">
        <v>1.3011383522987252E-4</v>
      </c>
      <c r="L8" s="919">
        <v>-8.3310141188597253E-4</v>
      </c>
      <c r="M8" s="919">
        <v>1.9442257913349081E-4</v>
      </c>
      <c r="N8" s="914"/>
      <c r="O8" s="913"/>
      <c r="P8" s="913"/>
    </row>
    <row r="9" spans="1:16">
      <c r="B9" s="915" t="s">
        <v>1581</v>
      </c>
      <c r="C9" s="920" t="s">
        <v>35</v>
      </c>
      <c r="D9" s="916">
        <v>7254.1157733654136</v>
      </c>
      <c r="E9" s="916">
        <v>7163.7307153205684</v>
      </c>
      <c r="F9" s="916">
        <v>7316.3455001697612</v>
      </c>
      <c r="G9" s="916">
        <v>7362</v>
      </c>
      <c r="H9" s="916">
        <v>7463</v>
      </c>
      <c r="I9" s="916">
        <v>7592</v>
      </c>
      <c r="J9" s="916">
        <v>7673.1906940349973</v>
      </c>
      <c r="K9" s="913">
        <v>7691.2806604670004</v>
      </c>
      <c r="L9" s="913">
        <v>7722.3599757610018</v>
      </c>
      <c r="M9" s="913">
        <v>7651.4778619709978</v>
      </c>
      <c r="N9" s="914"/>
      <c r="O9" s="913">
        <v>7808.2453008929997</v>
      </c>
      <c r="P9" s="913">
        <v>7901.3771749259986</v>
      </c>
    </row>
    <row r="10" spans="1:16">
      <c r="C10" s="911"/>
      <c r="D10" s="912"/>
      <c r="E10" s="912"/>
      <c r="F10" s="912"/>
      <c r="G10" s="912"/>
      <c r="H10" s="912"/>
      <c r="I10" s="912"/>
      <c r="J10" s="912"/>
      <c r="K10" s="911"/>
      <c r="L10" s="913"/>
      <c r="M10" s="913"/>
      <c r="N10" s="914"/>
      <c r="O10" s="913"/>
      <c r="P10" s="913"/>
    </row>
    <row r="11" spans="1:16">
      <c r="A11" s="910">
        <v>2</v>
      </c>
      <c r="B11" s="901" t="s">
        <v>421</v>
      </c>
      <c r="C11" s="911">
        <v>13441.654683999999</v>
      </c>
      <c r="D11" s="912">
        <v>13997.312</v>
      </c>
      <c r="E11" s="912">
        <v>15355.045232</v>
      </c>
      <c r="F11" s="912">
        <v>16820.111152000001</v>
      </c>
      <c r="G11" s="912">
        <v>18029.704831999999</v>
      </c>
      <c r="H11" s="912">
        <v>18496.419615660001</v>
      </c>
      <c r="I11" s="912">
        <v>19314.688173570001</v>
      </c>
      <c r="J11" s="912">
        <v>19689.141486260003</v>
      </c>
      <c r="K11" s="911">
        <v>19692.267223940002</v>
      </c>
      <c r="L11" s="913">
        <v>20124.767119560001</v>
      </c>
      <c r="M11" s="913">
        <v>22051.439907320004</v>
      </c>
      <c r="N11" s="914">
        <v>9.5736401634550994E-2</v>
      </c>
      <c r="O11" s="913"/>
      <c r="P11" s="913"/>
    </row>
    <row r="12" spans="1:16">
      <c r="B12" s="915" t="str">
        <f>B$7</f>
        <v>Schätzung</v>
      </c>
      <c r="C12" s="913">
        <v>13389.707699910003</v>
      </c>
      <c r="D12" s="916">
        <v>13989.048404499999</v>
      </c>
      <c r="E12" s="916">
        <v>15274.144299349999</v>
      </c>
      <c r="F12" s="916">
        <v>16841</v>
      </c>
      <c r="G12" s="916">
        <v>18003</v>
      </c>
      <c r="H12" s="916">
        <v>18529</v>
      </c>
      <c r="I12" s="916">
        <v>19330</v>
      </c>
      <c r="J12" s="916">
        <v>19702.417918889994</v>
      </c>
      <c r="K12" s="913">
        <v>19699.635458489996</v>
      </c>
      <c r="L12" s="913">
        <v>20167.370254750007</v>
      </c>
      <c r="M12" s="913">
        <v>22080.785091389997</v>
      </c>
      <c r="N12" s="917"/>
      <c r="O12" s="913">
        <v>23649.272847050001</v>
      </c>
      <c r="P12" s="913"/>
    </row>
    <row r="13" spans="1:16">
      <c r="B13" s="915" t="str">
        <f>B$8</f>
        <v>Abweichung S</v>
      </c>
      <c r="C13" s="918">
        <v>-3.8646271840200308E-3</v>
      </c>
      <c r="D13" s="919">
        <v>-5.9037017250174184E-4</v>
      </c>
      <c r="E13" s="919">
        <v>-5.2686873550462643E-3</v>
      </c>
      <c r="F13" s="919">
        <v>1.2418971439147608E-3</v>
      </c>
      <c r="G13" s="919">
        <v>-1.481157470343164E-3</v>
      </c>
      <c r="H13" s="919">
        <v>1.761442755786824E-3</v>
      </c>
      <c r="I13" s="919">
        <v>7.9275555952040833E-4</v>
      </c>
      <c r="J13" s="919">
        <v>6.7430226143971872E-4</v>
      </c>
      <c r="K13" s="919">
        <v>3.7416892967190307E-4</v>
      </c>
      <c r="L13" s="919">
        <v>2.1169504688876017E-3</v>
      </c>
      <c r="M13" s="919">
        <v>1.33076044890168E-3</v>
      </c>
      <c r="N13" s="917"/>
      <c r="O13" s="913"/>
      <c r="P13" s="913"/>
    </row>
    <row r="14" spans="1:16">
      <c r="B14" s="915" t="str">
        <f>B$9</f>
        <v>Prognose</v>
      </c>
      <c r="C14" s="913" t="s">
        <v>35</v>
      </c>
      <c r="D14" s="916">
        <v>14172.21799859</v>
      </c>
      <c r="E14" s="916">
        <v>15197.887399369996</v>
      </c>
      <c r="F14" s="916">
        <v>16888.705110070001</v>
      </c>
      <c r="G14" s="916">
        <v>18075</v>
      </c>
      <c r="H14" s="916">
        <v>18735</v>
      </c>
      <c r="I14" s="916">
        <v>19932</v>
      </c>
      <c r="J14" s="916">
        <v>20116</v>
      </c>
      <c r="K14" s="913">
        <v>20016.107919189995</v>
      </c>
      <c r="L14" s="913">
        <v>20398.211203859999</v>
      </c>
      <c r="M14" s="913">
        <v>22023.360697910004</v>
      </c>
      <c r="N14" s="917"/>
      <c r="O14" s="913">
        <v>23626.775321820001</v>
      </c>
      <c r="P14" s="913">
        <v>24323.477975969996</v>
      </c>
    </row>
    <row r="15" spans="1:16">
      <c r="C15" s="911"/>
      <c r="D15" s="912"/>
      <c r="E15" s="912"/>
      <c r="F15" s="912"/>
      <c r="G15" s="912"/>
      <c r="H15" s="912"/>
      <c r="I15" s="912"/>
      <c r="J15" s="912"/>
      <c r="K15" s="911"/>
      <c r="L15" s="913"/>
      <c r="M15" s="913"/>
      <c r="N15" s="914"/>
      <c r="O15" s="913"/>
      <c r="P15" s="913"/>
    </row>
    <row r="16" spans="1:16">
      <c r="A16" s="910">
        <v>3</v>
      </c>
      <c r="B16" s="901" t="s">
        <v>1582</v>
      </c>
      <c r="C16" s="911">
        <v>13190.309896999999</v>
      </c>
      <c r="D16" s="912">
        <v>13986.27</v>
      </c>
      <c r="E16" s="912">
        <v>14592.757041999999</v>
      </c>
      <c r="F16" s="912">
        <v>15335.619703</v>
      </c>
      <c r="G16" s="912">
        <v>16307.508545999999</v>
      </c>
      <c r="H16" s="912">
        <v>17352.720035540002</v>
      </c>
      <c r="I16" s="912">
        <v>17563.91560077</v>
      </c>
      <c r="J16" s="912">
        <v>18423.621995400001</v>
      </c>
      <c r="K16" s="911">
        <v>19431.457253839999</v>
      </c>
      <c r="L16" s="913">
        <v>20273.850596579996</v>
      </c>
      <c r="M16" s="913">
        <v>20883.746929000004</v>
      </c>
      <c r="N16" s="914">
        <v>3.0082905539557059E-2</v>
      </c>
      <c r="O16" s="913"/>
      <c r="P16" s="913"/>
    </row>
    <row r="17" spans="1:16">
      <c r="B17" s="915" t="str">
        <f>B$7</f>
        <v>Schätzung</v>
      </c>
      <c r="C17" s="913">
        <v>13263.352588819997</v>
      </c>
      <c r="D17" s="916">
        <v>13868.973949539999</v>
      </c>
      <c r="E17" s="916">
        <v>14545.501535449999</v>
      </c>
      <c r="F17" s="916">
        <v>15382</v>
      </c>
      <c r="G17" s="916">
        <v>16182</v>
      </c>
      <c r="H17" s="916">
        <v>17293</v>
      </c>
      <c r="I17" s="916">
        <v>17953</v>
      </c>
      <c r="J17" s="916">
        <v>18303.805358469996</v>
      </c>
      <c r="K17" s="913">
        <v>19054.4411406</v>
      </c>
      <c r="L17" s="913">
        <v>20141.230242230002</v>
      </c>
      <c r="M17" s="913">
        <v>21027.802615479995</v>
      </c>
      <c r="N17" s="917"/>
      <c r="O17" s="913">
        <v>21655.653844479999</v>
      </c>
      <c r="P17" s="913"/>
    </row>
    <row r="18" spans="1:16">
      <c r="B18" s="915" t="str">
        <f>B$8</f>
        <v>Abweichung S</v>
      </c>
      <c r="C18" s="918">
        <v>5.5376024058850781E-3</v>
      </c>
      <c r="D18" s="919">
        <v>-8.3865140927495974E-3</v>
      </c>
      <c r="E18" s="919">
        <v>-3.2382850213974468E-3</v>
      </c>
      <c r="F18" s="919">
        <v>3.024351014059512E-3</v>
      </c>
      <c r="G18" s="919">
        <v>-7.6963654899193656E-3</v>
      </c>
      <c r="H18" s="919">
        <v>-3.4415374314625824E-3</v>
      </c>
      <c r="I18" s="919">
        <v>2.2152486272078331E-2</v>
      </c>
      <c r="J18" s="919">
        <v>-6.5034246230150083E-3</v>
      </c>
      <c r="K18" s="919">
        <v>-1.9402359190816454E-2</v>
      </c>
      <c r="L18" s="919">
        <v>-6.5414487355631712E-3</v>
      </c>
      <c r="M18" s="919">
        <v>6.8979808541900223E-3</v>
      </c>
      <c r="N18" s="917"/>
      <c r="O18" s="913"/>
      <c r="P18" s="913"/>
    </row>
    <row r="19" spans="1:16">
      <c r="B19" s="915" t="str">
        <f>B$9</f>
        <v>Prognose</v>
      </c>
      <c r="C19" s="913" t="s">
        <v>35</v>
      </c>
      <c r="D19" s="916">
        <v>13873.52074459</v>
      </c>
      <c r="E19" s="916">
        <v>14375.897015919998</v>
      </c>
      <c r="F19" s="916">
        <v>15461.261377419998</v>
      </c>
      <c r="G19" s="916">
        <v>16330</v>
      </c>
      <c r="H19" s="916">
        <v>17180</v>
      </c>
      <c r="I19" s="916">
        <v>18848</v>
      </c>
      <c r="J19" s="916">
        <v>19027</v>
      </c>
      <c r="K19" s="913">
        <v>19109.311929110001</v>
      </c>
      <c r="L19" s="913">
        <v>19772.739618319996</v>
      </c>
      <c r="M19" s="913">
        <v>20559.572438620005</v>
      </c>
      <c r="N19" s="917"/>
      <c r="O19" s="913">
        <v>21871.078093380005</v>
      </c>
      <c r="P19" s="913">
        <v>22479.997414199996</v>
      </c>
    </row>
    <row r="20" spans="1:16">
      <c r="C20" s="911"/>
      <c r="D20" s="912"/>
      <c r="E20" s="912"/>
      <c r="F20" s="912"/>
      <c r="G20" s="912"/>
      <c r="H20" s="912"/>
      <c r="I20" s="912"/>
      <c r="J20" s="912"/>
      <c r="K20" s="911"/>
      <c r="L20" s="913"/>
      <c r="M20" s="913"/>
      <c r="N20" s="914"/>
      <c r="O20" s="913"/>
      <c r="P20" s="913"/>
    </row>
    <row r="21" spans="1:16">
      <c r="A21" s="910">
        <v>4</v>
      </c>
      <c r="B21" s="901" t="s">
        <v>257</v>
      </c>
      <c r="C21" s="911">
        <v>2288.0175450000002</v>
      </c>
      <c r="D21" s="912">
        <v>2400.1799999999998</v>
      </c>
      <c r="E21" s="912">
        <v>2502.8303667999999</v>
      </c>
      <c r="F21" s="912">
        <v>2588.499652</v>
      </c>
      <c r="G21" s="912">
        <v>2832.3123952999999</v>
      </c>
      <c r="H21" s="912">
        <v>2994.9866096700002</v>
      </c>
      <c r="I21" s="912">
        <v>3038.7113187200002</v>
      </c>
      <c r="J21" s="912">
        <v>3155.0668707</v>
      </c>
      <c r="K21" s="911">
        <v>3290.4542289599999</v>
      </c>
      <c r="L21" s="913">
        <v>3382.471848149999</v>
      </c>
      <c r="M21" s="913">
        <v>3408.7146446100001</v>
      </c>
      <c r="N21" s="914">
        <v>7.7584670732304684E-3</v>
      </c>
      <c r="O21" s="913"/>
      <c r="P21" s="913"/>
    </row>
    <row r="22" spans="1:16">
      <c r="B22" s="915" t="str">
        <f>B$7</f>
        <v>Schätzung</v>
      </c>
      <c r="C22" s="913">
        <v>2303.9403716100005</v>
      </c>
      <c r="D22" s="916">
        <v>2425.1343131099998</v>
      </c>
      <c r="E22" s="916">
        <v>2546.0819887000002</v>
      </c>
      <c r="F22" s="916">
        <v>2666</v>
      </c>
      <c r="G22" s="916">
        <v>2901</v>
      </c>
      <c r="H22" s="916">
        <v>3099</v>
      </c>
      <c r="I22" s="916">
        <v>3117</v>
      </c>
      <c r="J22" s="916">
        <v>3178.8702050500001</v>
      </c>
      <c r="K22" s="913">
        <v>3291.5070437099998</v>
      </c>
      <c r="L22" s="913">
        <v>3460.5105451399995</v>
      </c>
      <c r="M22" s="913">
        <v>3539.6603510399996</v>
      </c>
      <c r="N22" s="917"/>
      <c r="O22" s="913">
        <v>3582.4629797900006</v>
      </c>
      <c r="P22" s="913"/>
    </row>
    <row r="23" spans="1:16">
      <c r="B23" s="915" t="str">
        <f>B$8</f>
        <v>Abweichung S</v>
      </c>
      <c r="C23" s="918">
        <v>6.9592239993074845E-3</v>
      </c>
      <c r="D23" s="919">
        <v>1.0396850698697557E-2</v>
      </c>
      <c r="E23" s="919">
        <v>1.7281084037389149E-2</v>
      </c>
      <c r="F23" s="919">
        <v>2.9940258226466954E-2</v>
      </c>
      <c r="G23" s="919">
        <v>2.4251422552816537E-2</v>
      </c>
      <c r="H23" s="919">
        <v>3.472916706678042E-2</v>
      </c>
      <c r="I23" s="919">
        <v>2.5763777163596346E-2</v>
      </c>
      <c r="J23" s="919">
        <v>7.544478556398726E-3</v>
      </c>
      <c r="K23" s="919">
        <v>3.1996030843828294E-4</v>
      </c>
      <c r="L23" s="919">
        <v>2.3071499333448431E-2</v>
      </c>
      <c r="M23" s="919">
        <v>3.8414980449318792E-2</v>
      </c>
      <c r="N23" s="917"/>
      <c r="O23" s="913"/>
      <c r="P23" s="913"/>
    </row>
    <row r="24" spans="1:16">
      <c r="B24" s="915" t="str">
        <f>B$9</f>
        <v>Prognose</v>
      </c>
      <c r="C24" s="920"/>
      <c r="D24" s="916">
        <v>2328.0747466299999</v>
      </c>
      <c r="E24" s="916">
        <v>2529.1750094200006</v>
      </c>
      <c r="F24" s="916">
        <v>2692.6295753899999</v>
      </c>
      <c r="G24" s="916">
        <v>3044</v>
      </c>
      <c r="H24" s="916">
        <v>3181</v>
      </c>
      <c r="I24" s="916">
        <v>3305</v>
      </c>
      <c r="J24" s="916">
        <v>3346</v>
      </c>
      <c r="K24" s="913">
        <v>3340.5068328800003</v>
      </c>
      <c r="L24" s="913">
        <v>3435.5770779900013</v>
      </c>
      <c r="M24" s="913">
        <v>3562.1541336899995</v>
      </c>
      <c r="N24" s="917"/>
      <c r="O24" s="913">
        <v>3706.9558405400003</v>
      </c>
      <c r="P24" s="913">
        <v>3730.4170666500004</v>
      </c>
    </row>
    <row r="25" spans="1:16">
      <c r="C25" s="911"/>
      <c r="D25" s="912"/>
      <c r="E25" s="912"/>
      <c r="F25" s="912"/>
      <c r="G25" s="912"/>
      <c r="H25" s="912"/>
      <c r="I25" s="912"/>
      <c r="J25" s="912"/>
      <c r="K25" s="911"/>
      <c r="L25" s="913"/>
      <c r="M25" s="913"/>
      <c r="N25" s="914"/>
      <c r="O25" s="913"/>
      <c r="P25" s="913"/>
    </row>
    <row r="26" spans="1:16">
      <c r="A26" s="910">
        <v>5</v>
      </c>
      <c r="B26" s="901" t="s">
        <v>1583</v>
      </c>
      <c r="C26" s="921">
        <v>837.3</v>
      </c>
      <c r="D26" s="921">
        <v>867</v>
      </c>
      <c r="E26" s="922">
        <v>882.5</v>
      </c>
      <c r="F26" s="912">
        <v>863.38168700000006</v>
      </c>
      <c r="G26" s="912">
        <v>903.60567500000002</v>
      </c>
      <c r="H26" s="912">
        <v>910.32016699999997</v>
      </c>
      <c r="I26" s="912">
        <v>993.79577500000005</v>
      </c>
      <c r="J26" s="912">
        <v>1009.51491821</v>
      </c>
      <c r="K26" s="911">
        <v>1107.29201515</v>
      </c>
      <c r="L26" s="913">
        <v>1061.13483432</v>
      </c>
      <c r="M26" s="913">
        <v>1225.44346494</v>
      </c>
      <c r="N26" s="914">
        <v>0.15484236810046181</v>
      </c>
      <c r="O26" s="913"/>
      <c r="P26" s="913"/>
    </row>
    <row r="27" spans="1:16">
      <c r="B27" s="915" t="str">
        <f>B$7</f>
        <v>Schätzung</v>
      </c>
      <c r="C27" s="913">
        <v>857.32106895000004</v>
      </c>
      <c r="D27" s="916">
        <v>904.9640978000001</v>
      </c>
      <c r="E27" s="916">
        <v>933.20770917000004</v>
      </c>
      <c r="F27" s="916">
        <v>938</v>
      </c>
      <c r="G27" s="916">
        <v>965</v>
      </c>
      <c r="H27" s="916">
        <v>979</v>
      </c>
      <c r="I27" s="916">
        <v>1005</v>
      </c>
      <c r="J27" s="916">
        <v>1054.2850677999998</v>
      </c>
      <c r="K27" s="913">
        <v>1084.5769063499997</v>
      </c>
      <c r="L27" s="913">
        <v>1135.1004123800001</v>
      </c>
      <c r="M27" s="913">
        <v>1197.6810391799997</v>
      </c>
      <c r="N27" s="917"/>
      <c r="O27" s="913">
        <v>1209.2712906700003</v>
      </c>
      <c r="P27" s="913"/>
    </row>
    <row r="28" spans="1:16">
      <c r="B28" s="915" t="str">
        <f>B$8</f>
        <v>Abweichung S</v>
      </c>
      <c r="C28" s="919">
        <v>2.3911464170548236E-2</v>
      </c>
      <c r="D28" s="919">
        <v>4.3787886735870973E-2</v>
      </c>
      <c r="E28" s="919">
        <v>5.7459160532578046E-2</v>
      </c>
      <c r="F28" s="919">
        <v>8.6425637841910818E-2</v>
      </c>
      <c r="G28" s="919">
        <v>6.7943713390246296E-2</v>
      </c>
      <c r="H28" s="919">
        <v>7.5445799719386031E-2</v>
      </c>
      <c r="I28" s="919">
        <v>1.127417250289664E-2</v>
      </c>
      <c r="J28" s="919">
        <v>4.4348180281855498E-2</v>
      </c>
      <c r="K28" s="919">
        <v>-2.0514108734833725E-2</v>
      </c>
      <c r="L28" s="919">
        <v>6.9704221996820026E-2</v>
      </c>
      <c r="M28" s="919">
        <v>-2.2655003314542621E-2</v>
      </c>
      <c r="N28" s="917"/>
      <c r="O28" s="913"/>
      <c r="P28" s="913"/>
    </row>
    <row r="29" spans="1:16">
      <c r="B29" s="915" t="str">
        <f>B$9</f>
        <v>Prognose</v>
      </c>
      <c r="C29" s="913" t="s">
        <v>35</v>
      </c>
      <c r="D29" s="916">
        <v>884.35111183000004</v>
      </c>
      <c r="E29" s="916">
        <v>908.60023298000021</v>
      </c>
      <c r="F29" s="916">
        <v>979.25216290999992</v>
      </c>
      <c r="G29" s="916">
        <v>973</v>
      </c>
      <c r="H29" s="916">
        <v>999</v>
      </c>
      <c r="I29" s="916">
        <v>1026</v>
      </c>
      <c r="J29" s="916">
        <v>1041</v>
      </c>
      <c r="K29" s="913">
        <v>1078.9641520900002</v>
      </c>
      <c r="L29" s="913">
        <v>1100.7764457800001</v>
      </c>
      <c r="M29" s="913">
        <v>1165.20861023</v>
      </c>
      <c r="N29" s="917"/>
      <c r="O29" s="913">
        <v>1196.4605248100002</v>
      </c>
      <c r="P29" s="913">
        <v>1199.6663420799998</v>
      </c>
    </row>
    <row r="30" spans="1:16">
      <c r="C30" s="911"/>
      <c r="D30" s="912"/>
      <c r="E30" s="912"/>
      <c r="F30" s="912"/>
      <c r="G30" s="923"/>
      <c r="H30" s="912"/>
      <c r="I30" s="912"/>
      <c r="J30" s="912"/>
      <c r="K30" s="911"/>
      <c r="L30" s="913"/>
      <c r="M30" s="913"/>
      <c r="N30" s="914"/>
      <c r="O30" s="913"/>
      <c r="P30" s="913"/>
    </row>
    <row r="31" spans="1:16">
      <c r="A31" s="910">
        <v>6</v>
      </c>
      <c r="B31" s="901" t="s">
        <v>714</v>
      </c>
      <c r="C31" s="911">
        <v>2832.1064590000001</v>
      </c>
      <c r="D31" s="912">
        <v>2102.63</v>
      </c>
      <c r="E31" s="912">
        <v>1965.5320859999999</v>
      </c>
      <c r="F31" s="912">
        <v>2393.7060728000001</v>
      </c>
      <c r="G31" s="912">
        <v>2968.4810149999998</v>
      </c>
      <c r="H31" s="912">
        <v>3184.4883299199996</v>
      </c>
      <c r="I31" s="912">
        <v>3749.0085763900001</v>
      </c>
      <c r="J31" s="912">
        <v>3970.4438487200005</v>
      </c>
      <c r="K31" s="911">
        <v>3251.9246672899994</v>
      </c>
      <c r="L31" s="913">
        <v>2863.0083966899997</v>
      </c>
      <c r="M31" s="913">
        <v>3115.7425221299982</v>
      </c>
      <c r="N31" s="914">
        <v>8.8275719251187379E-2</v>
      </c>
      <c r="O31" s="913"/>
      <c r="P31" s="913"/>
    </row>
    <row r="32" spans="1:16">
      <c r="B32" s="915" t="str">
        <f>B$7</f>
        <v>Schätzung</v>
      </c>
      <c r="C32" s="913">
        <v>2855.834492</v>
      </c>
      <c r="D32" s="916">
        <v>2349.2245110000003</v>
      </c>
      <c r="E32" s="916">
        <v>1976.764197</v>
      </c>
      <c r="F32" s="916">
        <v>2260</v>
      </c>
      <c r="G32" s="916">
        <v>2984</v>
      </c>
      <c r="H32" s="916">
        <v>3152</v>
      </c>
      <c r="I32" s="916">
        <v>3543</v>
      </c>
      <c r="J32" s="916">
        <v>4165.3955720000013</v>
      </c>
      <c r="K32" s="913">
        <v>3701.8404859999996</v>
      </c>
      <c r="L32" s="913">
        <v>2439.4633089999993</v>
      </c>
      <c r="M32" s="913">
        <v>2861.2196719999993</v>
      </c>
      <c r="N32" s="917"/>
      <c r="O32" s="913">
        <v>3660.0912029999995</v>
      </c>
      <c r="P32" s="913"/>
    </row>
    <row r="33" spans="1:16">
      <c r="B33" s="915" t="str">
        <f>B$8</f>
        <v>Abweichung S</v>
      </c>
      <c r="C33" s="918">
        <v>8.3782277762178836E-3</v>
      </c>
      <c r="D33" s="919">
        <v>0.11727907953372685</v>
      </c>
      <c r="E33" s="919">
        <v>5.7145396302626938E-3</v>
      </c>
      <c r="F33" s="919">
        <v>-5.5857347867108609E-2</v>
      </c>
      <c r="G33" s="919">
        <v>5.2279212572292622E-3</v>
      </c>
      <c r="H33" s="919">
        <v>-1.0202056517134683E-2</v>
      </c>
      <c r="I33" s="919">
        <v>-5.4950148070445404E-2</v>
      </c>
      <c r="J33" s="919">
        <v>4.910073803029591E-2</v>
      </c>
      <c r="K33" s="919">
        <v>0.13835370272735714</v>
      </c>
      <c r="L33" s="919">
        <v>-0.1479370749242902</v>
      </c>
      <c r="M33" s="919">
        <v>-8.1689307868739069E-2</v>
      </c>
      <c r="N33" s="917"/>
      <c r="O33" s="913"/>
      <c r="P33" s="913"/>
    </row>
    <row r="34" spans="1:16">
      <c r="B34" s="915" t="str">
        <f>B$9</f>
        <v>Prognose</v>
      </c>
      <c r="C34" s="913" t="s">
        <v>35</v>
      </c>
      <c r="D34" s="916">
        <v>2814.2621860000008</v>
      </c>
      <c r="E34" s="916">
        <v>2347.8065059999999</v>
      </c>
      <c r="F34" s="916">
        <v>2216.3722629999997</v>
      </c>
      <c r="G34" s="916">
        <v>2745</v>
      </c>
      <c r="H34" s="916">
        <v>3240</v>
      </c>
      <c r="I34" s="916">
        <v>3356</v>
      </c>
      <c r="J34" s="916">
        <v>3461</v>
      </c>
      <c r="K34" s="913">
        <v>3956.0224839999996</v>
      </c>
      <c r="L34" s="913">
        <v>3318.8551230000007</v>
      </c>
      <c r="M34" s="913">
        <v>2642.7481510000007</v>
      </c>
      <c r="N34" s="917"/>
      <c r="O34" s="913">
        <v>3237.2481029999994</v>
      </c>
      <c r="P34" s="913">
        <v>3983.6063250000002</v>
      </c>
    </row>
    <row r="35" spans="1:16">
      <c r="C35" s="911"/>
      <c r="D35" s="912"/>
      <c r="E35" s="912"/>
      <c r="F35" s="912"/>
      <c r="G35" s="912"/>
      <c r="H35" s="924"/>
      <c r="I35" s="912"/>
      <c r="J35" s="912"/>
      <c r="K35" s="911"/>
      <c r="L35" s="913"/>
      <c r="M35" s="913"/>
      <c r="N35" s="914"/>
      <c r="O35" s="913"/>
      <c r="P35" s="913"/>
    </row>
    <row r="36" spans="1:16">
      <c r="A36" s="910">
        <v>7</v>
      </c>
      <c r="B36" s="901" t="s">
        <v>728</v>
      </c>
      <c r="C36" s="911">
        <v>3956.2184860000002</v>
      </c>
      <c r="D36" s="912">
        <v>3996.3</v>
      </c>
      <c r="E36" s="912">
        <v>4018.0238040999998</v>
      </c>
      <c r="F36" s="912">
        <v>4264.2535405999997</v>
      </c>
      <c r="G36" s="912">
        <v>4487.9860974000003</v>
      </c>
      <c r="H36" s="912">
        <v>4710.4063184600009</v>
      </c>
      <c r="I36" s="912">
        <v>4989.9724867100003</v>
      </c>
      <c r="J36" s="912">
        <v>5234.0909351299988</v>
      </c>
      <c r="K36" s="911">
        <v>5191.0501722600002</v>
      </c>
      <c r="L36" s="913">
        <v>5095.2223594300003</v>
      </c>
      <c r="M36" s="913">
        <v>5227.2935513399998</v>
      </c>
      <c r="N36" s="914">
        <v>2.5920594351602322E-2</v>
      </c>
      <c r="O36" s="913"/>
      <c r="P36" s="913"/>
    </row>
    <row r="37" spans="1:16">
      <c r="B37" s="915" t="str">
        <f>B$7</f>
        <v>Schätzung</v>
      </c>
      <c r="C37" s="913">
        <v>3962.9471309999999</v>
      </c>
      <c r="D37" s="916">
        <v>3974.075738</v>
      </c>
      <c r="E37" s="916">
        <v>4070.0846579999998</v>
      </c>
      <c r="F37" s="921">
        <v>4272.4598530000003</v>
      </c>
      <c r="G37" s="925">
        <v>4546.5489809999999</v>
      </c>
      <c r="H37" s="916">
        <v>4697</v>
      </c>
      <c r="I37" s="916">
        <v>4866</v>
      </c>
      <c r="J37" s="916">
        <v>5169.9915730000012</v>
      </c>
      <c r="K37" s="913">
        <v>5298.7608519999994</v>
      </c>
      <c r="L37" s="913">
        <v>5335.87583</v>
      </c>
      <c r="M37" s="913">
        <v>5328.6600139999982</v>
      </c>
      <c r="N37" s="917"/>
      <c r="O37" s="913">
        <v>5488.520164999999</v>
      </c>
      <c r="P37" s="913"/>
    </row>
    <row r="38" spans="1:16">
      <c r="B38" s="915" t="str">
        <f>B$8</f>
        <v>Abweichung S</v>
      </c>
      <c r="C38" s="918">
        <v>1.7007768968804182E-3</v>
      </c>
      <c r="D38" s="919">
        <v>-5.5612096188975002E-3</v>
      </c>
      <c r="E38" s="919">
        <v>1.2956830630738603E-2</v>
      </c>
      <c r="F38" s="926">
        <v>1.9244428882729814E-3</v>
      </c>
      <c r="G38" s="926">
        <v>1.3048811277273531E-2</v>
      </c>
      <c r="H38" s="919">
        <v>-2.8461065890349468E-3</v>
      </c>
      <c r="I38" s="919">
        <v>-2.484432269720549E-2</v>
      </c>
      <c r="J38" s="919">
        <v>-1.2246512894871109E-2</v>
      </c>
      <c r="K38" s="919">
        <v>2.0749304315258676E-2</v>
      </c>
      <c r="L38" s="919">
        <v>4.7231200837507981E-2</v>
      </c>
      <c r="M38" s="919">
        <v>1.9391767778951907E-2</v>
      </c>
      <c r="N38" s="914"/>
      <c r="O38" s="913"/>
      <c r="P38" s="913"/>
    </row>
    <row r="39" spans="1:16">
      <c r="B39" s="915" t="str">
        <f>B$9</f>
        <v>Prognose</v>
      </c>
      <c r="C39" s="913" t="s">
        <v>35</v>
      </c>
      <c r="D39" s="916">
        <v>4036.8502759999997</v>
      </c>
      <c r="E39" s="916">
        <v>4069.2909930000001</v>
      </c>
      <c r="F39" s="921">
        <v>4343.5413720000015</v>
      </c>
      <c r="G39" s="921">
        <v>4528.577933999999</v>
      </c>
      <c r="H39" s="916">
        <v>4824.4617770000004</v>
      </c>
      <c r="I39" s="916">
        <v>4891</v>
      </c>
      <c r="J39" s="916">
        <v>5045</v>
      </c>
      <c r="K39" s="913">
        <v>5283.6306359999999</v>
      </c>
      <c r="L39" s="913">
        <v>5364.6168920000009</v>
      </c>
      <c r="M39" s="913">
        <v>5507.9461690000007</v>
      </c>
      <c r="N39" s="914"/>
      <c r="O39" s="913">
        <v>5600.5621659999997</v>
      </c>
      <c r="P39" s="913">
        <v>5664.6762780000008</v>
      </c>
    </row>
    <row r="40" spans="1:16">
      <c r="C40" s="911"/>
      <c r="D40" s="912"/>
      <c r="E40" s="912"/>
      <c r="F40" s="912"/>
      <c r="I40" s="912"/>
      <c r="J40" s="912"/>
      <c r="K40" s="911"/>
      <c r="L40" s="913"/>
      <c r="M40" s="913"/>
      <c r="N40" s="914"/>
      <c r="O40" s="913"/>
      <c r="P40" s="913"/>
    </row>
    <row r="41" spans="1:16">
      <c r="A41" s="910">
        <v>8</v>
      </c>
      <c r="B41" s="901" t="s">
        <v>248</v>
      </c>
      <c r="C41" s="911">
        <v>15478.327442</v>
      </c>
      <c r="D41" s="912">
        <v>16386.46</v>
      </c>
      <c r="E41" s="912">
        <v>17095.587409</v>
      </c>
      <c r="F41" s="912">
        <v>17924.119354999999</v>
      </c>
      <c r="G41" s="912">
        <v>19139.820941000002</v>
      </c>
      <c r="H41" s="912">
        <v>20347.706645210001</v>
      </c>
      <c r="I41" s="912">
        <v>20602.626919490001</v>
      </c>
      <c r="J41" s="912">
        <v>21578.688866100001</v>
      </c>
      <c r="K41" s="911">
        <v>22721.911482799998</v>
      </c>
      <c r="L41" s="913">
        <v>23656.322444729994</v>
      </c>
      <c r="M41" s="913">
        <v>24292.461573610006</v>
      </c>
      <c r="N41" s="914">
        <v>2.6890871578465703E-2</v>
      </c>
      <c r="O41" s="913"/>
      <c r="P41" s="913"/>
    </row>
    <row r="42" spans="1:16">
      <c r="B42" s="915" t="str">
        <f>B$7</f>
        <v>Schätzung</v>
      </c>
      <c r="C42" s="913">
        <v>15567.292960429999</v>
      </c>
      <c r="D42" s="916">
        <v>16294.108262649997</v>
      </c>
      <c r="E42" s="916">
        <v>17091.583524150003</v>
      </c>
      <c r="F42" s="916">
        <v>18048</v>
      </c>
      <c r="G42" s="916">
        <v>19083</v>
      </c>
      <c r="H42" s="916">
        <v>20392</v>
      </c>
      <c r="I42" s="916">
        <v>21069</v>
      </c>
      <c r="J42" s="916">
        <v>21482.675563520002</v>
      </c>
      <c r="K42" s="913">
        <v>22345.948184309997</v>
      </c>
      <c r="L42" s="913">
        <v>23601.740787370007</v>
      </c>
      <c r="M42" s="913">
        <v>24567.462966520005</v>
      </c>
      <c r="N42" s="917"/>
      <c r="O42" s="913">
        <v>23649.272847050001</v>
      </c>
      <c r="P42" s="913"/>
    </row>
    <row r="43" spans="1:16">
      <c r="B43" s="915" t="str">
        <f>B$8</f>
        <v>Abweichung S</v>
      </c>
      <c r="C43" s="918">
        <v>5.747747536894332E-3</v>
      </c>
      <c r="D43" s="919">
        <v>-5.6358565150741446E-3</v>
      </c>
      <c r="E43" s="919">
        <v>-2.3420574878219025E-4</v>
      </c>
      <c r="F43" s="919">
        <v>6.9113936671842957E-3</v>
      </c>
      <c r="G43" s="919">
        <v>-2.9687289747984957E-3</v>
      </c>
      <c r="H43" s="919">
        <v>2.1768229492549196E-3</v>
      </c>
      <c r="I43" s="919">
        <v>2.2636583302336533E-2</v>
      </c>
      <c r="J43" s="919">
        <v>-4.4494502504660582E-3</v>
      </c>
      <c r="K43" s="919">
        <v>-1.6546288316218405E-2</v>
      </c>
      <c r="L43" s="919">
        <v>-2.3072756759852098E-3</v>
      </c>
      <c r="M43" s="919">
        <v>1.1320441614230958E-2</v>
      </c>
      <c r="N43" s="917"/>
      <c r="O43" s="913"/>
      <c r="P43" s="913"/>
    </row>
    <row r="44" spans="1:16">
      <c r="B44" s="915" t="str">
        <f>B$9</f>
        <v>Prognose</v>
      </c>
      <c r="C44" s="913" t="s">
        <v>35</v>
      </c>
      <c r="D44" s="916">
        <v>16201.595491220001</v>
      </c>
      <c r="E44" s="916">
        <v>16905.07202534</v>
      </c>
      <c r="F44" s="916">
        <v>18153.890952810001</v>
      </c>
      <c r="G44" s="916">
        <v>19373</v>
      </c>
      <c r="H44" s="916">
        <v>20361</v>
      </c>
      <c r="I44" s="916">
        <v>21753</v>
      </c>
      <c r="J44" s="916">
        <v>22373</v>
      </c>
      <c r="K44" s="913">
        <v>22449.818761990002</v>
      </c>
      <c r="L44" s="913">
        <v>23208.316696309994</v>
      </c>
      <c r="M44" s="913">
        <v>24121.726572310003</v>
      </c>
      <c r="N44" s="917"/>
      <c r="O44" s="913">
        <v>25578.03393392</v>
      </c>
      <c r="P44" s="913">
        <v>24323.477975969996</v>
      </c>
    </row>
    <row r="48" spans="1:16">
      <c r="B48" s="901" t="s">
        <v>1584</v>
      </c>
      <c r="G48" s="910"/>
      <c r="H48" s="902"/>
    </row>
    <row r="49" spans="2:11">
      <c r="B49" s="927" t="s">
        <v>1585</v>
      </c>
      <c r="G49" s="910"/>
      <c r="H49" s="902"/>
    </row>
    <row r="50" spans="2:11">
      <c r="B50" s="927" t="s">
        <v>1586</v>
      </c>
      <c r="G50" s="910"/>
      <c r="H50" s="902"/>
    </row>
    <row r="51" spans="2:11">
      <c r="B51" s="904" t="s">
        <v>1587</v>
      </c>
      <c r="G51" s="910"/>
      <c r="H51" s="902"/>
    </row>
    <row r="52" spans="2:11">
      <c r="B52" s="927" t="s">
        <v>1588</v>
      </c>
      <c r="G52" s="910"/>
      <c r="H52" s="902"/>
    </row>
    <row r="53" spans="2:11">
      <c r="B53" s="904" t="s">
        <v>1589</v>
      </c>
      <c r="G53" s="910"/>
      <c r="H53" s="902"/>
    </row>
    <row r="54" spans="2:11">
      <c r="B54" s="904" t="s">
        <v>1590</v>
      </c>
      <c r="G54" s="910"/>
      <c r="H54" s="902"/>
    </row>
    <row r="55" spans="2:11">
      <c r="B55" s="904" t="s">
        <v>1591</v>
      </c>
      <c r="G55" s="910"/>
      <c r="H55" s="902"/>
    </row>
    <row r="56" spans="2:11">
      <c r="B56" s="927" t="s">
        <v>1592</v>
      </c>
      <c r="C56" s="675"/>
      <c r="D56" s="675"/>
      <c r="E56" s="675"/>
      <c r="F56" s="675"/>
      <c r="G56" s="910"/>
      <c r="H56" s="928"/>
      <c r="K56" s="928"/>
    </row>
    <row r="57" spans="2:11">
      <c r="B57" s="929" t="s">
        <v>1593</v>
      </c>
      <c r="C57" s="675"/>
      <c r="D57" s="675"/>
      <c r="E57" s="675"/>
      <c r="F57" s="675"/>
      <c r="G57" s="910"/>
      <c r="H57" s="928"/>
      <c r="K57" s="928"/>
    </row>
    <row r="58" spans="2:11">
      <c r="B58" s="929" t="s">
        <v>1702</v>
      </c>
      <c r="C58" s="675"/>
      <c r="D58" s="675"/>
      <c r="E58" s="675"/>
      <c r="F58" s="675"/>
      <c r="G58" s="910"/>
      <c r="H58" s="928"/>
      <c r="K58" s="928"/>
    </row>
    <row r="59" spans="2:11">
      <c r="B59" s="929" t="s">
        <v>1594</v>
      </c>
      <c r="C59" s="675"/>
      <c r="D59" s="675"/>
      <c r="E59" s="675"/>
      <c r="F59" s="675"/>
      <c r="G59" s="910"/>
      <c r="H59" s="928"/>
      <c r="K59" s="928"/>
    </row>
    <row r="60" spans="2:11">
      <c r="B60" s="930" t="s">
        <v>1595</v>
      </c>
      <c r="C60" s="931"/>
      <c r="D60" s="932"/>
      <c r="E60" s="932"/>
      <c r="F60" s="933"/>
      <c r="H60" s="934" t="s">
        <v>35</v>
      </c>
      <c r="I60" s="934" t="s">
        <v>35</v>
      </c>
      <c r="J60" s="934" t="s">
        <v>1596</v>
      </c>
      <c r="K60" s="934" t="s">
        <v>1596</v>
      </c>
    </row>
    <row r="61" spans="2:11">
      <c r="B61" s="935" t="s">
        <v>1597</v>
      </c>
      <c r="C61" s="936"/>
      <c r="D61" s="937"/>
      <c r="E61" s="937"/>
      <c r="F61" s="938"/>
      <c r="H61" s="934" t="s">
        <v>1596</v>
      </c>
      <c r="I61" s="934" t="s">
        <v>35</v>
      </c>
      <c r="J61" s="934" t="s">
        <v>35</v>
      </c>
      <c r="K61" s="934" t="s">
        <v>1596</v>
      </c>
    </row>
    <row r="62" spans="2:11">
      <c r="B62" s="939" t="s">
        <v>1598</v>
      </c>
      <c r="C62" s="940"/>
      <c r="D62" s="940"/>
      <c r="E62" s="940"/>
      <c r="F62" s="941"/>
      <c r="H62" s="942" t="s">
        <v>1596</v>
      </c>
      <c r="I62" s="942" t="s">
        <v>35</v>
      </c>
      <c r="J62" s="942" t="s">
        <v>1596</v>
      </c>
      <c r="K62" s="934" t="s">
        <v>35</v>
      </c>
    </row>
    <row r="63" spans="2:11" ht="14" thickBot="1">
      <c r="B63" s="904" t="s">
        <v>1599</v>
      </c>
      <c r="G63" s="910"/>
      <c r="H63" s="902"/>
    </row>
    <row r="64" spans="2:11" ht="14" thickBot="1">
      <c r="B64" s="943" t="s">
        <v>1600</v>
      </c>
      <c r="G64" s="910"/>
      <c r="H64" s="902"/>
    </row>
    <row r="65" spans="2:8">
      <c r="G65" s="910"/>
      <c r="H65" s="902"/>
    </row>
    <row r="67" spans="2:8">
      <c r="B67" s="904" t="s">
        <v>1601</v>
      </c>
    </row>
  </sheetData>
  <pageMargins left="0.23622047244094491" right="0.19685039370078741" top="0.47244094488188981" bottom="0.35433070866141736" header="0.31496062992125984" footer="0.15748031496062992"/>
  <pageSetup paperSize="9" scale="80" orientation="portrait"/>
  <headerFooter alignWithMargins="0"/>
  <colBreaks count="2" manualBreakCount="2">
    <brk id="11" max="1048575" man="1"/>
    <brk id="28"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D261E-5BD5-BB4E-AA83-81C8D3BCE369}">
  <sheetPr>
    <pageSetUpPr fitToPage="1"/>
  </sheetPr>
  <dimension ref="A1:B18"/>
  <sheetViews>
    <sheetView workbookViewId="0">
      <selection activeCell="B5" sqref="B5"/>
    </sheetView>
  </sheetViews>
  <sheetFormatPr baseColWidth="10" defaultColWidth="11.59765625" defaultRowHeight="13"/>
  <cols>
    <col min="1" max="1" width="5.59765625" style="169" customWidth="1"/>
    <col min="2" max="16384" width="11.59765625" style="169"/>
  </cols>
  <sheetData>
    <row r="1" spans="1:2" ht="16">
      <c r="A1" s="168" t="s">
        <v>322</v>
      </c>
    </row>
    <row r="3" spans="1:2">
      <c r="A3" s="170">
        <v>1.01</v>
      </c>
      <c r="B3" s="171" t="s">
        <v>323</v>
      </c>
    </row>
    <row r="4" spans="1:2">
      <c r="A4" s="170">
        <v>1.02</v>
      </c>
      <c r="B4" s="171" t="s">
        <v>324</v>
      </c>
    </row>
    <row r="5" spans="1:2">
      <c r="A5" s="170">
        <v>1.03</v>
      </c>
      <c r="B5" s="171" t="s">
        <v>325</v>
      </c>
    </row>
    <row r="6" spans="1:2">
      <c r="A6" s="170">
        <v>1.04</v>
      </c>
      <c r="B6" s="171" t="s">
        <v>326</v>
      </c>
    </row>
    <row r="7" spans="1:2">
      <c r="A7" s="170">
        <v>1.05</v>
      </c>
      <c r="B7" s="171" t="s">
        <v>327</v>
      </c>
    </row>
    <row r="8" spans="1:2">
      <c r="A8" s="170">
        <v>1.06</v>
      </c>
      <c r="B8" s="171" t="s">
        <v>328</v>
      </c>
    </row>
    <row r="9" spans="1:2">
      <c r="A9" s="170">
        <v>1.07</v>
      </c>
      <c r="B9" s="172" t="s">
        <v>329</v>
      </c>
    </row>
    <row r="10" spans="1:2">
      <c r="A10" s="170">
        <v>1.08</v>
      </c>
      <c r="B10" s="171" t="s">
        <v>330</v>
      </c>
    </row>
    <row r="11" spans="1:2">
      <c r="A11" s="170">
        <v>1.0900000000000001</v>
      </c>
      <c r="B11" s="171" t="s">
        <v>331</v>
      </c>
    </row>
    <row r="12" spans="1:2">
      <c r="A12" s="170">
        <v>1.1000000000000001</v>
      </c>
      <c r="B12" s="171" t="s">
        <v>332</v>
      </c>
    </row>
    <row r="13" spans="1:2">
      <c r="A13" s="170">
        <v>1.1100000000000001</v>
      </c>
      <c r="B13" s="171" t="s">
        <v>333</v>
      </c>
    </row>
    <row r="14" spans="1:2">
      <c r="A14" s="170">
        <v>1.1200000000000001</v>
      </c>
      <c r="B14" s="171" t="s">
        <v>334</v>
      </c>
    </row>
    <row r="15" spans="1:2">
      <c r="A15" s="170">
        <v>1.1299999999999999</v>
      </c>
      <c r="B15" s="171" t="s">
        <v>335</v>
      </c>
    </row>
    <row r="16" spans="1:2">
      <c r="A16" s="173"/>
      <c r="B16" s="174"/>
    </row>
    <row r="18" spans="1:1">
      <c r="A18" s="175" t="s">
        <v>677</v>
      </c>
    </row>
  </sheetData>
  <pageMargins left="0.46" right="0.46" top="0.63" bottom="0.984251969" header="0.38" footer="0.4921259845"/>
  <pageSetup paperSize="9" scale="96" orientation="portrait"/>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B682E-B3F5-224E-B0F8-5A36F7592998}">
  <sheetPr>
    <pageSetUpPr fitToPage="1"/>
  </sheetPr>
  <dimension ref="A1:V56"/>
  <sheetViews>
    <sheetView topLeftCell="A10" zoomScale="75" workbookViewId="0">
      <selection activeCell="O35" sqref="O35"/>
    </sheetView>
  </sheetViews>
  <sheetFormatPr baseColWidth="10" defaultColWidth="11.3984375" defaultRowHeight="13"/>
  <cols>
    <col min="1" max="1" width="2.59765625" style="3" customWidth="1"/>
    <col min="2" max="2" width="3.19921875" style="3" customWidth="1"/>
    <col min="3" max="3" width="55" style="3" customWidth="1"/>
    <col min="4" max="4" width="9.796875" style="249" hidden="1" customWidth="1"/>
    <col min="5" max="5" width="8.59765625" style="249" hidden="1" customWidth="1"/>
    <col min="6" max="6" width="10.19921875" style="3" hidden="1" customWidth="1"/>
    <col min="7" max="7" width="9.3984375" style="3" hidden="1" customWidth="1"/>
    <col min="8" max="8" width="9.3984375" style="3" customWidth="1"/>
    <col min="9" max="9" width="9.3984375" style="248" customWidth="1"/>
    <col min="10" max="10" width="9.3984375" style="3" customWidth="1"/>
    <col min="11" max="12" width="9.3984375" style="248" customWidth="1"/>
    <col min="13" max="13" width="9.3984375" style="3" customWidth="1"/>
    <col min="14" max="15" width="10.796875" style="3" customWidth="1"/>
    <col min="16" max="16" width="11.19921875" style="3" customWidth="1"/>
    <col min="17" max="17" width="10.59765625" style="3" customWidth="1"/>
    <col min="18" max="18" width="10.3984375" style="3" customWidth="1"/>
    <col min="19" max="19" width="5.3984375" style="3" customWidth="1"/>
    <col min="20" max="20" width="11.59765625" style="3" customWidth="1"/>
    <col min="21" max="16384" width="11.3984375" style="3"/>
  </cols>
  <sheetData>
    <row r="1" spans="2:22" ht="12" customHeight="1">
      <c r="C1" s="176"/>
      <c r="D1" s="177"/>
      <c r="E1" s="177"/>
      <c r="F1" s="138"/>
      <c r="G1" s="138"/>
      <c r="H1" s="138"/>
      <c r="I1" s="178"/>
      <c r="K1" s="178"/>
      <c r="L1" s="178"/>
    </row>
    <row r="2" spans="2:22" ht="26.25" customHeight="1">
      <c r="B2" s="179" t="s">
        <v>336</v>
      </c>
      <c r="C2" s="179"/>
      <c r="D2" s="180"/>
      <c r="E2" s="180"/>
      <c r="F2" s="181"/>
      <c r="G2" s="181"/>
      <c r="H2" s="181"/>
      <c r="I2" s="182"/>
      <c r="J2" s="183"/>
      <c r="K2" s="183"/>
      <c r="L2" s="182"/>
      <c r="M2" s="184"/>
      <c r="N2" s="184"/>
      <c r="O2" s="184"/>
      <c r="P2" s="184"/>
      <c r="Q2" s="184"/>
      <c r="R2" s="184"/>
      <c r="S2" s="129"/>
      <c r="T2" s="129"/>
      <c r="U2" s="129"/>
    </row>
    <row r="3" spans="2:22" ht="72.75" customHeight="1">
      <c r="B3" s="185"/>
      <c r="C3" s="186" t="s">
        <v>337</v>
      </c>
      <c r="D3" s="187">
        <v>1996</v>
      </c>
      <c r="E3" s="186">
        <v>1997</v>
      </c>
      <c r="F3" s="187">
        <v>1998</v>
      </c>
      <c r="G3" s="186">
        <v>1999</v>
      </c>
      <c r="H3" s="187">
        <v>2000</v>
      </c>
      <c r="I3" s="188">
        <v>2001</v>
      </c>
      <c r="J3" s="189">
        <v>2002</v>
      </c>
      <c r="K3" s="188">
        <v>2003</v>
      </c>
      <c r="L3" s="189">
        <v>2004</v>
      </c>
      <c r="M3" s="188">
        <v>2005</v>
      </c>
      <c r="N3" s="189">
        <v>2006</v>
      </c>
      <c r="O3" s="188">
        <v>2007</v>
      </c>
      <c r="P3" s="189">
        <v>2008</v>
      </c>
      <c r="Q3" s="188">
        <v>2009</v>
      </c>
      <c r="R3" s="189">
        <v>2010</v>
      </c>
      <c r="S3" s="190"/>
      <c r="T3" s="191" t="s">
        <v>338</v>
      </c>
      <c r="U3" s="192" t="s">
        <v>339</v>
      </c>
      <c r="V3" s="193"/>
    </row>
    <row r="4" spans="2:22" ht="14" customHeight="1">
      <c r="B4" s="185"/>
      <c r="C4" s="186"/>
      <c r="D4" s="187"/>
      <c r="E4" s="186"/>
      <c r="F4" s="187"/>
      <c r="G4" s="186"/>
      <c r="H4" s="187"/>
      <c r="I4" s="188"/>
      <c r="J4" s="194"/>
      <c r="K4" s="188"/>
      <c r="L4" s="189"/>
      <c r="M4" s="188"/>
      <c r="N4" s="189"/>
      <c r="O4" s="188"/>
      <c r="P4" s="189"/>
      <c r="Q4" s="188"/>
      <c r="R4" s="189"/>
      <c r="S4" s="190"/>
      <c r="T4" s="186"/>
      <c r="U4" s="187"/>
      <c r="V4" s="195"/>
    </row>
    <row r="5" spans="2:22" ht="9.75" customHeight="1">
      <c r="B5" s="196"/>
      <c r="C5" s="197"/>
      <c r="D5" s="198"/>
      <c r="E5" s="197"/>
      <c r="F5" s="198"/>
      <c r="G5" s="197"/>
      <c r="H5" s="198"/>
      <c r="I5" s="199"/>
      <c r="J5" s="200"/>
      <c r="K5" s="199"/>
      <c r="L5" s="201"/>
      <c r="M5" s="199"/>
      <c r="N5" s="201"/>
      <c r="O5" s="199"/>
      <c r="P5" s="201"/>
      <c r="Q5" s="199"/>
      <c r="R5" s="201"/>
      <c r="S5" s="202"/>
      <c r="T5" s="203"/>
      <c r="U5" s="200"/>
      <c r="V5" s="195"/>
    </row>
    <row r="6" spans="2:22" ht="20" customHeight="1" thickBot="1">
      <c r="B6" s="204">
        <v>1</v>
      </c>
      <c r="C6" s="205" t="s">
        <v>340</v>
      </c>
      <c r="D6" s="206">
        <v>145</v>
      </c>
      <c r="E6" s="207">
        <v>129</v>
      </c>
      <c r="F6" s="206">
        <v>118</v>
      </c>
      <c r="G6" s="207">
        <v>109</v>
      </c>
      <c r="H6" s="206">
        <v>101</v>
      </c>
      <c r="I6" s="207">
        <v>99</v>
      </c>
      <c r="J6" s="206">
        <v>93</v>
      </c>
      <c r="K6" s="207">
        <v>93</v>
      </c>
      <c r="L6" s="206">
        <v>92</v>
      </c>
      <c r="M6" s="207">
        <v>85</v>
      </c>
      <c r="N6" s="206">
        <v>87</v>
      </c>
      <c r="O6" s="207">
        <v>87</v>
      </c>
      <c r="P6" s="206">
        <v>86</v>
      </c>
      <c r="Q6" s="207">
        <v>81</v>
      </c>
      <c r="R6" s="208">
        <v>81</v>
      </c>
      <c r="S6" s="209"/>
      <c r="T6" s="210">
        <v>0</v>
      </c>
      <c r="U6" s="211">
        <v>-2.1825438092825222E-2</v>
      </c>
      <c r="V6" s="212"/>
    </row>
    <row r="7" spans="2:22" ht="16" customHeight="1" thickBot="1">
      <c r="B7" s="213">
        <v>2</v>
      </c>
      <c r="C7" s="214" t="s">
        <v>341</v>
      </c>
      <c r="D7" s="215">
        <v>7232.6670000000004</v>
      </c>
      <c r="E7" s="216">
        <v>7236.4709999999995</v>
      </c>
      <c r="F7" s="215">
        <v>7246.616</v>
      </c>
      <c r="G7" s="216">
        <v>7270.5219999999999</v>
      </c>
      <c r="H7" s="215">
        <v>7265.1130000000003</v>
      </c>
      <c r="I7" s="216">
        <v>7301.05</v>
      </c>
      <c r="J7" s="215">
        <v>7344.6319999999996</v>
      </c>
      <c r="K7" s="216">
        <v>7372.5050000000001</v>
      </c>
      <c r="L7" s="215">
        <v>7383.5739999999996</v>
      </c>
      <c r="M7" s="216">
        <v>7435.8649999999998</v>
      </c>
      <c r="N7" s="215">
        <v>7478.4268200000015</v>
      </c>
      <c r="O7" s="216">
        <v>7537.5873800000008</v>
      </c>
      <c r="P7" s="215">
        <v>7615.5633200000002</v>
      </c>
      <c r="Q7" s="216">
        <v>7708.8515100000004</v>
      </c>
      <c r="R7" s="217">
        <v>7779.661790000001</v>
      </c>
      <c r="S7" s="209"/>
      <c r="T7" s="210">
        <v>9.1855810049195075E-3</v>
      </c>
      <c r="U7" s="211">
        <v>6.8663676047202582E-3</v>
      </c>
      <c r="V7" s="212"/>
    </row>
    <row r="8" spans="2:22" ht="16" customHeight="1" thickBot="1">
      <c r="B8" s="213" t="s">
        <v>342</v>
      </c>
      <c r="C8" s="214" t="s">
        <v>343</v>
      </c>
      <c r="D8" s="215">
        <v>5599.991</v>
      </c>
      <c r="E8" s="216">
        <v>5669.3249999999998</v>
      </c>
      <c r="F8" s="215">
        <v>5768.6210000000001</v>
      </c>
      <c r="G8" s="216">
        <v>5833.1670000000004</v>
      </c>
      <c r="H8" s="215">
        <v>5947.0349999999999</v>
      </c>
      <c r="I8" s="216">
        <v>6043.9049999999997</v>
      </c>
      <c r="J8" s="132">
        <v>6170.7879999999996</v>
      </c>
      <c r="K8" s="216">
        <v>6105.0770000000002</v>
      </c>
      <c r="L8" s="215">
        <v>6076.2309999999998</v>
      </c>
      <c r="M8" s="216">
        <v>6104.0569999999998</v>
      </c>
      <c r="N8" s="215">
        <v>6139.7749999999996</v>
      </c>
      <c r="O8" s="216">
        <v>6170.95</v>
      </c>
      <c r="P8" s="215">
        <v>6246.7870000000003</v>
      </c>
      <c r="Q8" s="216">
        <v>6463.0730000000003</v>
      </c>
      <c r="R8" s="217">
        <v>6497.0940000000001</v>
      </c>
      <c r="S8" s="209"/>
      <c r="T8" s="210">
        <v>5.2639046472164885E-3</v>
      </c>
      <c r="U8" s="211">
        <v>8.8854658570274303E-3</v>
      </c>
      <c r="V8" s="212"/>
    </row>
    <row r="9" spans="2:22" ht="16" customHeight="1" thickBot="1">
      <c r="B9" s="213" t="s">
        <v>344</v>
      </c>
      <c r="C9" s="214" t="s">
        <v>345</v>
      </c>
      <c r="D9" s="218">
        <v>77.42636291702631</v>
      </c>
      <c r="E9" s="219">
        <v>78.343781105458731</v>
      </c>
      <c r="F9" s="218">
        <v>79.604342219872009</v>
      </c>
      <c r="G9" s="219">
        <v>80.230374105188048</v>
      </c>
      <c r="H9" s="218">
        <v>81.857432912605759</v>
      </c>
      <c r="I9" s="219">
        <v>82.781312277001248</v>
      </c>
      <c r="J9" s="220">
        <v>84.017660789539889</v>
      </c>
      <c r="K9" s="219">
        <v>82.808719695680097</v>
      </c>
      <c r="L9" s="218">
        <v>82.293899946015301</v>
      </c>
      <c r="M9" s="219">
        <v>82.08940049341939</v>
      </c>
      <c r="N9" s="218">
        <v>82.099820560923789</v>
      </c>
      <c r="O9" s="219">
        <v>81.869034332839803</v>
      </c>
      <c r="P9" s="218">
        <v>82.026601589353191</v>
      </c>
      <c r="Q9" s="219">
        <v>83.839635406338232</v>
      </c>
      <c r="R9" s="221">
        <v>83.51383614582555</v>
      </c>
      <c r="S9" s="222"/>
      <c r="T9" s="210">
        <v>-3.8859813611266114E-3</v>
      </c>
      <c r="U9" s="211">
        <v>2.0053289267278895E-3</v>
      </c>
      <c r="V9" s="212"/>
    </row>
    <row r="10" spans="2:22" ht="16" customHeight="1" thickBot="1">
      <c r="B10" s="213">
        <v>4</v>
      </c>
      <c r="C10" s="214" t="s">
        <v>346</v>
      </c>
      <c r="D10" s="215">
        <v>1117.0840000000001</v>
      </c>
      <c r="E10" s="216">
        <v>1150.1220000000001</v>
      </c>
      <c r="F10" s="215">
        <v>1154.759</v>
      </c>
      <c r="G10" s="216">
        <v>1096.0329999999999</v>
      </c>
      <c r="H10" s="215">
        <v>1097.932</v>
      </c>
      <c r="I10" s="216">
        <v>1193.3150000000001</v>
      </c>
      <c r="J10" s="132">
        <v>1207.239</v>
      </c>
      <c r="K10" s="216">
        <v>1148.028</v>
      </c>
      <c r="L10" s="215">
        <v>1196.146</v>
      </c>
      <c r="M10" s="216">
        <v>1219.4549999999999</v>
      </c>
      <c r="N10" s="215">
        <v>1147.933</v>
      </c>
      <c r="O10" s="216">
        <v>1232.442</v>
      </c>
      <c r="P10" s="215">
        <v>1283.4290000000001</v>
      </c>
      <c r="Q10" s="216">
        <v>1289.3340000000001</v>
      </c>
      <c r="R10" s="217">
        <v>1211.453</v>
      </c>
      <c r="S10" s="209"/>
      <c r="T10" s="210">
        <v>-6.0404053565639382E-2</v>
      </c>
      <c r="U10" s="211">
        <v>9.8877696548078653E-3</v>
      </c>
      <c r="V10" s="212"/>
    </row>
    <row r="11" spans="2:22" ht="15.75" customHeight="1" thickBot="1">
      <c r="B11" s="213">
        <v>5</v>
      </c>
      <c r="C11" s="214" t="s">
        <v>347</v>
      </c>
      <c r="D11" s="215">
        <v>18812.841</v>
      </c>
      <c r="E11" s="216">
        <v>18987.651000000002</v>
      </c>
      <c r="F11" s="215">
        <v>17067.058000000001</v>
      </c>
      <c r="G11" s="216">
        <v>12747.16</v>
      </c>
      <c r="H11" s="215">
        <v>12447.351000000001</v>
      </c>
      <c r="I11" s="216">
        <v>12514.1</v>
      </c>
      <c r="J11" s="132">
        <v>12391.460999999999</v>
      </c>
      <c r="K11" s="216">
        <v>11395.671</v>
      </c>
      <c r="L11" s="215">
        <v>11754.955</v>
      </c>
      <c r="M11" s="216">
        <v>11492.861999999999</v>
      </c>
      <c r="N11" s="215">
        <v>11050.112999999999</v>
      </c>
      <c r="O11" s="216">
        <v>11706.005999999999</v>
      </c>
      <c r="P11" s="215">
        <v>11789.734</v>
      </c>
      <c r="Q11" s="216">
        <v>11966.875</v>
      </c>
      <c r="R11" s="217">
        <v>10978.201999999999</v>
      </c>
      <c r="S11" s="209"/>
      <c r="T11" s="210">
        <v>-8.2617475322504852E-2</v>
      </c>
      <c r="U11" s="211">
        <v>-1.2481073070031767E-2</v>
      </c>
      <c r="V11" s="212"/>
    </row>
    <row r="12" spans="2:22" ht="15.75" customHeight="1" thickBot="1">
      <c r="B12" s="213" t="s">
        <v>348</v>
      </c>
      <c r="C12" s="214" t="s">
        <v>349</v>
      </c>
      <c r="D12" s="215">
        <v>1538.9393456106855</v>
      </c>
      <c r="E12" s="216">
        <v>1663.8889491853145</v>
      </c>
      <c r="F12" s="215">
        <v>1753.683394842503</v>
      </c>
      <c r="G12" s="216">
        <v>1792.6969718267821</v>
      </c>
      <c r="H12" s="215">
        <v>1850.1645719756871</v>
      </c>
      <c r="I12" s="216">
        <v>1917.1642434992227</v>
      </c>
      <c r="J12" s="215">
        <v>2090.6486849170938</v>
      </c>
      <c r="K12" s="216">
        <v>2281.464868725081</v>
      </c>
      <c r="L12" s="215">
        <v>2441.8668834361247</v>
      </c>
      <c r="M12" s="216">
        <v>2487.4603849935415</v>
      </c>
      <c r="N12" s="215">
        <v>2582.7207564451369</v>
      </c>
      <c r="O12" s="216">
        <v>2612.1277928402606</v>
      </c>
      <c r="P12" s="215">
        <v>2585.7925929424223</v>
      </c>
      <c r="Q12" s="216">
        <v>2610.6051067988465</v>
      </c>
      <c r="R12" s="217">
        <v>2834.4985299573032</v>
      </c>
      <c r="S12" s="209"/>
      <c r="T12" s="210">
        <v>8.5763037303254741E-2</v>
      </c>
      <c r="U12" s="211">
        <v>4.3582018968051583E-2</v>
      </c>
      <c r="V12" s="212"/>
    </row>
    <row r="13" spans="2:22" ht="18" customHeight="1" thickBot="1">
      <c r="B13" s="213" t="s">
        <v>350</v>
      </c>
      <c r="C13" s="214" t="s">
        <v>351</v>
      </c>
      <c r="D13" s="215">
        <v>1722.6034666050571</v>
      </c>
      <c r="E13" s="216">
        <v>1815.591817475673</v>
      </c>
      <c r="F13" s="215">
        <v>1935.2609068839854</v>
      </c>
      <c r="G13" s="216">
        <v>2010.9299604622613</v>
      </c>
      <c r="H13" s="215">
        <v>2130.500577485856</v>
      </c>
      <c r="I13" s="216">
        <v>2244.3977236150963</v>
      </c>
      <c r="J13" s="215">
        <v>2327.6302215005462</v>
      </c>
      <c r="K13" s="216">
        <v>2431.2115563163397</v>
      </c>
      <c r="L13" s="215">
        <v>2592.2163089311498</v>
      </c>
      <c r="M13" s="216">
        <v>2736.4276577385417</v>
      </c>
      <c r="N13" s="215">
        <v>2754.9413018779796</v>
      </c>
      <c r="O13" s="216">
        <v>2862.8111062906178</v>
      </c>
      <c r="P13" s="215">
        <v>2983.6153319253076</v>
      </c>
      <c r="Q13" s="216">
        <v>3068.7220287020409</v>
      </c>
      <c r="R13" s="217">
        <v>3122.5601098540819</v>
      </c>
      <c r="S13" s="209"/>
      <c r="T13" s="210">
        <v>1.7544137477584654E-2</v>
      </c>
      <c r="U13" s="211">
        <v>3.8969778755699069E-2</v>
      </c>
      <c r="V13" s="212"/>
    </row>
    <row r="14" spans="2:22" ht="16" customHeight="1" thickBot="1">
      <c r="B14" s="213" t="s">
        <v>352</v>
      </c>
      <c r="C14" s="214" t="s">
        <v>353</v>
      </c>
      <c r="D14" s="215">
        <v>1135.7666791471866</v>
      </c>
      <c r="E14" s="216">
        <v>1207.1705655887454</v>
      </c>
      <c r="F14" s="215">
        <v>1287.8682695481589</v>
      </c>
      <c r="G14" s="216">
        <v>1351.582122301535</v>
      </c>
      <c r="H14" s="215">
        <v>1451.1566242672343</v>
      </c>
      <c r="I14" s="216">
        <v>1548.8249816122338</v>
      </c>
      <c r="J14" s="215">
        <v>1615.4324000167742</v>
      </c>
      <c r="K14" s="216">
        <v>1666.6209287074066</v>
      </c>
      <c r="L14" s="215">
        <v>1751.3120155631952</v>
      </c>
      <c r="M14" s="216">
        <v>1868.8498613140498</v>
      </c>
      <c r="N14" s="215">
        <v>1876.1663221824504</v>
      </c>
      <c r="O14" s="216">
        <v>1947.0011165814174</v>
      </c>
      <c r="P14" s="215">
        <v>2050.4938838838252</v>
      </c>
      <c r="Q14" s="216">
        <v>2108.4877007664654</v>
      </c>
      <c r="R14" s="217">
        <v>2155.4118222278144</v>
      </c>
      <c r="S14" s="209"/>
      <c r="T14" s="210">
        <v>2.2254870846195374E-2</v>
      </c>
      <c r="U14" s="211">
        <v>4.0355092083120603E-2</v>
      </c>
      <c r="V14" s="212"/>
    </row>
    <row r="15" spans="2:22" ht="16" customHeight="1" thickBot="1">
      <c r="B15" s="213" t="s">
        <v>354</v>
      </c>
      <c r="C15" s="214" t="s">
        <v>355</v>
      </c>
      <c r="D15" s="215">
        <v>586.83678759613247</v>
      </c>
      <c r="E15" s="216">
        <v>608.42125188692751</v>
      </c>
      <c r="F15" s="215">
        <v>647.39263733582686</v>
      </c>
      <c r="G15" s="216">
        <v>659.34783816072627</v>
      </c>
      <c r="H15" s="215">
        <v>679.34395321862166</v>
      </c>
      <c r="I15" s="216">
        <v>695.57285390457537</v>
      </c>
      <c r="J15" s="215">
        <v>712.19782148377203</v>
      </c>
      <c r="K15" s="216">
        <v>764.59062760893346</v>
      </c>
      <c r="L15" s="215">
        <v>840.90429336795432</v>
      </c>
      <c r="M15" s="216">
        <v>867.57779639624982</v>
      </c>
      <c r="N15" s="215">
        <v>878.77497969552894</v>
      </c>
      <c r="O15" s="216">
        <v>915.80998970920029</v>
      </c>
      <c r="P15" s="215">
        <v>933.12144804148261</v>
      </c>
      <c r="Q15" s="216">
        <v>960.23432793557583</v>
      </c>
      <c r="R15" s="217">
        <v>967.14828762626712</v>
      </c>
      <c r="S15" s="209"/>
      <c r="T15" s="210">
        <v>7.2002838156761673E-3</v>
      </c>
      <c r="U15" s="211">
        <v>3.5953674808141045E-2</v>
      </c>
      <c r="V15" s="212"/>
    </row>
    <row r="16" spans="2:22" ht="16" customHeight="1" thickBot="1">
      <c r="B16" s="213" t="s">
        <v>356</v>
      </c>
      <c r="C16" s="214" t="s">
        <v>357</v>
      </c>
      <c r="D16" s="215">
        <v>232.07645782669101</v>
      </c>
      <c r="E16" s="216">
        <v>245.69743221523311</v>
      </c>
      <c r="F16" s="215">
        <v>289.40857360180263</v>
      </c>
      <c r="G16" s="216">
        <v>301.20274500235331</v>
      </c>
      <c r="H16" s="215">
        <v>314.93213457244229</v>
      </c>
      <c r="I16" s="216">
        <v>328.74449565473458</v>
      </c>
      <c r="J16" s="215">
        <v>340.77001636024784</v>
      </c>
      <c r="K16" s="216">
        <v>351.10178317952989</v>
      </c>
      <c r="L16" s="215">
        <v>383.59639861400456</v>
      </c>
      <c r="M16" s="216">
        <v>402.77581823634512</v>
      </c>
      <c r="N16" s="215">
        <v>406.33028735313604</v>
      </c>
      <c r="O16" s="216">
        <v>418.57781696455766</v>
      </c>
      <c r="P16" s="215">
        <v>432.06970918600405</v>
      </c>
      <c r="Q16" s="216">
        <v>438.77766276367134</v>
      </c>
      <c r="R16" s="217">
        <v>438.15717657438159</v>
      </c>
      <c r="S16" s="209"/>
      <c r="T16" s="210">
        <v>-1.4141243776667478E-3</v>
      </c>
      <c r="U16" s="211">
        <v>3.3573332053928429E-2</v>
      </c>
      <c r="V16" s="212"/>
    </row>
    <row r="17" spans="2:22" ht="18.75" customHeight="1" thickBot="1">
      <c r="B17" s="213" t="s">
        <v>358</v>
      </c>
      <c r="C17" s="214" t="s">
        <v>359</v>
      </c>
      <c r="D17" s="215">
        <v>1490.5270087783663</v>
      </c>
      <c r="E17" s="216">
        <v>1569.89438526044</v>
      </c>
      <c r="F17" s="215">
        <v>1645.8523332821831</v>
      </c>
      <c r="G17" s="216">
        <v>1709.7272154599079</v>
      </c>
      <c r="H17" s="215">
        <v>1815.5684429134135</v>
      </c>
      <c r="I17" s="216">
        <v>1915.651858294355</v>
      </c>
      <c r="J17" s="215">
        <v>1986.8602051130677</v>
      </c>
      <c r="K17" s="216">
        <v>2080.1097731368104</v>
      </c>
      <c r="L17" s="215">
        <v>2208.6199103577751</v>
      </c>
      <c r="M17" s="216">
        <v>2333.6518395021967</v>
      </c>
      <c r="N17" s="215">
        <v>2348.6110145248435</v>
      </c>
      <c r="O17" s="216">
        <v>2444.23328932606</v>
      </c>
      <c r="P17" s="215">
        <v>2551.5456227393033</v>
      </c>
      <c r="Q17" s="216">
        <v>2629.9443659383696</v>
      </c>
      <c r="R17" s="217">
        <v>2684.4029332797004</v>
      </c>
      <c r="S17" s="209"/>
      <c r="T17" s="210">
        <v>2.0707117628284921E-2</v>
      </c>
      <c r="U17" s="211">
        <v>3.9880676217392885E-2</v>
      </c>
      <c r="V17" s="212"/>
    </row>
    <row r="18" spans="2:22" ht="15.75" customHeight="1" thickBot="1">
      <c r="B18" s="213" t="s">
        <v>360</v>
      </c>
      <c r="C18" s="223" t="s">
        <v>361</v>
      </c>
      <c r="D18" s="215">
        <v>132.70728197496166</v>
      </c>
      <c r="E18" s="216">
        <v>123.43149540708448</v>
      </c>
      <c r="F18" s="215">
        <v>117.97848775207628</v>
      </c>
      <c r="G18" s="216">
        <v>117.4940565477967</v>
      </c>
      <c r="H18" s="215">
        <v>118.82517959459129</v>
      </c>
      <c r="I18" s="216">
        <v>124.48209504112421</v>
      </c>
      <c r="J18" s="215">
        <v>125.74808222386092</v>
      </c>
      <c r="K18" s="216">
        <v>128.73966972012903</v>
      </c>
      <c r="L18" s="215">
        <v>133.72666834516724</v>
      </c>
      <c r="M18" s="216">
        <v>134.36734701880681</v>
      </c>
      <c r="N18" s="215">
        <v>144.14164993460486</v>
      </c>
      <c r="O18" s="216">
        <v>142.1810814948058</v>
      </c>
      <c r="P18" s="215">
        <v>153.45122296744293</v>
      </c>
      <c r="Q18" s="216">
        <v>147.13788275057848</v>
      </c>
      <c r="R18" s="217">
        <v>157.51886110462905</v>
      </c>
      <c r="S18" s="209"/>
      <c r="T18" s="210">
        <v>7.0552723472635082E-2</v>
      </c>
      <c r="U18" s="211">
        <v>2.8590261943719941E-2</v>
      </c>
      <c r="V18" s="212"/>
    </row>
    <row r="19" spans="2:22" ht="18" customHeight="1" thickBot="1">
      <c r="B19" s="213" t="s">
        <v>362</v>
      </c>
      <c r="C19" s="214" t="s">
        <v>363</v>
      </c>
      <c r="D19" s="215">
        <v>477.62973077565988</v>
      </c>
      <c r="E19" s="216">
        <v>484.75254775428522</v>
      </c>
      <c r="F19" s="215">
        <v>509.74935597525797</v>
      </c>
      <c r="G19" s="216">
        <v>524.03642778331459</v>
      </c>
      <c r="H19" s="215">
        <v>544.55016542757153</v>
      </c>
      <c r="I19" s="216">
        <v>547.35962635511339</v>
      </c>
      <c r="J19" s="215">
        <v>547.06945209780417</v>
      </c>
      <c r="K19" s="216">
        <v>578.39954541909435</v>
      </c>
      <c r="L19" s="215">
        <v>607.83383459013214</v>
      </c>
      <c r="M19" s="216">
        <v>633.47119917588623</v>
      </c>
      <c r="N19" s="215">
        <v>667.24895580511941</v>
      </c>
      <c r="O19" s="216">
        <v>694.39870760476651</v>
      </c>
      <c r="P19" s="215">
        <v>681.63705744882441</v>
      </c>
      <c r="Q19" s="216">
        <v>660.95738811681952</v>
      </c>
      <c r="R19" s="217">
        <v>671.91784070345795</v>
      </c>
      <c r="S19" s="209"/>
      <c r="T19" s="210">
        <v>1.6582691688894924E-2</v>
      </c>
      <c r="U19" s="211">
        <v>2.1240025598067369E-2</v>
      </c>
      <c r="V19" s="212"/>
    </row>
    <row r="20" spans="2:22" ht="19.5" customHeight="1" thickBot="1">
      <c r="B20" s="213" t="s">
        <v>364</v>
      </c>
      <c r="C20" s="214" t="s">
        <v>365</v>
      </c>
      <c r="D20" s="215">
        <v>394.88575237875602</v>
      </c>
      <c r="E20" s="216">
        <v>413.44461478530076</v>
      </c>
      <c r="F20" s="215">
        <v>411.98967338686089</v>
      </c>
      <c r="G20" s="216">
        <v>423.27251702147385</v>
      </c>
      <c r="H20" s="215">
        <v>389.82276793217119</v>
      </c>
      <c r="I20" s="216">
        <v>287.99008361810974</v>
      </c>
      <c r="J20" s="215">
        <v>267.61478124431557</v>
      </c>
      <c r="K20" s="216">
        <v>324.68015590359045</v>
      </c>
      <c r="L20" s="215">
        <v>402.03849991887398</v>
      </c>
      <c r="M20" s="216">
        <v>428.26064350549666</v>
      </c>
      <c r="N20" s="215">
        <v>501.3097896958493</v>
      </c>
      <c r="O20" s="216">
        <v>526.75261307816504</v>
      </c>
      <c r="P20" s="215">
        <v>427.01039051829446</v>
      </c>
      <c r="Q20" s="216">
        <v>371.39233943941923</v>
      </c>
      <c r="R20" s="217">
        <v>400.49845433319257</v>
      </c>
      <c r="S20" s="209"/>
      <c r="T20" s="210">
        <v>7.8370261857598322E-2</v>
      </c>
      <c r="U20" s="211">
        <v>2.7054243255009158E-3</v>
      </c>
      <c r="V20" s="212"/>
    </row>
    <row r="21" spans="2:22" ht="16" customHeight="1" thickBot="1">
      <c r="B21" s="213" t="s">
        <v>366</v>
      </c>
      <c r="C21" s="214" t="s">
        <v>367</v>
      </c>
      <c r="D21" s="215">
        <v>11130.63582</v>
      </c>
      <c r="E21" s="216">
        <v>12040.684128000001</v>
      </c>
      <c r="F21" s="215">
        <v>12708.270148</v>
      </c>
      <c r="G21" s="216">
        <v>13033.842773</v>
      </c>
      <c r="H21" s="215">
        <v>13441.654683999999</v>
      </c>
      <c r="I21" s="216">
        <v>13997.312</v>
      </c>
      <c r="J21" s="215">
        <v>15355.045232</v>
      </c>
      <c r="K21" s="216">
        <v>16820.111152000001</v>
      </c>
      <c r="L21" s="215">
        <v>18029.704831999999</v>
      </c>
      <c r="M21" s="216">
        <v>18496.419615660001</v>
      </c>
      <c r="N21" s="215">
        <v>19314.688173570001</v>
      </c>
      <c r="O21" s="216">
        <v>19689.141486260003</v>
      </c>
      <c r="P21" s="215">
        <v>19692.267223940002</v>
      </c>
      <c r="Q21" s="216">
        <v>20124.767119560001</v>
      </c>
      <c r="R21" s="217">
        <v>22051.439907320004</v>
      </c>
      <c r="S21" s="209"/>
      <c r="T21" s="210">
        <v>9.5736401634550994E-2</v>
      </c>
      <c r="U21" s="211">
        <v>5.0747636735962276E-2</v>
      </c>
      <c r="V21" s="212"/>
    </row>
    <row r="22" spans="2:22" ht="18" customHeight="1" thickBot="1">
      <c r="B22" s="213" t="s">
        <v>368</v>
      </c>
      <c r="C22" s="214" t="s">
        <v>369</v>
      </c>
      <c r="D22" s="215">
        <v>12459.017247</v>
      </c>
      <c r="E22" s="216">
        <v>13138.477535</v>
      </c>
      <c r="F22" s="215">
        <v>14024.092651999999</v>
      </c>
      <c r="G22" s="216">
        <v>14620.510517999999</v>
      </c>
      <c r="H22" s="215">
        <v>15478.327442</v>
      </c>
      <c r="I22" s="216">
        <v>16386.46</v>
      </c>
      <c r="J22" s="215">
        <v>17095.587409</v>
      </c>
      <c r="K22" s="216">
        <v>17924.119354999999</v>
      </c>
      <c r="L22" s="215">
        <v>19139.820941000002</v>
      </c>
      <c r="M22" s="216">
        <v>20347.706645210001</v>
      </c>
      <c r="N22" s="215">
        <v>20602.626919490001</v>
      </c>
      <c r="O22" s="216">
        <v>21578.688866100001</v>
      </c>
      <c r="P22" s="215">
        <v>22721.911482799998</v>
      </c>
      <c r="Q22" s="216">
        <v>23656.322444729994</v>
      </c>
      <c r="R22" s="217">
        <v>24292.461573610006</v>
      </c>
      <c r="S22" s="209"/>
      <c r="T22" s="210">
        <v>2.6890871578465703E-2</v>
      </c>
      <c r="U22" s="211">
        <v>4.6103727186830534E-2</v>
      </c>
      <c r="V22" s="212"/>
    </row>
    <row r="23" spans="2:22" ht="16" customHeight="1" thickBot="1">
      <c r="B23" s="213" t="s">
        <v>370</v>
      </c>
      <c r="C23" s="214" t="s">
        <v>371</v>
      </c>
      <c r="D23" s="215">
        <v>1678.5317379999999</v>
      </c>
      <c r="E23" s="216">
        <v>1777.9823429999999</v>
      </c>
      <c r="F23" s="215">
        <v>2097.2328000000002</v>
      </c>
      <c r="G23" s="216">
        <v>2189.9011839999998</v>
      </c>
      <c r="H23" s="215">
        <v>2288.0175450000002</v>
      </c>
      <c r="I23" s="216">
        <v>2400.1799999999998</v>
      </c>
      <c r="J23" s="215">
        <v>2502.8303667999999</v>
      </c>
      <c r="K23" s="216">
        <v>2588.499652</v>
      </c>
      <c r="L23" s="215">
        <v>2832.3123952999999</v>
      </c>
      <c r="M23" s="216">
        <v>2994.9866096700002</v>
      </c>
      <c r="N23" s="215">
        <v>3038.7113187200002</v>
      </c>
      <c r="O23" s="216">
        <v>3155.0668707</v>
      </c>
      <c r="P23" s="215">
        <v>3290.4542289599999</v>
      </c>
      <c r="Q23" s="216">
        <v>3382.471848149999</v>
      </c>
      <c r="R23" s="217">
        <v>3408.7146446100001</v>
      </c>
      <c r="S23" s="209"/>
      <c r="T23" s="210">
        <v>7.7584670732304684E-3</v>
      </c>
      <c r="U23" s="211">
        <v>4.0670226498246143E-2</v>
      </c>
      <c r="V23" s="212"/>
    </row>
    <row r="24" spans="2:22" ht="18.75" customHeight="1" thickBot="1">
      <c r="B24" s="213" t="s">
        <v>372</v>
      </c>
      <c r="C24" s="214" t="s">
        <v>373</v>
      </c>
      <c r="D24" s="215">
        <v>10780.485509</v>
      </c>
      <c r="E24" s="216">
        <v>11360.495192</v>
      </c>
      <c r="F24" s="215">
        <v>11926.859852</v>
      </c>
      <c r="G24" s="216">
        <v>12430.609334000001</v>
      </c>
      <c r="H24" s="215">
        <v>13190.309896999999</v>
      </c>
      <c r="I24" s="216">
        <v>13986.27</v>
      </c>
      <c r="J24" s="215">
        <v>14592.757041999999</v>
      </c>
      <c r="K24" s="216">
        <v>15335.619703</v>
      </c>
      <c r="L24" s="215">
        <v>16307.508545999999</v>
      </c>
      <c r="M24" s="216">
        <v>17352.720035540002</v>
      </c>
      <c r="N24" s="215">
        <v>17563.91560077</v>
      </c>
      <c r="O24" s="216">
        <v>18423.621995400001</v>
      </c>
      <c r="P24" s="215">
        <v>19431.457253839999</v>
      </c>
      <c r="Q24" s="216">
        <v>20273.850596579996</v>
      </c>
      <c r="R24" s="217">
        <v>20883.746929000004</v>
      </c>
      <c r="S24" s="209"/>
      <c r="T24" s="210">
        <v>3.0082905539557059E-2</v>
      </c>
      <c r="U24" s="211">
        <v>4.7020879205346366E-2</v>
      </c>
      <c r="V24" s="212"/>
    </row>
    <row r="25" spans="2:22" ht="15.75" customHeight="1" thickBot="1">
      <c r="B25" s="213" t="s">
        <v>374</v>
      </c>
      <c r="C25" s="214" t="s">
        <v>375</v>
      </c>
      <c r="D25" s="215">
        <v>959.82757900000001</v>
      </c>
      <c r="E25" s="216">
        <v>893.208437</v>
      </c>
      <c r="F25" s="215">
        <v>854.94479699999999</v>
      </c>
      <c r="G25" s="216">
        <v>854.24312299999997</v>
      </c>
      <c r="H25" s="215">
        <v>863.27835700000003</v>
      </c>
      <c r="I25" s="216">
        <v>908.85</v>
      </c>
      <c r="J25" s="215">
        <v>923.57338863999996</v>
      </c>
      <c r="K25" s="216">
        <v>949.13385871000003</v>
      </c>
      <c r="L25" s="215">
        <v>987.38075149999997</v>
      </c>
      <c r="M25" s="216">
        <v>999.13745283999992</v>
      </c>
      <c r="N25" s="215">
        <v>1077.9527807500003</v>
      </c>
      <c r="O25" s="216">
        <v>1071.7023255499998</v>
      </c>
      <c r="P25" s="215">
        <v>1168.61750504</v>
      </c>
      <c r="Q25" s="216">
        <v>1134.26408962</v>
      </c>
      <c r="R25" s="217">
        <v>1225.44346494</v>
      </c>
      <c r="S25" s="209"/>
      <c r="T25" s="210">
        <v>8.0386372234130032E-2</v>
      </c>
      <c r="U25" s="211">
        <v>3.5652940796860877E-2</v>
      </c>
      <c r="V25" s="212"/>
    </row>
    <row r="26" spans="2:22" ht="15.75" customHeight="1" thickBot="1">
      <c r="B26" s="213">
        <v>11</v>
      </c>
      <c r="C26" s="214" t="s">
        <v>376</v>
      </c>
      <c r="D26" s="215">
        <v>-319.932346</v>
      </c>
      <c r="E26" s="216">
        <v>70.171887999999996</v>
      </c>
      <c r="F26" s="215">
        <v>-3.3297E-2</v>
      </c>
      <c r="G26" s="216">
        <v>-49.386769999999999</v>
      </c>
      <c r="H26" s="215">
        <v>-305.95411300000001</v>
      </c>
      <c r="I26" s="216">
        <v>-789.7</v>
      </c>
      <c r="J26" s="215">
        <v>-223.6723628</v>
      </c>
      <c r="K26" s="216">
        <v>399.72993602999998</v>
      </c>
      <c r="L26" s="215">
        <v>514.14165576000005</v>
      </c>
      <c r="M26" s="216">
        <v>171.42467388000034</v>
      </c>
      <c r="N26" s="215">
        <v>490.9499524699998</v>
      </c>
      <c r="O26" s="216">
        <v>178.66007693999958</v>
      </c>
      <c r="P26" s="215">
        <v>-755.31870567999954</v>
      </c>
      <c r="Q26" s="216">
        <v>-471.60922202999967</v>
      </c>
      <c r="R26" s="217">
        <v>224.51180578999993</v>
      </c>
      <c r="S26" s="209"/>
      <c r="T26" s="210" t="s">
        <v>35</v>
      </c>
      <c r="U26" s="211" t="s">
        <v>35</v>
      </c>
      <c r="V26" s="212"/>
    </row>
    <row r="27" spans="2:22" ht="18" customHeight="1" thickBot="1">
      <c r="B27" s="213" t="s">
        <v>377</v>
      </c>
      <c r="C27" s="214" t="s">
        <v>378</v>
      </c>
      <c r="D27" s="215">
        <v>3454.5367919999999</v>
      </c>
      <c r="E27" s="216">
        <v>3507.8977540000001</v>
      </c>
      <c r="F27" s="215">
        <v>3693.9578390000001</v>
      </c>
      <c r="G27" s="216">
        <v>3810.0183769999999</v>
      </c>
      <c r="H27" s="215">
        <v>3956.2184860000002</v>
      </c>
      <c r="I27" s="216">
        <v>3996.3</v>
      </c>
      <c r="J27" s="215">
        <v>4018.0238040999998</v>
      </c>
      <c r="K27" s="216">
        <v>4264.2535405999997</v>
      </c>
      <c r="L27" s="215">
        <v>4487.9860974000003</v>
      </c>
      <c r="M27" s="216">
        <v>4710.4063184600009</v>
      </c>
      <c r="N27" s="215">
        <v>4989.9724867100003</v>
      </c>
      <c r="O27" s="216">
        <v>5234.0909351299988</v>
      </c>
      <c r="P27" s="215">
        <v>5191.0501722600002</v>
      </c>
      <c r="Q27" s="216">
        <v>5095.2223594300003</v>
      </c>
      <c r="R27" s="217">
        <v>5227.2935513399998</v>
      </c>
      <c r="S27" s="209"/>
      <c r="T27" s="210">
        <v>2.5920594351602322E-2</v>
      </c>
      <c r="U27" s="211">
        <v>2.8252235026477557E-2</v>
      </c>
      <c r="V27" s="212"/>
    </row>
    <row r="28" spans="2:22" ht="19.5" customHeight="1" thickBot="1">
      <c r="B28" s="213" t="s">
        <v>379</v>
      </c>
      <c r="C28" s="214" t="s">
        <v>380</v>
      </c>
      <c r="D28" s="224">
        <v>0.3204435263250443</v>
      </c>
      <c r="E28" s="225">
        <v>0.30878035637656381</v>
      </c>
      <c r="F28" s="224">
        <v>0.30971755221728081</v>
      </c>
      <c r="G28" s="225">
        <v>0.30650294564232661</v>
      </c>
      <c r="H28" s="224">
        <v>0.29993370261147551</v>
      </c>
      <c r="I28" s="225">
        <v>0.28573021970832824</v>
      </c>
      <c r="J28" s="224">
        <v>0.27534370595875501</v>
      </c>
      <c r="K28" s="225">
        <v>0.27806202965282278</v>
      </c>
      <c r="L28" s="224">
        <v>0.27520979582750793</v>
      </c>
      <c r="M28" s="225">
        <v>0.27145060306468599</v>
      </c>
      <c r="N28" s="224">
        <v>0.28410364750848838</v>
      </c>
      <c r="O28" s="225">
        <v>0.28409673930765861</v>
      </c>
      <c r="P28" s="224">
        <v>0.26714672525315397</v>
      </c>
      <c r="Q28" s="225">
        <v>0.25131991257198649</v>
      </c>
      <c r="R28" s="226">
        <v>0.25030439073560939</v>
      </c>
      <c r="S28" s="209"/>
      <c r="T28" s="210" t="s">
        <v>35</v>
      </c>
      <c r="U28" s="211" t="s">
        <v>35</v>
      </c>
      <c r="V28" s="212"/>
    </row>
    <row r="29" spans="2:22" ht="19.5" customHeight="1" thickBot="1">
      <c r="B29" s="213" t="s">
        <v>381</v>
      </c>
      <c r="C29" s="214" t="s">
        <v>382</v>
      </c>
      <c r="D29" s="215">
        <v>2856.0771500000001</v>
      </c>
      <c r="E29" s="216">
        <v>2991.8799650000001</v>
      </c>
      <c r="F29" s="215">
        <v>2985.5309590000002</v>
      </c>
      <c r="G29" s="216">
        <v>3077.412147</v>
      </c>
      <c r="H29" s="215">
        <v>2832.1064590000001</v>
      </c>
      <c r="I29" s="216">
        <v>2102.63</v>
      </c>
      <c r="J29" s="215">
        <v>1965.5320859999999</v>
      </c>
      <c r="K29" s="216">
        <v>2393.7060728000001</v>
      </c>
      <c r="L29" s="215">
        <v>2968.4810149999998</v>
      </c>
      <c r="M29" s="216">
        <v>3184.4883299199996</v>
      </c>
      <c r="N29" s="215">
        <v>3749.0085763900001</v>
      </c>
      <c r="O29" s="216">
        <v>3970.4438487200005</v>
      </c>
      <c r="P29" s="215">
        <v>3251.9246672899994</v>
      </c>
      <c r="Q29" s="216">
        <v>2863.0083966899997</v>
      </c>
      <c r="R29" s="217">
        <v>3115.7425221299982</v>
      </c>
      <c r="S29" s="209"/>
      <c r="T29" s="210">
        <v>8.8275719251187379E-2</v>
      </c>
      <c r="U29" s="211">
        <v>9.5903683681668461E-3</v>
      </c>
      <c r="V29" s="212"/>
    </row>
    <row r="30" spans="2:22" s="236" customFormat="1" ht="19.5" customHeight="1" thickBot="1">
      <c r="B30" s="227" t="s">
        <v>383</v>
      </c>
      <c r="C30" s="228" t="s">
        <v>384</v>
      </c>
      <c r="D30" s="229">
        <v>0.25659604681954279</v>
      </c>
      <c r="E30" s="230">
        <v>0.24848089470618492</v>
      </c>
      <c r="F30" s="229">
        <v>0.23492819433570639</v>
      </c>
      <c r="G30" s="230">
        <v>0.23610935014307161</v>
      </c>
      <c r="H30" s="229">
        <v>0.21069626661151625</v>
      </c>
      <c r="I30" s="230">
        <v>0.15</v>
      </c>
      <c r="J30" s="229">
        <v>0.12800562009999999</v>
      </c>
      <c r="K30" s="230">
        <v>0.1423121436</v>
      </c>
      <c r="L30" s="229">
        <v>0.1646439053</v>
      </c>
      <c r="M30" s="230">
        <v>0.17216782469748099</v>
      </c>
      <c r="N30" s="229">
        <v>0.19410142906268091</v>
      </c>
      <c r="O30" s="230">
        <v>0.20165652481550608</v>
      </c>
      <c r="P30" s="229">
        <v>0.16513713887330433</v>
      </c>
      <c r="Q30" s="230">
        <v>0.14226293301587259</v>
      </c>
      <c r="R30" s="231">
        <v>0.1412942889546058</v>
      </c>
      <c r="S30" s="232"/>
      <c r="T30" s="233" t="s">
        <v>35</v>
      </c>
      <c r="U30" s="234" t="s">
        <v>35</v>
      </c>
      <c r="V30" s="235"/>
    </row>
    <row r="31" spans="2:22" ht="17.25" customHeight="1">
      <c r="B31" s="237" t="s">
        <v>678</v>
      </c>
      <c r="C31" s="237"/>
      <c r="D31" s="238"/>
      <c r="E31" s="238"/>
      <c r="F31" s="238"/>
      <c r="G31" s="238"/>
      <c r="H31" s="238"/>
      <c r="I31" s="239"/>
      <c r="K31" s="239"/>
      <c r="L31" s="240"/>
    </row>
    <row r="32" spans="2:22" ht="13.5" customHeight="1">
      <c r="B32" s="241"/>
      <c r="C32" s="241"/>
      <c r="D32" s="242"/>
      <c r="E32" s="242"/>
      <c r="F32" s="242"/>
      <c r="G32" s="242"/>
      <c r="H32" s="242"/>
      <c r="I32" s="243"/>
      <c r="K32" s="243"/>
      <c r="L32" s="243"/>
    </row>
    <row r="33" spans="1:17" ht="12" customHeight="1">
      <c r="B33" s="138" t="s">
        <v>385</v>
      </c>
      <c r="C33" s="138"/>
      <c r="D33" s="242"/>
      <c r="E33" s="242"/>
      <c r="F33" s="242"/>
      <c r="G33" s="242"/>
      <c r="H33" s="242"/>
      <c r="I33" s="243"/>
      <c r="K33" s="243"/>
      <c r="L33" s="243"/>
    </row>
    <row r="34" spans="1:17" ht="12.75" customHeight="1">
      <c r="B34" s="138" t="s">
        <v>386</v>
      </c>
      <c r="C34" s="138"/>
      <c r="D34" s="242"/>
      <c r="E34" s="242"/>
      <c r="F34" s="242"/>
      <c r="G34" s="242"/>
      <c r="H34" s="242"/>
      <c r="I34" s="243"/>
      <c r="K34" s="243"/>
      <c r="L34" s="243"/>
    </row>
    <row r="35" spans="1:17" ht="12" customHeight="1">
      <c r="B35" s="4" t="s">
        <v>387</v>
      </c>
      <c r="C35" s="4"/>
      <c r="D35" s="46"/>
      <c r="E35" s="46"/>
      <c r="F35" s="2"/>
      <c r="G35" s="2"/>
      <c r="H35" s="2"/>
      <c r="I35" s="17"/>
      <c r="K35" s="17"/>
      <c r="L35" s="17"/>
    </row>
    <row r="36" spans="1:17" ht="12" customHeight="1">
      <c r="B36" s="4" t="s">
        <v>388</v>
      </c>
      <c r="C36" s="4"/>
      <c r="D36" s="46"/>
      <c r="E36" s="46"/>
      <c r="F36" s="2"/>
      <c r="G36" s="2"/>
      <c r="H36" s="2"/>
      <c r="I36" s="17"/>
      <c r="K36" s="17"/>
      <c r="L36" s="17"/>
    </row>
    <row r="37" spans="1:17" ht="11.25" customHeight="1">
      <c r="B37" s="244"/>
      <c r="C37" s="244"/>
      <c r="D37" s="245"/>
      <c r="E37" s="245"/>
      <c r="F37" s="246"/>
      <c r="G37" s="246"/>
      <c r="H37" s="246"/>
      <c r="I37" s="247"/>
      <c r="K37" s="247"/>
      <c r="L37" s="247"/>
    </row>
    <row r="38" spans="1:17">
      <c r="B38" s="4" t="s">
        <v>389</v>
      </c>
      <c r="C38" s="4"/>
      <c r="D38" s="37"/>
      <c r="E38" s="37"/>
    </row>
    <row r="39" spans="1:17">
      <c r="B39" s="4"/>
      <c r="C39" s="4"/>
      <c r="D39" s="37"/>
      <c r="E39" s="37"/>
    </row>
    <row r="40" spans="1:17">
      <c r="B40" s="4"/>
      <c r="C40" s="70" t="s">
        <v>390</v>
      </c>
      <c r="H40" s="250" t="s">
        <v>391</v>
      </c>
      <c r="J40" s="248"/>
      <c r="K40" s="70" t="s">
        <v>390</v>
      </c>
      <c r="L40" s="251"/>
      <c r="M40" s="251"/>
      <c r="N40" s="52"/>
      <c r="O40" s="52"/>
      <c r="P40" s="52"/>
      <c r="Q40" s="250" t="s">
        <v>391</v>
      </c>
    </row>
    <row r="41" spans="1:17">
      <c r="A41" s="121"/>
      <c r="B41" s="252">
        <v>1</v>
      </c>
      <c r="C41" s="253" t="s">
        <v>392</v>
      </c>
      <c r="H41" s="252">
        <v>8.02</v>
      </c>
      <c r="J41" s="254" t="s">
        <v>356</v>
      </c>
      <c r="K41" s="255" t="s">
        <v>393</v>
      </c>
      <c r="L41" s="256"/>
      <c r="M41" s="256"/>
      <c r="N41" s="257"/>
      <c r="O41" s="256"/>
      <c r="P41" s="257"/>
      <c r="Q41" s="252">
        <v>2.25</v>
      </c>
    </row>
    <row r="42" spans="1:17">
      <c r="A42" s="121"/>
      <c r="B42" s="252">
        <v>2</v>
      </c>
      <c r="C42" s="258" t="s">
        <v>394</v>
      </c>
      <c r="H42" s="252">
        <v>11.01</v>
      </c>
      <c r="J42" s="259" t="s">
        <v>372</v>
      </c>
      <c r="K42" s="256" t="s">
        <v>395</v>
      </c>
      <c r="L42" s="256"/>
      <c r="M42" s="256"/>
      <c r="N42" s="257"/>
      <c r="O42" s="256"/>
      <c r="P42" s="257"/>
      <c r="Q42" s="260" t="s">
        <v>46</v>
      </c>
    </row>
    <row r="43" spans="1:17">
      <c r="A43" s="121"/>
      <c r="B43" s="252" t="s">
        <v>342</v>
      </c>
      <c r="C43" s="256" t="s">
        <v>396</v>
      </c>
      <c r="H43" s="260" t="s">
        <v>126</v>
      </c>
      <c r="J43" s="259" t="s">
        <v>358</v>
      </c>
      <c r="K43" s="256" t="s">
        <v>397</v>
      </c>
      <c r="L43" s="256"/>
      <c r="M43" s="256"/>
      <c r="N43" s="257"/>
      <c r="O43" s="256"/>
      <c r="P43" s="257"/>
      <c r="Q43" s="252">
        <v>2.21</v>
      </c>
    </row>
    <row r="44" spans="1:17">
      <c r="A44" s="121"/>
      <c r="B44" s="252" t="s">
        <v>344</v>
      </c>
      <c r="C44" s="255" t="s">
        <v>398</v>
      </c>
      <c r="H44" s="260" t="s">
        <v>126</v>
      </c>
      <c r="J44" s="259" t="s">
        <v>374</v>
      </c>
      <c r="K44" s="256" t="s">
        <v>399</v>
      </c>
      <c r="L44" s="256"/>
      <c r="M44" s="256"/>
      <c r="N44" s="257"/>
      <c r="O44" s="256"/>
      <c r="P44" s="257"/>
      <c r="Q44" s="260" t="s">
        <v>14</v>
      </c>
    </row>
    <row r="45" spans="1:17">
      <c r="A45" s="121"/>
      <c r="B45" s="252">
        <v>4</v>
      </c>
      <c r="C45" s="256" t="s">
        <v>400</v>
      </c>
      <c r="H45" s="260" t="s">
        <v>126</v>
      </c>
      <c r="J45" s="259" t="s">
        <v>360</v>
      </c>
      <c r="K45" s="256" t="s">
        <v>401</v>
      </c>
      <c r="L45" s="256"/>
      <c r="M45" s="256"/>
      <c r="N45" s="257"/>
      <c r="O45" s="256"/>
      <c r="P45" s="257"/>
      <c r="Q45" s="252">
        <v>5.01</v>
      </c>
    </row>
    <row r="46" spans="1:17">
      <c r="A46" s="121"/>
      <c r="B46" s="252">
        <v>5</v>
      </c>
      <c r="C46" s="256" t="s">
        <v>400</v>
      </c>
      <c r="H46" s="260" t="s">
        <v>126</v>
      </c>
      <c r="J46" s="259">
        <v>11</v>
      </c>
      <c r="K46" s="256" t="s">
        <v>402</v>
      </c>
      <c r="L46" s="256"/>
      <c r="M46" s="256"/>
      <c r="N46" s="257"/>
      <c r="O46" s="256"/>
      <c r="P46" s="257"/>
      <c r="Q46" s="252">
        <v>1.02</v>
      </c>
    </row>
    <row r="47" spans="1:17">
      <c r="A47" s="121"/>
      <c r="B47" s="252" t="s">
        <v>366</v>
      </c>
      <c r="C47" s="256" t="s">
        <v>403</v>
      </c>
      <c r="H47" s="260" t="s">
        <v>101</v>
      </c>
      <c r="J47" s="259" t="s">
        <v>377</v>
      </c>
      <c r="K47" s="256" t="s">
        <v>404</v>
      </c>
      <c r="L47" s="256"/>
      <c r="M47" s="256"/>
      <c r="N47" s="257"/>
      <c r="O47" s="256"/>
      <c r="P47" s="257"/>
      <c r="Q47" s="252">
        <v>1.1299999999999999</v>
      </c>
    </row>
    <row r="48" spans="1:17">
      <c r="A48" s="121"/>
      <c r="B48" s="252" t="s">
        <v>348</v>
      </c>
      <c r="C48" s="255" t="s">
        <v>405</v>
      </c>
      <c r="H48" s="252">
        <v>3.12</v>
      </c>
      <c r="J48" s="259" t="s">
        <v>362</v>
      </c>
      <c r="K48" s="256" t="s">
        <v>406</v>
      </c>
      <c r="L48" s="256"/>
      <c r="M48" s="256"/>
      <c r="N48" s="257"/>
      <c r="O48" s="256"/>
      <c r="P48" s="257"/>
      <c r="Q48" s="252">
        <v>1.1299999999999999</v>
      </c>
    </row>
    <row r="49" spans="1:17">
      <c r="A49" s="121"/>
      <c r="B49" s="252" t="s">
        <v>368</v>
      </c>
      <c r="C49" s="256" t="s">
        <v>407</v>
      </c>
      <c r="H49" s="252">
        <v>2.16</v>
      </c>
      <c r="J49" s="259" t="s">
        <v>379</v>
      </c>
      <c r="K49" s="255" t="s">
        <v>408</v>
      </c>
      <c r="L49" s="256"/>
      <c r="M49" s="256"/>
      <c r="N49" s="257"/>
      <c r="O49" s="256"/>
      <c r="P49" s="257"/>
      <c r="Q49" s="252">
        <v>1.1299999999999999</v>
      </c>
    </row>
    <row r="50" spans="1:17">
      <c r="A50" s="121"/>
      <c r="B50" s="252" t="s">
        <v>350</v>
      </c>
      <c r="C50" s="255" t="s">
        <v>409</v>
      </c>
      <c r="H50" s="252">
        <v>2.1800000000000002</v>
      </c>
      <c r="J50" s="259" t="s">
        <v>381</v>
      </c>
      <c r="K50" s="256" t="s">
        <v>410</v>
      </c>
      <c r="L50" s="256"/>
      <c r="M50" s="256"/>
      <c r="N50" s="257"/>
      <c r="O50" s="256"/>
      <c r="P50" s="257"/>
      <c r="Q50" s="252">
        <v>1.1200000000000001</v>
      </c>
    </row>
    <row r="51" spans="1:17">
      <c r="A51" s="121"/>
      <c r="B51" s="252" t="s">
        <v>352</v>
      </c>
      <c r="C51" s="256" t="s">
        <v>411</v>
      </c>
      <c r="H51" s="252">
        <v>2.1800000000000002</v>
      </c>
      <c r="J51" s="259" t="s">
        <v>364</v>
      </c>
      <c r="K51" s="256" t="s">
        <v>412</v>
      </c>
      <c r="L51" s="256"/>
      <c r="M51" s="256"/>
      <c r="N51" s="257"/>
      <c r="O51" s="256"/>
      <c r="P51" s="257"/>
      <c r="Q51" s="252">
        <v>1.1200000000000001</v>
      </c>
    </row>
    <row r="52" spans="1:17">
      <c r="A52" s="121"/>
      <c r="B52" s="252" t="s">
        <v>354</v>
      </c>
      <c r="C52" s="256" t="s">
        <v>413</v>
      </c>
      <c r="H52" s="252">
        <v>2.1800000000000002</v>
      </c>
      <c r="J52" s="259" t="s">
        <v>383</v>
      </c>
      <c r="K52" s="256" t="s">
        <v>414</v>
      </c>
      <c r="L52" s="256"/>
      <c r="M52" s="256"/>
      <c r="N52" s="257"/>
      <c r="O52" s="256"/>
      <c r="P52" s="257"/>
      <c r="Q52" s="252">
        <v>1.1200000000000001</v>
      </c>
    </row>
    <row r="53" spans="1:17">
      <c r="A53" s="121"/>
      <c r="B53" s="252" t="s">
        <v>370</v>
      </c>
      <c r="C53" s="256" t="s">
        <v>415</v>
      </c>
      <c r="H53" s="252">
        <v>2.0099999999999998</v>
      </c>
      <c r="J53" s="259"/>
      <c r="K53" s="256"/>
      <c r="L53" s="256"/>
      <c r="M53" s="256"/>
      <c r="N53" s="257"/>
      <c r="O53" s="256"/>
      <c r="P53" s="257"/>
      <c r="Q53" s="257"/>
    </row>
    <row r="56" spans="1:17">
      <c r="A56" s="3" t="s">
        <v>677</v>
      </c>
    </row>
  </sheetData>
  <pageMargins left="0.27559055118110237" right="0.23622047244094491" top="0.31496062992125984" bottom="0.31496062992125984" header="0.19685039370078741" footer="0.23622047244094491"/>
  <pageSetup paperSize="9" scale="61" orientation="landscape"/>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CFC1F-4324-A64B-BDBD-BF139B363B20}">
  <sheetPr>
    <pageSetUpPr fitToPage="1"/>
  </sheetPr>
  <dimension ref="A1:E39"/>
  <sheetViews>
    <sheetView zoomScale="75" workbookViewId="0">
      <selection activeCell="J32" sqref="J32"/>
    </sheetView>
  </sheetViews>
  <sheetFormatPr baseColWidth="10" defaultColWidth="11.3984375" defaultRowHeight="13"/>
  <cols>
    <col min="1" max="1" width="8.59765625" style="3" customWidth="1"/>
    <col min="2" max="2" width="48.59765625" style="49" customWidth="1"/>
    <col min="3" max="3" width="17.796875" style="3" customWidth="1"/>
    <col min="4" max="4" width="16.59765625" style="8" customWidth="1"/>
    <col min="5" max="5" width="18" style="8" customWidth="1"/>
    <col min="6" max="16384" width="11.3984375" style="3"/>
  </cols>
  <sheetData>
    <row r="1" spans="1:5" s="2" customFormat="1" ht="14" customHeight="1">
      <c r="B1" s="261"/>
      <c r="D1" s="100"/>
      <c r="E1" s="100"/>
    </row>
    <row r="2" spans="1:5" s="2" customFormat="1" ht="39" customHeight="1">
      <c r="A2" s="1807" t="s">
        <v>416</v>
      </c>
      <c r="B2" s="1808"/>
      <c r="C2" s="1808"/>
      <c r="D2" s="1808"/>
      <c r="E2" s="47">
        <v>2010</v>
      </c>
    </row>
    <row r="3" spans="1:5" ht="39" customHeight="1">
      <c r="A3" s="72" t="s">
        <v>417</v>
      </c>
      <c r="B3" s="72"/>
      <c r="C3" s="73" t="s">
        <v>418</v>
      </c>
      <c r="D3" s="104" t="s">
        <v>419</v>
      </c>
      <c r="E3" s="262" t="s">
        <v>190</v>
      </c>
    </row>
    <row r="4" spans="1:5" ht="38" customHeight="1">
      <c r="A4" s="263"/>
      <c r="B4" s="264"/>
      <c r="C4" s="82" t="s">
        <v>420</v>
      </c>
      <c r="D4" s="109" t="s">
        <v>420</v>
      </c>
      <c r="E4" s="265" t="s">
        <v>420</v>
      </c>
    </row>
    <row r="5" spans="1:5" ht="30" customHeight="1" thickBot="1">
      <c r="A5" s="84">
        <v>61</v>
      </c>
      <c r="B5" s="84" t="s">
        <v>421</v>
      </c>
      <c r="C5" s="131">
        <v>21212131185.029999</v>
      </c>
      <c r="D5" s="130">
        <v>839308724.57000005</v>
      </c>
      <c r="E5" s="266">
        <v>22051439909.599998</v>
      </c>
    </row>
    <row r="6" spans="1:5" ht="20" customHeight="1" thickBot="1">
      <c r="A6" s="89">
        <v>64</v>
      </c>
      <c r="B6" s="89" t="s">
        <v>422</v>
      </c>
      <c r="C6" s="133">
        <v>-96131755.069999993</v>
      </c>
      <c r="D6" s="132">
        <v>-3915018.74</v>
      </c>
      <c r="E6" s="267">
        <v>-100046773.81</v>
      </c>
    </row>
    <row r="7" spans="1:5" ht="20" customHeight="1" thickBot="1">
      <c r="A7" s="89">
        <v>65</v>
      </c>
      <c r="B7" s="89" t="s">
        <v>423</v>
      </c>
      <c r="C7" s="133">
        <v>4151939.32</v>
      </c>
      <c r="D7" s="132">
        <v>172478.85</v>
      </c>
      <c r="E7" s="267">
        <v>4324418.17</v>
      </c>
    </row>
    <row r="8" spans="1:5" ht="27" customHeight="1" thickBot="1">
      <c r="A8" s="90" t="s">
        <v>424</v>
      </c>
      <c r="B8" s="90" t="s">
        <v>425</v>
      </c>
      <c r="C8" s="268">
        <v>21120151369.220001</v>
      </c>
      <c r="D8" s="269">
        <v>835566184.61000001</v>
      </c>
      <c r="E8" s="270">
        <v>21955717553.830002</v>
      </c>
    </row>
    <row r="9" spans="1:5" ht="20" customHeight="1" thickBot="1">
      <c r="A9" s="89">
        <v>66</v>
      </c>
      <c r="B9" s="89" t="s">
        <v>426</v>
      </c>
      <c r="C9" s="133">
        <v>-53324725.100000001</v>
      </c>
      <c r="D9" s="132">
        <v>-2092673.73</v>
      </c>
      <c r="E9" s="267">
        <v>-55417398.829999998</v>
      </c>
    </row>
    <row r="10" spans="1:5" ht="27" customHeight="1" thickBot="1">
      <c r="A10" s="90" t="s">
        <v>427</v>
      </c>
      <c r="B10" s="90" t="s">
        <v>428</v>
      </c>
      <c r="C10" s="268">
        <v>21066826644.139999</v>
      </c>
      <c r="D10" s="269">
        <v>833473510.84000003</v>
      </c>
      <c r="E10" s="270">
        <v>21900300154.98</v>
      </c>
    </row>
    <row r="11" spans="1:5" ht="20" customHeight="1" thickBot="1">
      <c r="A11" s="89">
        <v>67</v>
      </c>
      <c r="B11" s="89" t="s">
        <v>429</v>
      </c>
      <c r="C11" s="133">
        <v>1903517691.52</v>
      </c>
      <c r="D11" s="132">
        <v>78057046.069999993</v>
      </c>
      <c r="E11" s="267">
        <v>1981574737.5899999</v>
      </c>
    </row>
    <row r="12" spans="1:5" ht="20" customHeight="1" thickBot="1">
      <c r="A12" s="89">
        <v>68</v>
      </c>
      <c r="B12" s="89" t="s">
        <v>430</v>
      </c>
      <c r="C12" s="133">
        <v>-1907831297.6700001</v>
      </c>
      <c r="D12" s="132">
        <v>-78218160.939999998</v>
      </c>
      <c r="E12" s="267">
        <v>-1986049458.6099999</v>
      </c>
    </row>
    <row r="13" spans="1:5" ht="20" customHeight="1" thickBot="1">
      <c r="A13" s="89">
        <v>69</v>
      </c>
      <c r="B13" s="89" t="s">
        <v>431</v>
      </c>
      <c r="C13" s="133">
        <v>118147599.16</v>
      </c>
      <c r="D13" s="132">
        <v>3834102.6</v>
      </c>
      <c r="E13" s="267">
        <v>121981701.76000001</v>
      </c>
    </row>
    <row r="14" spans="1:5" ht="27" customHeight="1" thickBot="1">
      <c r="A14" s="90">
        <v>6</v>
      </c>
      <c r="B14" s="90" t="s">
        <v>432</v>
      </c>
      <c r="C14" s="268">
        <v>21180660637.18</v>
      </c>
      <c r="D14" s="269">
        <v>837146498.54999995</v>
      </c>
      <c r="E14" s="270">
        <v>22017807135.73</v>
      </c>
    </row>
    <row r="15" spans="1:5" ht="20" customHeight="1" thickBot="1">
      <c r="A15" s="89">
        <v>31</v>
      </c>
      <c r="B15" s="89" t="s">
        <v>433</v>
      </c>
      <c r="C15" s="133">
        <v>23518823937.810001</v>
      </c>
      <c r="D15" s="132">
        <v>773637637.25999999</v>
      </c>
      <c r="E15" s="267">
        <v>24292461575.07</v>
      </c>
    </row>
    <row r="16" spans="1:5" ht="20" customHeight="1" thickBot="1">
      <c r="A16" s="89">
        <v>32</v>
      </c>
      <c r="B16" s="89" t="s">
        <v>434</v>
      </c>
      <c r="C16" s="133">
        <v>-3314867840.7399998</v>
      </c>
      <c r="D16" s="132">
        <v>-93846803.870000005</v>
      </c>
      <c r="E16" s="267">
        <v>-3408714644.6100001</v>
      </c>
    </row>
    <row r="17" spans="1:5" ht="27" customHeight="1" thickBot="1">
      <c r="A17" s="90" t="s">
        <v>435</v>
      </c>
      <c r="B17" s="90" t="s">
        <v>262</v>
      </c>
      <c r="C17" s="268">
        <v>20203956097.099998</v>
      </c>
      <c r="D17" s="269">
        <v>679790833.42999995</v>
      </c>
      <c r="E17" s="270">
        <v>20883746930.529999</v>
      </c>
    </row>
    <row r="18" spans="1:5" ht="20" customHeight="1" thickBot="1">
      <c r="A18" s="89">
        <v>34</v>
      </c>
      <c r="B18" s="89" t="s">
        <v>436</v>
      </c>
      <c r="C18" s="133">
        <v>88887569.230000004</v>
      </c>
      <c r="D18" s="132">
        <v>994377.04</v>
      </c>
      <c r="E18" s="267">
        <v>89881946.269999996</v>
      </c>
    </row>
    <row r="19" spans="1:5" ht="20" customHeight="1" thickBot="1">
      <c r="A19" s="89">
        <v>35</v>
      </c>
      <c r="B19" s="89" t="s">
        <v>437</v>
      </c>
      <c r="C19" s="133">
        <v>118886738.08</v>
      </c>
      <c r="D19" s="132">
        <v>13321940.970000001</v>
      </c>
      <c r="E19" s="267">
        <v>132208679.05</v>
      </c>
    </row>
    <row r="20" spans="1:5" ht="27" customHeight="1" thickBot="1">
      <c r="A20" s="90" t="s">
        <v>438</v>
      </c>
      <c r="B20" s="90" t="s">
        <v>248</v>
      </c>
      <c r="C20" s="268">
        <v>20411730404.360001</v>
      </c>
      <c r="D20" s="269">
        <v>694107151.41999996</v>
      </c>
      <c r="E20" s="270">
        <v>21105837555.779999</v>
      </c>
    </row>
    <row r="21" spans="1:5" ht="20" customHeight="1" thickBot="1">
      <c r="A21" s="89">
        <v>36</v>
      </c>
      <c r="B21" s="89" t="s">
        <v>439</v>
      </c>
      <c r="C21" s="133">
        <v>-54926547.5</v>
      </c>
      <c r="D21" s="132">
        <v>-1505406.5</v>
      </c>
      <c r="E21" s="267">
        <v>-56431954</v>
      </c>
    </row>
    <row r="22" spans="1:5" ht="20" customHeight="1" thickBot="1">
      <c r="A22" s="89">
        <v>37</v>
      </c>
      <c r="B22" s="89" t="s">
        <v>440</v>
      </c>
      <c r="C22" s="133">
        <v>-56532183.619999997</v>
      </c>
      <c r="D22" s="132">
        <v>-37939871.130000003</v>
      </c>
      <c r="E22" s="267">
        <v>-94472054.75</v>
      </c>
    </row>
    <row r="23" spans="1:5" ht="27" customHeight="1" thickBot="1">
      <c r="A23" s="90">
        <v>3</v>
      </c>
      <c r="B23" s="90" t="s">
        <v>441</v>
      </c>
      <c r="C23" s="268">
        <v>20300271673.259998</v>
      </c>
      <c r="D23" s="269">
        <v>654661873.85000002</v>
      </c>
      <c r="E23" s="270">
        <v>20954933547.110001</v>
      </c>
    </row>
    <row r="24" spans="1:5" ht="21" customHeight="1" thickBot="1">
      <c r="A24" s="89" t="s">
        <v>442</v>
      </c>
      <c r="B24" s="89" t="s">
        <v>443</v>
      </c>
      <c r="C24" s="133">
        <v>1096932669.3299999</v>
      </c>
      <c r="D24" s="132">
        <v>48640420.57</v>
      </c>
      <c r="E24" s="267">
        <v>1145573089.9000001</v>
      </c>
    </row>
    <row r="25" spans="1:5" ht="21" customHeight="1" thickBot="1">
      <c r="A25" s="89">
        <v>48</v>
      </c>
      <c r="B25" s="89" t="s">
        <v>444</v>
      </c>
      <c r="C25" s="133">
        <v>76252505.030000001</v>
      </c>
      <c r="D25" s="132">
        <v>3617870.01</v>
      </c>
      <c r="E25" s="267">
        <v>79870375.040000007</v>
      </c>
    </row>
    <row r="26" spans="1:5" ht="21" customHeight="1" thickBot="1">
      <c r="A26" s="89">
        <v>49</v>
      </c>
      <c r="B26" s="89" t="s">
        <v>445</v>
      </c>
      <c r="C26" s="133">
        <v>18332143.489999998</v>
      </c>
      <c r="D26" s="132">
        <v>968606.28</v>
      </c>
      <c r="E26" s="267">
        <v>19300749.77</v>
      </c>
    </row>
    <row r="27" spans="1:5" ht="27" customHeight="1" thickBot="1">
      <c r="A27" s="90">
        <v>4</v>
      </c>
      <c r="B27" s="90" t="s">
        <v>446</v>
      </c>
      <c r="C27" s="268">
        <v>1191517317.8599999</v>
      </c>
      <c r="D27" s="269">
        <v>53226896.909999996</v>
      </c>
      <c r="E27" s="270">
        <v>1244744214.77</v>
      </c>
    </row>
    <row r="28" spans="1:5" ht="27" customHeight="1" thickBot="1">
      <c r="A28" s="90" t="s">
        <v>447</v>
      </c>
      <c r="B28" s="90" t="s">
        <v>448</v>
      </c>
      <c r="C28" s="268">
        <v>21491788991.150002</v>
      </c>
      <c r="D28" s="269">
        <v>707888770.79999995</v>
      </c>
      <c r="E28" s="270">
        <v>22199677761.950001</v>
      </c>
    </row>
    <row r="29" spans="1:5" ht="27" customHeight="1" thickBot="1">
      <c r="A29" s="90"/>
      <c r="B29" s="90" t="s">
        <v>449</v>
      </c>
      <c r="C29" s="268">
        <v>-311128353.98000002</v>
      </c>
      <c r="D29" s="269">
        <v>129257727.75</v>
      </c>
      <c r="E29" s="270">
        <v>-181870626.22999999</v>
      </c>
    </row>
    <row r="30" spans="1:5" ht="27" customHeight="1" thickBot="1">
      <c r="A30" s="90">
        <v>7</v>
      </c>
      <c r="B30" s="90" t="s">
        <v>450</v>
      </c>
      <c r="C30" s="268">
        <v>387425654.81</v>
      </c>
      <c r="D30" s="269">
        <v>18956777.190000001</v>
      </c>
      <c r="E30" s="270">
        <v>406382432</v>
      </c>
    </row>
    <row r="31" spans="1:5" ht="34.5" customHeight="1" thickBot="1">
      <c r="A31" s="271"/>
      <c r="B31" s="271" t="s">
        <v>451</v>
      </c>
      <c r="C31" s="272">
        <v>76297300.890000001</v>
      </c>
      <c r="D31" s="273">
        <v>148214504.90000001</v>
      </c>
      <c r="E31" s="274">
        <v>224511805.78999999</v>
      </c>
    </row>
    <row r="32" spans="1:5" ht="19.5" customHeight="1">
      <c r="A32" s="3" t="s">
        <v>678</v>
      </c>
    </row>
    <row r="34" spans="1:1">
      <c r="A34" s="99" t="s">
        <v>452</v>
      </c>
    </row>
    <row r="35" spans="1:1">
      <c r="A35" s="275"/>
    </row>
    <row r="36" spans="1:1">
      <c r="A36" s="3" t="s">
        <v>453</v>
      </c>
    </row>
    <row r="39" spans="1:1">
      <c r="A39" s="3" t="s">
        <v>4</v>
      </c>
    </row>
  </sheetData>
  <mergeCells count="1">
    <mergeCell ref="A2:D2"/>
  </mergeCells>
  <pageMargins left="0.62992125984251968" right="0.70866141732283472" top="0.70866141732283472" bottom="0.47244094488188981" header="0.43307086614173229" footer="0.51181102362204722"/>
  <pageSetup paperSize="9" scale="81" orientation="portrait" horizontalDpi="1200" verticalDpi="120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32DD0-7765-A446-9666-1ABC352A6450}">
  <sheetPr>
    <pageSetUpPr fitToPage="1"/>
  </sheetPr>
  <dimension ref="A1:E39"/>
  <sheetViews>
    <sheetView zoomScale="75" workbookViewId="0">
      <selection activeCell="A4" sqref="A4"/>
    </sheetView>
  </sheetViews>
  <sheetFormatPr baseColWidth="10" defaultColWidth="11.3984375" defaultRowHeight="13"/>
  <cols>
    <col min="1" max="1" width="8.796875" style="3" customWidth="1"/>
    <col min="2" max="2" width="48.796875" style="49" customWidth="1"/>
    <col min="3" max="3" width="16.796875" style="3" customWidth="1"/>
    <col min="4" max="4" width="16.796875" style="8" customWidth="1"/>
    <col min="5" max="5" width="18.19921875" style="8" customWidth="1"/>
    <col min="6" max="16384" width="11.3984375" style="3"/>
  </cols>
  <sheetData>
    <row r="1" spans="1:5" s="2" customFormat="1" ht="14" customHeight="1">
      <c r="B1" s="261"/>
      <c r="D1" s="100"/>
      <c r="E1" s="100"/>
    </row>
    <row r="2" spans="1:5" s="2" customFormat="1" ht="28" customHeight="1">
      <c r="A2" s="47" t="s">
        <v>454</v>
      </c>
      <c r="B2" s="261"/>
      <c r="D2" s="100"/>
      <c r="E2" s="47">
        <v>2010</v>
      </c>
    </row>
    <row r="3" spans="1:5" ht="39" customHeight="1">
      <c r="A3" s="72" t="s">
        <v>417</v>
      </c>
      <c r="B3" s="72"/>
      <c r="C3" s="73" t="s">
        <v>418</v>
      </c>
      <c r="D3" s="104" t="s">
        <v>419</v>
      </c>
      <c r="E3" s="262" t="s">
        <v>190</v>
      </c>
    </row>
    <row r="4" spans="1:5" ht="39" customHeight="1">
      <c r="A4" s="263"/>
      <c r="B4" s="264"/>
      <c r="C4" s="82" t="s">
        <v>420</v>
      </c>
      <c r="D4" s="109" t="s">
        <v>420</v>
      </c>
      <c r="E4" s="265" t="s">
        <v>420</v>
      </c>
    </row>
    <row r="5" spans="1:5" ht="30" customHeight="1" thickBot="1">
      <c r="A5" s="84">
        <v>61</v>
      </c>
      <c r="B5" s="84" t="s">
        <v>421</v>
      </c>
      <c r="C5" s="131">
        <v>7220883569.3100004</v>
      </c>
      <c r="D5" s="130">
        <v>368749120.99000001</v>
      </c>
      <c r="E5" s="266">
        <v>7589632690.3000002</v>
      </c>
    </row>
    <row r="6" spans="1:5" ht="19.5" customHeight="1" thickBot="1">
      <c r="A6" s="89">
        <v>64</v>
      </c>
      <c r="B6" s="89" t="s">
        <v>422</v>
      </c>
      <c r="C6" s="133">
        <v>-30517383.699999999</v>
      </c>
      <c r="D6" s="132">
        <v>-1591000.01</v>
      </c>
      <c r="E6" s="267">
        <v>-32108383.710000001</v>
      </c>
    </row>
    <row r="7" spans="1:5" ht="19.5" customHeight="1" thickBot="1">
      <c r="A7" s="89">
        <v>65</v>
      </c>
      <c r="B7" s="89" t="s">
        <v>423</v>
      </c>
      <c r="C7" s="133">
        <v>1722186.63</v>
      </c>
      <c r="D7" s="132">
        <v>87727.42</v>
      </c>
      <c r="E7" s="267">
        <v>1809914.05</v>
      </c>
    </row>
    <row r="8" spans="1:5" ht="27" customHeight="1" thickBot="1">
      <c r="A8" s="90" t="s">
        <v>424</v>
      </c>
      <c r="B8" s="90" t="s">
        <v>425</v>
      </c>
      <c r="C8" s="268">
        <v>7192088372.2299995</v>
      </c>
      <c r="D8" s="269">
        <v>367245848.38</v>
      </c>
      <c r="E8" s="270">
        <v>7559334220.6099997</v>
      </c>
    </row>
    <row r="9" spans="1:5" ht="19.5" customHeight="1" thickBot="1">
      <c r="A9" s="89">
        <v>66</v>
      </c>
      <c r="B9" s="89" t="s">
        <v>426</v>
      </c>
      <c r="C9" s="133">
        <v>-22403749.940000001</v>
      </c>
      <c r="D9" s="132">
        <v>-1073352.01</v>
      </c>
      <c r="E9" s="267">
        <v>-23477101.949999999</v>
      </c>
    </row>
    <row r="10" spans="1:5" ht="27" customHeight="1" thickBot="1">
      <c r="A10" s="90" t="s">
        <v>427</v>
      </c>
      <c r="B10" s="90" t="s">
        <v>428</v>
      </c>
      <c r="C10" s="268">
        <v>7169684622.29</v>
      </c>
      <c r="D10" s="269">
        <v>366172496.37</v>
      </c>
      <c r="E10" s="270">
        <v>7535857118.6599998</v>
      </c>
    </row>
    <row r="11" spans="1:5" ht="19.5" customHeight="1" thickBot="1">
      <c r="A11" s="89">
        <v>67</v>
      </c>
      <c r="B11" s="89" t="s">
        <v>429</v>
      </c>
      <c r="C11" s="133">
        <v>850869747.58000004</v>
      </c>
      <c r="D11" s="132">
        <v>43279726.560000002</v>
      </c>
      <c r="E11" s="267">
        <v>894149474.13999999</v>
      </c>
    </row>
    <row r="12" spans="1:5" ht="19.5" customHeight="1" thickBot="1">
      <c r="A12" s="89">
        <v>68</v>
      </c>
      <c r="B12" s="89" t="s">
        <v>430</v>
      </c>
      <c r="C12" s="133">
        <v>-855631571.63999999</v>
      </c>
      <c r="D12" s="132">
        <v>-43358986.520000003</v>
      </c>
      <c r="E12" s="267">
        <v>-898990558.15999997</v>
      </c>
    </row>
    <row r="13" spans="1:5" ht="19.5" customHeight="1" thickBot="1">
      <c r="A13" s="89">
        <v>69</v>
      </c>
      <c r="B13" s="89" t="s">
        <v>431</v>
      </c>
      <c r="C13" s="133">
        <v>33115931.66</v>
      </c>
      <c r="D13" s="132">
        <v>1493834.99</v>
      </c>
      <c r="E13" s="267">
        <v>34609766.649999999</v>
      </c>
    </row>
    <row r="14" spans="1:5" ht="27" customHeight="1" thickBot="1">
      <c r="A14" s="90">
        <v>6</v>
      </c>
      <c r="B14" s="90" t="s">
        <v>432</v>
      </c>
      <c r="C14" s="268">
        <v>7198038729.9200001</v>
      </c>
      <c r="D14" s="269">
        <v>367587071.37</v>
      </c>
      <c r="E14" s="270">
        <v>7565625801.29</v>
      </c>
    </row>
    <row r="15" spans="1:5" ht="20" customHeight="1" thickBot="1">
      <c r="A15" s="89">
        <v>31</v>
      </c>
      <c r="B15" s="89" t="s">
        <v>433</v>
      </c>
      <c r="C15" s="133">
        <v>11177341193.860001</v>
      </c>
      <c r="D15" s="132">
        <v>374290233.83999997</v>
      </c>
      <c r="E15" s="267">
        <v>11551631427.700001</v>
      </c>
    </row>
    <row r="16" spans="1:5" ht="20" customHeight="1" thickBot="1">
      <c r="A16" s="89">
        <v>32</v>
      </c>
      <c r="B16" s="89" t="s">
        <v>434</v>
      </c>
      <c r="C16" s="133">
        <v>-1021431765.2</v>
      </c>
      <c r="D16" s="132">
        <v>-29720185.460000001</v>
      </c>
      <c r="E16" s="267">
        <v>-1051151950.66</v>
      </c>
    </row>
    <row r="17" spans="1:5" ht="27" customHeight="1" thickBot="1">
      <c r="A17" s="90" t="s">
        <v>435</v>
      </c>
      <c r="B17" s="90" t="s">
        <v>262</v>
      </c>
      <c r="C17" s="268">
        <v>10155909428.65</v>
      </c>
      <c r="D17" s="269">
        <v>344570048.39999998</v>
      </c>
      <c r="E17" s="270">
        <v>10500479477.049999</v>
      </c>
    </row>
    <row r="18" spans="1:5" ht="20" customHeight="1" thickBot="1">
      <c r="A18" s="89">
        <v>34</v>
      </c>
      <c r="B18" s="89" t="s">
        <v>436</v>
      </c>
      <c r="C18" s="133">
        <v>34044435.539999999</v>
      </c>
      <c r="D18" s="132">
        <v>177669.82</v>
      </c>
      <c r="E18" s="267">
        <v>34222105.359999999</v>
      </c>
    </row>
    <row r="19" spans="1:5" ht="20" customHeight="1" thickBot="1">
      <c r="A19" s="89">
        <v>35</v>
      </c>
      <c r="B19" s="89" t="s">
        <v>437</v>
      </c>
      <c r="C19" s="133">
        <v>-142063121</v>
      </c>
      <c r="D19" s="132">
        <v>-7336949.3099999996</v>
      </c>
      <c r="E19" s="267">
        <v>-149400070.31</v>
      </c>
    </row>
    <row r="20" spans="1:5" ht="27" customHeight="1" thickBot="1">
      <c r="A20" s="90" t="s">
        <v>438</v>
      </c>
      <c r="B20" s="90" t="s">
        <v>248</v>
      </c>
      <c r="C20" s="268">
        <v>10047890743.209999</v>
      </c>
      <c r="D20" s="269">
        <v>337410768.88999999</v>
      </c>
      <c r="E20" s="270">
        <v>10385301512.1</v>
      </c>
    </row>
    <row r="21" spans="1:5" ht="19.5" customHeight="1" thickBot="1">
      <c r="A21" s="89">
        <v>36</v>
      </c>
      <c r="B21" s="89" t="s">
        <v>439</v>
      </c>
      <c r="C21" s="133">
        <v>-22840724.539999999</v>
      </c>
      <c r="D21" s="132">
        <v>-678000.44</v>
      </c>
      <c r="E21" s="267">
        <v>-23518724.98</v>
      </c>
    </row>
    <row r="22" spans="1:5" ht="19.5" customHeight="1" thickBot="1">
      <c r="A22" s="89">
        <v>37</v>
      </c>
      <c r="B22" s="89" t="s">
        <v>440</v>
      </c>
      <c r="C22" s="133">
        <v>-1592741003.4000001</v>
      </c>
      <c r="D22" s="132">
        <v>-59153402.509999998</v>
      </c>
      <c r="E22" s="267">
        <v>-1651894405.9100001</v>
      </c>
    </row>
    <row r="23" spans="1:5" ht="27" customHeight="1" thickBot="1">
      <c r="A23" s="90">
        <v>3</v>
      </c>
      <c r="B23" s="90" t="s">
        <v>441</v>
      </c>
      <c r="C23" s="268">
        <v>8432309015.2700005</v>
      </c>
      <c r="D23" s="269">
        <v>277579365.97000003</v>
      </c>
      <c r="E23" s="270">
        <v>8709888381.2399998</v>
      </c>
    </row>
    <row r="24" spans="1:5" ht="20" customHeight="1" thickBot="1">
      <c r="A24" s="89" t="s">
        <v>442</v>
      </c>
      <c r="B24" s="89" t="s">
        <v>443</v>
      </c>
      <c r="C24" s="133">
        <v>401576394.17000002</v>
      </c>
      <c r="D24" s="132">
        <v>22542011.02</v>
      </c>
      <c r="E24" s="267">
        <v>424118405.19</v>
      </c>
    </row>
    <row r="25" spans="1:5" ht="20" customHeight="1" thickBot="1">
      <c r="A25" s="89">
        <v>48</v>
      </c>
      <c r="B25" s="89" t="s">
        <v>444</v>
      </c>
      <c r="C25" s="133">
        <v>29838281.670000002</v>
      </c>
      <c r="D25" s="132">
        <v>1762733.97</v>
      </c>
      <c r="E25" s="267">
        <v>31601015.640000001</v>
      </c>
    </row>
    <row r="26" spans="1:5" ht="20" customHeight="1" thickBot="1">
      <c r="A26" s="89">
        <v>49</v>
      </c>
      <c r="B26" s="89" t="s">
        <v>445</v>
      </c>
      <c r="C26" s="133">
        <v>8129617.1699999999</v>
      </c>
      <c r="D26" s="132">
        <v>494024.56</v>
      </c>
      <c r="E26" s="267">
        <v>8623641.7300000004</v>
      </c>
    </row>
    <row r="27" spans="1:5" ht="27" customHeight="1" thickBot="1">
      <c r="A27" s="90">
        <v>4</v>
      </c>
      <c r="B27" s="90" t="s">
        <v>446</v>
      </c>
      <c r="C27" s="268">
        <v>439544293.00999999</v>
      </c>
      <c r="D27" s="269">
        <v>24798769.550000001</v>
      </c>
      <c r="E27" s="270">
        <v>464343062.56</v>
      </c>
    </row>
    <row r="28" spans="1:5" ht="27" customHeight="1" thickBot="1">
      <c r="A28" s="90" t="s">
        <v>447</v>
      </c>
      <c r="B28" s="90" t="s">
        <v>448</v>
      </c>
      <c r="C28" s="268">
        <v>8871853308.2700005</v>
      </c>
      <c r="D28" s="269">
        <v>302378135.55000001</v>
      </c>
      <c r="E28" s="270">
        <v>9174231443.8199997</v>
      </c>
    </row>
    <row r="29" spans="1:5" ht="27" customHeight="1" thickBot="1">
      <c r="A29" s="90"/>
      <c r="B29" s="90" t="s">
        <v>449</v>
      </c>
      <c r="C29" s="268">
        <v>-1673814578.3800001</v>
      </c>
      <c r="D29" s="269">
        <v>65208935.810000002</v>
      </c>
      <c r="E29" s="270">
        <v>-1608605642.5699999</v>
      </c>
    </row>
    <row r="30" spans="1:5" ht="27" customHeight="1" thickBot="1">
      <c r="A30" s="90">
        <v>7</v>
      </c>
      <c r="B30" s="90" t="s">
        <v>450</v>
      </c>
      <c r="C30" s="268">
        <v>149081306.33000001</v>
      </c>
      <c r="D30" s="269">
        <v>9317537.1799999997</v>
      </c>
      <c r="E30" s="270">
        <v>158398843.50999999</v>
      </c>
    </row>
    <row r="31" spans="1:5" ht="34.5" customHeight="1" thickBot="1">
      <c r="A31" s="271"/>
      <c r="B31" s="271" t="s">
        <v>451</v>
      </c>
      <c r="C31" s="272">
        <v>-1524733272.0599999</v>
      </c>
      <c r="D31" s="273">
        <v>74526472.980000004</v>
      </c>
      <c r="E31" s="274">
        <v>-1450206799.0799999</v>
      </c>
    </row>
    <row r="32" spans="1:5" ht="19.5" customHeight="1">
      <c r="A32" s="3" t="s">
        <v>678</v>
      </c>
    </row>
    <row r="33" spans="1:1" ht="14.25" customHeight="1"/>
    <row r="34" spans="1:1" ht="19.5" customHeight="1">
      <c r="A34" s="99" t="s">
        <v>452</v>
      </c>
    </row>
    <row r="36" spans="1:1">
      <c r="A36" s="3" t="s">
        <v>455</v>
      </c>
    </row>
    <row r="39" spans="1:1">
      <c r="A39" s="3" t="s">
        <v>677</v>
      </c>
    </row>
  </sheetData>
  <pageMargins left="0.64" right="0.7" top="0.94" bottom="0.49" header="0.57999999999999996" footer="0.4921259845"/>
  <pageSetup paperSize="9" scale="81" orientation="portrait" horizontalDpi="1200" verticalDpi="1200"/>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63A0D-3A92-EE48-90A3-C9C3E08DBB1E}">
  <sheetPr>
    <pageSetUpPr fitToPage="1"/>
  </sheetPr>
  <dimension ref="A1:E39"/>
  <sheetViews>
    <sheetView zoomScale="75" workbookViewId="0">
      <selection activeCell="A34" sqref="A34"/>
    </sheetView>
  </sheetViews>
  <sheetFormatPr baseColWidth="10" defaultColWidth="11.3984375" defaultRowHeight="13"/>
  <cols>
    <col min="1" max="1" width="8.796875" style="3" customWidth="1"/>
    <col min="2" max="2" width="50.19921875" style="49" customWidth="1"/>
    <col min="3" max="3" width="16.796875" style="3" customWidth="1"/>
    <col min="4" max="4" width="16.796875" style="8" customWidth="1"/>
    <col min="5" max="5" width="17.3984375" style="8" customWidth="1"/>
    <col min="6" max="16384" width="11.3984375" style="3"/>
  </cols>
  <sheetData>
    <row r="1" spans="1:5" s="2" customFormat="1" ht="14" customHeight="1">
      <c r="B1" s="261"/>
      <c r="D1" s="100"/>
      <c r="E1" s="100"/>
    </row>
    <row r="2" spans="1:5" s="2" customFormat="1" ht="28" customHeight="1">
      <c r="A2" s="47" t="s">
        <v>456</v>
      </c>
      <c r="B2" s="261"/>
      <c r="D2" s="100"/>
      <c r="E2" s="47">
        <v>2010</v>
      </c>
    </row>
    <row r="3" spans="1:5" ht="39" customHeight="1">
      <c r="A3" s="72" t="s">
        <v>417</v>
      </c>
      <c r="B3" s="72"/>
      <c r="C3" s="73" t="s">
        <v>418</v>
      </c>
      <c r="D3" s="104" t="s">
        <v>419</v>
      </c>
      <c r="E3" s="103" t="s">
        <v>190</v>
      </c>
    </row>
    <row r="4" spans="1:5" ht="39" customHeight="1">
      <c r="A4" s="263"/>
      <c r="B4" s="264"/>
      <c r="C4" s="82" t="s">
        <v>420</v>
      </c>
      <c r="D4" s="109" t="s">
        <v>420</v>
      </c>
      <c r="E4" s="110" t="s">
        <v>420</v>
      </c>
    </row>
    <row r="5" spans="1:5" ht="30" customHeight="1" thickBot="1">
      <c r="A5" s="84">
        <v>61</v>
      </c>
      <c r="B5" s="84" t="s">
        <v>421</v>
      </c>
      <c r="C5" s="131">
        <v>5476694927.8199997</v>
      </c>
      <c r="D5" s="130">
        <v>197140796.81999999</v>
      </c>
      <c r="E5" s="266">
        <v>5673835724.6400003</v>
      </c>
    </row>
    <row r="6" spans="1:5" ht="20" customHeight="1" thickBot="1">
      <c r="A6" s="89">
        <v>64</v>
      </c>
      <c r="B6" s="89" t="s">
        <v>422</v>
      </c>
      <c r="C6" s="133">
        <v>-26127928.43</v>
      </c>
      <c r="D6" s="132">
        <v>-1002570.17</v>
      </c>
      <c r="E6" s="267">
        <v>-27130498.600000001</v>
      </c>
    </row>
    <row r="7" spans="1:5" ht="20" customHeight="1" thickBot="1">
      <c r="A7" s="89">
        <v>65</v>
      </c>
      <c r="B7" s="89" t="s">
        <v>423</v>
      </c>
      <c r="C7" s="133">
        <v>1155095.8400000001</v>
      </c>
      <c r="D7" s="132">
        <v>41403.86</v>
      </c>
      <c r="E7" s="267">
        <v>1196499.7</v>
      </c>
    </row>
    <row r="8" spans="1:5" ht="27" customHeight="1" thickBot="1">
      <c r="A8" s="90" t="s">
        <v>424</v>
      </c>
      <c r="B8" s="90" t="s">
        <v>425</v>
      </c>
      <c r="C8" s="268">
        <v>5451722095.1999998</v>
      </c>
      <c r="D8" s="269">
        <v>196179630.5</v>
      </c>
      <c r="E8" s="270">
        <v>5647901725.6999998</v>
      </c>
    </row>
    <row r="9" spans="1:5" ht="20" customHeight="1" thickBot="1">
      <c r="A9" s="89">
        <v>66</v>
      </c>
      <c r="B9" s="89" t="s">
        <v>426</v>
      </c>
      <c r="C9" s="133">
        <v>-13487441.310000001</v>
      </c>
      <c r="D9" s="132">
        <v>-508514.29</v>
      </c>
      <c r="E9" s="267">
        <v>-13995955.6</v>
      </c>
    </row>
    <row r="10" spans="1:5" ht="27" customHeight="1" thickBot="1">
      <c r="A10" s="90" t="s">
        <v>427</v>
      </c>
      <c r="B10" s="90" t="s">
        <v>428</v>
      </c>
      <c r="C10" s="268">
        <v>5438234653.8900003</v>
      </c>
      <c r="D10" s="269">
        <v>195671116.16999999</v>
      </c>
      <c r="E10" s="270">
        <v>5633905770.0600004</v>
      </c>
    </row>
    <row r="11" spans="1:5" ht="20" customHeight="1" thickBot="1">
      <c r="A11" s="89">
        <v>67</v>
      </c>
      <c r="B11" s="89" t="s">
        <v>429</v>
      </c>
      <c r="C11" s="133">
        <v>405388570.13999999</v>
      </c>
      <c r="D11" s="132">
        <v>14094591.640000001</v>
      </c>
      <c r="E11" s="267">
        <v>419483161.77999997</v>
      </c>
    </row>
    <row r="12" spans="1:5" ht="20" customHeight="1" thickBot="1">
      <c r="A12" s="89">
        <v>68</v>
      </c>
      <c r="B12" s="89" t="s">
        <v>430</v>
      </c>
      <c r="C12" s="133">
        <v>-405346424.97000003</v>
      </c>
      <c r="D12" s="132">
        <v>-14123996.880000001</v>
      </c>
      <c r="E12" s="267">
        <v>-419470421.85000002</v>
      </c>
    </row>
    <row r="13" spans="1:5" ht="20" customHeight="1" thickBot="1">
      <c r="A13" s="89">
        <v>69</v>
      </c>
      <c r="B13" s="89" t="s">
        <v>431</v>
      </c>
      <c r="C13" s="133">
        <v>34191330.030000001</v>
      </c>
      <c r="D13" s="132">
        <v>973975.23</v>
      </c>
      <c r="E13" s="267">
        <v>35165305.259999998</v>
      </c>
    </row>
    <row r="14" spans="1:5" ht="27" customHeight="1" thickBot="1">
      <c r="A14" s="90">
        <v>6</v>
      </c>
      <c r="B14" s="90" t="s">
        <v>432</v>
      </c>
      <c r="C14" s="268">
        <v>5472468129.1000004</v>
      </c>
      <c r="D14" s="269">
        <v>196615686.18000001</v>
      </c>
      <c r="E14" s="270">
        <v>5669083815.2799997</v>
      </c>
    </row>
    <row r="15" spans="1:5" ht="20" customHeight="1" thickBot="1">
      <c r="A15" s="89">
        <v>31</v>
      </c>
      <c r="B15" s="89" t="s">
        <v>433</v>
      </c>
      <c r="C15" s="133">
        <v>5036069827.75</v>
      </c>
      <c r="D15" s="132">
        <v>154999123.68000001</v>
      </c>
      <c r="E15" s="267">
        <v>5191068951.4300003</v>
      </c>
    </row>
    <row r="16" spans="1:5" ht="20" customHeight="1" thickBot="1">
      <c r="A16" s="89">
        <v>32</v>
      </c>
      <c r="B16" s="89" t="s">
        <v>434</v>
      </c>
      <c r="C16" s="133">
        <v>-985004625.59000003</v>
      </c>
      <c r="D16" s="132">
        <v>-26896692.93</v>
      </c>
      <c r="E16" s="267">
        <v>-1011901318.52</v>
      </c>
    </row>
    <row r="17" spans="1:5" ht="27" customHeight="1" thickBot="1">
      <c r="A17" s="90" t="s">
        <v>435</v>
      </c>
      <c r="B17" s="90" t="s">
        <v>262</v>
      </c>
      <c r="C17" s="268">
        <v>4051065202.1599998</v>
      </c>
      <c r="D17" s="269">
        <v>128102430.76000001</v>
      </c>
      <c r="E17" s="270">
        <v>4179167632.9200001</v>
      </c>
    </row>
    <row r="18" spans="1:5" ht="20" customHeight="1" thickBot="1">
      <c r="A18" s="89">
        <v>34</v>
      </c>
      <c r="B18" s="89" t="s">
        <v>436</v>
      </c>
      <c r="C18" s="133">
        <v>14559416.65</v>
      </c>
      <c r="D18" s="132">
        <v>226269.26</v>
      </c>
      <c r="E18" s="267">
        <v>14785685.91</v>
      </c>
    </row>
    <row r="19" spans="1:5" ht="20" customHeight="1" thickBot="1">
      <c r="A19" s="89">
        <v>35</v>
      </c>
      <c r="B19" s="89" t="s">
        <v>437</v>
      </c>
      <c r="C19" s="133">
        <v>-117320342.22</v>
      </c>
      <c r="D19" s="132">
        <v>-9097608.4299999997</v>
      </c>
      <c r="E19" s="267">
        <v>-126417950.65000001</v>
      </c>
    </row>
    <row r="20" spans="1:5" ht="27" customHeight="1" thickBot="1">
      <c r="A20" s="90" t="s">
        <v>438</v>
      </c>
      <c r="B20" s="90" t="s">
        <v>248</v>
      </c>
      <c r="C20" s="268">
        <v>3948304276.5599999</v>
      </c>
      <c r="D20" s="269">
        <v>119231091.58</v>
      </c>
      <c r="E20" s="270">
        <v>4067535368.1399999</v>
      </c>
    </row>
    <row r="21" spans="1:5" ht="20" customHeight="1" thickBot="1">
      <c r="A21" s="89">
        <v>36</v>
      </c>
      <c r="B21" s="89" t="s">
        <v>439</v>
      </c>
      <c r="C21" s="133">
        <v>-9480843.4900000002</v>
      </c>
      <c r="D21" s="132">
        <v>-156524.51999999999</v>
      </c>
      <c r="E21" s="267">
        <v>-9637368.0099999998</v>
      </c>
    </row>
    <row r="22" spans="1:5" ht="20" customHeight="1" thickBot="1">
      <c r="A22" s="89">
        <v>37</v>
      </c>
      <c r="B22" s="89" t="s">
        <v>440</v>
      </c>
      <c r="C22" s="133">
        <v>192655569.13</v>
      </c>
      <c r="D22" s="132">
        <v>-9470979.5299999993</v>
      </c>
      <c r="E22" s="267">
        <v>183184589.59999999</v>
      </c>
    </row>
    <row r="23" spans="1:5" ht="27" customHeight="1" thickBot="1">
      <c r="A23" s="90">
        <v>3</v>
      </c>
      <c r="B23" s="90" t="s">
        <v>441</v>
      </c>
      <c r="C23" s="268">
        <v>4131479002.21</v>
      </c>
      <c r="D23" s="269">
        <v>109603587.54000001</v>
      </c>
      <c r="E23" s="270">
        <v>4241082589.75</v>
      </c>
    </row>
    <row r="24" spans="1:5" ht="20" customHeight="1" thickBot="1">
      <c r="A24" s="89" t="s">
        <v>442</v>
      </c>
      <c r="B24" s="89" t="s">
        <v>443</v>
      </c>
      <c r="C24" s="133">
        <v>276241214.14999998</v>
      </c>
      <c r="D24" s="132">
        <v>11307903.300000001</v>
      </c>
      <c r="E24" s="267">
        <v>287549117.44999999</v>
      </c>
    </row>
    <row r="25" spans="1:5" ht="20" customHeight="1" thickBot="1">
      <c r="A25" s="89">
        <v>48</v>
      </c>
      <c r="B25" s="89" t="s">
        <v>444</v>
      </c>
      <c r="C25" s="133">
        <v>16524234.65</v>
      </c>
      <c r="D25" s="132">
        <v>735883.28</v>
      </c>
      <c r="E25" s="267">
        <v>17260117.93</v>
      </c>
    </row>
    <row r="26" spans="1:5" ht="20" customHeight="1" thickBot="1">
      <c r="A26" s="89">
        <v>49</v>
      </c>
      <c r="B26" s="89" t="s">
        <v>445</v>
      </c>
      <c r="C26" s="133">
        <v>4610217.0199999996</v>
      </c>
      <c r="D26" s="132">
        <v>228993.77</v>
      </c>
      <c r="E26" s="267">
        <v>4839210.79</v>
      </c>
    </row>
    <row r="27" spans="1:5" ht="27" customHeight="1" thickBot="1">
      <c r="A27" s="90">
        <v>4</v>
      </c>
      <c r="B27" s="90" t="s">
        <v>446</v>
      </c>
      <c r="C27" s="268">
        <v>297375665.80000001</v>
      </c>
      <c r="D27" s="269">
        <v>12272780.359999999</v>
      </c>
      <c r="E27" s="270">
        <v>309648446.16000003</v>
      </c>
    </row>
    <row r="28" spans="1:5" ht="27" customHeight="1" thickBot="1">
      <c r="A28" s="90" t="s">
        <v>447</v>
      </c>
      <c r="B28" s="90" t="s">
        <v>448</v>
      </c>
      <c r="C28" s="268">
        <v>4428854668.04</v>
      </c>
      <c r="D28" s="269">
        <v>121876367.88</v>
      </c>
      <c r="E28" s="270">
        <v>4550731035.9200001</v>
      </c>
    </row>
    <row r="29" spans="1:5" ht="27" customHeight="1" thickBot="1">
      <c r="A29" s="90"/>
      <c r="B29" s="90" t="s">
        <v>449</v>
      </c>
      <c r="C29" s="268">
        <v>1043613461.09</v>
      </c>
      <c r="D29" s="269">
        <v>74739318.280000001</v>
      </c>
      <c r="E29" s="270">
        <v>1118352779.3699999</v>
      </c>
    </row>
    <row r="30" spans="1:5" ht="27" customHeight="1" thickBot="1">
      <c r="A30" s="90">
        <v>7</v>
      </c>
      <c r="B30" s="90" t="s">
        <v>450</v>
      </c>
      <c r="C30" s="268">
        <v>108054830.34999999</v>
      </c>
      <c r="D30" s="269">
        <v>4733687.1100000003</v>
      </c>
      <c r="E30" s="270">
        <v>112788517.45999999</v>
      </c>
    </row>
    <row r="31" spans="1:5" ht="34.5" customHeight="1" thickBot="1">
      <c r="A31" s="271"/>
      <c r="B31" s="271" t="s">
        <v>451</v>
      </c>
      <c r="C31" s="272">
        <v>1151668291.45</v>
      </c>
      <c r="D31" s="273">
        <v>79473005.409999996</v>
      </c>
      <c r="E31" s="274">
        <v>1231141296.8599999</v>
      </c>
    </row>
    <row r="32" spans="1:5" ht="19.5" customHeight="1">
      <c r="A32" s="3" t="s">
        <v>678</v>
      </c>
    </row>
    <row r="34" spans="1:1">
      <c r="A34" s="99" t="s">
        <v>452</v>
      </c>
    </row>
    <row r="36" spans="1:1">
      <c r="A36" s="3" t="s">
        <v>457</v>
      </c>
    </row>
    <row r="39" spans="1:1">
      <c r="A39" s="3" t="s">
        <v>677</v>
      </c>
    </row>
  </sheetData>
  <pageMargins left="0.59055118110236227" right="0.6692913385826772" top="0.84" bottom="0.86614173228346458" header="0.59055118110236227" footer="0.51181102362204722"/>
  <pageSetup paperSize="9" scale="82" orientation="portrait" horizontalDpi="1200" verticalDpi="1200"/>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5D113-B869-F740-8D05-68BF1FCD2B5D}">
  <sheetPr>
    <pageSetUpPr fitToPage="1"/>
  </sheetPr>
  <dimension ref="A1:E39"/>
  <sheetViews>
    <sheetView topLeftCell="A12" zoomScale="75" workbookViewId="0">
      <selection activeCell="A34" sqref="A34"/>
    </sheetView>
  </sheetViews>
  <sheetFormatPr baseColWidth="10" defaultColWidth="11.3984375" defaultRowHeight="13"/>
  <cols>
    <col min="1" max="1" width="8.796875" style="3" customWidth="1"/>
    <col min="2" max="2" width="52.19921875" style="49" customWidth="1"/>
    <col min="3" max="3" width="16.796875" style="3" customWidth="1"/>
    <col min="4" max="5" width="16.796875" style="8" customWidth="1"/>
    <col min="6" max="16384" width="11.3984375" style="3"/>
  </cols>
  <sheetData>
    <row r="1" spans="1:5" s="2" customFormat="1" ht="14" customHeight="1">
      <c r="B1" s="261"/>
      <c r="D1" s="100"/>
      <c r="E1" s="100"/>
    </row>
    <row r="2" spans="1:5" s="2" customFormat="1" ht="28" customHeight="1">
      <c r="A2" s="47" t="s">
        <v>458</v>
      </c>
      <c r="B2" s="261"/>
      <c r="D2" s="100"/>
      <c r="E2" s="47">
        <v>2010</v>
      </c>
    </row>
    <row r="3" spans="1:5" ht="39" customHeight="1">
      <c r="A3" s="72" t="s">
        <v>417</v>
      </c>
      <c r="B3" s="72"/>
      <c r="C3" s="73" t="s">
        <v>418</v>
      </c>
      <c r="D3" s="104" t="s">
        <v>419</v>
      </c>
      <c r="E3" s="262" t="s">
        <v>190</v>
      </c>
    </row>
    <row r="4" spans="1:5" ht="39" customHeight="1">
      <c r="A4" s="263"/>
      <c r="B4" s="264"/>
      <c r="C4" s="82" t="s">
        <v>420</v>
      </c>
      <c r="D4" s="109" t="s">
        <v>420</v>
      </c>
      <c r="E4" s="265" t="s">
        <v>420</v>
      </c>
    </row>
    <row r="5" spans="1:5" ht="30" customHeight="1" thickBot="1">
      <c r="A5" s="84">
        <v>61</v>
      </c>
      <c r="B5" s="84" t="s">
        <v>421</v>
      </c>
      <c r="C5" s="131">
        <v>15610039.82</v>
      </c>
      <c r="D5" s="130">
        <v>435432.97</v>
      </c>
      <c r="E5" s="266">
        <v>16045472.789999999</v>
      </c>
    </row>
    <row r="6" spans="1:5" ht="20" customHeight="1" thickBot="1">
      <c r="A6" s="89">
        <v>64</v>
      </c>
      <c r="B6" s="89" t="s">
        <v>422</v>
      </c>
      <c r="C6" s="133">
        <v>-44249.58</v>
      </c>
      <c r="D6" s="132">
        <v>-1265.26</v>
      </c>
      <c r="E6" s="267">
        <v>-45514.84</v>
      </c>
    </row>
    <row r="7" spans="1:5" ht="20" customHeight="1" thickBot="1">
      <c r="A7" s="89">
        <v>65</v>
      </c>
      <c r="B7" s="89" t="s">
        <v>423</v>
      </c>
      <c r="C7" s="133">
        <v>1298.03</v>
      </c>
      <c r="D7" s="132">
        <v>33.619999999999997</v>
      </c>
      <c r="E7" s="267">
        <v>1331.65</v>
      </c>
    </row>
    <row r="8" spans="1:5" ht="26.25" customHeight="1" thickBot="1">
      <c r="A8" s="90" t="s">
        <v>424</v>
      </c>
      <c r="B8" s="90" t="s">
        <v>425</v>
      </c>
      <c r="C8" s="268">
        <v>15567088.27</v>
      </c>
      <c r="D8" s="269">
        <v>434201.32</v>
      </c>
      <c r="E8" s="270">
        <v>16001289.59</v>
      </c>
    </row>
    <row r="9" spans="1:5" ht="20" customHeight="1" thickBot="1">
      <c r="A9" s="89">
        <v>66</v>
      </c>
      <c r="B9" s="89" t="s">
        <v>426</v>
      </c>
      <c r="C9" s="133">
        <v>-45.34</v>
      </c>
      <c r="D9" s="132">
        <v>-1.65</v>
      </c>
      <c r="E9" s="267">
        <v>-46.99</v>
      </c>
    </row>
    <row r="10" spans="1:5" ht="27" customHeight="1" thickBot="1">
      <c r="A10" s="90" t="s">
        <v>427</v>
      </c>
      <c r="B10" s="90" t="s">
        <v>428</v>
      </c>
      <c r="C10" s="268">
        <v>15567042.93</v>
      </c>
      <c r="D10" s="269">
        <v>434199.67</v>
      </c>
      <c r="E10" s="270">
        <v>16001242.6</v>
      </c>
    </row>
    <row r="11" spans="1:5" ht="20" customHeight="1" thickBot="1">
      <c r="A11" s="89">
        <v>67</v>
      </c>
      <c r="B11" s="89" t="s">
        <v>429</v>
      </c>
      <c r="C11" s="133">
        <v>532552.1</v>
      </c>
      <c r="D11" s="132">
        <v>15758.49</v>
      </c>
      <c r="E11" s="267">
        <v>548310.59</v>
      </c>
    </row>
    <row r="12" spans="1:5" ht="20" customHeight="1" thickBot="1">
      <c r="A12" s="89">
        <v>68</v>
      </c>
      <c r="B12" s="89" t="s">
        <v>430</v>
      </c>
      <c r="C12" s="133">
        <v>-533177.42000000004</v>
      </c>
      <c r="D12" s="132">
        <v>-15771.92</v>
      </c>
      <c r="E12" s="267">
        <v>-548949.34</v>
      </c>
    </row>
    <row r="13" spans="1:5" ht="20" customHeight="1" thickBot="1">
      <c r="A13" s="89">
        <v>69</v>
      </c>
      <c r="B13" s="89" t="s">
        <v>431</v>
      </c>
      <c r="C13" s="133">
        <v>60269.88</v>
      </c>
      <c r="D13" s="132">
        <v>1543.73</v>
      </c>
      <c r="E13" s="267">
        <v>61813.61</v>
      </c>
    </row>
    <row r="14" spans="1:5" ht="27" customHeight="1" thickBot="1">
      <c r="A14" s="90">
        <v>6</v>
      </c>
      <c r="B14" s="90" t="s">
        <v>432</v>
      </c>
      <c r="C14" s="268">
        <v>15626687.48</v>
      </c>
      <c r="D14" s="269">
        <v>435729.97</v>
      </c>
      <c r="E14" s="270">
        <v>16062417.449999999</v>
      </c>
    </row>
    <row r="15" spans="1:5" ht="20" customHeight="1" thickBot="1">
      <c r="A15" s="89">
        <v>31</v>
      </c>
      <c r="B15" s="89" t="s">
        <v>433</v>
      </c>
      <c r="C15" s="133">
        <v>8350345.2800000003</v>
      </c>
      <c r="D15" s="132">
        <v>288758.81</v>
      </c>
      <c r="E15" s="267">
        <v>8639104.0899999999</v>
      </c>
    </row>
    <row r="16" spans="1:5" ht="20" customHeight="1" thickBot="1">
      <c r="A16" s="89">
        <v>32</v>
      </c>
      <c r="B16" s="89" t="s">
        <v>434</v>
      </c>
      <c r="C16" s="133">
        <v>-1206414.57</v>
      </c>
      <c r="D16" s="132">
        <v>-40754.800000000003</v>
      </c>
      <c r="E16" s="267">
        <v>-1247169.3700000001</v>
      </c>
    </row>
    <row r="17" spans="1:5" ht="27" customHeight="1" thickBot="1">
      <c r="A17" s="90" t="s">
        <v>435</v>
      </c>
      <c r="B17" s="90" t="s">
        <v>262</v>
      </c>
      <c r="C17" s="268">
        <v>7143930.7000000002</v>
      </c>
      <c r="D17" s="269">
        <v>248004.01</v>
      </c>
      <c r="E17" s="270">
        <v>7391934.71</v>
      </c>
    </row>
    <row r="18" spans="1:5" ht="20" customHeight="1" thickBot="1">
      <c r="A18" s="89">
        <v>34</v>
      </c>
      <c r="B18" s="89" t="s">
        <v>436</v>
      </c>
      <c r="C18" s="133">
        <v>11576.19</v>
      </c>
      <c r="D18" s="132">
        <v>385.53</v>
      </c>
      <c r="E18" s="267">
        <v>11961.72</v>
      </c>
    </row>
    <row r="19" spans="1:5" ht="20" customHeight="1" thickBot="1">
      <c r="A19" s="89">
        <v>35</v>
      </c>
      <c r="B19" s="89" t="s">
        <v>437</v>
      </c>
      <c r="C19" s="133">
        <v>-287691.17</v>
      </c>
      <c r="D19" s="132">
        <v>-9726.1200000000008</v>
      </c>
      <c r="E19" s="267">
        <v>-297417.28999999998</v>
      </c>
    </row>
    <row r="20" spans="1:5" ht="27" customHeight="1" thickBot="1">
      <c r="A20" s="90" t="s">
        <v>438</v>
      </c>
      <c r="B20" s="90" t="s">
        <v>248</v>
      </c>
      <c r="C20" s="268">
        <v>6867815.71</v>
      </c>
      <c r="D20" s="269">
        <v>238663.43</v>
      </c>
      <c r="E20" s="270">
        <v>7106479.1399999997</v>
      </c>
    </row>
    <row r="21" spans="1:5" ht="20" customHeight="1" thickBot="1">
      <c r="A21" s="89">
        <v>36</v>
      </c>
      <c r="B21" s="89" t="s">
        <v>439</v>
      </c>
      <c r="C21" s="133">
        <v>0</v>
      </c>
      <c r="D21" s="132">
        <v>0</v>
      </c>
      <c r="E21" s="267">
        <v>0</v>
      </c>
    </row>
    <row r="22" spans="1:5" ht="20" customHeight="1" thickBot="1">
      <c r="A22" s="89">
        <v>37</v>
      </c>
      <c r="B22" s="89" t="s">
        <v>440</v>
      </c>
      <c r="C22" s="133">
        <v>1838718.3</v>
      </c>
      <c r="D22" s="132">
        <v>63565.72</v>
      </c>
      <c r="E22" s="267">
        <v>1902284.02</v>
      </c>
    </row>
    <row r="23" spans="1:5" ht="26.25" customHeight="1" thickBot="1">
      <c r="A23" s="90">
        <v>3</v>
      </c>
      <c r="B23" s="90" t="s">
        <v>441</v>
      </c>
      <c r="C23" s="268">
        <v>8706534.0099999998</v>
      </c>
      <c r="D23" s="269">
        <v>302229.15999999997</v>
      </c>
      <c r="E23" s="270">
        <v>9008763.1699999999</v>
      </c>
    </row>
    <row r="24" spans="1:5" ht="20" customHeight="1" thickBot="1">
      <c r="A24" s="89" t="s">
        <v>442</v>
      </c>
      <c r="B24" s="89" t="s">
        <v>443</v>
      </c>
      <c r="C24" s="133">
        <v>801359.75</v>
      </c>
      <c r="D24" s="132">
        <v>23209.759999999998</v>
      </c>
      <c r="E24" s="267">
        <v>824569.51</v>
      </c>
    </row>
    <row r="25" spans="1:5" ht="20" customHeight="1" thickBot="1">
      <c r="A25" s="89">
        <v>48</v>
      </c>
      <c r="B25" s="89" t="s">
        <v>444</v>
      </c>
      <c r="C25" s="133">
        <v>73061.14</v>
      </c>
      <c r="D25" s="132">
        <v>2179.86</v>
      </c>
      <c r="E25" s="267">
        <v>75241</v>
      </c>
    </row>
    <row r="26" spans="1:5" ht="20" customHeight="1" thickBot="1">
      <c r="A26" s="89">
        <v>49</v>
      </c>
      <c r="B26" s="89" t="s">
        <v>445</v>
      </c>
      <c r="C26" s="133">
        <v>67962.2</v>
      </c>
      <c r="D26" s="132">
        <v>2083.5500000000002</v>
      </c>
      <c r="E26" s="267">
        <v>70045.75</v>
      </c>
    </row>
    <row r="27" spans="1:5" ht="27" customHeight="1" thickBot="1">
      <c r="A27" s="90">
        <v>4</v>
      </c>
      <c r="B27" s="90" t="s">
        <v>446</v>
      </c>
      <c r="C27" s="268">
        <v>942383.08</v>
      </c>
      <c r="D27" s="269">
        <v>27473.17</v>
      </c>
      <c r="E27" s="270">
        <v>969856.25</v>
      </c>
    </row>
    <row r="28" spans="1:5" ht="27" customHeight="1" thickBot="1">
      <c r="A28" s="90" t="s">
        <v>447</v>
      </c>
      <c r="B28" s="90" t="s">
        <v>448</v>
      </c>
      <c r="C28" s="268">
        <v>9648917.0899999999</v>
      </c>
      <c r="D28" s="269">
        <v>329702.34000000003</v>
      </c>
      <c r="E28" s="270">
        <v>9978619.4299999997</v>
      </c>
    </row>
    <row r="29" spans="1:5" ht="27" customHeight="1" thickBot="1">
      <c r="A29" s="90"/>
      <c r="B29" s="90" t="s">
        <v>449</v>
      </c>
      <c r="C29" s="268">
        <v>5977770.3899999997</v>
      </c>
      <c r="D29" s="269">
        <v>106027.63</v>
      </c>
      <c r="E29" s="270">
        <v>6083798.0199999996</v>
      </c>
    </row>
    <row r="30" spans="1:5" ht="27" customHeight="1" thickBot="1">
      <c r="A30" s="90">
        <v>7</v>
      </c>
      <c r="B30" s="90" t="s">
        <v>450</v>
      </c>
      <c r="C30" s="268">
        <v>247259.23</v>
      </c>
      <c r="D30" s="269">
        <v>7198.19</v>
      </c>
      <c r="E30" s="270">
        <v>254457.42</v>
      </c>
    </row>
    <row r="31" spans="1:5" ht="34.5" customHeight="1" thickBot="1">
      <c r="A31" s="271"/>
      <c r="B31" s="271" t="s">
        <v>451</v>
      </c>
      <c r="C31" s="272">
        <v>6225029.6200000001</v>
      </c>
      <c r="D31" s="273">
        <v>113225.83</v>
      </c>
      <c r="E31" s="274">
        <v>6338255.4500000002</v>
      </c>
    </row>
    <row r="32" spans="1:5" ht="20.25" customHeight="1">
      <c r="A32" s="3" t="s">
        <v>678</v>
      </c>
    </row>
    <row r="34" spans="1:1">
      <c r="A34" s="99" t="s">
        <v>452</v>
      </c>
    </row>
    <row r="36" spans="1:1">
      <c r="A36" s="3" t="s">
        <v>459</v>
      </c>
    </row>
    <row r="39" spans="1:1">
      <c r="A39" s="3" t="s">
        <v>677</v>
      </c>
    </row>
  </sheetData>
  <pageMargins left="0.62992125984251968" right="0.70866141732283472" top="0.70866141732283472" bottom="0.6692913385826772" header="0.51181102362204722" footer="0.38"/>
  <pageSetup paperSize="9" scale="80" orientation="portrait" horizontalDpi="1200" verticalDpi="1200"/>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DE449-3666-FF44-B246-19500E184540}">
  <sheetPr>
    <pageSetUpPr fitToPage="1"/>
  </sheetPr>
  <dimension ref="A1:E39"/>
  <sheetViews>
    <sheetView topLeftCell="A12" zoomScale="75" workbookViewId="0">
      <selection activeCell="A4" sqref="A4"/>
    </sheetView>
  </sheetViews>
  <sheetFormatPr baseColWidth="10" defaultColWidth="11.3984375" defaultRowHeight="13"/>
  <cols>
    <col min="1" max="1" width="8.796875" style="3" customWidth="1"/>
    <col min="2" max="2" width="48.796875" style="49" customWidth="1"/>
    <col min="3" max="3" width="16.796875" style="3" customWidth="1"/>
    <col min="4" max="5" width="16.796875" style="8" customWidth="1"/>
    <col min="6" max="16384" width="11.3984375" style="3"/>
  </cols>
  <sheetData>
    <row r="1" spans="1:5" s="2" customFormat="1" ht="14" customHeight="1">
      <c r="B1" s="261"/>
      <c r="D1" s="100"/>
      <c r="E1" s="100"/>
    </row>
    <row r="2" spans="1:5" s="2" customFormat="1" ht="42" customHeight="1">
      <c r="A2" s="1807" t="s">
        <v>460</v>
      </c>
      <c r="B2" s="1808"/>
      <c r="C2" s="1808"/>
      <c r="D2" s="1808"/>
      <c r="E2" s="47">
        <v>2010</v>
      </c>
    </row>
    <row r="3" spans="1:5" ht="39" customHeight="1">
      <c r="A3" s="72" t="s">
        <v>417</v>
      </c>
      <c r="B3" s="72"/>
      <c r="C3" s="73" t="s">
        <v>418</v>
      </c>
      <c r="D3" s="104" t="s">
        <v>419</v>
      </c>
      <c r="E3" s="262" t="s">
        <v>190</v>
      </c>
    </row>
    <row r="4" spans="1:5" ht="39" customHeight="1">
      <c r="A4" s="263"/>
      <c r="B4" s="264"/>
      <c r="C4" s="82" t="s">
        <v>420</v>
      </c>
      <c r="D4" s="109" t="s">
        <v>420</v>
      </c>
      <c r="E4" s="265" t="s">
        <v>420</v>
      </c>
    </row>
    <row r="5" spans="1:5" ht="30" customHeight="1" thickBot="1">
      <c r="A5" s="84">
        <v>61</v>
      </c>
      <c r="B5" s="84" t="s">
        <v>421</v>
      </c>
      <c r="C5" s="131">
        <v>8498942648.0799999</v>
      </c>
      <c r="D5" s="130">
        <v>272983373.79000002</v>
      </c>
      <c r="E5" s="266">
        <v>8771926021.8700008</v>
      </c>
    </row>
    <row r="6" spans="1:5" ht="20" customHeight="1" thickBot="1">
      <c r="A6" s="89">
        <v>64</v>
      </c>
      <c r="B6" s="89" t="s">
        <v>422</v>
      </c>
      <c r="C6" s="133">
        <v>-39442193.359999999</v>
      </c>
      <c r="D6" s="132">
        <v>-1320183.3</v>
      </c>
      <c r="E6" s="267">
        <v>-40762376.659999996</v>
      </c>
    </row>
    <row r="7" spans="1:5" ht="20" customHeight="1" thickBot="1">
      <c r="A7" s="89">
        <v>65</v>
      </c>
      <c r="B7" s="89" t="s">
        <v>423</v>
      </c>
      <c r="C7" s="133">
        <v>1273358.82</v>
      </c>
      <c r="D7" s="132">
        <v>43313.95</v>
      </c>
      <c r="E7" s="267">
        <v>1316672.77</v>
      </c>
    </row>
    <row r="8" spans="1:5" ht="27" customHeight="1" thickBot="1">
      <c r="A8" s="90" t="s">
        <v>424</v>
      </c>
      <c r="B8" s="90" t="s">
        <v>425</v>
      </c>
      <c r="C8" s="268">
        <v>8460773813.5200005</v>
      </c>
      <c r="D8" s="269">
        <v>271706504.41000003</v>
      </c>
      <c r="E8" s="270">
        <v>8732480317.9300003</v>
      </c>
    </row>
    <row r="9" spans="1:5" ht="20" customHeight="1" thickBot="1">
      <c r="A9" s="89">
        <v>66</v>
      </c>
      <c r="B9" s="89" t="s">
        <v>426</v>
      </c>
      <c r="C9" s="133">
        <v>-17433488.510000002</v>
      </c>
      <c r="D9" s="132">
        <v>-510805.78</v>
      </c>
      <c r="E9" s="267">
        <v>-17944294.289999999</v>
      </c>
    </row>
    <row r="10" spans="1:5" ht="30" customHeight="1" thickBot="1">
      <c r="A10" s="90" t="s">
        <v>427</v>
      </c>
      <c r="B10" s="90" t="s">
        <v>428</v>
      </c>
      <c r="C10" s="268">
        <v>8443340325.0299997</v>
      </c>
      <c r="D10" s="269">
        <v>271195698.63</v>
      </c>
      <c r="E10" s="270">
        <v>8714536023.6599998</v>
      </c>
    </row>
    <row r="11" spans="1:5" ht="20" customHeight="1" thickBot="1">
      <c r="A11" s="89">
        <v>67</v>
      </c>
      <c r="B11" s="89" t="s">
        <v>429</v>
      </c>
      <c r="C11" s="133">
        <v>646726821.70000005</v>
      </c>
      <c r="D11" s="132">
        <v>20666969.379999999</v>
      </c>
      <c r="E11" s="267">
        <v>667393791.08000004</v>
      </c>
    </row>
    <row r="12" spans="1:5" ht="20" customHeight="1" thickBot="1">
      <c r="A12" s="89">
        <v>68</v>
      </c>
      <c r="B12" s="89" t="s">
        <v>430</v>
      </c>
      <c r="C12" s="133">
        <v>-646320123.63999999</v>
      </c>
      <c r="D12" s="132">
        <v>-20719405.620000001</v>
      </c>
      <c r="E12" s="267">
        <v>-667039529.25999999</v>
      </c>
    </row>
    <row r="13" spans="1:5" ht="20" customHeight="1" thickBot="1">
      <c r="A13" s="89">
        <v>69</v>
      </c>
      <c r="B13" s="89" t="s">
        <v>431</v>
      </c>
      <c r="C13" s="133">
        <v>50780067.590000004</v>
      </c>
      <c r="D13" s="132">
        <v>1364748.65</v>
      </c>
      <c r="E13" s="267">
        <v>52144816.240000002</v>
      </c>
    </row>
    <row r="14" spans="1:5" ht="27" customHeight="1" thickBot="1">
      <c r="A14" s="90">
        <v>6</v>
      </c>
      <c r="B14" s="90" t="s">
        <v>432</v>
      </c>
      <c r="C14" s="268">
        <v>8494527090.6800003</v>
      </c>
      <c r="D14" s="269">
        <v>272508011.02999997</v>
      </c>
      <c r="E14" s="270">
        <v>8767035101.7099991</v>
      </c>
    </row>
    <row r="15" spans="1:5" ht="20" customHeight="1" thickBot="1">
      <c r="A15" s="89">
        <v>31</v>
      </c>
      <c r="B15" s="89" t="s">
        <v>433</v>
      </c>
      <c r="C15" s="133">
        <v>7297062570.9200001</v>
      </c>
      <c r="D15" s="132">
        <v>244059520.93000001</v>
      </c>
      <c r="E15" s="267">
        <v>7541122091.8500004</v>
      </c>
    </row>
    <row r="16" spans="1:5" ht="20" customHeight="1" thickBot="1">
      <c r="A16" s="89">
        <v>32</v>
      </c>
      <c r="B16" s="89" t="s">
        <v>434</v>
      </c>
      <c r="C16" s="133">
        <v>-1307225035.3800001</v>
      </c>
      <c r="D16" s="132">
        <v>-37189170.68</v>
      </c>
      <c r="E16" s="267">
        <v>-1344414206.0599999</v>
      </c>
    </row>
    <row r="17" spans="1:5" ht="27" customHeight="1" thickBot="1">
      <c r="A17" s="90" t="s">
        <v>435</v>
      </c>
      <c r="B17" s="90" t="s">
        <v>262</v>
      </c>
      <c r="C17" s="268">
        <v>5989837535.5900002</v>
      </c>
      <c r="D17" s="269">
        <v>206870350.25999999</v>
      </c>
      <c r="E17" s="270">
        <v>6196707885.8500004</v>
      </c>
    </row>
    <row r="18" spans="1:5" ht="20" customHeight="1" thickBot="1">
      <c r="A18" s="89">
        <v>34</v>
      </c>
      <c r="B18" s="89" t="s">
        <v>436</v>
      </c>
      <c r="C18" s="133">
        <v>40272140.850000001</v>
      </c>
      <c r="D18" s="132">
        <v>590052.43000000005</v>
      </c>
      <c r="E18" s="267">
        <v>40862193.280000001</v>
      </c>
    </row>
    <row r="19" spans="1:5" ht="20" customHeight="1" thickBot="1">
      <c r="A19" s="89">
        <v>35</v>
      </c>
      <c r="B19" s="89" t="s">
        <v>437</v>
      </c>
      <c r="C19" s="133">
        <v>378557892.47000003</v>
      </c>
      <c r="D19" s="132">
        <v>29766224.829999998</v>
      </c>
      <c r="E19" s="267">
        <v>408324117.30000001</v>
      </c>
    </row>
    <row r="20" spans="1:5" ht="27" customHeight="1" thickBot="1">
      <c r="A20" s="90" t="s">
        <v>438</v>
      </c>
      <c r="B20" s="90" t="s">
        <v>248</v>
      </c>
      <c r="C20" s="268">
        <v>6408667568.8800001</v>
      </c>
      <c r="D20" s="269">
        <v>237226627.52000001</v>
      </c>
      <c r="E20" s="270">
        <v>6645894196.3999996</v>
      </c>
    </row>
    <row r="21" spans="1:5" ht="20" customHeight="1" thickBot="1">
      <c r="A21" s="89">
        <v>36</v>
      </c>
      <c r="B21" s="89" t="s">
        <v>439</v>
      </c>
      <c r="C21" s="133">
        <v>-22604979.469999999</v>
      </c>
      <c r="D21" s="132">
        <v>-670881.54</v>
      </c>
      <c r="E21" s="267">
        <v>-23275861.010000002</v>
      </c>
    </row>
    <row r="22" spans="1:5" ht="20" customHeight="1" thickBot="1">
      <c r="A22" s="89">
        <v>37</v>
      </c>
      <c r="B22" s="89" t="s">
        <v>440</v>
      </c>
      <c r="C22" s="133">
        <v>1341714532.3499999</v>
      </c>
      <c r="D22" s="132">
        <v>30620945.190000001</v>
      </c>
      <c r="E22" s="267">
        <v>1372335477.54</v>
      </c>
    </row>
    <row r="23" spans="1:5" ht="27" customHeight="1" thickBot="1">
      <c r="A23" s="90">
        <v>3</v>
      </c>
      <c r="B23" s="90" t="s">
        <v>441</v>
      </c>
      <c r="C23" s="268">
        <v>7727777121.7700005</v>
      </c>
      <c r="D23" s="269">
        <v>267176691.18000001</v>
      </c>
      <c r="E23" s="270">
        <v>7994953812.9499998</v>
      </c>
    </row>
    <row r="24" spans="1:5" ht="20" customHeight="1" thickBot="1">
      <c r="A24" s="89" t="s">
        <v>442</v>
      </c>
      <c r="B24" s="89" t="s">
        <v>443</v>
      </c>
      <c r="C24" s="133">
        <v>418313701.25999999</v>
      </c>
      <c r="D24" s="132">
        <v>14767296.49</v>
      </c>
      <c r="E24" s="267">
        <v>433080997.75</v>
      </c>
    </row>
    <row r="25" spans="1:5" ht="20" customHeight="1" thickBot="1">
      <c r="A25" s="89">
        <v>48</v>
      </c>
      <c r="B25" s="89" t="s">
        <v>444</v>
      </c>
      <c r="C25" s="133">
        <v>29816927.57</v>
      </c>
      <c r="D25" s="132">
        <v>1117072.8999999999</v>
      </c>
      <c r="E25" s="267">
        <v>30934000.469999999</v>
      </c>
    </row>
    <row r="26" spans="1:5" ht="20" customHeight="1" thickBot="1">
      <c r="A26" s="89">
        <v>49</v>
      </c>
      <c r="B26" s="89" t="s">
        <v>445</v>
      </c>
      <c r="C26" s="133">
        <v>5524347.0999999996</v>
      </c>
      <c r="D26" s="132">
        <v>243504.4</v>
      </c>
      <c r="E26" s="267">
        <v>5767851.5</v>
      </c>
    </row>
    <row r="27" spans="1:5" ht="27" customHeight="1" thickBot="1">
      <c r="A27" s="90">
        <v>4</v>
      </c>
      <c r="B27" s="90" t="s">
        <v>446</v>
      </c>
      <c r="C27" s="268">
        <v>453654975.97000003</v>
      </c>
      <c r="D27" s="269">
        <v>16127873.83</v>
      </c>
      <c r="E27" s="270">
        <v>469782849.80000001</v>
      </c>
    </row>
    <row r="28" spans="1:5" ht="27" customHeight="1" thickBot="1">
      <c r="A28" s="90" t="s">
        <v>447</v>
      </c>
      <c r="B28" s="90" t="s">
        <v>448</v>
      </c>
      <c r="C28" s="268">
        <v>8181432097.75</v>
      </c>
      <c r="D28" s="269">
        <v>283304565.02999997</v>
      </c>
      <c r="E28" s="270">
        <v>8464736662.7799997</v>
      </c>
    </row>
    <row r="29" spans="1:5" ht="27" customHeight="1" thickBot="1">
      <c r="A29" s="90"/>
      <c r="B29" s="90" t="s">
        <v>449</v>
      </c>
      <c r="C29" s="268">
        <v>313094992.92000002</v>
      </c>
      <c r="D29" s="269">
        <v>-10796553.970000001</v>
      </c>
      <c r="E29" s="270">
        <v>302298438.94999999</v>
      </c>
    </row>
    <row r="30" spans="1:5" ht="27" customHeight="1" thickBot="1">
      <c r="A30" s="90">
        <v>7</v>
      </c>
      <c r="B30" s="90" t="s">
        <v>450</v>
      </c>
      <c r="C30" s="268">
        <v>130042258.90000001</v>
      </c>
      <c r="D30" s="269">
        <v>4898354.71</v>
      </c>
      <c r="E30" s="270">
        <v>134940613.61000001</v>
      </c>
    </row>
    <row r="31" spans="1:5" ht="34.5" customHeight="1" thickBot="1">
      <c r="A31" s="271"/>
      <c r="B31" s="271" t="s">
        <v>451</v>
      </c>
      <c r="C31" s="272">
        <v>443137251.88</v>
      </c>
      <c r="D31" s="273">
        <v>-5898199.3200000003</v>
      </c>
      <c r="E31" s="274">
        <v>437239052.56</v>
      </c>
    </row>
    <row r="32" spans="1:5" ht="18.75" customHeight="1">
      <c r="A32" s="3" t="s">
        <v>678</v>
      </c>
    </row>
    <row r="34" spans="1:1">
      <c r="A34" s="99" t="s">
        <v>452</v>
      </c>
    </row>
    <row r="36" spans="1:1">
      <c r="A36" s="3" t="s">
        <v>461</v>
      </c>
    </row>
    <row r="39" spans="1:1">
      <c r="A39" s="3" t="s">
        <v>677</v>
      </c>
    </row>
  </sheetData>
  <mergeCells count="1">
    <mergeCell ref="A2:D2"/>
  </mergeCells>
  <pageMargins left="0.64" right="0.56000000000000005" top="0.96" bottom="0.49" header="0.53" footer="0.4921259845"/>
  <pageSetup paperSize="9" scale="84" orientation="portrait" horizontalDpi="1200" verticalDpi="1200"/>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BCFF1-4E96-B64A-B7E2-A01C3034F037}">
  <sheetPr>
    <pageSetUpPr fitToPage="1"/>
  </sheetPr>
  <dimension ref="A1:E48"/>
  <sheetViews>
    <sheetView topLeftCell="A2" zoomScale="75" workbookViewId="0">
      <selection activeCell="A4" sqref="A4"/>
    </sheetView>
  </sheetViews>
  <sheetFormatPr baseColWidth="10" defaultColWidth="11.3984375" defaultRowHeight="13"/>
  <cols>
    <col min="1" max="1" width="8.796875" style="3" customWidth="1"/>
    <col min="2" max="2" width="48.796875" style="49" customWidth="1"/>
    <col min="3" max="3" width="16.796875" style="3" customWidth="1"/>
    <col min="4" max="4" width="16.796875" style="8" customWidth="1"/>
    <col min="5" max="5" width="16.796875" style="294" customWidth="1"/>
    <col min="6" max="16384" width="11.3984375" style="3"/>
  </cols>
  <sheetData>
    <row r="1" spans="1:5" s="2" customFormat="1" ht="54.75" customHeight="1">
      <c r="A1" s="1809" t="s">
        <v>462</v>
      </c>
      <c r="B1" s="1810"/>
      <c r="C1" s="1810"/>
      <c r="D1" s="1810"/>
      <c r="E1" s="47">
        <v>2010</v>
      </c>
    </row>
    <row r="2" spans="1:5" s="2" customFormat="1" ht="10.5" customHeight="1">
      <c r="A2" s="137"/>
      <c r="B2" s="137"/>
      <c r="C2" s="137"/>
      <c r="D2" s="137"/>
      <c r="E2" s="137"/>
    </row>
    <row r="3" spans="1:5" ht="39" customHeight="1">
      <c r="A3" s="276" t="s">
        <v>417</v>
      </c>
      <c r="B3" s="277"/>
      <c r="C3" s="73" t="s">
        <v>418</v>
      </c>
      <c r="D3" s="104" t="s">
        <v>419</v>
      </c>
      <c r="E3" s="262" t="s">
        <v>190</v>
      </c>
    </row>
    <row r="4" spans="1:5" ht="25.5" customHeight="1">
      <c r="A4" s="263"/>
      <c r="B4" s="264"/>
      <c r="C4" s="82" t="s">
        <v>420</v>
      </c>
      <c r="D4" s="109" t="s">
        <v>420</v>
      </c>
      <c r="E4" s="265" t="s">
        <v>420</v>
      </c>
    </row>
    <row r="5" spans="1:5" ht="30" customHeight="1" thickBot="1">
      <c r="A5" s="84">
        <v>61.1</v>
      </c>
      <c r="B5" s="84" t="s">
        <v>463</v>
      </c>
      <c r="C5" s="123">
        <v>124538082.84</v>
      </c>
      <c r="D5" s="124">
        <v>2898200.97</v>
      </c>
      <c r="E5" s="278">
        <v>127436283.81</v>
      </c>
    </row>
    <row r="6" spans="1:5" ht="22.5" customHeight="1" thickBot="1">
      <c r="A6" s="279">
        <v>61.2</v>
      </c>
      <c r="B6" s="279" t="s">
        <v>464</v>
      </c>
      <c r="C6" s="123">
        <v>5830597.46</v>
      </c>
      <c r="D6" s="124">
        <v>375036.55</v>
      </c>
      <c r="E6" s="278">
        <v>6205634.0099999998</v>
      </c>
    </row>
    <row r="7" spans="1:5" ht="20" customHeight="1" thickBot="1">
      <c r="A7" s="89">
        <v>64</v>
      </c>
      <c r="B7" s="89" t="s">
        <v>422</v>
      </c>
      <c r="C7" s="123">
        <v>-907019.41</v>
      </c>
      <c r="D7" s="124">
        <v>-32624.68</v>
      </c>
      <c r="E7" s="278">
        <v>-939644.09</v>
      </c>
    </row>
    <row r="8" spans="1:5" ht="20" customHeight="1" thickBot="1">
      <c r="A8" s="89">
        <v>65</v>
      </c>
      <c r="B8" s="89" t="s">
        <v>423</v>
      </c>
      <c r="C8" s="123">
        <v>52618.31</v>
      </c>
      <c r="D8" s="124">
        <v>2425</v>
      </c>
      <c r="E8" s="278">
        <v>55043.31</v>
      </c>
    </row>
    <row r="9" spans="1:5" ht="27" customHeight="1" thickBot="1">
      <c r="A9" s="90" t="s">
        <v>424</v>
      </c>
      <c r="B9" s="90" t="s">
        <v>425</v>
      </c>
      <c r="C9" s="123">
        <v>129514279.20999999</v>
      </c>
      <c r="D9" s="124">
        <v>3243037.86</v>
      </c>
      <c r="E9" s="278">
        <v>132757317.06999999</v>
      </c>
    </row>
    <row r="10" spans="1:5" ht="20" customHeight="1" thickBot="1">
      <c r="A10" s="89">
        <v>66</v>
      </c>
      <c r="B10" s="89" t="s">
        <v>426</v>
      </c>
      <c r="C10" s="123">
        <v>-35483.31</v>
      </c>
      <c r="D10" s="124">
        <v>-629.1</v>
      </c>
      <c r="E10" s="278">
        <v>-36112.410000000003</v>
      </c>
    </row>
    <row r="11" spans="1:5" ht="27" customHeight="1" thickBot="1">
      <c r="A11" s="90" t="s">
        <v>427</v>
      </c>
      <c r="B11" s="90" t="s">
        <v>428</v>
      </c>
      <c r="C11" s="123">
        <v>129478795.90000001</v>
      </c>
      <c r="D11" s="124">
        <v>3242408.76</v>
      </c>
      <c r="E11" s="278">
        <v>132721204.66</v>
      </c>
    </row>
    <row r="12" spans="1:5" ht="21" customHeight="1" thickBot="1">
      <c r="A12" s="89">
        <v>67</v>
      </c>
      <c r="B12" s="89" t="s">
        <v>429</v>
      </c>
      <c r="C12" s="123">
        <v>1439231.8</v>
      </c>
      <c r="D12" s="124">
        <v>44282.63</v>
      </c>
      <c r="E12" s="278">
        <v>1483514.43</v>
      </c>
    </row>
    <row r="13" spans="1:5" ht="21" customHeight="1" thickBot="1">
      <c r="A13" s="89">
        <v>68</v>
      </c>
      <c r="B13" s="89" t="s">
        <v>430</v>
      </c>
      <c r="C13" s="123">
        <v>-1436193.29</v>
      </c>
      <c r="D13" s="124">
        <v>-44040.7</v>
      </c>
      <c r="E13" s="278">
        <v>-1480233.99</v>
      </c>
    </row>
    <row r="14" spans="1:5" ht="21" customHeight="1" thickBot="1">
      <c r="A14" s="89">
        <v>69</v>
      </c>
      <c r="B14" s="89" t="s">
        <v>431</v>
      </c>
      <c r="C14" s="123">
        <v>78521.070000000007</v>
      </c>
      <c r="D14" s="124">
        <v>1930.3</v>
      </c>
      <c r="E14" s="278">
        <v>80451.37</v>
      </c>
    </row>
    <row r="15" spans="1:5" ht="27" customHeight="1" thickBot="1">
      <c r="A15" s="90">
        <v>6</v>
      </c>
      <c r="B15" s="90" t="s">
        <v>432</v>
      </c>
      <c r="C15" s="123">
        <v>129560355.47</v>
      </c>
      <c r="D15" s="124">
        <v>3244581</v>
      </c>
      <c r="E15" s="278">
        <v>132804936.47</v>
      </c>
    </row>
    <row r="16" spans="1:5" ht="20" customHeight="1" thickBot="1">
      <c r="A16" s="89">
        <v>31.1</v>
      </c>
      <c r="B16" s="89" t="s">
        <v>465</v>
      </c>
      <c r="C16" s="123">
        <v>78280997.400000006</v>
      </c>
      <c r="D16" s="124">
        <v>1476080.6</v>
      </c>
      <c r="E16" s="278">
        <v>79757078</v>
      </c>
    </row>
    <row r="17" spans="1:5" ht="20" customHeight="1" thickBot="1">
      <c r="A17" s="89">
        <v>31.2</v>
      </c>
      <c r="B17" s="89" t="s">
        <v>466</v>
      </c>
      <c r="C17" s="123">
        <v>6027664.5899999999</v>
      </c>
      <c r="D17" s="124">
        <v>244831.45</v>
      </c>
      <c r="E17" s="278">
        <v>6272496.04</v>
      </c>
    </row>
    <row r="18" spans="1:5" ht="20" customHeight="1" thickBot="1">
      <c r="A18" s="89">
        <v>32</v>
      </c>
      <c r="B18" s="89" t="s">
        <v>434</v>
      </c>
      <c r="C18" s="123">
        <v>-4890120.8</v>
      </c>
      <c r="D18" s="124">
        <v>-102110.21</v>
      </c>
      <c r="E18" s="278">
        <v>-4992231.01</v>
      </c>
    </row>
    <row r="19" spans="1:5" ht="27" customHeight="1" thickBot="1">
      <c r="A19" s="90" t="s">
        <v>435</v>
      </c>
      <c r="B19" s="90" t="s">
        <v>262</v>
      </c>
      <c r="C19" s="123">
        <v>79418541.200000003</v>
      </c>
      <c r="D19" s="124">
        <v>1618801.84</v>
      </c>
      <c r="E19" s="278">
        <v>81037343.040000007</v>
      </c>
    </row>
    <row r="20" spans="1:5" ht="20" customHeight="1" thickBot="1">
      <c r="A20" s="89">
        <v>34</v>
      </c>
      <c r="B20" s="89" t="s">
        <v>436</v>
      </c>
      <c r="C20" s="123">
        <v>139465.18</v>
      </c>
      <c r="D20" s="124">
        <v>2733.78</v>
      </c>
      <c r="E20" s="278">
        <v>142198.96</v>
      </c>
    </row>
    <row r="21" spans="1:5" ht="20" customHeight="1" thickBot="1">
      <c r="A21" s="89">
        <v>35</v>
      </c>
      <c r="B21" s="89" t="s">
        <v>437</v>
      </c>
      <c r="C21" s="123">
        <v>21326013.600000001</v>
      </c>
      <c r="D21" s="124">
        <v>321513</v>
      </c>
      <c r="E21" s="278">
        <v>21647526.600000001</v>
      </c>
    </row>
    <row r="22" spans="1:5" ht="20" customHeight="1" thickBot="1">
      <c r="A22" s="89">
        <v>35.1</v>
      </c>
      <c r="B22" s="89" t="s">
        <v>467</v>
      </c>
      <c r="C22" s="123">
        <v>400731.59</v>
      </c>
      <c r="D22" s="124">
        <v>73596.88</v>
      </c>
      <c r="E22" s="278">
        <v>474328.47</v>
      </c>
    </row>
    <row r="23" spans="1:5" ht="27" customHeight="1" thickBot="1">
      <c r="A23" s="90" t="s">
        <v>438</v>
      </c>
      <c r="B23" s="90" t="s">
        <v>248</v>
      </c>
      <c r="C23" s="123">
        <v>101284751.58</v>
      </c>
      <c r="D23" s="124">
        <v>2016645.51</v>
      </c>
      <c r="E23" s="278">
        <v>103301397.09</v>
      </c>
    </row>
    <row r="24" spans="1:5" ht="20" customHeight="1" thickBot="1">
      <c r="A24" s="89">
        <v>36</v>
      </c>
      <c r="B24" s="89" t="s">
        <v>439</v>
      </c>
      <c r="C24" s="123">
        <v>-10435.959999999999</v>
      </c>
      <c r="D24" s="124">
        <v>-77.459999999999994</v>
      </c>
      <c r="E24" s="278">
        <v>-10513.42</v>
      </c>
    </row>
    <row r="25" spans="1:5" ht="20" customHeight="1" thickBot="1">
      <c r="A25" s="89">
        <v>37</v>
      </c>
      <c r="B25" s="89" t="s">
        <v>440</v>
      </c>
      <c r="C25" s="123">
        <v>23848002.34</v>
      </c>
      <c r="D25" s="124">
        <v>399956.38</v>
      </c>
      <c r="E25" s="278">
        <v>24247958.719999999</v>
      </c>
    </row>
    <row r="26" spans="1:5" ht="27" customHeight="1" thickBot="1">
      <c r="A26" s="90">
        <v>3</v>
      </c>
      <c r="B26" s="90" t="s">
        <v>441</v>
      </c>
      <c r="C26" s="123">
        <v>125122317.98999999</v>
      </c>
      <c r="D26" s="124">
        <v>2416524.4300000002</v>
      </c>
      <c r="E26" s="278">
        <v>127538842.42</v>
      </c>
    </row>
    <row r="27" spans="1:5" ht="20" customHeight="1" thickBot="1">
      <c r="A27" s="89" t="s">
        <v>442</v>
      </c>
      <c r="B27" s="89" t="s">
        <v>443</v>
      </c>
      <c r="C27" s="123">
        <v>8391612</v>
      </c>
      <c r="D27" s="124">
        <v>206659.26</v>
      </c>
      <c r="E27" s="278">
        <v>8598271.2599999998</v>
      </c>
    </row>
    <row r="28" spans="1:5" ht="20" customHeight="1" thickBot="1">
      <c r="A28" s="89">
        <v>48</v>
      </c>
      <c r="B28" s="89" t="s">
        <v>444</v>
      </c>
      <c r="C28" s="123">
        <v>534846.55000000005</v>
      </c>
      <c r="D28" s="124">
        <v>8136.41</v>
      </c>
      <c r="E28" s="278">
        <v>542982.96</v>
      </c>
    </row>
    <row r="29" spans="1:5" ht="20" customHeight="1" thickBot="1">
      <c r="A29" s="89">
        <v>49</v>
      </c>
      <c r="B29" s="89" t="s">
        <v>445</v>
      </c>
      <c r="C29" s="123">
        <v>484819.93</v>
      </c>
      <c r="D29" s="124">
        <v>4730.42</v>
      </c>
      <c r="E29" s="278">
        <v>489550.35</v>
      </c>
    </row>
    <row r="30" spans="1:5" ht="27" customHeight="1" thickBot="1">
      <c r="A30" s="90">
        <v>4</v>
      </c>
      <c r="B30" s="90" t="s">
        <v>446</v>
      </c>
      <c r="C30" s="123">
        <v>9411278.4700000007</v>
      </c>
      <c r="D30" s="124">
        <v>219526.09</v>
      </c>
      <c r="E30" s="278">
        <v>9630804.5600000005</v>
      </c>
    </row>
    <row r="31" spans="1:5" ht="27" customHeight="1" thickBot="1">
      <c r="A31" s="90" t="s">
        <v>447</v>
      </c>
      <c r="B31" s="90" t="s">
        <v>448</v>
      </c>
      <c r="C31" s="123">
        <v>134533596.41999999</v>
      </c>
      <c r="D31" s="124">
        <v>2636050.52</v>
      </c>
      <c r="E31" s="278">
        <v>137169646.94</v>
      </c>
    </row>
    <row r="32" spans="1:5" ht="27" customHeight="1" thickBot="1">
      <c r="A32" s="90"/>
      <c r="B32" s="90" t="s">
        <v>449</v>
      </c>
      <c r="C32" s="133">
        <v>-4973240.97</v>
      </c>
      <c r="D32" s="132">
        <v>608530.47</v>
      </c>
      <c r="E32" s="267">
        <v>-4364710.5</v>
      </c>
    </row>
    <row r="33" spans="1:5" ht="27" customHeight="1" thickBot="1">
      <c r="A33" s="90">
        <v>7</v>
      </c>
      <c r="B33" s="90" t="s">
        <v>450</v>
      </c>
      <c r="C33" s="133">
        <v>1712290.86</v>
      </c>
      <c r="D33" s="132">
        <v>35057</v>
      </c>
      <c r="E33" s="267">
        <v>1747347.86</v>
      </c>
    </row>
    <row r="34" spans="1:5" ht="27.75" customHeight="1" thickBot="1">
      <c r="A34" s="280"/>
      <c r="B34" s="280" t="s">
        <v>451</v>
      </c>
      <c r="C34" s="281">
        <v>-3260950.08</v>
      </c>
      <c r="D34" s="282">
        <v>643587.46</v>
      </c>
      <c r="E34" s="283">
        <v>-2617362.62</v>
      </c>
    </row>
    <row r="35" spans="1:5" ht="22.5" customHeight="1">
      <c r="A35" s="284"/>
      <c r="B35" s="284"/>
      <c r="C35" s="285"/>
      <c r="D35" s="285"/>
      <c r="E35" s="286"/>
    </row>
    <row r="36" spans="1:5" ht="24" customHeight="1">
      <c r="A36" s="287" t="s">
        <v>468</v>
      </c>
      <c r="B36" s="288"/>
      <c r="C36" s="288"/>
      <c r="D36" s="288"/>
      <c r="E36" s="288"/>
    </row>
    <row r="37" spans="1:5" ht="21" customHeight="1" thickBot="1">
      <c r="A37" s="289"/>
      <c r="B37" s="289" t="s">
        <v>469</v>
      </c>
      <c r="C37" s="290" t="s">
        <v>35</v>
      </c>
      <c r="D37" s="291" t="s">
        <v>35</v>
      </c>
      <c r="E37" s="125">
        <v>50233882.57</v>
      </c>
    </row>
    <row r="38" spans="1:5" ht="21" customHeight="1" thickBot="1">
      <c r="A38" s="90"/>
      <c r="B38" s="90" t="s">
        <v>470</v>
      </c>
      <c r="C38" s="268" t="s">
        <v>35</v>
      </c>
      <c r="D38" s="269" t="s">
        <v>35</v>
      </c>
      <c r="E38" s="270">
        <v>-3061310.19</v>
      </c>
    </row>
    <row r="39" spans="1:5" ht="21" customHeight="1" thickBot="1">
      <c r="A39" s="90"/>
      <c r="B39" s="90" t="s">
        <v>471</v>
      </c>
      <c r="C39" s="268" t="s">
        <v>35</v>
      </c>
      <c r="D39" s="269" t="s">
        <v>35</v>
      </c>
      <c r="E39" s="270">
        <v>47172572.380000003</v>
      </c>
    </row>
    <row r="40" spans="1:5" ht="15.75" customHeight="1">
      <c r="A40" s="95" t="s">
        <v>678</v>
      </c>
      <c r="B40" s="292"/>
      <c r="C40" s="95"/>
      <c r="D40" s="117"/>
      <c r="E40" s="293"/>
    </row>
    <row r="42" spans="1:5">
      <c r="A42" s="3" t="s">
        <v>472</v>
      </c>
    </row>
    <row r="43" spans="1:5">
      <c r="A43" s="295" t="s">
        <v>473</v>
      </c>
    </row>
    <row r="45" spans="1:5">
      <c r="A45" s="3" t="s">
        <v>474</v>
      </c>
    </row>
    <row r="48" spans="1:5">
      <c r="A48" s="3" t="s">
        <v>677</v>
      </c>
    </row>
  </sheetData>
  <mergeCells count="1">
    <mergeCell ref="A1:D1"/>
  </mergeCells>
  <pageMargins left="0.47244094488188981" right="0.59055118110236227" top="0.5" bottom="0.3" header="0.26" footer="0.19"/>
  <pageSetup paperSize="9" scale="78" orientation="portrait" horizontalDpi="1200" verticalDpi="1200"/>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46037-94BA-6B4E-B017-5830A94335BA}">
  <sheetPr>
    <pageSetUpPr fitToPage="1"/>
  </sheetPr>
  <dimension ref="A1:J27"/>
  <sheetViews>
    <sheetView zoomScaleNormal="100" workbookViewId="0">
      <selection activeCell="A3" sqref="A3"/>
    </sheetView>
  </sheetViews>
  <sheetFormatPr baseColWidth="10" defaultColWidth="11.3984375" defaultRowHeight="13"/>
  <cols>
    <col min="1" max="1" width="14.3984375" style="3" customWidth="1"/>
    <col min="2" max="2" width="17.3984375" style="3" customWidth="1"/>
    <col min="3" max="5" width="15.3984375" style="3" customWidth="1"/>
    <col min="6" max="6" width="16.3984375" style="3" customWidth="1"/>
    <col min="7" max="16384" width="11.3984375" style="3"/>
  </cols>
  <sheetData>
    <row r="1" spans="1:10" s="2" customFormat="1" ht="14" customHeight="1"/>
    <row r="2" spans="1:10" s="2" customFormat="1" ht="26.25" customHeight="1">
      <c r="A2" s="1807" t="s">
        <v>679</v>
      </c>
      <c r="B2" s="1811"/>
      <c r="C2" s="1811"/>
      <c r="D2" s="1811"/>
      <c r="E2" s="1811"/>
      <c r="F2" s="1811"/>
    </row>
    <row r="3" spans="1:10" ht="24" customHeight="1">
      <c r="A3" s="72" t="s">
        <v>680</v>
      </c>
      <c r="B3" s="73" t="s">
        <v>681</v>
      </c>
      <c r="C3" s="74" t="s">
        <v>682</v>
      </c>
      <c r="D3" s="73" t="s">
        <v>683</v>
      </c>
      <c r="E3" s="74" t="s">
        <v>684</v>
      </c>
      <c r="F3" s="73" t="s">
        <v>190</v>
      </c>
    </row>
    <row r="4" spans="1:10" ht="15" customHeight="1">
      <c r="A4" s="328"/>
      <c r="B4" s="76" t="s">
        <v>685</v>
      </c>
      <c r="C4" s="77" t="s">
        <v>686</v>
      </c>
      <c r="D4" s="76" t="s">
        <v>687</v>
      </c>
      <c r="E4" s="106" t="s">
        <v>688</v>
      </c>
      <c r="F4" s="76"/>
    </row>
    <row r="5" spans="1:10" ht="15" customHeight="1">
      <c r="A5" s="328"/>
      <c r="B5" s="76" t="s">
        <v>689</v>
      </c>
      <c r="C5" s="77" t="s">
        <v>690</v>
      </c>
      <c r="D5" s="76"/>
      <c r="E5" s="106" t="s">
        <v>691</v>
      </c>
      <c r="F5" s="76"/>
    </row>
    <row r="6" spans="1:10" ht="21.75" customHeight="1">
      <c r="A6" s="329"/>
      <c r="B6" s="82"/>
      <c r="C6" s="81"/>
      <c r="D6" s="82"/>
      <c r="E6" s="109" t="s">
        <v>692</v>
      </c>
      <c r="F6" s="82"/>
    </row>
    <row r="7" spans="1:10" ht="1.5" customHeight="1" thickBot="1">
      <c r="A7" s="427">
        <v>1996</v>
      </c>
      <c r="B7" s="308">
        <v>-991.77532199999996</v>
      </c>
      <c r="C7" s="428">
        <v>663.77988200000004</v>
      </c>
      <c r="D7" s="308">
        <v>3.1671990000000001</v>
      </c>
      <c r="E7" s="428">
        <v>4.8958959999999996</v>
      </c>
      <c r="F7" s="308">
        <v>-319.932346</v>
      </c>
      <c r="G7" s="8"/>
    </row>
    <row r="8" spans="1:10" ht="0.75" hidden="1" customHeight="1" thickBot="1">
      <c r="A8" s="333">
        <v>1997</v>
      </c>
      <c r="B8" s="429">
        <v>-876.45968600000003</v>
      </c>
      <c r="C8" s="430">
        <v>838.25617299999999</v>
      </c>
      <c r="D8" s="429">
        <v>-2.0302950000000002</v>
      </c>
      <c r="E8" s="430">
        <v>110.40569600000001</v>
      </c>
      <c r="F8" s="429">
        <v>70.171887999999996</v>
      </c>
      <c r="G8" s="8"/>
      <c r="H8" s="9"/>
      <c r="I8" s="9"/>
      <c r="J8" s="9"/>
    </row>
    <row r="9" spans="1:10" ht="25.5" hidden="1" customHeight="1" thickBot="1">
      <c r="A9" s="333">
        <v>1998</v>
      </c>
      <c r="B9" s="429">
        <v>-430.86645099999998</v>
      </c>
      <c r="C9" s="430">
        <v>357.97673800000001</v>
      </c>
      <c r="D9" s="429">
        <v>4.5447670000000002</v>
      </c>
      <c r="E9" s="430">
        <v>68.311649000000003</v>
      </c>
      <c r="F9" s="429">
        <v>-3.3297E-2</v>
      </c>
      <c r="G9" s="8"/>
    </row>
    <row r="10" spans="1:10" ht="19.75" hidden="1" customHeight="1" thickBot="1">
      <c r="A10" s="333">
        <v>1999</v>
      </c>
      <c r="B10" s="429">
        <v>-927.49870799999997</v>
      </c>
      <c r="C10" s="430">
        <v>825.43840799999998</v>
      </c>
      <c r="D10" s="429">
        <v>3.6142530000000002</v>
      </c>
      <c r="E10" s="430">
        <v>49.059277000000002</v>
      </c>
      <c r="F10" s="429">
        <v>-49.386769999999999</v>
      </c>
      <c r="G10" s="8"/>
    </row>
    <row r="11" spans="1:10" ht="19.5" customHeight="1" thickBot="1">
      <c r="A11" s="333">
        <v>2000</v>
      </c>
      <c r="B11" s="429">
        <v>-1105.229685</v>
      </c>
      <c r="C11" s="430">
        <v>733.25541792999991</v>
      </c>
      <c r="D11" s="429">
        <v>3.8776509400000001</v>
      </c>
      <c r="E11" s="430">
        <v>62.142502969999995</v>
      </c>
      <c r="F11" s="429">
        <v>-305.95411339999998</v>
      </c>
      <c r="G11" s="8"/>
    </row>
    <row r="12" spans="1:10" ht="19.5" customHeight="1" thickBot="1">
      <c r="A12" s="333">
        <v>2001</v>
      </c>
      <c r="B12" s="429">
        <v>-1433.3465880000001</v>
      </c>
      <c r="C12" s="430">
        <v>618.03701349999994</v>
      </c>
      <c r="D12" s="429">
        <v>2.4723382099999998</v>
      </c>
      <c r="E12" s="430">
        <v>23.119861409999999</v>
      </c>
      <c r="F12" s="429">
        <v>-789.71737487999997</v>
      </c>
      <c r="G12" s="8"/>
    </row>
    <row r="13" spans="1:10" ht="19.5" customHeight="1" thickBot="1">
      <c r="A13" s="333">
        <v>2002</v>
      </c>
      <c r="B13" s="429">
        <v>-1276.900302</v>
      </c>
      <c r="C13" s="430">
        <v>976.64273475999994</v>
      </c>
      <c r="D13" s="429">
        <v>4.2638926399999999</v>
      </c>
      <c r="E13" s="430">
        <v>72.321311690000002</v>
      </c>
      <c r="F13" s="429">
        <v>-223.67236291000003</v>
      </c>
      <c r="G13" s="8"/>
    </row>
    <row r="14" spans="1:10" ht="19.5" customHeight="1" thickBot="1">
      <c r="A14" s="333">
        <v>2003</v>
      </c>
      <c r="B14" s="429">
        <v>-1199.9593440000001</v>
      </c>
      <c r="C14" s="430">
        <v>1406.6882224999999</v>
      </c>
      <c r="D14" s="429">
        <v>4.8424903200000005</v>
      </c>
      <c r="E14" s="430">
        <v>188.15856750999998</v>
      </c>
      <c r="F14" s="429">
        <v>399.72993632999999</v>
      </c>
      <c r="G14" s="8"/>
    </row>
    <row r="15" spans="1:10" ht="19.5" customHeight="1" thickBot="1">
      <c r="A15" s="333">
        <v>2004</v>
      </c>
      <c r="B15" s="429">
        <v>-1391.6407119999999</v>
      </c>
      <c r="C15" s="430">
        <v>1634.9812055999998</v>
      </c>
      <c r="D15" s="429">
        <v>5.2363249600000001</v>
      </c>
      <c r="E15" s="430">
        <v>265.5648372</v>
      </c>
      <c r="F15" s="429">
        <v>514.14165575999982</v>
      </c>
      <c r="G15" s="8"/>
    </row>
    <row r="16" spans="1:10" ht="19.5" customHeight="1" thickBot="1">
      <c r="A16" s="333">
        <v>2005</v>
      </c>
      <c r="B16" s="429">
        <v>-1649.4161382499999</v>
      </c>
      <c r="C16" s="430">
        <v>1546.15646917</v>
      </c>
      <c r="D16" s="429">
        <v>5.0852622199999997</v>
      </c>
      <c r="E16" s="430">
        <v>269.59908074000003</v>
      </c>
      <c r="F16" s="429">
        <v>171.42467388000009</v>
      </c>
      <c r="G16" s="8"/>
    </row>
    <row r="17" spans="1:7" ht="19.5" customHeight="1" thickBot="1">
      <c r="A17" s="333">
        <v>2006</v>
      </c>
      <c r="B17" s="429">
        <v>-1546.9894788199999</v>
      </c>
      <c r="C17" s="430">
        <v>1652.4787121400002</v>
      </c>
      <c r="D17" s="429">
        <v>4.8317589400000003</v>
      </c>
      <c r="E17" s="430">
        <v>380.62896021</v>
      </c>
      <c r="F17" s="429">
        <v>490.94995247000014</v>
      </c>
      <c r="G17" s="8"/>
    </row>
    <row r="18" spans="1:7" ht="19.5" customHeight="1" thickBot="1">
      <c r="A18" s="333">
        <v>2007</v>
      </c>
      <c r="B18" s="429">
        <v>-1647.7206760699999</v>
      </c>
      <c r="C18" s="430">
        <v>1490.2231348800001</v>
      </c>
      <c r="D18" s="429">
        <v>5.3827035700000003</v>
      </c>
      <c r="E18" s="430">
        <v>330.77491456000001</v>
      </c>
      <c r="F18" s="429">
        <v>178.66007694000018</v>
      </c>
      <c r="G18" s="8"/>
    </row>
    <row r="19" spans="1:7" ht="19.5" customHeight="1" thickBot="1">
      <c r="A19" s="333">
        <v>2008</v>
      </c>
      <c r="B19" s="429">
        <v>-2065.22871609</v>
      </c>
      <c r="C19" s="430">
        <v>1210.1395178499999</v>
      </c>
      <c r="D19" s="429">
        <v>3.7607259900000001</v>
      </c>
      <c r="E19" s="430">
        <v>96.009766569999996</v>
      </c>
      <c r="F19" s="429">
        <v>-755.31870568000011</v>
      </c>
      <c r="G19" s="8"/>
    </row>
    <row r="20" spans="1:7" ht="19.5" customHeight="1" thickBot="1">
      <c r="A20" s="333">
        <v>2009</v>
      </c>
      <c r="B20" s="429">
        <v>-1681.9109433599999</v>
      </c>
      <c r="C20" s="430">
        <v>1084.05465501</v>
      </c>
      <c r="D20" s="429">
        <v>4.3658856799999999</v>
      </c>
      <c r="E20" s="430">
        <v>121.88118064</v>
      </c>
      <c r="F20" s="429">
        <v>-471.60922202999984</v>
      </c>
      <c r="G20" s="8"/>
    </row>
    <row r="21" spans="1:7" ht="30" customHeight="1" thickBot="1">
      <c r="A21" s="431">
        <v>2010</v>
      </c>
      <c r="B21" s="432">
        <v>-1450.2067990799999</v>
      </c>
      <c r="C21" s="433">
        <v>1231.1412968599998</v>
      </c>
      <c r="D21" s="432">
        <v>6.3382554500000001</v>
      </c>
      <c r="E21" s="433">
        <v>437.23905256</v>
      </c>
      <c r="F21" s="432">
        <v>224.5118057899999</v>
      </c>
      <c r="G21" s="434"/>
    </row>
    <row r="22" spans="1:7" ht="20" customHeight="1">
      <c r="A22" s="95" t="s">
        <v>678</v>
      </c>
      <c r="B22" s="95"/>
      <c r="C22" s="95"/>
      <c r="D22" s="95"/>
      <c r="E22" s="95"/>
      <c r="F22" s="95"/>
    </row>
    <row r="23" spans="1:7" ht="12" customHeight="1">
      <c r="A23" s="96"/>
      <c r="B23" s="96"/>
      <c r="C23" s="96"/>
      <c r="D23" s="96"/>
      <c r="E23" s="96"/>
      <c r="F23" s="96"/>
    </row>
    <row r="24" spans="1:7">
      <c r="A24" s="3" t="s">
        <v>693</v>
      </c>
    </row>
    <row r="27" spans="1:7">
      <c r="A27" s="3" t="s">
        <v>677</v>
      </c>
    </row>
  </sheetData>
  <mergeCells count="1">
    <mergeCell ref="A2:F2"/>
  </mergeCells>
  <pageMargins left="0.6" right="0.65" top="1.01" bottom="0.49" header="0.53" footer="0.4921259845"/>
  <pageSetup paperSize="9" scale="85" orientation="portrait"/>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71B42-04AC-FF4E-8D22-96FA2C7A142B}">
  <sheetPr>
    <pageSetUpPr fitToPage="1"/>
  </sheetPr>
  <dimension ref="A1:J27"/>
  <sheetViews>
    <sheetView zoomScaleNormal="100" workbookViewId="0">
      <selection activeCell="I19" sqref="I19"/>
    </sheetView>
  </sheetViews>
  <sheetFormatPr baseColWidth="10" defaultColWidth="11.3984375" defaultRowHeight="13"/>
  <cols>
    <col min="1" max="1" width="14.3984375" style="3" customWidth="1"/>
    <col min="2" max="6" width="15.3984375" style="3" customWidth="1"/>
    <col min="7" max="7" width="16.19921875" style="3" customWidth="1"/>
    <col min="8" max="16384" width="11.3984375" style="3"/>
  </cols>
  <sheetData>
    <row r="1" spans="1:10" s="2" customFormat="1" ht="14" customHeight="1"/>
    <row r="2" spans="1:10" s="2" customFormat="1" ht="39" customHeight="1">
      <c r="A2" s="1807" t="s">
        <v>694</v>
      </c>
      <c r="B2" s="1811"/>
      <c r="C2" s="1811"/>
      <c r="D2" s="1811"/>
      <c r="E2" s="1811"/>
      <c r="F2" s="1811"/>
    </row>
    <row r="3" spans="1:10" ht="24" customHeight="1">
      <c r="A3" s="72" t="s">
        <v>695</v>
      </c>
      <c r="B3" s="73" t="s">
        <v>681</v>
      </c>
      <c r="C3" s="74" t="s">
        <v>682</v>
      </c>
      <c r="D3" s="73" t="s">
        <v>683</v>
      </c>
      <c r="E3" s="74" t="s">
        <v>684</v>
      </c>
      <c r="F3" s="73" t="s">
        <v>500</v>
      </c>
    </row>
    <row r="4" spans="1:10" ht="15" customHeight="1">
      <c r="A4" s="328"/>
      <c r="B4" s="76" t="s">
        <v>685</v>
      </c>
      <c r="C4" s="77" t="s">
        <v>686</v>
      </c>
      <c r="D4" s="76" t="s">
        <v>696</v>
      </c>
      <c r="E4" s="106" t="s">
        <v>688</v>
      </c>
      <c r="F4" s="76" t="s">
        <v>697</v>
      </c>
    </row>
    <row r="5" spans="1:10" ht="15" customHeight="1">
      <c r="A5" s="328"/>
      <c r="B5" s="76" t="s">
        <v>689</v>
      </c>
      <c r="C5" s="77" t="s">
        <v>690</v>
      </c>
      <c r="D5" s="76" t="s">
        <v>698</v>
      </c>
      <c r="E5" s="106" t="s">
        <v>699</v>
      </c>
      <c r="F5" s="76" t="s">
        <v>700</v>
      </c>
    </row>
    <row r="6" spans="1:10" ht="24" customHeight="1">
      <c r="A6" s="329"/>
      <c r="B6" s="82"/>
      <c r="C6" s="81"/>
      <c r="D6" s="82"/>
      <c r="E6" s="109" t="s">
        <v>692</v>
      </c>
      <c r="F6" s="82"/>
    </row>
    <row r="7" spans="1:10" ht="1.5" customHeight="1" thickBot="1">
      <c r="A7" s="427">
        <v>1996</v>
      </c>
      <c r="B7" s="123">
        <v>-209.25119249563258</v>
      </c>
      <c r="C7" s="124">
        <v>287.88798918153714</v>
      </c>
      <c r="D7" s="123">
        <v>113.8133893919793</v>
      </c>
      <c r="E7" s="124">
        <v>40.26296485139558</v>
      </c>
      <c r="F7" s="123">
        <v>-44.467447531910054</v>
      </c>
    </row>
    <row r="8" spans="1:10" ht="0.75" hidden="1" customHeight="1" thickBot="1">
      <c r="A8" s="333">
        <v>1997</v>
      </c>
      <c r="B8" s="133">
        <v>-214.61582270081155</v>
      </c>
      <c r="C8" s="132">
        <v>306.33942450638875</v>
      </c>
      <c r="D8" s="133">
        <v>-176.63955107012353</v>
      </c>
      <c r="E8" s="132">
        <v>288.19554520703849</v>
      </c>
      <c r="F8" s="133">
        <v>9.7260962701001628</v>
      </c>
      <c r="H8" s="9"/>
      <c r="I8" s="9"/>
      <c r="J8" s="9"/>
    </row>
    <row r="9" spans="1:10" ht="19.5" hidden="1" customHeight="1" thickBot="1">
      <c r="A9" s="333">
        <v>1998</v>
      </c>
      <c r="B9" s="133">
        <v>-107.28033046607707</v>
      </c>
      <c r="C9" s="132">
        <v>131.29687859897859</v>
      </c>
      <c r="D9" s="133">
        <v>384.2379945891106</v>
      </c>
      <c r="E9" s="132">
        <v>138.27149421099506</v>
      </c>
      <c r="F9" s="133">
        <v>-4.5935747895146139E-3</v>
      </c>
    </row>
    <row r="10" spans="1:10" ht="19.75" hidden="1" customHeight="1" thickBot="1">
      <c r="A10" s="333">
        <v>1999</v>
      </c>
      <c r="B10" s="133">
        <v>-231.94750851767455</v>
      </c>
      <c r="C10" s="132">
        <v>303.95700464199626</v>
      </c>
      <c r="D10" s="133">
        <v>352.33505556638721</v>
      </c>
      <c r="E10" s="132">
        <v>90.53364520474635</v>
      </c>
      <c r="F10" s="133">
        <v>-6.7964685777290796</v>
      </c>
    </row>
    <row r="11" spans="1:10" ht="20" customHeight="1" thickBot="1">
      <c r="A11" s="333">
        <v>2000</v>
      </c>
      <c r="B11" s="133">
        <v>-281.80831964955939</v>
      </c>
      <c r="C11" s="132">
        <v>265.81296038591444</v>
      </c>
      <c r="D11" s="133">
        <v>395.23503618387525</v>
      </c>
      <c r="E11" s="132">
        <v>107.54256442516194</v>
      </c>
      <c r="F11" s="133">
        <v>-42.095410127886048</v>
      </c>
    </row>
    <row r="12" spans="1:10" ht="20" customHeight="1" thickBot="1">
      <c r="A12" s="333">
        <v>2001</v>
      </c>
      <c r="B12" s="133">
        <v>-369.21073383560986</v>
      </c>
      <c r="C12" s="132">
        <v>218.09355776804139</v>
      </c>
      <c r="D12" s="133">
        <v>264.67596724119471</v>
      </c>
      <c r="E12" s="132">
        <v>38.795684474417683</v>
      </c>
      <c r="F12" s="133">
        <v>-107.86592232759077</v>
      </c>
    </row>
    <row r="13" spans="1:10" ht="20" customHeight="1" thickBot="1">
      <c r="A13" s="333">
        <v>2002</v>
      </c>
      <c r="B13" s="133">
        <v>-334.90929649130862</v>
      </c>
      <c r="C13" s="132">
        <v>327.64230472151957</v>
      </c>
      <c r="D13" s="133">
        <v>482.61376796830785</v>
      </c>
      <c r="E13" s="132">
        <v>129.83261678350553</v>
      </c>
      <c r="F13" s="133">
        <v>-30.392888912290669</v>
      </c>
    </row>
    <row r="14" spans="1:10" ht="20" customHeight="1" thickBot="1">
      <c r="A14" s="333">
        <v>2003</v>
      </c>
      <c r="B14" s="133">
        <v>-326.58442193959615</v>
      </c>
      <c r="C14" s="132">
        <v>452.73392575127201</v>
      </c>
      <c r="D14" s="133">
        <v>582.24002885655887</v>
      </c>
      <c r="E14" s="132">
        <v>311.77683579562023</v>
      </c>
      <c r="F14" s="133">
        <v>54.067330132819563</v>
      </c>
    </row>
    <row r="15" spans="1:10" ht="20" customHeight="1" thickBot="1">
      <c r="A15" s="333">
        <v>2004</v>
      </c>
      <c r="B15" s="133">
        <v>-382.39377988050956</v>
      </c>
      <c r="C15" s="132">
        <v>540.52128193947215</v>
      </c>
      <c r="D15" s="133">
        <v>646.61953074833286</v>
      </c>
      <c r="E15" s="132">
        <v>355.14430610645576</v>
      </c>
      <c r="F15" s="133">
        <v>69.291571070195104</v>
      </c>
    </row>
    <row r="16" spans="1:10" ht="20" customHeight="1" thickBot="1">
      <c r="A16" s="333">
        <v>2005</v>
      </c>
      <c r="B16" s="133">
        <v>-457.46233703722402</v>
      </c>
      <c r="C16" s="132">
        <v>526.06943385550483</v>
      </c>
      <c r="D16" s="133">
        <v>659.48154843729731</v>
      </c>
      <c r="E16" s="132">
        <v>297.53361969202518</v>
      </c>
      <c r="F16" s="133">
        <v>22.983877251046639</v>
      </c>
    </row>
    <row r="17" spans="1:6" ht="20" customHeight="1" thickBot="1">
      <c r="A17" s="333">
        <v>2006</v>
      </c>
      <c r="B17" s="133">
        <v>-460.949938416431</v>
      </c>
      <c r="C17" s="132">
        <v>592.83257515796822</v>
      </c>
      <c r="D17" s="133">
        <v>669.21868975069253</v>
      </c>
      <c r="E17" s="132">
        <v>280.53307562761364</v>
      </c>
      <c r="F17" s="133">
        <v>65.394207090333808</v>
      </c>
    </row>
    <row r="18" spans="1:6" ht="20" customHeight="1" thickBot="1">
      <c r="A18" s="333">
        <v>2007</v>
      </c>
      <c r="B18" s="133">
        <v>-523.18043356720625</v>
      </c>
      <c r="C18" s="132">
        <v>577.6616172956227</v>
      </c>
      <c r="D18" s="133">
        <v>779.76293930175291</v>
      </c>
      <c r="E18" s="132">
        <v>179.66674102290708</v>
      </c>
      <c r="F18" s="133">
        <v>23.57885238636468</v>
      </c>
    </row>
    <row r="19" spans="1:6" ht="20" customHeight="1" thickBot="1">
      <c r="A19" s="333">
        <v>2008</v>
      </c>
      <c r="B19" s="133">
        <v>-695.79333085705503</v>
      </c>
      <c r="C19" s="132">
        <v>505.40006483827597</v>
      </c>
      <c r="D19" s="133">
        <v>573.54369223730373</v>
      </c>
      <c r="E19" s="132">
        <v>41.734830202162946</v>
      </c>
      <c r="F19" s="133">
        <v>-98.482009802061683</v>
      </c>
    </row>
    <row r="20" spans="1:6" ht="20" customHeight="1" thickBot="1">
      <c r="A20" s="333">
        <v>2009</v>
      </c>
      <c r="B20" s="133">
        <v>-617.40706927192127</v>
      </c>
      <c r="C20" s="132">
        <v>501.83068232343282</v>
      </c>
      <c r="D20" s="133">
        <v>710.13104749512036</v>
      </c>
      <c r="E20" s="132">
        <v>42.639330908197657</v>
      </c>
      <c r="F20" s="133">
        <v>-60.861268998486345</v>
      </c>
    </row>
    <row r="21" spans="1:6" s="248" customFormat="1" ht="30" customHeight="1" thickBot="1">
      <c r="A21" s="431">
        <v>2010</v>
      </c>
      <c r="B21" s="435">
        <v>-605.39071524853591</v>
      </c>
      <c r="C21" s="436">
        <v>703.46750642247537</v>
      </c>
      <c r="D21" s="435">
        <v>1118.2525494001411</v>
      </c>
      <c r="E21" s="436">
        <v>119.09418401622064</v>
      </c>
      <c r="F21" s="435">
        <v>28.700286181136185</v>
      </c>
    </row>
    <row r="22" spans="1:6" ht="20" customHeight="1">
      <c r="A22" s="95" t="s">
        <v>678</v>
      </c>
      <c r="B22" s="95"/>
      <c r="C22" s="95"/>
      <c r="D22" s="95"/>
      <c r="E22" s="95"/>
      <c r="F22" s="95"/>
    </row>
    <row r="24" spans="1:6">
      <c r="A24" s="3" t="s">
        <v>701</v>
      </c>
    </row>
    <row r="27" spans="1:6">
      <c r="A27" s="3" t="s">
        <v>677</v>
      </c>
    </row>
  </sheetData>
  <mergeCells count="1">
    <mergeCell ref="A2:F2"/>
  </mergeCells>
  <pageMargins left="0.57999999999999996" right="0.72" top="1.1000000000000001" bottom="0.49" header="0.57999999999999996" footer="0.4921259845"/>
  <pageSetup paperSize="9" scale="83" orientation="portrait" horizontalDpi="4294967292" verticalDpi="4294967292"/>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65099-5CA2-AC42-BB4C-F61A8D86C59B}">
  <sheetPr>
    <pageSetUpPr fitToPage="1"/>
  </sheetPr>
  <dimension ref="A1:J27"/>
  <sheetViews>
    <sheetView zoomScaleNormal="100" workbookViewId="0">
      <selection activeCell="E6" sqref="E6"/>
    </sheetView>
  </sheetViews>
  <sheetFormatPr baseColWidth="10" defaultColWidth="11.3984375" defaultRowHeight="13"/>
  <cols>
    <col min="1" max="1" width="14.3984375" style="3" customWidth="1"/>
    <col min="2" max="7" width="15.3984375" style="3" customWidth="1"/>
    <col min="8" max="8" width="17.59765625" style="3" customWidth="1"/>
    <col min="9" max="16384" width="11.3984375" style="3"/>
  </cols>
  <sheetData>
    <row r="1" spans="1:10" s="2" customFormat="1" ht="14" customHeight="1"/>
    <row r="2" spans="1:10" s="2" customFormat="1" ht="28" customHeight="1">
      <c r="A2" s="71" t="s">
        <v>702</v>
      </c>
      <c r="H2" s="437"/>
    </row>
    <row r="3" spans="1:10" ht="24" customHeight="1">
      <c r="A3" s="72" t="s">
        <v>695</v>
      </c>
      <c r="B3" s="73" t="s">
        <v>681</v>
      </c>
      <c r="C3" s="74" t="s">
        <v>682</v>
      </c>
      <c r="D3" s="73" t="s">
        <v>683</v>
      </c>
      <c r="E3" s="74" t="s">
        <v>684</v>
      </c>
      <c r="F3" s="73" t="s">
        <v>190</v>
      </c>
      <c r="G3" s="74" t="s">
        <v>703</v>
      </c>
      <c r="H3" s="76" t="s">
        <v>697</v>
      </c>
    </row>
    <row r="4" spans="1:10" ht="15" customHeight="1">
      <c r="A4" s="328"/>
      <c r="B4" s="76" t="s">
        <v>685</v>
      </c>
      <c r="C4" s="77" t="s">
        <v>686</v>
      </c>
      <c r="D4" s="76" t="s">
        <v>696</v>
      </c>
      <c r="E4" s="77" t="s">
        <v>688</v>
      </c>
      <c r="F4" s="76"/>
      <c r="G4" s="77" t="s">
        <v>697</v>
      </c>
      <c r="H4" s="438" t="s">
        <v>704</v>
      </c>
    </row>
    <row r="5" spans="1:10" ht="15" customHeight="1">
      <c r="A5" s="328"/>
      <c r="B5" s="76" t="s">
        <v>689</v>
      </c>
      <c r="C5" s="77" t="s">
        <v>690</v>
      </c>
      <c r="D5" s="76" t="s">
        <v>698</v>
      </c>
      <c r="E5" s="77" t="s">
        <v>691</v>
      </c>
      <c r="F5" s="76"/>
      <c r="G5" s="439" t="s">
        <v>704</v>
      </c>
      <c r="H5" s="440" t="s">
        <v>705</v>
      </c>
    </row>
    <row r="6" spans="1:10" ht="20.25" customHeight="1">
      <c r="A6" s="329"/>
      <c r="B6" s="82"/>
      <c r="C6" s="81"/>
      <c r="D6" s="82"/>
      <c r="E6" s="81" t="s">
        <v>692</v>
      </c>
      <c r="F6" s="82"/>
      <c r="G6" s="81" t="s">
        <v>706</v>
      </c>
      <c r="H6" s="82"/>
    </row>
    <row r="7" spans="1:10" ht="1.25" customHeight="1" thickBot="1">
      <c r="A7" s="441">
        <v>1996</v>
      </c>
      <c r="B7" s="308">
        <v>649.20907799999998</v>
      </c>
      <c r="C7" s="428">
        <v>296.20469200000002</v>
      </c>
      <c r="D7" s="442">
        <v>2.7034440000000002</v>
      </c>
      <c r="E7" s="428">
        <v>11.710364999999999</v>
      </c>
      <c r="F7" s="308">
        <v>959.82757900000001</v>
      </c>
      <c r="G7" s="443">
        <v>8.160992566527614E-2</v>
      </c>
      <c r="H7" s="308">
        <v>11761.162275000001</v>
      </c>
    </row>
    <row r="8" spans="1:10" ht="20.25" hidden="1" customHeight="1" thickBot="1">
      <c r="A8" s="444">
        <v>1997</v>
      </c>
      <c r="B8" s="429">
        <v>500.88918699999999</v>
      </c>
      <c r="C8" s="430">
        <v>356.20229</v>
      </c>
      <c r="D8" s="445">
        <v>0.94700200000000001</v>
      </c>
      <c r="E8" s="430">
        <v>35.169956999999997</v>
      </c>
      <c r="F8" s="429">
        <v>893.208437</v>
      </c>
      <c r="G8" s="446">
        <v>7.2355407590263501E-2</v>
      </c>
      <c r="H8" s="429">
        <v>12344.736444</v>
      </c>
      <c r="I8" s="9"/>
      <c r="J8" s="9"/>
    </row>
    <row r="9" spans="1:10" ht="20.25" hidden="1" customHeight="1" thickBot="1">
      <c r="A9" s="444">
        <v>1998</v>
      </c>
      <c r="B9" s="429">
        <v>457.36546700000002</v>
      </c>
      <c r="C9" s="430">
        <v>348.23780499999998</v>
      </c>
      <c r="D9" s="445">
        <v>0.77532999999999996</v>
      </c>
      <c r="E9" s="430">
        <v>48.566195999999998</v>
      </c>
      <c r="F9" s="429">
        <v>854.94479699999999</v>
      </c>
      <c r="G9" s="446">
        <v>6.5539994260804965E-2</v>
      </c>
      <c r="H9" s="429">
        <v>13044.627279</v>
      </c>
    </row>
    <row r="10" spans="1:10" ht="19.75" hidden="1" customHeight="1" thickBot="1">
      <c r="A10" s="444">
        <v>1999</v>
      </c>
      <c r="B10" s="429">
        <v>466.63042200000001</v>
      </c>
      <c r="C10" s="430">
        <v>332.81061399999999</v>
      </c>
      <c r="D10" s="445">
        <v>0.65314099999999997</v>
      </c>
      <c r="E10" s="430">
        <v>54.148946000000002</v>
      </c>
      <c r="F10" s="429">
        <v>854.24312299999997</v>
      </c>
      <c r="G10" s="446">
        <v>6.3520258007815578E-2</v>
      </c>
      <c r="H10" s="429">
        <v>13448.357260999999</v>
      </c>
    </row>
    <row r="11" spans="1:10" ht="20" customHeight="1" thickBot="1">
      <c r="A11" s="444">
        <v>2000</v>
      </c>
      <c r="B11" s="429">
        <v>463.03968730999998</v>
      </c>
      <c r="C11" s="430">
        <v>338.66405874999998</v>
      </c>
      <c r="D11" s="445">
        <v>0.69213239999999998</v>
      </c>
      <c r="E11" s="430">
        <v>60.882478249999998</v>
      </c>
      <c r="F11" s="429">
        <v>863.27835670999991</v>
      </c>
      <c r="G11" s="446">
        <v>6.0778319554744782E-2</v>
      </c>
      <c r="H11" s="429">
        <v>14203.722035000001</v>
      </c>
    </row>
    <row r="12" spans="1:10" ht="20" customHeight="1" thickBot="1">
      <c r="A12" s="444">
        <v>2001</v>
      </c>
      <c r="B12" s="429">
        <v>473.4058023</v>
      </c>
      <c r="C12" s="430">
        <v>367.78467855999997</v>
      </c>
      <c r="D12" s="445">
        <v>0.74993127000000004</v>
      </c>
      <c r="E12" s="430">
        <v>66.915939469999998</v>
      </c>
      <c r="F12" s="429">
        <v>908.85635160000004</v>
      </c>
      <c r="G12" s="446">
        <v>6.0883052653460515E-2</v>
      </c>
      <c r="H12" s="429">
        <v>14927.903775999999</v>
      </c>
    </row>
    <row r="13" spans="1:10" ht="20" customHeight="1" thickBot="1">
      <c r="A13" s="444">
        <v>2002</v>
      </c>
      <c r="B13" s="429">
        <v>472.86005104000003</v>
      </c>
      <c r="C13" s="430">
        <v>381.94053387999998</v>
      </c>
      <c r="D13" s="445">
        <v>0.68625539000000002</v>
      </c>
      <c r="E13" s="430">
        <v>68.086548329999999</v>
      </c>
      <c r="F13" s="429">
        <v>923.57338864000008</v>
      </c>
      <c r="G13" s="446">
        <v>5.9305732530714958E-2</v>
      </c>
      <c r="H13" s="429">
        <v>15573.087949999999</v>
      </c>
    </row>
    <row r="14" spans="1:10" ht="20" customHeight="1" thickBot="1">
      <c r="A14" s="444">
        <v>2003</v>
      </c>
      <c r="B14" s="429">
        <v>470.97029786000002</v>
      </c>
      <c r="C14" s="430">
        <v>408.59478426000004</v>
      </c>
      <c r="D14" s="445">
        <v>0.69236929000000003</v>
      </c>
      <c r="E14" s="430">
        <v>68.876407299999997</v>
      </c>
      <c r="F14" s="429">
        <v>949.13385871000003</v>
      </c>
      <c r="G14" s="446">
        <v>5.7102364889053812E-2</v>
      </c>
      <c r="H14" s="429">
        <v>16621.620847999999</v>
      </c>
    </row>
    <row r="15" spans="1:10" ht="20" customHeight="1" thickBot="1">
      <c r="A15" s="444">
        <v>2004</v>
      </c>
      <c r="B15" s="429">
        <v>484.89785329</v>
      </c>
      <c r="C15" s="430">
        <v>415.93059272000005</v>
      </c>
      <c r="D15" s="445">
        <v>0.72310930000000007</v>
      </c>
      <c r="E15" s="430">
        <v>85.829196190000005</v>
      </c>
      <c r="F15" s="429">
        <v>987.38075149999997</v>
      </c>
      <c r="G15" s="446">
        <v>5.6068315584587115E-2</v>
      </c>
      <c r="H15" s="429">
        <v>17610.315936999999</v>
      </c>
    </row>
    <row r="16" spans="1:10" ht="20" customHeight="1" thickBot="1">
      <c r="A16" s="444">
        <v>2005</v>
      </c>
      <c r="B16" s="429">
        <v>499.70172670000005</v>
      </c>
      <c r="C16" s="430">
        <v>398.93824144999996</v>
      </c>
      <c r="D16" s="445">
        <v>0.73337903999999998</v>
      </c>
      <c r="E16" s="430">
        <v>99.764105649999991</v>
      </c>
      <c r="F16" s="429">
        <v>999.13745284000004</v>
      </c>
      <c r="G16" s="446">
        <v>5.3974609336098663E-2</v>
      </c>
      <c r="H16" s="429">
        <v>18511.249365759999</v>
      </c>
    </row>
    <row r="17" spans="1:9" ht="20" customHeight="1" thickBot="1">
      <c r="A17" s="444">
        <v>2006</v>
      </c>
      <c r="B17" s="429">
        <v>508.33811201999998</v>
      </c>
      <c r="C17" s="430">
        <v>413.42068921999999</v>
      </c>
      <c r="D17" s="445">
        <v>0.82242013000000003</v>
      </c>
      <c r="E17" s="430">
        <v>155.37155938000001</v>
      </c>
      <c r="F17" s="429">
        <v>1077.9527807500001</v>
      </c>
      <c r="G17" s="446">
        <v>5.6978300934543424E-2</v>
      </c>
      <c r="H17" s="429">
        <v>18918.654348580003</v>
      </c>
    </row>
    <row r="18" spans="1:9" ht="20" customHeight="1" thickBot="1">
      <c r="A18" s="444">
        <v>2007</v>
      </c>
      <c r="B18" s="429">
        <v>481.02098633999998</v>
      </c>
      <c r="C18" s="430">
        <v>375.93586996999994</v>
      </c>
      <c r="D18" s="445">
        <v>0.73084894999999994</v>
      </c>
      <c r="E18" s="430">
        <v>214.01462028999998</v>
      </c>
      <c r="F18" s="429">
        <v>1071.7023255499998</v>
      </c>
      <c r="G18" s="446">
        <v>5.4317232192756151E-2</v>
      </c>
      <c r="H18" s="429">
        <v>19730.429594549998</v>
      </c>
    </row>
    <row r="19" spans="1:9" ht="20" customHeight="1" thickBot="1">
      <c r="A19" s="444">
        <v>2008</v>
      </c>
      <c r="B19" s="429">
        <v>494.93695520999995</v>
      </c>
      <c r="C19" s="430">
        <v>380.25120643000002</v>
      </c>
      <c r="D19" s="445">
        <v>1.0176752199999999</v>
      </c>
      <c r="E19" s="430">
        <v>292.41166817999999</v>
      </c>
      <c r="F19" s="429">
        <v>1168.61750504</v>
      </c>
      <c r="G19" s="446">
        <v>5.6945041751302432E-2</v>
      </c>
      <c r="H19" s="429">
        <v>20521.848243500001</v>
      </c>
    </row>
    <row r="20" spans="1:9" ht="20" customHeight="1" thickBot="1">
      <c r="A20" s="444">
        <v>2009</v>
      </c>
      <c r="B20" s="429">
        <v>471.00206706</v>
      </c>
      <c r="C20" s="430">
        <v>343.37352005000002</v>
      </c>
      <c r="D20" s="445">
        <v>0.93321898000000003</v>
      </c>
      <c r="E20" s="430">
        <v>318.95528353000003</v>
      </c>
      <c r="F20" s="429">
        <v>1134.26408962</v>
      </c>
      <c r="G20" s="446">
        <v>5.3220919384584751E-2</v>
      </c>
      <c r="H20" s="429">
        <v>21312.37308066</v>
      </c>
    </row>
    <row r="21" spans="1:9" ht="27" customHeight="1" thickBot="1">
      <c r="A21" s="447">
        <v>2010</v>
      </c>
      <c r="B21" s="432">
        <v>455.71942082999999</v>
      </c>
      <c r="C21" s="433">
        <v>304.80923538000002</v>
      </c>
      <c r="D21" s="448">
        <v>0.89981051000000001</v>
      </c>
      <c r="E21" s="433">
        <v>464.01499822000005</v>
      </c>
      <c r="F21" s="432">
        <v>1225.44346494</v>
      </c>
      <c r="G21" s="449">
        <v>5.5200957332831042E-2</v>
      </c>
      <c r="H21" s="450">
        <v>22199.677761949999</v>
      </c>
      <c r="I21" s="8"/>
    </row>
    <row r="22" spans="1:9" ht="20" customHeight="1">
      <c r="A22" s="95" t="s">
        <v>678</v>
      </c>
      <c r="B22" s="95"/>
      <c r="C22" s="95"/>
      <c r="D22" s="95"/>
      <c r="E22" s="95"/>
      <c r="F22" s="95"/>
      <c r="G22" s="95"/>
    </row>
    <row r="23" spans="1:9">
      <c r="F23" s="451"/>
    </row>
    <row r="24" spans="1:9">
      <c r="A24" s="3" t="s">
        <v>707</v>
      </c>
    </row>
    <row r="27" spans="1:9">
      <c r="A27" s="3" t="s">
        <v>677</v>
      </c>
    </row>
  </sheetData>
  <pageMargins left="0.48" right="0.56000000000000005" top="0.94" bottom="0.49" header="0.57999999999999996" footer="0.4921259845"/>
  <pageSetup paperSize="9" scale="74" orientation="portrait" horizontalDpi="1200" verticalDpi="1200"/>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C38B2-2115-C44E-AAA4-8AE9CDF02149}">
  <sheetPr>
    <pageSetUpPr fitToPage="1"/>
  </sheetPr>
  <dimension ref="A1:J27"/>
  <sheetViews>
    <sheetView zoomScaleNormal="100" workbookViewId="0">
      <selection activeCell="E6" sqref="E6"/>
    </sheetView>
  </sheetViews>
  <sheetFormatPr baseColWidth="10" defaultColWidth="11.3984375" defaultRowHeight="13"/>
  <cols>
    <col min="1" max="1" width="19.59765625" style="3" customWidth="1"/>
    <col min="2" max="7" width="14.796875" style="3" customWidth="1"/>
    <col min="8" max="8" width="15.3984375" style="3" customWidth="1"/>
    <col min="9" max="16384" width="11.3984375" style="3"/>
  </cols>
  <sheetData>
    <row r="1" spans="1:10" s="2" customFormat="1" ht="14" customHeight="1"/>
    <row r="2" spans="1:10" s="2" customFormat="1" ht="39" customHeight="1">
      <c r="A2" s="1807" t="s">
        <v>708</v>
      </c>
      <c r="B2" s="1811"/>
      <c r="C2" s="1811"/>
      <c r="D2" s="1811"/>
      <c r="E2" s="1811"/>
      <c r="F2" s="1811"/>
      <c r="G2" s="1811"/>
    </row>
    <row r="3" spans="1:10" ht="24" customHeight="1">
      <c r="A3" s="72" t="s">
        <v>695</v>
      </c>
      <c r="B3" s="73" t="s">
        <v>681</v>
      </c>
      <c r="C3" s="74" t="s">
        <v>682</v>
      </c>
      <c r="D3" s="73" t="s">
        <v>683</v>
      </c>
      <c r="E3" s="74" t="s">
        <v>684</v>
      </c>
      <c r="F3" s="73" t="s">
        <v>500</v>
      </c>
      <c r="G3" s="277" t="s">
        <v>585</v>
      </c>
    </row>
    <row r="4" spans="1:10" ht="15" customHeight="1">
      <c r="A4" s="328"/>
      <c r="B4" s="76" t="s">
        <v>685</v>
      </c>
      <c r="C4" s="77" t="s">
        <v>686</v>
      </c>
      <c r="D4" s="76" t="s">
        <v>696</v>
      </c>
      <c r="E4" s="106" t="s">
        <v>688</v>
      </c>
      <c r="F4" s="76" t="s">
        <v>697</v>
      </c>
      <c r="G4" s="75" t="s">
        <v>586</v>
      </c>
    </row>
    <row r="5" spans="1:10" ht="15" customHeight="1">
      <c r="A5" s="328"/>
      <c r="B5" s="76" t="s">
        <v>689</v>
      </c>
      <c r="C5" s="77" t="s">
        <v>690</v>
      </c>
      <c r="D5" s="76" t="s">
        <v>698</v>
      </c>
      <c r="E5" s="106" t="s">
        <v>691</v>
      </c>
      <c r="F5" s="76" t="s">
        <v>700</v>
      </c>
      <c r="G5" s="75" t="s">
        <v>210</v>
      </c>
    </row>
    <row r="6" spans="1:10" ht="24" customHeight="1">
      <c r="A6" s="329"/>
      <c r="B6" s="82"/>
      <c r="C6" s="81"/>
      <c r="D6" s="82"/>
      <c r="E6" s="109" t="s">
        <v>692</v>
      </c>
      <c r="F6" s="82"/>
      <c r="G6" s="79"/>
    </row>
    <row r="7" spans="1:10" ht="1.5" customHeight="1" thickBot="1">
      <c r="A7" s="427">
        <v>1996</v>
      </c>
      <c r="B7" s="123">
        <v>136.97434362103451</v>
      </c>
      <c r="C7" s="124">
        <v>128.46694435673865</v>
      </c>
      <c r="D7" s="123">
        <v>97.148339801638642</v>
      </c>
      <c r="E7" s="124">
        <v>96.303927696179215</v>
      </c>
      <c r="F7" s="123">
        <v>133.40658749416588</v>
      </c>
      <c r="G7" s="309">
        <v>0.15128629508664851</v>
      </c>
    </row>
    <row r="8" spans="1:10" ht="0.75" hidden="1" customHeight="1" thickBot="1">
      <c r="A8" s="333">
        <v>1997</v>
      </c>
      <c r="B8" s="133">
        <v>122.6511004066257</v>
      </c>
      <c r="C8" s="132">
        <v>130.17357705334524</v>
      </c>
      <c r="D8" s="133">
        <v>82.390986601705237</v>
      </c>
      <c r="E8" s="132">
        <v>91.805271826945415</v>
      </c>
      <c r="F8" s="133">
        <v>123.8021591713151</v>
      </c>
      <c r="G8" s="452">
        <v>-7.1993658658503643E-2</v>
      </c>
      <c r="H8" s="9"/>
      <c r="I8" s="9"/>
      <c r="J8" s="9"/>
    </row>
    <row r="9" spans="1:10" ht="19.5" hidden="1" customHeight="1" thickBot="1">
      <c r="A9" s="333">
        <v>1998</v>
      </c>
      <c r="B9" s="133">
        <v>113.87825236718575</v>
      </c>
      <c r="C9" s="132">
        <v>127.72488252200283</v>
      </c>
      <c r="D9" s="133">
        <v>65.550388907676705</v>
      </c>
      <c r="E9" s="132">
        <v>98.304177799368475</v>
      </c>
      <c r="F9" s="133">
        <v>117.94614727831004</v>
      </c>
      <c r="G9" s="452">
        <v>-4.7301371253966752E-2</v>
      </c>
    </row>
    <row r="10" spans="1:10" ht="0.5" customHeight="1" thickBot="1">
      <c r="A10" s="333">
        <v>1999</v>
      </c>
      <c r="B10" s="133">
        <v>116.69424749371302</v>
      </c>
      <c r="C10" s="132">
        <v>122.55319883843305</v>
      </c>
      <c r="D10" s="133">
        <v>63.671378436342366</v>
      </c>
      <c r="E10" s="132">
        <v>99.926084629721899</v>
      </c>
      <c r="F10" s="133">
        <v>117.55853932562621</v>
      </c>
      <c r="G10" s="452">
        <v>-3.2863129625523811E-3</v>
      </c>
    </row>
    <row r="11" spans="1:10" ht="20" customHeight="1" thickBot="1">
      <c r="A11" s="333">
        <v>2000</v>
      </c>
      <c r="B11" s="133">
        <v>118.06454168111537</v>
      </c>
      <c r="C11" s="132">
        <v>122.76935680445337</v>
      </c>
      <c r="D11" s="133">
        <v>70.546570176332693</v>
      </c>
      <c r="E11" s="132">
        <v>105.36199101482934</v>
      </c>
      <c r="F11" s="133">
        <v>118.77616573412266</v>
      </c>
      <c r="G11" s="452">
        <v>1.0357617706730186E-2</v>
      </c>
    </row>
    <row r="12" spans="1:10" ht="20" customHeight="1" thickBot="1">
      <c r="A12" s="333">
        <v>2001</v>
      </c>
      <c r="B12" s="133">
        <v>121.94294466707073</v>
      </c>
      <c r="C12" s="132">
        <v>129.78424801045657</v>
      </c>
      <c r="D12" s="133">
        <v>80.283831495557223</v>
      </c>
      <c r="E12" s="132">
        <v>112.28655864106896</v>
      </c>
      <c r="F12" s="133">
        <v>124.13887771371346</v>
      </c>
      <c r="G12" s="452">
        <v>4.514973139977501E-2</v>
      </c>
    </row>
    <row r="13" spans="1:10" ht="20" customHeight="1" thickBot="1">
      <c r="A13" s="333">
        <v>2002</v>
      </c>
      <c r="B13" s="133">
        <v>124.02317297960094</v>
      </c>
      <c r="C13" s="132">
        <v>128.13270639622655</v>
      </c>
      <c r="D13" s="133">
        <v>77.674633842671199</v>
      </c>
      <c r="E13" s="132">
        <v>122.23028773775435</v>
      </c>
      <c r="F13" s="133">
        <v>125.49634223061366</v>
      </c>
      <c r="G13" s="452">
        <v>1.0935047439616501E-2</v>
      </c>
    </row>
    <row r="14" spans="1:10" ht="20" customHeight="1" thickBot="1">
      <c r="A14" s="333">
        <v>2003</v>
      </c>
      <c r="B14" s="133">
        <v>128.18064482468625</v>
      </c>
      <c r="C14" s="132">
        <v>131.50371046027854</v>
      </c>
      <c r="D14" s="133">
        <v>83.247479860526639</v>
      </c>
      <c r="E14" s="132">
        <v>114.12750752273389</v>
      </c>
      <c r="F14" s="133">
        <v>128.37951080237647</v>
      </c>
      <c r="G14" s="452">
        <v>2.2974124349095865E-2</v>
      </c>
    </row>
    <row r="15" spans="1:10" ht="20" customHeight="1" thickBot="1">
      <c r="A15" s="333">
        <v>2004</v>
      </c>
      <c r="B15" s="133">
        <v>133.23979485267307</v>
      </c>
      <c r="C15" s="132">
        <v>137.50576239336979</v>
      </c>
      <c r="D15" s="133">
        <v>89.294801185477908</v>
      </c>
      <c r="E15" s="132">
        <v>114.78082206198195</v>
      </c>
      <c r="F15" s="133">
        <v>133.07064842814813</v>
      </c>
      <c r="G15" s="452">
        <v>3.6541170755768453E-2</v>
      </c>
    </row>
    <row r="16" spans="1:10" ht="20" customHeight="1" thickBot="1">
      <c r="A16" s="333">
        <v>2005</v>
      </c>
      <c r="B16" s="133">
        <v>138.59129568130271</v>
      </c>
      <c r="C16" s="132">
        <v>135.73607782113612</v>
      </c>
      <c r="D16" s="133">
        <v>95.10816236545196</v>
      </c>
      <c r="E16" s="132">
        <v>110.10117463274447</v>
      </c>
      <c r="F16" s="133">
        <v>133.96001901729241</v>
      </c>
      <c r="G16" s="452">
        <v>6.6834467228473445E-3</v>
      </c>
    </row>
    <row r="17" spans="1:7" ht="20" customHeight="1" thickBot="1">
      <c r="A17" s="333">
        <v>2006</v>
      </c>
      <c r="B17" s="133">
        <v>151.46736589900746</v>
      </c>
      <c r="C17" s="132">
        <v>148.31613261539576</v>
      </c>
      <c r="D17" s="133">
        <v>113.9086052631579</v>
      </c>
      <c r="E17" s="132">
        <v>114.51273017660594</v>
      </c>
      <c r="F17" s="133">
        <v>143.58259334442883</v>
      </c>
      <c r="G17" s="452">
        <v>7.1831688273306951E-2</v>
      </c>
    </row>
    <row r="18" spans="1:7" ht="20" customHeight="1" thickBot="1">
      <c r="A18" s="333">
        <v>2007</v>
      </c>
      <c r="B18" s="133">
        <v>152.73266388118995</v>
      </c>
      <c r="C18" s="132">
        <v>145.72564172666276</v>
      </c>
      <c r="D18" s="133">
        <v>105.8741054613936</v>
      </c>
      <c r="E18" s="132">
        <v>116.24614705110733</v>
      </c>
      <c r="F18" s="133">
        <v>141.43904653502142</v>
      </c>
      <c r="G18" s="452">
        <v>-1.4929015833175735E-2</v>
      </c>
    </row>
    <row r="19" spans="1:7" ht="20" customHeight="1" thickBot="1">
      <c r="A19" s="333">
        <v>2008</v>
      </c>
      <c r="B19" s="133">
        <v>166.74852036814676</v>
      </c>
      <c r="C19" s="132">
        <v>158.8072958116353</v>
      </c>
      <c r="D19" s="133">
        <v>155.20439530272989</v>
      </c>
      <c r="E19" s="132">
        <v>127.10947809383383</v>
      </c>
      <c r="F19" s="133">
        <v>152.36985357406002</v>
      </c>
      <c r="G19" s="452">
        <v>7.7282810559190507E-2</v>
      </c>
    </row>
    <row r="20" spans="1:7" ht="20" customHeight="1" thickBot="1">
      <c r="A20" s="333">
        <v>2009</v>
      </c>
      <c r="B20" s="133">
        <v>172.89857527390382</v>
      </c>
      <c r="C20" s="132">
        <v>158.95450202822192</v>
      </c>
      <c r="D20" s="133">
        <v>151.79228692257647</v>
      </c>
      <c r="E20" s="132">
        <v>111.58441203096042</v>
      </c>
      <c r="F20" s="133">
        <v>146.37701861838218</v>
      </c>
      <c r="G20" s="452">
        <v>-3.9330844094858874E-2</v>
      </c>
    </row>
    <row r="21" spans="1:7" ht="26.25" customHeight="1" thickBot="1">
      <c r="A21" s="431">
        <v>2010</v>
      </c>
      <c r="B21" s="435">
        <v>190.24066519612489</v>
      </c>
      <c r="C21" s="436">
        <v>174.16635547373184</v>
      </c>
      <c r="D21" s="435">
        <v>158.75273641496119</v>
      </c>
      <c r="E21" s="436">
        <v>126.38735552267656</v>
      </c>
      <c r="F21" s="435">
        <v>156.65358005929718</v>
      </c>
      <c r="G21" s="314">
        <v>7.0206112529910936E-2</v>
      </c>
    </row>
    <row r="22" spans="1:7" ht="20.25" customHeight="1">
      <c r="A22" s="95" t="s">
        <v>678</v>
      </c>
      <c r="B22" s="95"/>
      <c r="C22" s="95"/>
      <c r="D22" s="95"/>
      <c r="E22" s="95"/>
      <c r="F22" s="95"/>
      <c r="G22" s="95"/>
    </row>
    <row r="24" spans="1:7">
      <c r="A24" s="3" t="s">
        <v>709</v>
      </c>
    </row>
    <row r="27" spans="1:7">
      <c r="A27" s="3" t="s">
        <v>677</v>
      </c>
    </row>
  </sheetData>
  <mergeCells count="1">
    <mergeCell ref="A2:G2"/>
  </mergeCells>
  <pageMargins left="0.55000000000000004" right="0.55000000000000004" top="1.0900000000000001" bottom="0.49" header="0.53" footer="0.4921259845"/>
  <pageSetup paperSize="9" scale="74" orientation="portrait" horizontalDpi="4294967292" verticalDpi="4294967292"/>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6B489-B9D3-C642-8C4E-F3D4DCDBECB6}">
  <sheetPr>
    <pageSetUpPr fitToPage="1"/>
  </sheetPr>
  <dimension ref="A1:K31"/>
  <sheetViews>
    <sheetView zoomScaleNormal="100" workbookViewId="0">
      <selection activeCell="A27" sqref="A27"/>
    </sheetView>
  </sheetViews>
  <sheetFormatPr baseColWidth="10" defaultColWidth="11.3984375" defaultRowHeight="13"/>
  <cols>
    <col min="1" max="1" width="17.796875" style="3" customWidth="1"/>
    <col min="2" max="2" width="17.3984375" style="3" customWidth="1"/>
    <col min="3" max="5" width="15.3984375" style="3" customWidth="1"/>
    <col min="6" max="6" width="16.19921875" style="414" customWidth="1"/>
    <col min="7" max="7" width="18.3984375" style="3" customWidth="1"/>
    <col min="8" max="16384" width="11.3984375" style="3"/>
  </cols>
  <sheetData>
    <row r="1" spans="1:11" s="2" customFormat="1" ht="14" customHeight="1">
      <c r="F1" s="453"/>
    </row>
    <row r="2" spans="1:11" s="2" customFormat="1" ht="28" customHeight="1">
      <c r="A2" s="71" t="s">
        <v>710</v>
      </c>
      <c r="F2" s="358"/>
      <c r="G2" s="454"/>
    </row>
    <row r="3" spans="1:11" ht="24" customHeight="1">
      <c r="A3" s="72" t="s">
        <v>695</v>
      </c>
      <c r="B3" s="73" t="s">
        <v>711</v>
      </c>
      <c r="C3" s="277" t="s">
        <v>585</v>
      </c>
      <c r="D3" s="73" t="s">
        <v>712</v>
      </c>
      <c r="E3" s="455" t="s">
        <v>713</v>
      </c>
      <c r="F3" s="456" t="s">
        <v>713</v>
      </c>
      <c r="G3" s="457"/>
    </row>
    <row r="4" spans="1:11" ht="15" customHeight="1">
      <c r="A4" s="328"/>
      <c r="B4" s="105" t="s">
        <v>714</v>
      </c>
      <c r="C4" s="75" t="s">
        <v>586</v>
      </c>
      <c r="D4" s="105" t="s">
        <v>715</v>
      </c>
      <c r="E4" s="458" t="s">
        <v>716</v>
      </c>
      <c r="F4" s="459" t="s">
        <v>716</v>
      </c>
      <c r="G4" s="457"/>
    </row>
    <row r="5" spans="1:11" ht="15" customHeight="1">
      <c r="A5" s="328"/>
      <c r="B5" s="440" t="s">
        <v>717</v>
      </c>
      <c r="C5" s="75" t="s">
        <v>210</v>
      </c>
      <c r="D5" s="76" t="s">
        <v>718</v>
      </c>
      <c r="E5" s="458" t="s">
        <v>719</v>
      </c>
      <c r="F5" s="459" t="s">
        <v>720</v>
      </c>
      <c r="G5" s="457"/>
    </row>
    <row r="6" spans="1:11" ht="22.5" customHeight="1">
      <c r="A6" s="329"/>
      <c r="B6" s="82"/>
      <c r="C6" s="79"/>
      <c r="D6" s="82" t="s">
        <v>721</v>
      </c>
      <c r="E6" s="81"/>
      <c r="F6" s="460"/>
      <c r="G6" s="461"/>
    </row>
    <row r="7" spans="1:11" ht="1.5" customHeight="1" thickBot="1">
      <c r="A7" s="427">
        <v>1996</v>
      </c>
      <c r="B7" s="123">
        <v>2856.0771495999998</v>
      </c>
      <c r="C7" s="309" t="s">
        <v>1222</v>
      </c>
      <c r="D7" s="123">
        <v>394.88575237875602</v>
      </c>
      <c r="E7" s="443">
        <v>0.25659604678130066</v>
      </c>
      <c r="F7" s="462">
        <v>0.16889043725722225</v>
      </c>
      <c r="G7" s="463"/>
    </row>
    <row r="8" spans="1:11" ht="0.75" hidden="1" customHeight="1" thickBot="1">
      <c r="A8" s="333">
        <v>1997</v>
      </c>
      <c r="B8" s="133">
        <v>2991.8799653000001</v>
      </c>
      <c r="C8" s="452">
        <v>4.7548721055738929E-2</v>
      </c>
      <c r="D8" s="133">
        <v>413.44461478530076</v>
      </c>
      <c r="E8" s="464">
        <v>0.24848089473110047</v>
      </c>
      <c r="F8" s="335">
        <v>0.17196051689003333</v>
      </c>
      <c r="G8" s="463"/>
      <c r="I8" s="9"/>
      <c r="J8" s="9"/>
      <c r="K8" s="9"/>
    </row>
    <row r="9" spans="1:11" ht="22.5" hidden="1" customHeight="1" thickBot="1">
      <c r="A9" s="333">
        <v>1998</v>
      </c>
      <c r="B9" s="133">
        <v>2985.5309591999999</v>
      </c>
      <c r="C9" s="452">
        <v>-2.1220791521171876E-3</v>
      </c>
      <c r="D9" s="133">
        <v>411.98967338686089</v>
      </c>
      <c r="E9" s="464">
        <v>0.23492819435144413</v>
      </c>
      <c r="F9" s="335">
        <v>0.16909401257090675</v>
      </c>
      <c r="G9" s="463"/>
    </row>
    <row r="10" spans="1:11" ht="0.5" customHeight="1" thickBot="1">
      <c r="A10" s="333">
        <v>1999</v>
      </c>
      <c r="B10" s="133">
        <v>3077.4121471999997</v>
      </c>
      <c r="C10" s="452">
        <v>3.0775493289347849E-2</v>
      </c>
      <c r="D10" s="133">
        <v>423.27251702147385</v>
      </c>
      <c r="E10" s="464">
        <v>0.23610935015841622</v>
      </c>
      <c r="F10" s="335">
        <v>0.17151239307717711</v>
      </c>
      <c r="G10" s="463"/>
    </row>
    <row r="11" spans="1:11" ht="20" customHeight="1" thickBot="1">
      <c r="A11" s="333">
        <v>2000</v>
      </c>
      <c r="B11" s="133">
        <v>2832.1064589000002</v>
      </c>
      <c r="C11" s="452">
        <v>-7.9711678698347957E-2</v>
      </c>
      <c r="D11" s="133">
        <v>389.82276793217119</v>
      </c>
      <c r="E11" s="464">
        <v>0.21069626660407667</v>
      </c>
      <c r="F11" s="335">
        <v>0.16991133453450352</v>
      </c>
      <c r="G11" s="463"/>
    </row>
    <row r="12" spans="1:11" ht="20" customHeight="1" thickBot="1">
      <c r="A12" s="333">
        <v>2001</v>
      </c>
      <c r="B12" s="133">
        <v>2102.6392701999998</v>
      </c>
      <c r="C12" s="452">
        <v>-0.25757053955638659</v>
      </c>
      <c r="D12" s="133">
        <v>287.99008361810974</v>
      </c>
      <c r="E12" s="464">
        <v>0.15021735666544661</v>
      </c>
      <c r="F12" s="335">
        <v>0.16939255966928513</v>
      </c>
      <c r="G12" s="463"/>
    </row>
    <row r="13" spans="1:11" ht="20" customHeight="1" thickBot="1">
      <c r="A13" s="333">
        <v>2002</v>
      </c>
      <c r="B13" s="133">
        <v>1965.5320859999999</v>
      </c>
      <c r="C13" s="452">
        <v>-6.5207183249725215E-2</v>
      </c>
      <c r="D13" s="133">
        <v>267.61478124431557</v>
      </c>
      <c r="E13" s="464">
        <v>0.12800562007019203</v>
      </c>
      <c r="F13" s="335">
        <v>0.16961724397646502</v>
      </c>
      <c r="G13" s="463"/>
    </row>
    <row r="14" spans="1:11" ht="20" customHeight="1" thickBot="1">
      <c r="A14" s="333">
        <v>2003</v>
      </c>
      <c r="B14" s="133">
        <v>2393.7060728000001</v>
      </c>
      <c r="C14" s="452">
        <v>0.2178412603130612</v>
      </c>
      <c r="D14" s="133">
        <v>324.68015590359045</v>
      </c>
      <c r="E14" s="464">
        <v>0.14231214354211111</v>
      </c>
      <c r="F14" s="335">
        <v>0.170648522304884</v>
      </c>
      <c r="G14" s="463"/>
    </row>
    <row r="15" spans="1:11" ht="20" customHeight="1" thickBot="1">
      <c r="A15" s="333">
        <v>2004</v>
      </c>
      <c r="B15" s="133">
        <v>2968.4810149999998</v>
      </c>
      <c r="C15" s="452">
        <v>0.24011926473815798</v>
      </c>
      <c r="D15" s="133">
        <v>402.03849991887398</v>
      </c>
      <c r="E15" s="464">
        <v>0.16464390527007836</v>
      </c>
      <c r="F15" s="335">
        <v>0.16498531532934302</v>
      </c>
      <c r="G15" s="463"/>
    </row>
    <row r="16" spans="1:11" ht="20" customHeight="1" thickBot="1">
      <c r="A16" s="333">
        <v>2005</v>
      </c>
      <c r="B16" s="133">
        <v>3184.4883300000001</v>
      </c>
      <c r="C16" s="452">
        <v>7.2766951820980502E-2</v>
      </c>
      <c r="D16" s="133">
        <v>428.26064350549666</v>
      </c>
      <c r="E16" s="464">
        <v>0.17216782468933323</v>
      </c>
      <c r="F16" s="335">
        <v>0.16198747607257327</v>
      </c>
      <c r="G16" s="463"/>
    </row>
    <row r="17" spans="1:7" ht="20" customHeight="1" thickBot="1">
      <c r="A17" s="333">
        <v>2006</v>
      </c>
      <c r="B17" s="133">
        <v>3749.0085764</v>
      </c>
      <c r="C17" s="452">
        <v>0.17727188417738679</v>
      </c>
      <c r="D17" s="133">
        <v>501.3096435628392</v>
      </c>
      <c r="E17" s="464">
        <v>0.19410142905887745</v>
      </c>
      <c r="F17" s="335">
        <v>0.16226794774511255</v>
      </c>
      <c r="G17" s="463"/>
    </row>
    <row r="18" spans="1:7" ht="20" customHeight="1" thickBot="1">
      <c r="A18" s="333">
        <v>2007</v>
      </c>
      <c r="B18" s="133">
        <v>3970.4438487200005</v>
      </c>
      <c r="C18" s="452">
        <v>5.9065021540344008E-2</v>
      </c>
      <c r="D18" s="133">
        <v>526.75277940082935</v>
      </c>
      <c r="E18" s="464">
        <v>0.20165652481540366</v>
      </c>
      <c r="F18" s="335">
        <v>0.14404868700935056</v>
      </c>
      <c r="G18" s="463"/>
    </row>
    <row r="19" spans="1:7" ht="20" customHeight="1" thickBot="1">
      <c r="A19" s="333">
        <v>2008</v>
      </c>
      <c r="B19" s="133">
        <v>3251.9246672899999</v>
      </c>
      <c r="C19" s="452">
        <v>-0.18096696712173332</v>
      </c>
      <c r="D19" s="133">
        <v>427.01052060248747</v>
      </c>
      <c r="E19" s="464">
        <v>0.16513713887296896</v>
      </c>
      <c r="F19" s="335">
        <v>0.12504203657801569</v>
      </c>
      <c r="G19" s="463"/>
    </row>
    <row r="20" spans="1:7" ht="20" customHeight="1" thickBot="1">
      <c r="A20" s="333">
        <v>2009</v>
      </c>
      <c r="B20" s="133">
        <v>2863.0083966900002</v>
      </c>
      <c r="C20" s="452">
        <v>-0.11959571957861626</v>
      </c>
      <c r="D20" s="133">
        <v>371.39247578148081</v>
      </c>
      <c r="E20" s="464">
        <v>0.14226293301594328</v>
      </c>
      <c r="F20" s="335">
        <v>0.11570685531661619</v>
      </c>
      <c r="G20" s="463"/>
    </row>
    <row r="21" spans="1:7" ht="30" customHeight="1" thickBot="1">
      <c r="A21" s="431">
        <v>2010</v>
      </c>
      <c r="B21" s="435">
        <v>3115.7425221299982</v>
      </c>
      <c r="C21" s="314">
        <v>8.8275719251187157E-2</v>
      </c>
      <c r="D21" s="435">
        <v>400.498474410467</v>
      </c>
      <c r="E21" s="465">
        <v>0.14129428895428542</v>
      </c>
      <c r="F21" s="466">
        <v>0.11794364414276826</v>
      </c>
      <c r="G21" s="467"/>
    </row>
    <row r="22" spans="1:7" ht="20" customHeight="1">
      <c r="A22" s="95" t="s">
        <v>678</v>
      </c>
      <c r="B22" s="95"/>
      <c r="C22" s="95"/>
      <c r="D22" s="95"/>
      <c r="E22" s="95"/>
      <c r="F22" s="468"/>
      <c r="G22" s="96"/>
    </row>
    <row r="23" spans="1:7" ht="14.25" customHeight="1">
      <c r="A23" s="96"/>
      <c r="B23" s="96"/>
      <c r="C23" s="96"/>
      <c r="D23" s="96"/>
      <c r="E23" s="96"/>
      <c r="F23" s="469"/>
      <c r="G23" s="96"/>
    </row>
    <row r="24" spans="1:7" ht="12.75" customHeight="1">
      <c r="A24" s="96" t="s">
        <v>722</v>
      </c>
      <c r="B24" s="96"/>
      <c r="C24" s="96"/>
      <c r="D24" s="96"/>
      <c r="E24" s="96"/>
      <c r="F24" s="469"/>
      <c r="G24" s="96"/>
    </row>
    <row r="25" spans="1:7">
      <c r="A25" s="3" t="s">
        <v>723</v>
      </c>
    </row>
    <row r="26" spans="1:7">
      <c r="A26" s="96" t="s">
        <v>724</v>
      </c>
    </row>
    <row r="28" spans="1:7">
      <c r="A28" s="3" t="s">
        <v>725</v>
      </c>
    </row>
    <row r="31" spans="1:7">
      <c r="A31" s="3" t="s">
        <v>677</v>
      </c>
    </row>
  </sheetData>
  <pageMargins left="0.57999999999999996" right="0.69" top="0.94" bottom="0.49" header="0.53" footer="0.4921259845"/>
  <pageSetup paperSize="9" scale="77" orientation="portrait" horizontalDpi="4294967292" verticalDpi="4294967292"/>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D363E-86CB-D547-AA14-51DA6643A357}">
  <sheetPr>
    <pageSetUpPr fitToPage="1"/>
  </sheetPr>
  <dimension ref="A1:K30"/>
  <sheetViews>
    <sheetView zoomScaleNormal="100" workbookViewId="0">
      <selection activeCell="F5" sqref="F5"/>
    </sheetView>
  </sheetViews>
  <sheetFormatPr baseColWidth="10" defaultColWidth="11.3984375" defaultRowHeight="13"/>
  <cols>
    <col min="1" max="1" width="17.59765625" style="3" customWidth="1"/>
    <col min="2" max="2" width="16.796875" style="3" customWidth="1"/>
    <col min="3" max="5" width="15.3984375" style="3" customWidth="1"/>
    <col min="6" max="6" width="15.3984375" style="414" customWidth="1"/>
    <col min="7" max="7" width="15.3984375" style="3" customWidth="1"/>
    <col min="8" max="16384" width="11.3984375" style="3"/>
  </cols>
  <sheetData>
    <row r="1" spans="1:11" s="2" customFormat="1" ht="14" customHeight="1">
      <c r="F1" s="453"/>
    </row>
    <row r="2" spans="1:11" s="2" customFormat="1" ht="27.75" customHeight="1">
      <c r="A2" s="1807" t="s">
        <v>726</v>
      </c>
      <c r="B2" s="1811"/>
      <c r="C2" s="1811"/>
      <c r="D2" s="1811"/>
      <c r="E2" s="1811"/>
      <c r="F2" s="1811"/>
      <c r="G2" s="358"/>
    </row>
    <row r="3" spans="1:11" ht="24" customHeight="1">
      <c r="A3" s="72" t="s">
        <v>695</v>
      </c>
      <c r="B3" s="73" t="s">
        <v>711</v>
      </c>
      <c r="C3" s="277" t="s">
        <v>585</v>
      </c>
      <c r="D3" s="73" t="s">
        <v>727</v>
      </c>
      <c r="E3" s="277" t="s">
        <v>585</v>
      </c>
      <c r="F3" s="456" t="s">
        <v>728</v>
      </c>
      <c r="G3" s="457"/>
    </row>
    <row r="4" spans="1:11" ht="15" customHeight="1">
      <c r="A4" s="328"/>
      <c r="B4" s="105" t="s">
        <v>729</v>
      </c>
      <c r="C4" s="75" t="s">
        <v>586</v>
      </c>
      <c r="D4" s="105" t="s">
        <v>730</v>
      </c>
      <c r="E4" s="75" t="s">
        <v>586</v>
      </c>
      <c r="F4" s="459" t="s">
        <v>731</v>
      </c>
      <c r="G4" s="457"/>
    </row>
    <row r="5" spans="1:11" ht="15" customHeight="1">
      <c r="A5" s="328"/>
      <c r="B5" s="76" t="s">
        <v>732</v>
      </c>
      <c r="C5" s="75" t="s">
        <v>210</v>
      </c>
      <c r="D5" s="76" t="s">
        <v>733</v>
      </c>
      <c r="E5" s="75" t="s">
        <v>210</v>
      </c>
      <c r="F5" s="459" t="s">
        <v>734</v>
      </c>
      <c r="G5" s="457"/>
    </row>
    <row r="6" spans="1:11" ht="24" customHeight="1">
      <c r="A6" s="329"/>
      <c r="B6" s="82" t="s">
        <v>717</v>
      </c>
      <c r="C6" s="79"/>
      <c r="D6" s="82" t="s">
        <v>735</v>
      </c>
      <c r="E6" s="79"/>
      <c r="F6" s="460" t="s">
        <v>736</v>
      </c>
      <c r="G6" s="461"/>
    </row>
    <row r="7" spans="1:11" ht="2.25" customHeight="1" thickBot="1">
      <c r="A7" s="427">
        <v>1996</v>
      </c>
      <c r="B7" s="123">
        <v>3454.5367919999999</v>
      </c>
      <c r="C7" s="309" t="s">
        <v>1222</v>
      </c>
      <c r="D7" s="123">
        <v>477.62973077565988</v>
      </c>
      <c r="E7" s="309" t="s">
        <v>1222</v>
      </c>
      <c r="F7" s="462">
        <v>0.3204435263250443</v>
      </c>
      <c r="G7" s="463"/>
    </row>
    <row r="8" spans="1:11" ht="0.75" hidden="1" customHeight="1" thickBot="1">
      <c r="A8" s="333">
        <v>1997</v>
      </c>
      <c r="B8" s="133">
        <v>3507.8977540000001</v>
      </c>
      <c r="C8" s="452">
        <v>1.5446632996809664E-2</v>
      </c>
      <c r="D8" s="133">
        <v>484.75254775428522</v>
      </c>
      <c r="E8" s="452">
        <v>1.4912842563334664E-2</v>
      </c>
      <c r="F8" s="335">
        <v>0.30878035637656381</v>
      </c>
      <c r="G8" s="463"/>
      <c r="I8" s="9"/>
      <c r="J8" s="9"/>
      <c r="K8" s="9"/>
    </row>
    <row r="9" spans="1:11" ht="19.5" hidden="1" customHeight="1" thickBot="1">
      <c r="A9" s="333">
        <v>1998</v>
      </c>
      <c r="B9" s="133">
        <v>3693.9578390000001</v>
      </c>
      <c r="C9" s="452">
        <v>5.3040338700818382E-2</v>
      </c>
      <c r="D9" s="133">
        <v>509.74935597525797</v>
      </c>
      <c r="E9" s="452">
        <v>5.1566120357232882E-2</v>
      </c>
      <c r="F9" s="335">
        <v>0.30971755221728081</v>
      </c>
      <c r="G9" s="463"/>
    </row>
    <row r="10" spans="1:11" ht="19.75" hidden="1" customHeight="1" thickBot="1">
      <c r="A10" s="333">
        <v>1999</v>
      </c>
      <c r="B10" s="133">
        <v>3810.0183766999999</v>
      </c>
      <c r="C10" s="452">
        <v>3.1419020670636219E-2</v>
      </c>
      <c r="D10" s="133">
        <v>524.03642778331459</v>
      </c>
      <c r="E10" s="452">
        <v>2.8027640723002865E-2</v>
      </c>
      <c r="F10" s="335">
        <v>0.30650294561819263</v>
      </c>
      <c r="G10" s="463"/>
    </row>
    <row r="11" spans="1:11" ht="20" customHeight="1" thickBot="1">
      <c r="A11" s="333">
        <v>2000</v>
      </c>
      <c r="B11" s="133">
        <v>3956.2184863000002</v>
      </c>
      <c r="C11" s="452">
        <v>3.8372547096906594E-2</v>
      </c>
      <c r="D11" s="133">
        <v>544.55016542757153</v>
      </c>
      <c r="E11" s="452">
        <v>3.9145632930577913E-2</v>
      </c>
      <c r="F11" s="335">
        <v>0.29993370263899466</v>
      </c>
      <c r="G11" s="463"/>
    </row>
    <row r="12" spans="1:11" ht="20" customHeight="1" thickBot="1">
      <c r="A12" s="333">
        <v>2001</v>
      </c>
      <c r="B12" s="133">
        <v>3996.3588403000003</v>
      </c>
      <c r="C12" s="452">
        <v>1.0146141862235935E-2</v>
      </c>
      <c r="D12" s="133">
        <v>547.35962635511339</v>
      </c>
      <c r="E12" s="452">
        <v>5.1592325297264803E-3</v>
      </c>
      <c r="F12" s="335">
        <v>0.28573440049664334</v>
      </c>
      <c r="G12" s="463"/>
    </row>
    <row r="13" spans="1:11" ht="20" customHeight="1" thickBot="1">
      <c r="A13" s="333">
        <v>2002</v>
      </c>
      <c r="B13" s="133">
        <v>4018.0238040999998</v>
      </c>
      <c r="C13" s="452">
        <v>5.4211757917047021E-3</v>
      </c>
      <c r="D13" s="133">
        <v>547.06945209780417</v>
      </c>
      <c r="E13" s="452">
        <v>-5.3013456480431012E-4</v>
      </c>
      <c r="F13" s="335">
        <v>0.27534370592196139</v>
      </c>
      <c r="G13" s="463"/>
    </row>
    <row r="14" spans="1:11" ht="20" customHeight="1" thickBot="1">
      <c r="A14" s="333">
        <v>2003</v>
      </c>
      <c r="B14" s="133">
        <v>4264.2535405999997</v>
      </c>
      <c r="C14" s="452">
        <v>6.1281303572354805E-2</v>
      </c>
      <c r="D14" s="133">
        <v>578.39954541909435</v>
      </c>
      <c r="E14" s="452">
        <v>5.7268950406847131E-2</v>
      </c>
      <c r="F14" s="335">
        <v>0.27806202962780097</v>
      </c>
      <c r="G14" s="463"/>
    </row>
    <row r="15" spans="1:11" ht="20" customHeight="1" thickBot="1">
      <c r="A15" s="333">
        <v>2004</v>
      </c>
      <c r="B15" s="133">
        <v>4487.9860973999994</v>
      </c>
      <c r="C15" s="452">
        <v>5.2466992093654796E-2</v>
      </c>
      <c r="D15" s="133">
        <v>607.83383459013214</v>
      </c>
      <c r="E15" s="452">
        <v>5.0889198313097593E-2</v>
      </c>
      <c r="F15" s="335">
        <v>0.27520979583864619</v>
      </c>
      <c r="G15" s="463"/>
    </row>
    <row r="16" spans="1:11" ht="20" customHeight="1" thickBot="1">
      <c r="A16" s="333">
        <v>2005</v>
      </c>
      <c r="B16" s="133">
        <v>4710.4063185000005</v>
      </c>
      <c r="C16" s="452">
        <v>4.9559026314465314E-2</v>
      </c>
      <c r="D16" s="133">
        <v>633.47119917588623</v>
      </c>
      <c r="E16" s="452">
        <v>4.2178245314431359E-2</v>
      </c>
      <c r="F16" s="335">
        <v>0.27145060304290114</v>
      </c>
      <c r="G16" s="463"/>
    </row>
    <row r="17" spans="1:7" ht="20" customHeight="1" thickBot="1">
      <c r="A17" s="333">
        <v>2006</v>
      </c>
      <c r="B17" s="133">
        <v>4989.9724866999995</v>
      </c>
      <c r="C17" s="452">
        <v>5.9350754329198757E-2</v>
      </c>
      <c r="D17" s="133">
        <v>667.24876129732593</v>
      </c>
      <c r="E17" s="452">
        <v>5.3321385668965833E-2</v>
      </c>
      <c r="F17" s="335">
        <v>0.28410364747524469</v>
      </c>
      <c r="G17" s="463"/>
    </row>
    <row r="18" spans="1:7" ht="20" customHeight="1" thickBot="1">
      <c r="A18" s="333">
        <v>2007</v>
      </c>
      <c r="B18" s="133">
        <v>5234.0909351299997</v>
      </c>
      <c r="C18" s="452">
        <v>4.8921802491027788E-2</v>
      </c>
      <c r="D18" s="133">
        <v>694.39892686185294</v>
      </c>
      <c r="E18" s="452">
        <v>4.0689720445099345E-2</v>
      </c>
      <c r="F18" s="335">
        <v>0.28409673931984064</v>
      </c>
      <c r="G18" s="463"/>
    </row>
    <row r="19" spans="1:7" ht="20" customHeight="1" thickBot="1">
      <c r="A19" s="333">
        <v>2008</v>
      </c>
      <c r="B19" s="133">
        <v>5191.0501722600002</v>
      </c>
      <c r="C19" s="452">
        <v>-8.2231591700327455E-3</v>
      </c>
      <c r="D19" s="133">
        <v>681.6372651023346</v>
      </c>
      <c r="E19" s="452">
        <v>-1.8377997525415551E-2</v>
      </c>
      <c r="F19" s="335">
        <v>0.2671467252402307</v>
      </c>
      <c r="G19" s="463"/>
    </row>
    <row r="20" spans="1:7" ht="20" customHeight="1" thickBot="1">
      <c r="A20" s="333">
        <v>2009</v>
      </c>
      <c r="B20" s="133">
        <v>5095.2223594300003</v>
      </c>
      <c r="C20" s="452">
        <v>-1.8460197773099121E-2</v>
      </c>
      <c r="D20" s="133">
        <v>660.95763076127741</v>
      </c>
      <c r="E20" s="452">
        <v>-3.0338180436705636E-2</v>
      </c>
      <c r="F20" s="335">
        <v>0.25131991260496045</v>
      </c>
      <c r="G20" s="463"/>
    </row>
    <row r="21" spans="1:7" ht="30" customHeight="1" thickBot="1">
      <c r="A21" s="431">
        <v>2010</v>
      </c>
      <c r="B21" s="435">
        <v>5227.2935513399998</v>
      </c>
      <c r="C21" s="314">
        <v>2.5920594351602322E-2</v>
      </c>
      <c r="D21" s="435">
        <v>671.91787438718086</v>
      </c>
      <c r="E21" s="314">
        <v>1.6582369452758483E-2</v>
      </c>
      <c r="F21" s="466">
        <v>0.25030439071727145</v>
      </c>
      <c r="G21" s="467"/>
    </row>
    <row r="22" spans="1:7" ht="20" customHeight="1">
      <c r="A22" s="95" t="s">
        <v>678</v>
      </c>
      <c r="B22" s="95"/>
      <c r="C22" s="95"/>
      <c r="D22" s="95"/>
      <c r="E22" s="95"/>
      <c r="F22" s="468"/>
      <c r="G22" s="96"/>
    </row>
    <row r="23" spans="1:7" ht="12.75" customHeight="1">
      <c r="A23" s="96"/>
      <c r="B23" s="96"/>
      <c r="C23" s="96"/>
      <c r="D23" s="96"/>
      <c r="E23" s="96"/>
      <c r="F23" s="469"/>
      <c r="G23" s="96"/>
    </row>
    <row r="24" spans="1:7" ht="12.75" customHeight="1">
      <c r="A24" s="3" t="s">
        <v>722</v>
      </c>
      <c r="B24" s="96"/>
      <c r="C24" s="96"/>
      <c r="D24" s="96"/>
      <c r="E24" s="96"/>
      <c r="F24" s="469"/>
      <c r="G24" s="96"/>
    </row>
    <row r="25" spans="1:7" ht="12.75" customHeight="1">
      <c r="A25" s="3" t="s">
        <v>737</v>
      </c>
    </row>
    <row r="27" spans="1:7">
      <c r="A27" s="3" t="s">
        <v>738</v>
      </c>
    </row>
    <row r="30" spans="1:7">
      <c r="A30" s="3" t="s">
        <v>677</v>
      </c>
    </row>
  </sheetData>
  <mergeCells count="1">
    <mergeCell ref="A2:F2"/>
  </mergeCells>
  <pageMargins left="0.62" right="0.78740157480314965" top="0.99" bottom="0.49" header="0.6" footer="0.4921259845"/>
  <pageSetup paperSize="9" scale="78" orientation="portrait" horizontalDpi="4294967292" verticalDpi="4294967292"/>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866EA-880C-C848-9A53-C411958F4B61}">
  <sheetPr>
    <pageSetUpPr fitToPage="1"/>
  </sheetPr>
  <dimension ref="A1:B31"/>
  <sheetViews>
    <sheetView topLeftCell="A5" zoomScale="115" zoomScaleNormal="115" workbookViewId="0">
      <selection activeCell="G29" sqref="G29"/>
    </sheetView>
  </sheetViews>
  <sheetFormatPr baseColWidth="10" defaultColWidth="11.59765625" defaultRowHeight="13"/>
  <cols>
    <col min="1" max="1" width="5.59765625" style="1635" customWidth="1"/>
    <col min="2" max="7" width="11.59765625" style="1635"/>
    <col min="8" max="8" width="12" style="1635" customWidth="1"/>
    <col min="9" max="16384" width="11.59765625" style="1635"/>
  </cols>
  <sheetData>
    <row r="1" spans="1:2" ht="16">
      <c r="A1" s="1634" t="s">
        <v>202</v>
      </c>
    </row>
    <row r="2" spans="1:2" ht="16">
      <c r="A2" s="1634"/>
    </row>
    <row r="3" spans="1:2" s="1638" customFormat="1">
      <c r="A3" s="1636">
        <v>2.0099999999999998</v>
      </c>
      <c r="B3" s="1637" t="s">
        <v>475</v>
      </c>
    </row>
    <row r="4" spans="1:2" s="1638" customFormat="1">
      <c r="A4" s="1636">
        <v>2.02</v>
      </c>
      <c r="B4" s="1637" t="s">
        <v>476</v>
      </c>
    </row>
    <row r="5" spans="1:2" s="1638" customFormat="1">
      <c r="A5" s="1636">
        <v>2.0299999999999998</v>
      </c>
      <c r="B5" s="1639" t="s">
        <v>2453</v>
      </c>
    </row>
    <row r="6" spans="1:2" s="1638" customFormat="1">
      <c r="A6" s="1636">
        <v>2.04</v>
      </c>
      <c r="B6" s="1639" t="s">
        <v>477</v>
      </c>
    </row>
    <row r="7" spans="1:2" s="1638" customFormat="1">
      <c r="A7" s="1636">
        <v>2.0499999999999998</v>
      </c>
      <c r="B7" s="1639" t="s">
        <v>2454</v>
      </c>
    </row>
    <row r="8" spans="1:2" s="1638" customFormat="1">
      <c r="A8" s="1636">
        <v>2.06</v>
      </c>
      <c r="B8" s="1639" t="s">
        <v>492</v>
      </c>
    </row>
    <row r="9" spans="1:2" s="1638" customFormat="1">
      <c r="A9" s="1636">
        <v>2.0699999999999998</v>
      </c>
      <c r="B9" s="1639" t="s">
        <v>478</v>
      </c>
    </row>
    <row r="10" spans="1:2" s="1638" customFormat="1">
      <c r="A10" s="1636">
        <v>2.08</v>
      </c>
      <c r="B10" s="1639" t="s">
        <v>2455</v>
      </c>
    </row>
    <row r="11" spans="1:2" s="1638" customFormat="1">
      <c r="A11" s="1636">
        <v>2.09</v>
      </c>
      <c r="B11" s="1639" t="s">
        <v>493</v>
      </c>
    </row>
    <row r="12" spans="1:2">
      <c r="A12" s="1640">
        <v>2.1</v>
      </c>
      <c r="B12" s="1637" t="s">
        <v>479</v>
      </c>
    </row>
    <row r="13" spans="1:2">
      <c r="A13" s="1640">
        <v>2.11</v>
      </c>
      <c r="B13" s="1637" t="s">
        <v>480</v>
      </c>
    </row>
    <row r="14" spans="1:2">
      <c r="A14" s="1636">
        <v>2.12</v>
      </c>
      <c r="B14" s="1639" t="s">
        <v>2456</v>
      </c>
    </row>
    <row r="15" spans="1:2">
      <c r="A15" s="1636">
        <v>2.13</v>
      </c>
      <c r="B15" s="1637" t="s">
        <v>2457</v>
      </c>
    </row>
    <row r="16" spans="1:2">
      <c r="A16" s="1636">
        <v>2.14</v>
      </c>
      <c r="B16" s="1637" t="s">
        <v>481</v>
      </c>
    </row>
    <row r="17" spans="1:2">
      <c r="A17" s="1636">
        <v>2.15</v>
      </c>
      <c r="B17" s="1637" t="s">
        <v>482</v>
      </c>
    </row>
    <row r="18" spans="1:2">
      <c r="A18" s="1636">
        <v>2.16</v>
      </c>
      <c r="B18" s="1637" t="s">
        <v>483</v>
      </c>
    </row>
    <row r="19" spans="1:2">
      <c r="A19" s="1636">
        <v>2.17</v>
      </c>
      <c r="B19" s="1637" t="s">
        <v>484</v>
      </c>
    </row>
    <row r="20" spans="1:2">
      <c r="A20" s="1636">
        <v>2.1800000000000002</v>
      </c>
      <c r="B20" s="1637" t="s">
        <v>485</v>
      </c>
    </row>
    <row r="21" spans="1:2">
      <c r="A21" s="1636">
        <v>2.19</v>
      </c>
      <c r="B21" s="1637" t="s">
        <v>486</v>
      </c>
    </row>
    <row r="22" spans="1:2">
      <c r="A22" s="1641" t="s">
        <v>46</v>
      </c>
      <c r="B22" s="1637" t="s">
        <v>487</v>
      </c>
    </row>
    <row r="23" spans="1:2">
      <c r="A23" s="1636">
        <v>2.21</v>
      </c>
      <c r="B23" s="1637" t="s">
        <v>488</v>
      </c>
    </row>
    <row r="24" spans="1:2">
      <c r="A24" s="1636">
        <v>2.2200000000000002</v>
      </c>
      <c r="B24" s="1637" t="s">
        <v>489</v>
      </c>
    </row>
    <row r="25" spans="1:2">
      <c r="A25" s="1636">
        <v>2.23</v>
      </c>
      <c r="B25" s="1637" t="s">
        <v>490</v>
      </c>
    </row>
    <row r="26" spans="1:2">
      <c r="A26" s="1636">
        <v>2.2400000000000002</v>
      </c>
      <c r="B26" s="1637" t="s">
        <v>491</v>
      </c>
    </row>
    <row r="27" spans="1:2">
      <c r="A27" s="1636">
        <v>2.25</v>
      </c>
      <c r="B27" s="1639" t="s">
        <v>2458</v>
      </c>
    </row>
    <row r="28" spans="1:2">
      <c r="A28" s="1636">
        <v>2.2599999999999998</v>
      </c>
      <c r="B28" s="1639" t="s">
        <v>2459</v>
      </c>
    </row>
    <row r="29" spans="1:2">
      <c r="A29" s="1636"/>
    </row>
    <row r="31" spans="1:2">
      <c r="A31" s="1642" t="s">
        <v>677</v>
      </c>
    </row>
  </sheetData>
  <pageMargins left="0.46" right="0.35" top="0.88" bottom="0.984251969" header="0.4921259845" footer="0.4921259845"/>
  <pageSetup paperSize="9" orientation="portrait"/>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48829-776F-2D42-85D9-DDCC0BD5C012}">
  <sheetPr>
    <pageSetUpPr fitToPage="1"/>
  </sheetPr>
  <dimension ref="A1:J27"/>
  <sheetViews>
    <sheetView topLeftCell="A2" zoomScaleNormal="100" workbookViewId="0">
      <selection activeCell="G27" sqref="G27"/>
    </sheetView>
  </sheetViews>
  <sheetFormatPr baseColWidth="10" defaultColWidth="11.3984375" defaultRowHeight="13"/>
  <cols>
    <col min="1" max="1" width="12.796875" style="3" customWidth="1"/>
    <col min="2" max="6" width="15.3984375" style="3" customWidth="1"/>
    <col min="7" max="7" width="14.796875" style="3" customWidth="1"/>
    <col min="8" max="16384" width="11.3984375" style="3"/>
  </cols>
  <sheetData>
    <row r="1" spans="1:10" s="2" customFormat="1" ht="14" customHeight="1">
      <c r="A1" s="242"/>
      <c r="B1" s="242"/>
      <c r="C1" s="242"/>
      <c r="D1" s="242"/>
      <c r="E1" s="242"/>
      <c r="F1" s="242"/>
      <c r="G1" s="242"/>
    </row>
    <row r="2" spans="1:10" s="2" customFormat="1" ht="27.75" customHeight="1">
      <c r="A2" s="1812" t="s">
        <v>739</v>
      </c>
      <c r="B2" s="1811"/>
      <c r="C2" s="1811"/>
      <c r="D2" s="1811"/>
      <c r="E2" s="1811"/>
      <c r="F2" s="1811"/>
      <c r="G2" s="1811"/>
    </row>
    <row r="3" spans="1:10" ht="24" customHeight="1">
      <c r="A3" s="72" t="s">
        <v>695</v>
      </c>
      <c r="B3" s="73" t="s">
        <v>681</v>
      </c>
      <c r="C3" s="74" t="s">
        <v>682</v>
      </c>
      <c r="D3" s="73" t="s">
        <v>683</v>
      </c>
      <c r="E3" s="74" t="s">
        <v>684</v>
      </c>
      <c r="F3" s="73" t="s">
        <v>190</v>
      </c>
      <c r="G3" s="277" t="s">
        <v>585</v>
      </c>
    </row>
    <row r="4" spans="1:10" ht="15" customHeight="1">
      <c r="A4" s="328"/>
      <c r="B4" s="76" t="s">
        <v>685</v>
      </c>
      <c r="C4" s="77" t="s">
        <v>686</v>
      </c>
      <c r="D4" s="76" t="s">
        <v>696</v>
      </c>
      <c r="E4" s="106" t="s">
        <v>688</v>
      </c>
      <c r="F4" s="76"/>
      <c r="G4" s="75" t="s">
        <v>586</v>
      </c>
    </row>
    <row r="5" spans="1:10" ht="15" customHeight="1">
      <c r="A5" s="328"/>
      <c r="B5" s="76" t="s">
        <v>689</v>
      </c>
      <c r="C5" s="77" t="s">
        <v>690</v>
      </c>
      <c r="D5" s="76" t="s">
        <v>698</v>
      </c>
      <c r="E5" s="106" t="s">
        <v>699</v>
      </c>
      <c r="F5" s="76"/>
      <c r="G5" s="75" t="s">
        <v>210</v>
      </c>
    </row>
    <row r="6" spans="1:10" ht="24" customHeight="1">
      <c r="A6" s="329"/>
      <c r="B6" s="82"/>
      <c r="C6" s="81"/>
      <c r="D6" s="82"/>
      <c r="E6" s="109" t="s">
        <v>692</v>
      </c>
      <c r="F6" s="82"/>
      <c r="G6" s="79"/>
    </row>
    <row r="7" spans="1:10" ht="1.5" customHeight="1" thickBot="1">
      <c r="A7" s="427">
        <v>1996</v>
      </c>
      <c r="B7" s="308">
        <v>1089.2648005000001</v>
      </c>
      <c r="C7" s="428">
        <v>580.10166180000022</v>
      </c>
      <c r="D7" s="308">
        <v>4.3753463500000001</v>
      </c>
      <c r="E7" s="428">
        <v>4.7899289500000002</v>
      </c>
      <c r="F7" s="308">
        <v>1678.5317376000003</v>
      </c>
      <c r="G7" s="309" t="s">
        <v>35</v>
      </c>
    </row>
    <row r="8" spans="1:10" ht="0.75" hidden="1" customHeight="1" thickBot="1">
      <c r="A8" s="333">
        <v>1997</v>
      </c>
      <c r="B8" s="429">
        <v>879.95045900000002</v>
      </c>
      <c r="C8" s="430">
        <v>850.70337900000004</v>
      </c>
      <c r="D8" s="429">
        <v>1.7040200000000001</v>
      </c>
      <c r="E8" s="430">
        <v>45.624484000000002</v>
      </c>
      <c r="F8" s="429">
        <v>1777.9823429999999</v>
      </c>
      <c r="G8" s="452">
        <v>5.9248570147500512E-2</v>
      </c>
      <c r="H8" s="9"/>
      <c r="I8" s="9"/>
      <c r="J8" s="9"/>
    </row>
    <row r="9" spans="1:10" ht="19.5" hidden="1" customHeight="1" thickBot="1">
      <c r="A9" s="333">
        <v>1998</v>
      </c>
      <c r="B9" s="429">
        <v>1013.8999679999999</v>
      </c>
      <c r="C9" s="430">
        <v>981.74108000000001</v>
      </c>
      <c r="D9" s="429">
        <v>1.2942830000000001</v>
      </c>
      <c r="E9" s="430">
        <v>100.29746900000001</v>
      </c>
      <c r="F9" s="429">
        <v>2097.2328000000002</v>
      </c>
      <c r="G9" s="452">
        <v>0.17955772072591403</v>
      </c>
    </row>
    <row r="10" spans="1:10" ht="19.75" hidden="1" customHeight="1" thickBot="1">
      <c r="A10" s="333">
        <v>1999</v>
      </c>
      <c r="B10" s="429">
        <v>1011.36115</v>
      </c>
      <c r="C10" s="430">
        <v>1055.56864</v>
      </c>
      <c r="D10" s="429">
        <v>0.79245500000000002</v>
      </c>
      <c r="E10" s="430">
        <v>122.17894</v>
      </c>
      <c r="F10" s="429">
        <v>2189.9011839999998</v>
      </c>
      <c r="G10" s="452">
        <v>4.4186026463061134E-2</v>
      </c>
    </row>
    <row r="11" spans="1:10" ht="20" customHeight="1" thickBot="1">
      <c r="A11" s="333">
        <v>2000</v>
      </c>
      <c r="B11" s="429">
        <v>1054.450601</v>
      </c>
      <c r="C11" s="430">
        <v>1090.7209829999999</v>
      </c>
      <c r="D11" s="429">
        <v>1.2512209999999999</v>
      </c>
      <c r="E11" s="430">
        <v>141.59474</v>
      </c>
      <c r="F11" s="429">
        <v>2288.0175450000002</v>
      </c>
      <c r="G11" s="452">
        <v>4.4804012946732197E-2</v>
      </c>
    </row>
    <row r="12" spans="1:10" ht="20" customHeight="1" thickBot="1">
      <c r="A12" s="333">
        <v>2001</v>
      </c>
      <c r="B12" s="429">
        <v>1083.514122</v>
      </c>
      <c r="C12" s="430">
        <v>1158.4133609999999</v>
      </c>
      <c r="D12" s="429">
        <v>1.2681009299999999</v>
      </c>
      <c r="E12" s="430">
        <v>156.9939449</v>
      </c>
      <c r="F12" s="429">
        <v>2400.1895288299997</v>
      </c>
      <c r="G12" s="452">
        <v>4.9025840765569706E-2</v>
      </c>
    </row>
    <row r="13" spans="1:10" ht="20" customHeight="1" thickBot="1">
      <c r="A13" s="333">
        <v>2002</v>
      </c>
      <c r="B13" s="429">
        <v>1089.8289460000001</v>
      </c>
      <c r="C13" s="430">
        <v>1244.155033</v>
      </c>
      <c r="D13" s="429">
        <v>1.2603006499999998</v>
      </c>
      <c r="E13" s="430">
        <v>167.5860868</v>
      </c>
      <c r="F13" s="429">
        <v>2502.8303664500004</v>
      </c>
      <c r="G13" s="452">
        <v>4.2763638615669786E-2</v>
      </c>
    </row>
    <row r="14" spans="1:10" ht="20" customHeight="1" thickBot="1">
      <c r="A14" s="333">
        <v>2003</v>
      </c>
      <c r="B14" s="429">
        <v>1079.925866</v>
      </c>
      <c r="C14" s="430">
        <v>1341.49136</v>
      </c>
      <c r="D14" s="429">
        <v>1.2206523200000001</v>
      </c>
      <c r="E14" s="430">
        <v>165.86177330000001</v>
      </c>
      <c r="F14" s="429">
        <v>2588.4996516200003</v>
      </c>
      <c r="G14" s="452">
        <v>3.4228961865886642E-2</v>
      </c>
    </row>
    <row r="15" spans="1:10" ht="20" customHeight="1" thickBot="1">
      <c r="A15" s="333">
        <v>2004</v>
      </c>
      <c r="B15" s="429">
        <v>1255.4702629999999</v>
      </c>
      <c r="C15" s="430">
        <v>1341.301393</v>
      </c>
      <c r="D15" s="429">
        <v>1.3776067599999999</v>
      </c>
      <c r="E15" s="430">
        <v>234.16313299999999</v>
      </c>
      <c r="F15" s="429">
        <v>2832.3123957600001</v>
      </c>
      <c r="G15" s="452">
        <v>9.4190757950232129E-2</v>
      </c>
    </row>
    <row r="16" spans="1:10" ht="20" customHeight="1" thickBot="1">
      <c r="A16" s="333">
        <v>2005</v>
      </c>
      <c r="B16" s="429">
        <v>1328.0246323900001</v>
      </c>
      <c r="C16" s="430">
        <v>1371.8229592</v>
      </c>
      <c r="D16" s="429">
        <v>1.4003180399999999</v>
      </c>
      <c r="E16" s="430">
        <v>293.73870004000003</v>
      </c>
      <c r="F16" s="429">
        <v>2994.9866096700002</v>
      </c>
      <c r="G16" s="452">
        <v>5.7435124089251222E-2</v>
      </c>
    </row>
    <row r="17" spans="1:7" ht="20" customHeight="1" thickBot="1">
      <c r="A17" s="333">
        <v>2006</v>
      </c>
      <c r="B17" s="429">
        <v>1275.3436029700001</v>
      </c>
      <c r="C17" s="430">
        <v>1332.0194115899999</v>
      </c>
      <c r="D17" s="429">
        <v>1.24792378</v>
      </c>
      <c r="E17" s="430">
        <v>430.10038037999999</v>
      </c>
      <c r="F17" s="429">
        <v>3038.7113187199998</v>
      </c>
      <c r="G17" s="452">
        <v>1.4599300347061472E-2</v>
      </c>
    </row>
    <row r="18" spans="1:7" ht="20" customHeight="1" thickBot="1">
      <c r="A18" s="333">
        <v>2007</v>
      </c>
      <c r="B18" s="429">
        <v>1254.93473436</v>
      </c>
      <c r="C18" s="430">
        <v>1283.5501741300002</v>
      </c>
      <c r="D18" s="429">
        <v>1.3477021599999999</v>
      </c>
      <c r="E18" s="430">
        <v>615.23426004999999</v>
      </c>
      <c r="F18" s="429">
        <v>3155.0668707000004</v>
      </c>
      <c r="G18" s="452">
        <v>3.8291084534154862E-2</v>
      </c>
    </row>
    <row r="19" spans="1:7" ht="20" customHeight="1" thickBot="1">
      <c r="A19" s="333">
        <v>2008</v>
      </c>
      <c r="B19" s="429">
        <v>1219.7052699400001</v>
      </c>
      <c r="C19" s="430">
        <v>1260.4115306800002</v>
      </c>
      <c r="D19" s="429">
        <v>1.4081255100000001</v>
      </c>
      <c r="E19" s="430">
        <v>808.9293028300001</v>
      </c>
      <c r="F19" s="429">
        <v>3290.4542289600004</v>
      </c>
      <c r="G19" s="452">
        <v>4.2911089941482627E-2</v>
      </c>
    </row>
    <row r="20" spans="1:7" ht="20" customHeight="1" thickBot="1">
      <c r="A20" s="333">
        <v>2009</v>
      </c>
      <c r="B20" s="429">
        <v>1153.6249357700001</v>
      </c>
      <c r="C20" s="430">
        <v>1187.9370805399999</v>
      </c>
      <c r="D20" s="429">
        <v>1.3760763200000001</v>
      </c>
      <c r="E20" s="430">
        <v>1039.5337555199999</v>
      </c>
      <c r="F20" s="429">
        <v>3382.4718481499999</v>
      </c>
      <c r="G20" s="452">
        <v>2.7965020263808205E-2</v>
      </c>
    </row>
    <row r="21" spans="1:7" ht="26.5" customHeight="1" thickBot="1">
      <c r="A21" s="431">
        <v>2010</v>
      </c>
      <c r="B21" s="432">
        <v>1051.15195066</v>
      </c>
      <c r="C21" s="433">
        <v>1011.90131852</v>
      </c>
      <c r="D21" s="432">
        <v>1.2471693700000002</v>
      </c>
      <c r="E21" s="433">
        <v>1344.41420606</v>
      </c>
      <c r="F21" s="432">
        <v>3408.7146446099996</v>
      </c>
      <c r="G21" s="314">
        <v>7.7584670732302463E-3</v>
      </c>
    </row>
    <row r="22" spans="1:7" ht="20" customHeight="1">
      <c r="A22" s="470" t="s">
        <v>678</v>
      </c>
      <c r="B22" s="470"/>
      <c r="C22" s="470"/>
      <c r="D22" s="470"/>
      <c r="E22" s="470"/>
      <c r="F22" s="470"/>
      <c r="G22" s="470"/>
    </row>
    <row r="24" spans="1:7">
      <c r="A24" s="3" t="s">
        <v>740</v>
      </c>
    </row>
    <row r="27" spans="1:7">
      <c r="A27" s="3" t="s">
        <v>677</v>
      </c>
    </row>
  </sheetData>
  <mergeCells count="1">
    <mergeCell ref="A2:G2"/>
  </mergeCells>
  <pageMargins left="0.53" right="0.6" top="1.1200000000000001" bottom="0.49" header="0.63" footer="0.4921259845"/>
  <pageSetup paperSize="9" scale="78" orientation="portrait" horizontalDpi="4294967292" verticalDpi="4294967292"/>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1B794-107A-FF4E-9E19-95D8062772F4}">
  <sheetPr>
    <pageSetUpPr fitToPage="1"/>
  </sheetPr>
  <dimension ref="A1:J57"/>
  <sheetViews>
    <sheetView topLeftCell="A27" zoomScaleNormal="100" workbookViewId="0">
      <selection activeCell="A53" sqref="A53"/>
    </sheetView>
  </sheetViews>
  <sheetFormatPr baseColWidth="10" defaultColWidth="11.3984375" defaultRowHeight="13"/>
  <cols>
    <col min="1" max="1" width="21.796875" style="3" customWidth="1"/>
    <col min="2" max="3" width="15.796875" style="3" customWidth="1"/>
    <col min="4" max="4" width="19.3984375" style="3" customWidth="1"/>
    <col min="5" max="5" width="14.3984375" style="3" customWidth="1"/>
    <col min="6" max="6" width="20.3984375" style="3" customWidth="1"/>
    <col min="7" max="7" width="16.3984375" style="3" customWidth="1"/>
    <col min="8" max="8" width="13" style="3" customWidth="1"/>
    <col min="9" max="10" width="13.3984375" style="3" customWidth="1"/>
    <col min="11" max="16384" width="11.3984375" style="3"/>
  </cols>
  <sheetData>
    <row r="1" spans="1:10" s="2" customFormat="1" ht="14" customHeight="1"/>
    <row r="2" spans="1:10" s="2" customFormat="1" ht="31.75" customHeight="1">
      <c r="A2" s="1807" t="s">
        <v>1475</v>
      </c>
      <c r="B2" s="1811"/>
      <c r="C2" s="1811"/>
      <c r="D2" s="1811"/>
      <c r="E2" s="1811"/>
      <c r="F2" s="1811"/>
      <c r="G2" s="1811"/>
    </row>
    <row r="3" spans="1:10" ht="24" customHeight="1">
      <c r="A3" s="72" t="s">
        <v>1476</v>
      </c>
      <c r="B3" s="73" t="s">
        <v>681</v>
      </c>
      <c r="C3" s="74" t="s">
        <v>682</v>
      </c>
      <c r="D3" s="73" t="s">
        <v>683</v>
      </c>
      <c r="E3" s="74" t="s">
        <v>684</v>
      </c>
      <c r="F3" s="73" t="s">
        <v>644</v>
      </c>
      <c r="G3" s="277" t="s">
        <v>585</v>
      </c>
    </row>
    <row r="4" spans="1:10" ht="15" customHeight="1">
      <c r="A4" s="328"/>
      <c r="B4" s="76" t="s">
        <v>685</v>
      </c>
      <c r="C4" s="77" t="s">
        <v>686</v>
      </c>
      <c r="D4" s="76" t="s">
        <v>696</v>
      </c>
      <c r="E4" s="106" t="s">
        <v>1477</v>
      </c>
      <c r="F4" s="76"/>
      <c r="G4" s="75" t="s">
        <v>586</v>
      </c>
    </row>
    <row r="5" spans="1:10" ht="15" customHeight="1">
      <c r="A5" s="328"/>
      <c r="B5" s="76" t="s">
        <v>689</v>
      </c>
      <c r="C5" s="77" t="s">
        <v>690</v>
      </c>
      <c r="D5" s="76" t="s">
        <v>698</v>
      </c>
      <c r="E5" s="106" t="s">
        <v>1478</v>
      </c>
      <c r="F5" s="76"/>
      <c r="G5" s="75" t="s">
        <v>210</v>
      </c>
    </row>
    <row r="6" spans="1:10" ht="24" customHeight="1">
      <c r="A6" s="263" t="s">
        <v>1365</v>
      </c>
      <c r="B6" s="82"/>
      <c r="C6" s="81"/>
      <c r="D6" s="82"/>
      <c r="E6" s="109" t="s">
        <v>692</v>
      </c>
      <c r="F6" s="82"/>
      <c r="G6" s="108"/>
    </row>
    <row r="7" spans="1:10" ht="1.5" customHeight="1" thickBot="1">
      <c r="A7" s="427">
        <v>1996</v>
      </c>
      <c r="B7" s="123">
        <v>228.61851592074831</v>
      </c>
      <c r="C7" s="124">
        <v>250.28080917066114</v>
      </c>
      <c r="D7" s="123">
        <v>156.40767594799246</v>
      </c>
      <c r="E7" s="124">
        <v>39.181749983856008</v>
      </c>
      <c r="F7" s="123">
        <v>232.07567799264095</v>
      </c>
      <c r="G7" s="309" t="s">
        <v>35</v>
      </c>
    </row>
    <row r="8" spans="1:10" ht="0.75" hidden="1" customHeight="1" thickBot="1">
      <c r="A8" s="333">
        <v>1997</v>
      </c>
      <c r="B8" s="133">
        <v>214.82091350284739</v>
      </c>
      <c r="C8" s="132">
        <v>309.95377266694288</v>
      </c>
      <c r="D8" s="133">
        <v>147.80819168288531</v>
      </c>
      <c r="E8" s="132">
        <v>118.73527169724866</v>
      </c>
      <c r="F8" s="133">
        <v>245.69341951346181</v>
      </c>
      <c r="G8" s="452">
        <v>5.8678021060236452E-2</v>
      </c>
      <c r="H8" s="9"/>
      <c r="I8" s="9"/>
      <c r="J8" s="9"/>
    </row>
    <row r="9" spans="1:10" ht="19.5" hidden="1" customHeight="1" thickBot="1">
      <c r="A9" s="333">
        <v>1998</v>
      </c>
      <c r="B9" s="133">
        <v>252.5128510168046</v>
      </c>
      <c r="C9" s="132">
        <v>360.17625657491357</v>
      </c>
      <c r="D9" s="133">
        <v>109.45734992662796</v>
      </c>
      <c r="E9" s="132">
        <v>203.07165413877752</v>
      </c>
      <c r="F9" s="133">
        <v>289.40816378154983</v>
      </c>
      <c r="G9" s="452">
        <v>0.17792395235759595</v>
      </c>
    </row>
    <row r="10" spans="1:10" ht="19.75" hidden="1" customHeight="1" thickBot="1">
      <c r="A10" s="333">
        <v>1999</v>
      </c>
      <c r="B10" s="133">
        <v>252.78194503280005</v>
      </c>
      <c r="C10" s="132">
        <v>388.48632413108436</v>
      </c>
      <c r="D10" s="133">
        <v>77.211639339766236</v>
      </c>
      <c r="E10" s="132">
        <v>225.34003908380205</v>
      </c>
      <c r="F10" s="133">
        <v>301.19915324099151</v>
      </c>
      <c r="G10" s="452">
        <v>4.0741730659476838E-2</v>
      </c>
    </row>
    <row r="11" spans="1:10" ht="20" customHeight="1" thickBot="1">
      <c r="A11" s="333">
        <v>2000</v>
      </c>
      <c r="B11" s="133">
        <v>268.97415894253976</v>
      </c>
      <c r="C11" s="132">
        <v>395.55641048968283</v>
      </c>
      <c r="D11" s="133">
        <v>127.58078154223918</v>
      </c>
      <c r="E11" s="132">
        <v>245.13884972744927</v>
      </c>
      <c r="F11" s="133">
        <v>314.93035979343995</v>
      </c>
      <c r="G11" s="452">
        <v>4.5588463329649498E-2</v>
      </c>
    </row>
    <row r="12" spans="1:10" ht="20" customHeight="1" thickBot="1">
      <c r="A12" s="333">
        <v>2001</v>
      </c>
      <c r="B12" s="133">
        <v>279.87221622151498</v>
      </c>
      <c r="C12" s="132">
        <v>409.91519673787701</v>
      </c>
      <c r="D12" s="133">
        <v>136.13273133558098</v>
      </c>
      <c r="E12" s="132">
        <v>264.16982213438177</v>
      </c>
      <c r="F12" s="133">
        <v>328.74580078618828</v>
      </c>
      <c r="G12" s="452">
        <v>4.3868241225805571E-2</v>
      </c>
    </row>
    <row r="13" spans="1:10" ht="20" customHeight="1" thickBot="1">
      <c r="A13" s="333">
        <v>2002</v>
      </c>
      <c r="B13" s="133">
        <v>286.4170414821387</v>
      </c>
      <c r="C13" s="132">
        <v>418.22409665521263</v>
      </c>
      <c r="D13" s="133">
        <v>142.93477715564441</v>
      </c>
      <c r="E13" s="132">
        <v>301.45728171382285</v>
      </c>
      <c r="F13" s="133">
        <v>340.77001631259407</v>
      </c>
      <c r="G13" s="452">
        <v>3.6576027732217797E-2</v>
      </c>
    </row>
    <row r="14" spans="1:10" ht="20" customHeight="1" thickBot="1">
      <c r="A14" s="333">
        <v>2003</v>
      </c>
      <c r="B14" s="133">
        <v>294.74032000405879</v>
      </c>
      <c r="C14" s="132">
        <v>432.96196147343414</v>
      </c>
      <c r="D14" s="133">
        <v>147.17768028203764</v>
      </c>
      <c r="E14" s="132">
        <v>275.60229235265177</v>
      </c>
      <c r="F14" s="133">
        <v>351.10178312798706</v>
      </c>
      <c r="G14" s="452">
        <v>3.0318884645988087E-2</v>
      </c>
    </row>
    <row r="15" spans="1:10" ht="20" customHeight="1" thickBot="1">
      <c r="A15" s="333">
        <v>2004</v>
      </c>
      <c r="B15" s="133">
        <v>346.67767559714537</v>
      </c>
      <c r="C15" s="132">
        <v>445.61742079017637</v>
      </c>
      <c r="D15" s="133">
        <v>170.9555657016069</v>
      </c>
      <c r="E15" s="132">
        <v>314.69406860308436</v>
      </c>
      <c r="F15" s="133">
        <v>383.59639867630506</v>
      </c>
      <c r="G15" s="452">
        <v>9.2550414466202602E-2</v>
      </c>
    </row>
    <row r="16" spans="1:10" ht="20" customHeight="1" thickBot="1">
      <c r="A16" s="333">
        <v>2005</v>
      </c>
      <c r="B16" s="133">
        <v>369.44498634392721</v>
      </c>
      <c r="C16" s="132">
        <v>468.17286197785694</v>
      </c>
      <c r="D16" s="133">
        <v>182.15224262282666</v>
      </c>
      <c r="E16" s="132">
        <v>325.16017542364909</v>
      </c>
      <c r="F16" s="133">
        <v>402.77581823634506</v>
      </c>
      <c r="G16" s="452">
        <v>4.9998956262945482E-2</v>
      </c>
    </row>
    <row r="17" spans="1:7" ht="20" customHeight="1" thickBot="1">
      <c r="A17" s="333">
        <v>2006</v>
      </c>
      <c r="B17" s="133">
        <v>381.48826099648591</v>
      </c>
      <c r="C17" s="132">
        <v>479.72716225398437</v>
      </c>
      <c r="D17" s="133">
        <v>173.51556238627722</v>
      </c>
      <c r="E17" s="132">
        <v>318.22891670236891</v>
      </c>
      <c r="F17" s="133">
        <v>406.33016890579557</v>
      </c>
      <c r="G17" s="452">
        <v>8.8246376979981278E-3</v>
      </c>
    </row>
    <row r="18" spans="1:7" ht="20" customHeight="1" thickBot="1">
      <c r="A18" s="333">
        <v>2007</v>
      </c>
      <c r="B18" s="133">
        <v>400.55455286147281</v>
      </c>
      <c r="C18" s="132">
        <v>500.15854269388518</v>
      </c>
      <c r="D18" s="133">
        <v>196.2585932147031</v>
      </c>
      <c r="E18" s="132">
        <v>335.92959502889681</v>
      </c>
      <c r="F18" s="133">
        <v>418.57794913092192</v>
      </c>
      <c r="G18" s="452">
        <v>3.014243381954218E-2</v>
      </c>
    </row>
    <row r="19" spans="1:7" ht="20" customHeight="1" thickBot="1">
      <c r="A19" s="333">
        <v>2008</v>
      </c>
      <c r="B19" s="133">
        <v>413.84569612436934</v>
      </c>
      <c r="C19" s="132">
        <v>530.13155278898682</v>
      </c>
      <c r="D19" s="133">
        <v>216.27564645013524</v>
      </c>
      <c r="E19" s="132">
        <v>354.13205606736216</v>
      </c>
      <c r="F19" s="133">
        <v>432.06984081146493</v>
      </c>
      <c r="G19" s="452">
        <v>3.223268619036368E-2</v>
      </c>
    </row>
    <row r="20" spans="1:7" ht="20" customHeight="1" thickBot="1">
      <c r="A20" s="333">
        <v>2009</v>
      </c>
      <c r="B20" s="133">
        <v>419.73019788908238</v>
      </c>
      <c r="C20" s="132">
        <v>544.40918884592361</v>
      </c>
      <c r="D20" s="133">
        <v>223.50620861263292</v>
      </c>
      <c r="E20" s="132">
        <v>374.97265629912067</v>
      </c>
      <c r="F20" s="133">
        <v>438.77782718478119</v>
      </c>
      <c r="G20" s="452">
        <v>1.5525236292165401E-2</v>
      </c>
    </row>
    <row r="21" spans="1:7" ht="21.75" customHeight="1" thickBot="1">
      <c r="A21" s="431">
        <v>2010</v>
      </c>
      <c r="B21" s="435">
        <v>435.70361068231057</v>
      </c>
      <c r="C21" s="436">
        <v>572.69650597987197</v>
      </c>
      <c r="D21" s="435">
        <v>219.33149556032734</v>
      </c>
      <c r="E21" s="436">
        <v>374.02084561196324</v>
      </c>
      <c r="F21" s="435">
        <v>438.15718058625299</v>
      </c>
      <c r="G21" s="837">
        <v>-1.4144894296740373E-3</v>
      </c>
    </row>
    <row r="22" spans="1:7" ht="17.25" customHeight="1">
      <c r="A22" s="95" t="s">
        <v>678</v>
      </c>
      <c r="B22" s="95"/>
      <c r="C22" s="95"/>
      <c r="D22" s="95"/>
      <c r="E22" s="95"/>
      <c r="F22" s="95"/>
      <c r="G22" s="666"/>
    </row>
    <row r="23" spans="1:7">
      <c r="G23" s="667"/>
    </row>
    <row r="24" spans="1:7">
      <c r="A24" s="3" t="s">
        <v>1479</v>
      </c>
      <c r="G24" s="667"/>
    </row>
    <row r="25" spans="1:7">
      <c r="G25" s="667"/>
    </row>
    <row r="26" spans="1:7">
      <c r="G26" s="667"/>
    </row>
    <row r="27" spans="1:7" ht="21" customHeight="1">
      <c r="A27" s="838" t="s">
        <v>1480</v>
      </c>
      <c r="G27" s="667"/>
    </row>
    <row r="28" spans="1:7">
      <c r="G28" s="667"/>
    </row>
    <row r="29" spans="1:7" ht="18" customHeight="1">
      <c r="A29" s="72" t="s">
        <v>695</v>
      </c>
      <c r="B29" s="73" t="s">
        <v>204</v>
      </c>
      <c r="C29" s="277" t="s">
        <v>585</v>
      </c>
      <c r="D29" s="73" t="s">
        <v>1362</v>
      </c>
      <c r="E29" s="277" t="s">
        <v>585</v>
      </c>
      <c r="F29" s="73" t="s">
        <v>1481</v>
      </c>
      <c r="G29" s="277" t="s">
        <v>585</v>
      </c>
    </row>
    <row r="30" spans="1:7" ht="18" customHeight="1">
      <c r="A30" s="839"/>
      <c r="B30" s="76" t="s">
        <v>207</v>
      </c>
      <c r="C30" s="75" t="s">
        <v>586</v>
      </c>
      <c r="D30" s="76" t="s">
        <v>208</v>
      </c>
      <c r="E30" s="75" t="s">
        <v>586</v>
      </c>
      <c r="F30" s="76" t="s">
        <v>1482</v>
      </c>
      <c r="G30" s="75" t="s">
        <v>586</v>
      </c>
    </row>
    <row r="31" spans="1:7" ht="18" customHeight="1">
      <c r="A31" s="328"/>
      <c r="B31" s="76"/>
      <c r="C31" s="653" t="s">
        <v>210</v>
      </c>
      <c r="D31" s="76"/>
      <c r="E31" s="653" t="s">
        <v>210</v>
      </c>
      <c r="F31" s="76"/>
      <c r="G31" s="653" t="s">
        <v>210</v>
      </c>
    </row>
    <row r="32" spans="1:7" ht="18" customHeight="1">
      <c r="A32" s="329"/>
      <c r="B32" s="82"/>
      <c r="C32" s="81"/>
      <c r="D32" s="82"/>
      <c r="E32" s="109"/>
      <c r="F32" s="82"/>
      <c r="G32" s="654"/>
    </row>
    <row r="33" spans="1:7" ht="2.25" customHeight="1" thickBot="1">
      <c r="A33" s="427">
        <v>1996</v>
      </c>
      <c r="B33" s="123" t="s">
        <v>35</v>
      </c>
      <c r="C33" s="840" t="s">
        <v>35</v>
      </c>
      <c r="D33" s="123" t="s">
        <v>35</v>
      </c>
      <c r="E33" s="840" t="s">
        <v>35</v>
      </c>
      <c r="F33" s="123" t="s">
        <v>35</v>
      </c>
      <c r="G33" s="309" t="s">
        <v>35</v>
      </c>
    </row>
    <row r="34" spans="1:7" ht="0.75" customHeight="1" thickBot="1">
      <c r="A34" s="427">
        <v>1997</v>
      </c>
      <c r="B34" s="123">
        <v>63.73</v>
      </c>
      <c r="C34" s="452" t="s">
        <v>35</v>
      </c>
      <c r="D34" s="123">
        <v>181.03</v>
      </c>
      <c r="E34" s="452" t="s">
        <v>35</v>
      </c>
      <c r="F34" s="123">
        <v>315.33</v>
      </c>
      <c r="G34" s="452" t="s">
        <v>35</v>
      </c>
    </row>
    <row r="35" spans="1:7" ht="18" hidden="1" customHeight="1" thickBot="1">
      <c r="A35" s="427">
        <v>1998</v>
      </c>
      <c r="B35" s="133">
        <v>67.75</v>
      </c>
      <c r="C35" s="452">
        <v>6.3078612898164188E-2</v>
      </c>
      <c r="D35" s="133">
        <v>220.5</v>
      </c>
      <c r="E35" s="452">
        <v>0.21803016074683756</v>
      </c>
      <c r="F35" s="133">
        <v>369.64</v>
      </c>
      <c r="G35" s="452">
        <v>0.17223226461167673</v>
      </c>
    </row>
    <row r="36" spans="1:7" ht="18" hidden="1" customHeight="1" thickBot="1">
      <c r="A36" s="427">
        <v>1999</v>
      </c>
      <c r="B36" s="133">
        <v>68.52</v>
      </c>
      <c r="C36" s="452">
        <v>1.1365313653136422E-2</v>
      </c>
      <c r="D36" s="133">
        <v>233.83</v>
      </c>
      <c r="E36" s="452">
        <v>6.0453514739229108E-2</v>
      </c>
      <c r="F36" s="133">
        <v>384.99</v>
      </c>
      <c r="G36" s="452">
        <v>4.1526891029109558E-2</v>
      </c>
    </row>
    <row r="37" spans="1:7" ht="18" customHeight="1" thickBot="1">
      <c r="A37" s="427">
        <v>2000</v>
      </c>
      <c r="B37" s="133">
        <v>71.95</v>
      </c>
      <c r="C37" s="452">
        <v>5.0058377116170671E-2</v>
      </c>
      <c r="D37" s="133">
        <v>241.33</v>
      </c>
      <c r="E37" s="452">
        <v>3.2074584099559544E-2</v>
      </c>
      <c r="F37" s="133">
        <v>405.65</v>
      </c>
      <c r="G37" s="452">
        <v>5.3663731525493974E-2</v>
      </c>
    </row>
    <row r="38" spans="1:7" ht="18" customHeight="1" thickBot="1">
      <c r="A38" s="427">
        <v>2001</v>
      </c>
      <c r="B38" s="133">
        <v>75.150000000000006</v>
      </c>
      <c r="C38" s="452">
        <v>4.4475330090340659E-2</v>
      </c>
      <c r="D38" s="133">
        <v>252.17</v>
      </c>
      <c r="E38" s="452">
        <v>4.4917747482699832E-2</v>
      </c>
      <c r="F38" s="133">
        <v>422.68</v>
      </c>
      <c r="G38" s="452">
        <v>4.1982004190805E-2</v>
      </c>
    </row>
    <row r="39" spans="1:7" ht="18" customHeight="1" thickBot="1">
      <c r="A39" s="427">
        <v>2002</v>
      </c>
      <c r="B39" s="133">
        <v>75.16</v>
      </c>
      <c r="C39" s="452">
        <v>1.3306719893524388E-4</v>
      </c>
      <c r="D39" s="133">
        <v>258.77</v>
      </c>
      <c r="E39" s="452">
        <v>2.6172819923067747E-2</v>
      </c>
      <c r="F39" s="133">
        <v>434.56</v>
      </c>
      <c r="G39" s="452">
        <v>2.8106368884262212E-2</v>
      </c>
    </row>
    <row r="40" spans="1:7" ht="18" customHeight="1" thickBot="1">
      <c r="A40" s="427">
        <v>2003</v>
      </c>
      <c r="B40" s="133">
        <v>77.430000000000007</v>
      </c>
      <c r="C40" s="452">
        <v>3.0202235231506336E-2</v>
      </c>
      <c r="D40" s="133">
        <v>267.27999999999997</v>
      </c>
      <c r="E40" s="452">
        <v>3.2886346949028145E-2</v>
      </c>
      <c r="F40" s="133">
        <v>445.21</v>
      </c>
      <c r="G40" s="452">
        <v>2.4507547864506485E-2</v>
      </c>
    </row>
    <row r="41" spans="1:7" ht="18" customHeight="1" thickBot="1">
      <c r="A41" s="427">
        <v>2004</v>
      </c>
      <c r="B41" s="133">
        <v>80.83</v>
      </c>
      <c r="C41" s="452">
        <v>4.391062895518516E-2</v>
      </c>
      <c r="D41" s="133">
        <v>289.83</v>
      </c>
      <c r="E41" s="452">
        <v>8.4368452559114182E-2</v>
      </c>
      <c r="F41" s="133">
        <v>485.65</v>
      </c>
      <c r="G41" s="452">
        <v>9.0833539228678539E-2</v>
      </c>
    </row>
    <row r="42" spans="1:7" ht="18" customHeight="1" thickBot="1">
      <c r="A42" s="427">
        <v>2005</v>
      </c>
      <c r="B42" s="133">
        <v>88.02</v>
      </c>
      <c r="C42" s="452">
        <v>8.8952121736978862E-2</v>
      </c>
      <c r="D42" s="133">
        <v>302.69</v>
      </c>
      <c r="E42" s="452">
        <v>4.4370838077493646E-2</v>
      </c>
      <c r="F42" s="133">
        <v>505.01</v>
      </c>
      <c r="G42" s="452">
        <v>3.9864099660249286E-2</v>
      </c>
    </row>
    <row r="43" spans="1:7" ht="18" customHeight="1" thickBot="1">
      <c r="A43" s="427">
        <v>2006</v>
      </c>
      <c r="B43" s="133">
        <v>89.58</v>
      </c>
      <c r="C43" s="452">
        <v>1.7723244717109843E-2</v>
      </c>
      <c r="D43" s="133">
        <v>304.13</v>
      </c>
      <c r="E43" s="452">
        <v>4.7573424956226518E-3</v>
      </c>
      <c r="F43" s="133">
        <v>510.09</v>
      </c>
      <c r="G43" s="452">
        <v>1.0059206748381122E-2</v>
      </c>
    </row>
    <row r="44" spans="1:7" ht="18" customHeight="1" thickBot="1">
      <c r="A44" s="427">
        <v>2007</v>
      </c>
      <c r="B44" s="133">
        <v>92.79</v>
      </c>
      <c r="C44" s="452">
        <v>3.5833891493637138E-2</v>
      </c>
      <c r="D44" s="133">
        <v>309.54000000000002</v>
      </c>
      <c r="E44" s="452">
        <v>1.7788445730444247E-2</v>
      </c>
      <c r="F44" s="133">
        <v>522.22</v>
      </c>
      <c r="G44" s="452">
        <v>2.3780117234213582E-2</v>
      </c>
    </row>
    <row r="45" spans="1:7" ht="18" customHeight="1" thickBot="1">
      <c r="A45" s="427">
        <v>2008</v>
      </c>
      <c r="B45" s="133">
        <v>95.087019294832501</v>
      </c>
      <c r="C45" s="452">
        <v>2.4755030658826227E-2</v>
      </c>
      <c r="D45" s="133">
        <v>320.79966291492889</v>
      </c>
      <c r="E45" s="452">
        <v>3.6375469777504943E-2</v>
      </c>
      <c r="F45" s="133">
        <v>538.06114670750605</v>
      </c>
      <c r="G45" s="452">
        <v>3.0334239798372353E-2</v>
      </c>
    </row>
    <row r="46" spans="1:7" ht="21" customHeight="1" thickBot="1">
      <c r="A46" s="841">
        <v>2010</v>
      </c>
      <c r="B46" s="842">
        <v>93.937047957694219</v>
      </c>
      <c r="C46" s="837">
        <v>-1.8679265869478656E-2</v>
      </c>
      <c r="D46" s="843">
        <v>331.62812709047785</v>
      </c>
      <c r="E46" s="837">
        <v>-7.6046857908736998E-3</v>
      </c>
      <c r="F46" s="843">
        <v>542.78191935372695</v>
      </c>
      <c r="G46" s="837">
        <v>-2.6520293545230222E-3</v>
      </c>
    </row>
    <row r="47" spans="1:7" ht="15" customHeight="1">
      <c r="A47" s="352" t="s">
        <v>678</v>
      </c>
    </row>
    <row r="49" spans="1:7">
      <c r="A49" s="96" t="s">
        <v>1483</v>
      </c>
    </row>
    <row r="51" spans="1:7">
      <c r="G51" s="667"/>
    </row>
    <row r="52" spans="1:7">
      <c r="A52" s="324" t="s">
        <v>1484</v>
      </c>
    </row>
    <row r="53" spans="1:7">
      <c r="A53" s="3" t="s">
        <v>1485</v>
      </c>
    </row>
    <row r="54" spans="1:7">
      <c r="A54" s="3" t="s">
        <v>1486</v>
      </c>
    </row>
    <row r="57" spans="1:7">
      <c r="A57" s="3" t="s">
        <v>677</v>
      </c>
    </row>
  </sheetData>
  <mergeCells count="1">
    <mergeCell ref="A2:G2"/>
  </mergeCells>
  <pageMargins left="0.32" right="0.23" top="0.39370078740157483" bottom="0.31496062992125984" header="0.23622047244094491" footer="0.19685039370078741"/>
  <pageSetup paperSize="9" scale="72" orientation="portrait" horizontalDpi="1200" verticalDpi="1200"/>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8F060-EE67-594E-8306-A7E0543DE32E}">
  <sheetPr>
    <pageSetUpPr fitToPage="1"/>
  </sheetPr>
  <dimension ref="A1:P43"/>
  <sheetViews>
    <sheetView topLeftCell="A18" zoomScaleNormal="100" workbookViewId="0">
      <selection activeCell="A36" sqref="A36"/>
    </sheetView>
  </sheetViews>
  <sheetFormatPr baseColWidth="10" defaultColWidth="11.3984375" defaultRowHeight="13"/>
  <cols>
    <col min="1" max="1" width="15.796875" style="3" customWidth="1"/>
    <col min="2" max="2" width="10.3984375" style="3" customWidth="1"/>
    <col min="3" max="3" width="10.19921875" style="3" customWidth="1"/>
    <col min="4" max="4" width="10.59765625" style="3" customWidth="1"/>
    <col min="5" max="11" width="10.3984375" style="3" customWidth="1"/>
    <col min="12" max="13" width="11.3984375" style="3"/>
    <col min="14" max="14" width="11.59765625" style="3" customWidth="1"/>
    <col min="15" max="16384" width="11.3984375" style="3"/>
  </cols>
  <sheetData>
    <row r="1" spans="1:16" s="2" customFormat="1" ht="14" customHeight="1"/>
    <row r="2" spans="1:16" s="2" customFormat="1" ht="33" customHeight="1">
      <c r="A2" s="129" t="s">
        <v>2460</v>
      </c>
      <c r="B2" s="306"/>
      <c r="C2" s="306"/>
      <c r="D2" s="306"/>
      <c r="E2" s="306"/>
      <c r="F2" s="306"/>
      <c r="G2" s="306"/>
      <c r="H2" s="306"/>
      <c r="I2" s="129"/>
      <c r="J2" s="129"/>
      <c r="K2" s="129"/>
      <c r="L2" s="129"/>
      <c r="M2" s="129"/>
      <c r="N2" s="129"/>
      <c r="O2" s="129"/>
      <c r="P2" s="129"/>
    </row>
    <row r="3" spans="1:16" ht="24" customHeight="1">
      <c r="A3" s="692" t="s">
        <v>203</v>
      </c>
      <c r="B3" s="77">
        <v>1996</v>
      </c>
      <c r="C3" s="76">
        <v>1997</v>
      </c>
      <c r="D3" s="77">
        <v>1998</v>
      </c>
      <c r="E3" s="1643">
        <v>1999</v>
      </c>
      <c r="F3" s="1644">
        <v>2000</v>
      </c>
      <c r="G3" s="76">
        <v>2001</v>
      </c>
      <c r="H3" s="77">
        <v>2002</v>
      </c>
      <c r="I3" s="76">
        <v>2003</v>
      </c>
      <c r="J3" s="77">
        <v>2004</v>
      </c>
      <c r="K3" s="76">
        <v>2005</v>
      </c>
      <c r="L3" s="77">
        <v>2006</v>
      </c>
      <c r="M3" s="76">
        <v>2007</v>
      </c>
      <c r="N3" s="77">
        <v>2008</v>
      </c>
      <c r="O3" s="76">
        <v>2009</v>
      </c>
      <c r="P3" s="77">
        <v>2010</v>
      </c>
    </row>
    <row r="4" spans="1:16" ht="15" customHeight="1">
      <c r="A4" s="693"/>
      <c r="B4" s="77"/>
      <c r="C4" s="76"/>
      <c r="D4" s="77"/>
      <c r="E4" s="105"/>
      <c r="F4" s="106"/>
      <c r="G4" s="76"/>
      <c r="H4" s="77"/>
      <c r="I4" s="76"/>
      <c r="J4" s="77"/>
      <c r="K4" s="76"/>
      <c r="L4" s="77"/>
      <c r="M4" s="76"/>
      <c r="N4" s="77"/>
      <c r="O4" s="76"/>
      <c r="P4" s="77"/>
    </row>
    <row r="5" spans="1:16" ht="16" customHeight="1">
      <c r="A5" s="694"/>
      <c r="B5" s="81"/>
      <c r="C5" s="82"/>
      <c r="D5" s="81"/>
      <c r="E5" s="110"/>
      <c r="F5" s="109"/>
      <c r="G5" s="82"/>
      <c r="H5" s="81"/>
      <c r="I5" s="82"/>
      <c r="J5" s="81"/>
      <c r="K5" s="82"/>
      <c r="L5" s="81"/>
      <c r="M5" s="82"/>
      <c r="N5" s="81"/>
      <c r="O5" s="82"/>
      <c r="P5" s="81"/>
    </row>
    <row r="6" spans="1:16" ht="30" customHeight="1" thickBot="1">
      <c r="A6" s="1645" t="s">
        <v>211</v>
      </c>
      <c r="B6" s="130">
        <v>1531.4368043385546</v>
      </c>
      <c r="C6" s="131">
        <v>1592.1404612983295</v>
      </c>
      <c r="D6" s="130">
        <v>1716.0245551444925</v>
      </c>
      <c r="E6" s="131">
        <v>1773.1739518220609</v>
      </c>
      <c r="F6" s="130">
        <v>1834.7116093744457</v>
      </c>
      <c r="G6" s="131">
        <v>1932.4611205334261</v>
      </c>
      <c r="H6" s="124">
        <v>2000.5046781814647</v>
      </c>
      <c r="I6" s="123">
        <v>2034.9237040545336</v>
      </c>
      <c r="J6" s="124">
        <v>2196.6080176712967</v>
      </c>
      <c r="K6" s="123">
        <v>2276.3332940228111</v>
      </c>
      <c r="L6" s="124">
        <v>2275.0555158102898</v>
      </c>
      <c r="M6" s="123">
        <v>2377.7251299329969</v>
      </c>
      <c r="N6" s="124">
        <v>2490.7057595098518</v>
      </c>
      <c r="O6" s="123">
        <v>2595.1602371058643</v>
      </c>
      <c r="P6" s="124">
        <v>2658.1695727129568</v>
      </c>
    </row>
    <row r="7" spans="1:16" ht="20" customHeight="1" thickBot="1">
      <c r="A7" s="1646" t="s">
        <v>212</v>
      </c>
      <c r="B7" s="132">
        <v>1429.5179276925787</v>
      </c>
      <c r="C7" s="133">
        <v>1560.9828221225171</v>
      </c>
      <c r="D7" s="132">
        <v>1549.4957062423252</v>
      </c>
      <c r="E7" s="133">
        <v>1630.1556937084752</v>
      </c>
      <c r="F7" s="132">
        <v>1781.6542916392134</v>
      </c>
      <c r="G7" s="133">
        <v>1847.9692160332511</v>
      </c>
      <c r="H7" s="124">
        <v>1922.939690101945</v>
      </c>
      <c r="I7" s="123">
        <v>2056.6964015673011</v>
      </c>
      <c r="J7" s="124">
        <v>2341.8816259440355</v>
      </c>
      <c r="K7" s="123">
        <v>2485.1444407832573</v>
      </c>
      <c r="L7" s="124">
        <v>2547.105985823775</v>
      </c>
      <c r="M7" s="123">
        <v>2678.4157621860086</v>
      </c>
      <c r="N7" s="124">
        <v>2798.8865785595031</v>
      </c>
      <c r="O7" s="123">
        <v>2847.3804001022049</v>
      </c>
      <c r="P7" s="124">
        <v>2892.7488001419242</v>
      </c>
    </row>
    <row r="8" spans="1:16" ht="20" customHeight="1" thickBot="1">
      <c r="A8" s="1646" t="s">
        <v>213</v>
      </c>
      <c r="B8" s="132">
        <v>1133.4959137144647</v>
      </c>
      <c r="C8" s="133">
        <v>1164.2366846696132</v>
      </c>
      <c r="D8" s="132">
        <v>1255.3914661537981</v>
      </c>
      <c r="E8" s="133">
        <v>1318.1977597711782</v>
      </c>
      <c r="F8" s="132">
        <v>1420.093796759051</v>
      </c>
      <c r="G8" s="133">
        <v>1529.4853321539028</v>
      </c>
      <c r="H8" s="124">
        <v>1576.1526530652723</v>
      </c>
      <c r="I8" s="123">
        <v>1674.3818428454581</v>
      </c>
      <c r="J8" s="124">
        <v>1805.4006977487363</v>
      </c>
      <c r="K8" s="123">
        <v>1947.7473971890336</v>
      </c>
      <c r="L8" s="124">
        <v>1934.0866644296423</v>
      </c>
      <c r="M8" s="123">
        <v>2024.2185351854032</v>
      </c>
      <c r="N8" s="124">
        <v>2117.1685537566664</v>
      </c>
      <c r="O8" s="123">
        <v>2239.5335043069604</v>
      </c>
      <c r="P8" s="124">
        <v>2291.8030558776159</v>
      </c>
    </row>
    <row r="9" spans="1:16" ht="20" customHeight="1" thickBot="1">
      <c r="A9" s="1646" t="s">
        <v>214</v>
      </c>
      <c r="B9" s="132">
        <v>1170.5713898768597</v>
      </c>
      <c r="C9" s="133">
        <v>1188.7947173285502</v>
      </c>
      <c r="D9" s="132">
        <v>1184.7634491989279</v>
      </c>
      <c r="E9" s="133">
        <v>1276.0434772253018</v>
      </c>
      <c r="F9" s="132">
        <v>1372.3320896788282</v>
      </c>
      <c r="G9" s="133">
        <v>1524.2356863549176</v>
      </c>
      <c r="H9" s="124">
        <v>1447.1828874585042</v>
      </c>
      <c r="I9" s="123">
        <v>1570.7474754638181</v>
      </c>
      <c r="J9" s="124">
        <v>1666.6492681434515</v>
      </c>
      <c r="K9" s="123">
        <v>1860.0091614818257</v>
      </c>
      <c r="L9" s="124">
        <v>1869.5080282563245</v>
      </c>
      <c r="M9" s="123">
        <v>2009.4927026379683</v>
      </c>
      <c r="N9" s="124">
        <v>2068.8412540501618</v>
      </c>
      <c r="O9" s="123">
        <v>2163.02623550206</v>
      </c>
      <c r="P9" s="124">
        <v>2174.6586066543464</v>
      </c>
    </row>
    <row r="10" spans="1:16" ht="20" customHeight="1" thickBot="1">
      <c r="A10" s="1646" t="s">
        <v>215</v>
      </c>
      <c r="B10" s="132">
        <v>1183.904502547374</v>
      </c>
      <c r="C10" s="133">
        <v>1177.3390952712084</v>
      </c>
      <c r="D10" s="132">
        <v>1210.2794637805375</v>
      </c>
      <c r="E10" s="133">
        <v>1328.6042502309097</v>
      </c>
      <c r="F10" s="132">
        <v>1401.49371094512</v>
      </c>
      <c r="G10" s="133">
        <v>1562.5834963549732</v>
      </c>
      <c r="H10" s="124">
        <v>1546.5923642876348</v>
      </c>
      <c r="I10" s="123">
        <v>1661.3339067844468</v>
      </c>
      <c r="J10" s="124">
        <v>1779.1950576893307</v>
      </c>
      <c r="K10" s="123">
        <v>1883.5767671342526</v>
      </c>
      <c r="L10" s="124">
        <v>1924.2853426193594</v>
      </c>
      <c r="M10" s="123">
        <v>2012.3715910012818</v>
      </c>
      <c r="N10" s="124">
        <v>2081.1379398518775</v>
      </c>
      <c r="O10" s="123">
        <v>2224.6461416556958</v>
      </c>
      <c r="P10" s="124">
        <v>2225.2091375768055</v>
      </c>
    </row>
    <row r="11" spans="1:16" ht="20" customHeight="1" thickBot="1">
      <c r="A11" s="1646" t="s">
        <v>216</v>
      </c>
      <c r="B11" s="132">
        <v>1133.7894159595787</v>
      </c>
      <c r="C11" s="133">
        <v>1137.0381481642287</v>
      </c>
      <c r="D11" s="132">
        <v>1204.9714456028103</v>
      </c>
      <c r="E11" s="133">
        <v>1277.9778714096794</v>
      </c>
      <c r="F11" s="132">
        <v>1369.3814863200012</v>
      </c>
      <c r="G11" s="133">
        <v>1410.6232418448128</v>
      </c>
      <c r="H11" s="124">
        <v>1421.5873003326212</v>
      </c>
      <c r="I11" s="123">
        <v>1531.0057506857099</v>
      </c>
      <c r="J11" s="124">
        <v>1618.0639843081201</v>
      </c>
      <c r="K11" s="123">
        <v>1769.3426699028305</v>
      </c>
      <c r="L11" s="124">
        <v>1824.6505680668256</v>
      </c>
      <c r="M11" s="123">
        <v>1975.9418241624771</v>
      </c>
      <c r="N11" s="124">
        <v>2028.3068967183267</v>
      </c>
      <c r="O11" s="123">
        <v>2058.8767642458251</v>
      </c>
      <c r="P11" s="124">
        <v>2033.766976369847</v>
      </c>
    </row>
    <row r="12" spans="1:16" ht="20" customHeight="1" thickBot="1">
      <c r="A12" s="1646" t="s">
        <v>217</v>
      </c>
      <c r="B12" s="132">
        <v>1084.0519649237353</v>
      </c>
      <c r="C12" s="133">
        <v>1048.6278972234743</v>
      </c>
      <c r="D12" s="132">
        <v>1090.0190923265952</v>
      </c>
      <c r="E12" s="133">
        <v>1162.2748100441377</v>
      </c>
      <c r="F12" s="132">
        <v>1285.619302307706</v>
      </c>
      <c r="G12" s="133">
        <v>1333.9556699963334</v>
      </c>
      <c r="H12" s="124">
        <v>1388.3951215522666</v>
      </c>
      <c r="I12" s="123">
        <v>1470.2141545515597</v>
      </c>
      <c r="J12" s="124">
        <v>1489.3604369062462</v>
      </c>
      <c r="K12" s="123">
        <v>1586.5911426422597</v>
      </c>
      <c r="L12" s="124">
        <v>1696.2506591330434</v>
      </c>
      <c r="M12" s="123">
        <v>1847.7498182499899</v>
      </c>
      <c r="N12" s="124">
        <v>1912.6361784172177</v>
      </c>
      <c r="O12" s="123">
        <v>1987.0067973913037</v>
      </c>
      <c r="P12" s="124">
        <v>2022.6549757315913</v>
      </c>
    </row>
    <row r="13" spans="1:16" ht="20" customHeight="1" thickBot="1">
      <c r="A13" s="1646" t="s">
        <v>218</v>
      </c>
      <c r="B13" s="132">
        <v>1203.4670187360268</v>
      </c>
      <c r="C13" s="133">
        <v>1262.1814850826552</v>
      </c>
      <c r="D13" s="132">
        <v>1295.9536270179703</v>
      </c>
      <c r="E13" s="133">
        <v>1417.7423234774992</v>
      </c>
      <c r="F13" s="132">
        <v>1519.2532199850962</v>
      </c>
      <c r="G13" s="133">
        <v>1646.5068743383752</v>
      </c>
      <c r="H13" s="124">
        <v>1683.4135242730229</v>
      </c>
      <c r="I13" s="123">
        <v>1718.6463437398302</v>
      </c>
      <c r="J13" s="124">
        <v>1844.6230302894276</v>
      </c>
      <c r="K13" s="123">
        <v>1974.6194053054242</v>
      </c>
      <c r="L13" s="124">
        <v>1962.9238127623209</v>
      </c>
      <c r="M13" s="123">
        <v>2030.5993941412801</v>
      </c>
      <c r="N13" s="124">
        <v>2180.6976400750987</v>
      </c>
      <c r="O13" s="123">
        <v>2247.2239645196319</v>
      </c>
      <c r="P13" s="124">
        <v>2348.5362628836929</v>
      </c>
    </row>
    <row r="14" spans="1:16" ht="20" customHeight="1" thickBot="1">
      <c r="A14" s="1646" t="s">
        <v>219</v>
      </c>
      <c r="B14" s="132">
        <v>1094.0639115654201</v>
      </c>
      <c r="C14" s="133">
        <v>1161.1799024238769</v>
      </c>
      <c r="D14" s="132">
        <v>1242.798626689103</v>
      </c>
      <c r="E14" s="133">
        <v>1321.3699370390195</v>
      </c>
      <c r="F14" s="132">
        <v>1410.2859117015253</v>
      </c>
      <c r="G14" s="133">
        <v>1564.7256669968224</v>
      </c>
      <c r="H14" s="124">
        <v>1656.1215954686197</v>
      </c>
      <c r="I14" s="123">
        <v>1696.8018273040691</v>
      </c>
      <c r="J14" s="124">
        <v>1771.3567195235237</v>
      </c>
      <c r="K14" s="123">
        <v>1868.8308402935636</v>
      </c>
      <c r="L14" s="124">
        <v>1882.3434464219522</v>
      </c>
      <c r="M14" s="123">
        <v>1989.6316671374429</v>
      </c>
      <c r="N14" s="124">
        <v>2067.1180660524301</v>
      </c>
      <c r="O14" s="123">
        <v>2181.154562467118</v>
      </c>
      <c r="P14" s="124">
        <v>2224.593910365787</v>
      </c>
    </row>
    <row r="15" spans="1:16" ht="20" customHeight="1" thickBot="1">
      <c r="A15" s="1646" t="s">
        <v>220</v>
      </c>
      <c r="B15" s="132">
        <v>1427.9019124955446</v>
      </c>
      <c r="C15" s="133">
        <v>1443.573073884357</v>
      </c>
      <c r="D15" s="132">
        <v>1581.4626164183628</v>
      </c>
      <c r="E15" s="133">
        <v>1644.3563810475111</v>
      </c>
      <c r="F15" s="132">
        <v>1680.4040099177951</v>
      </c>
      <c r="G15" s="133">
        <v>1802.6509633245694</v>
      </c>
      <c r="H15" s="124">
        <v>1872.05548578351</v>
      </c>
      <c r="I15" s="123">
        <v>1920.7924785796415</v>
      </c>
      <c r="J15" s="124">
        <v>2003.6490356385605</v>
      </c>
      <c r="K15" s="123">
        <v>2136.675674591248</v>
      </c>
      <c r="L15" s="124">
        <v>2199.1855706445126</v>
      </c>
      <c r="M15" s="123">
        <v>2287.1500697004531</v>
      </c>
      <c r="N15" s="124">
        <v>2361.1948283509614</v>
      </c>
      <c r="O15" s="123">
        <v>2443.415487617106</v>
      </c>
      <c r="P15" s="124">
        <v>2480.6567752780611</v>
      </c>
    </row>
    <row r="16" spans="1:16" ht="20" customHeight="1" thickBot="1">
      <c r="A16" s="1646" t="s">
        <v>221</v>
      </c>
      <c r="B16" s="132">
        <v>1431.8919903527553</v>
      </c>
      <c r="C16" s="133">
        <v>1457.8482686616719</v>
      </c>
      <c r="D16" s="132">
        <v>1515.3951924182315</v>
      </c>
      <c r="E16" s="133">
        <v>1590.0159505008266</v>
      </c>
      <c r="F16" s="132">
        <v>1677.7139003459774</v>
      </c>
      <c r="G16" s="133">
        <v>1720.8346090900102</v>
      </c>
      <c r="H16" s="124">
        <v>1808.6814390145466</v>
      </c>
      <c r="I16" s="123">
        <v>1956.7024643352372</v>
      </c>
      <c r="J16" s="124">
        <v>2064.430553915814</v>
      </c>
      <c r="K16" s="123">
        <v>2177.3620068910054</v>
      </c>
      <c r="L16" s="124">
        <v>2247.2996222450583</v>
      </c>
      <c r="M16" s="123">
        <v>2362.7306711772153</v>
      </c>
      <c r="N16" s="124">
        <v>2479.7218561845107</v>
      </c>
      <c r="O16" s="123">
        <v>2523.1512987399551</v>
      </c>
      <c r="P16" s="124">
        <v>2535.0844626187836</v>
      </c>
    </row>
    <row r="17" spans="1:16" ht="20" customHeight="1" thickBot="1">
      <c r="A17" s="1646" t="s">
        <v>222</v>
      </c>
      <c r="B17" s="132">
        <v>2180.6017798482239</v>
      </c>
      <c r="C17" s="133">
        <v>2280.4789547108621</v>
      </c>
      <c r="D17" s="132">
        <v>2427.4331336155037</v>
      </c>
      <c r="E17" s="133">
        <v>2536.1203989117002</v>
      </c>
      <c r="F17" s="132">
        <v>2665.407573760051</v>
      </c>
      <c r="G17" s="133">
        <v>2813.4091035230354</v>
      </c>
      <c r="H17" s="124">
        <v>2896.8369473907801</v>
      </c>
      <c r="I17" s="123">
        <v>3004.8119413329973</v>
      </c>
      <c r="J17" s="124">
        <v>3087.9425345584004</v>
      </c>
      <c r="K17" s="123">
        <v>3367.6417484198873</v>
      </c>
      <c r="L17" s="124">
        <v>3420.2923870264158</v>
      </c>
      <c r="M17" s="123">
        <v>3563.1516131085218</v>
      </c>
      <c r="N17" s="124">
        <v>3736.2508968110014</v>
      </c>
      <c r="O17" s="123">
        <v>3773.6015111169786</v>
      </c>
      <c r="P17" s="124">
        <v>3765.5756161655959</v>
      </c>
    </row>
    <row r="18" spans="1:16" ht="20" customHeight="1" thickBot="1">
      <c r="A18" s="1646" t="s">
        <v>223</v>
      </c>
      <c r="B18" s="132">
        <v>1576.5959329930722</v>
      </c>
      <c r="C18" s="133">
        <v>1631.3844050196694</v>
      </c>
      <c r="D18" s="132">
        <v>1672.2843199240745</v>
      </c>
      <c r="E18" s="133">
        <v>1798.9493024475437</v>
      </c>
      <c r="F18" s="132">
        <v>1916.5475181932675</v>
      </c>
      <c r="G18" s="133">
        <v>2022.2270471181564</v>
      </c>
      <c r="H18" s="124">
        <v>2085.5586454253635</v>
      </c>
      <c r="I18" s="123">
        <v>2153.1393034951911</v>
      </c>
      <c r="J18" s="124">
        <v>2231.2058003509765</v>
      </c>
      <c r="K18" s="123">
        <v>2409.918131194413</v>
      </c>
      <c r="L18" s="124">
        <v>2414.7492919502483</v>
      </c>
      <c r="M18" s="123">
        <v>2553.1528418238199</v>
      </c>
      <c r="N18" s="124">
        <v>2741.6151255799837</v>
      </c>
      <c r="O18" s="123">
        <v>2841.1033072223063</v>
      </c>
      <c r="P18" s="124">
        <v>2900.7793797217996</v>
      </c>
    </row>
    <row r="19" spans="1:16" ht="20" customHeight="1" thickBot="1">
      <c r="A19" s="1646" t="s">
        <v>224</v>
      </c>
      <c r="B19" s="132">
        <v>1380.5502099272192</v>
      </c>
      <c r="C19" s="133">
        <v>1468.4771008262453</v>
      </c>
      <c r="D19" s="132">
        <v>1477.0084639083805</v>
      </c>
      <c r="E19" s="133">
        <v>1693.5570065888753</v>
      </c>
      <c r="F19" s="132">
        <v>1790.1012541841883</v>
      </c>
      <c r="G19" s="133">
        <v>1892.2705076175041</v>
      </c>
      <c r="H19" s="124">
        <v>1900.4769588270376</v>
      </c>
      <c r="I19" s="123">
        <v>1937.2498637296981</v>
      </c>
      <c r="J19" s="124">
        <v>2128.7910176856135</v>
      </c>
      <c r="K19" s="123">
        <v>2201.8604898626745</v>
      </c>
      <c r="L19" s="124">
        <v>2223.1704350966802</v>
      </c>
      <c r="M19" s="123">
        <v>2318.9744060617741</v>
      </c>
      <c r="N19" s="124">
        <v>2414.8750908522229</v>
      </c>
      <c r="O19" s="123">
        <v>2489.3090827995265</v>
      </c>
      <c r="P19" s="124">
        <v>2594.3235905194601</v>
      </c>
    </row>
    <row r="20" spans="1:16" ht="20" customHeight="1" thickBot="1">
      <c r="A20" s="1646" t="s">
        <v>225</v>
      </c>
      <c r="B20" s="132">
        <v>1084.0818240518406</v>
      </c>
      <c r="C20" s="133">
        <v>1180.45390669277</v>
      </c>
      <c r="D20" s="132">
        <v>1150.476854810451</v>
      </c>
      <c r="E20" s="133">
        <v>1273.353236043673</v>
      </c>
      <c r="F20" s="132">
        <v>1341.6471591825518</v>
      </c>
      <c r="G20" s="133">
        <v>1392.3756242443965</v>
      </c>
      <c r="H20" s="124">
        <v>1434.6176045226941</v>
      </c>
      <c r="I20" s="123">
        <v>1579.3450512080924</v>
      </c>
      <c r="J20" s="124">
        <v>1671.1285070870231</v>
      </c>
      <c r="K20" s="123">
        <v>1764.1241839787133</v>
      </c>
      <c r="L20" s="124">
        <v>1752.9128718806344</v>
      </c>
      <c r="M20" s="123">
        <v>1850.9489980496937</v>
      </c>
      <c r="N20" s="124">
        <v>1948.0697136338156</v>
      </c>
      <c r="O20" s="123">
        <v>2059.6722283954427</v>
      </c>
      <c r="P20" s="124">
        <v>2127.1393635695599</v>
      </c>
    </row>
    <row r="21" spans="1:16" ht="20" customHeight="1" thickBot="1">
      <c r="A21" s="1646" t="s">
        <v>226</v>
      </c>
      <c r="B21" s="132">
        <v>954.5730845024259</v>
      </c>
      <c r="C21" s="133">
        <v>975.48326612041524</v>
      </c>
      <c r="D21" s="132">
        <v>986.54224550184404</v>
      </c>
      <c r="E21" s="133">
        <v>1121.6595682884724</v>
      </c>
      <c r="F21" s="132">
        <v>1184.612154774358</v>
      </c>
      <c r="G21" s="133">
        <v>1231.7855632121377</v>
      </c>
      <c r="H21" s="124">
        <v>1356.8761363743531</v>
      </c>
      <c r="I21" s="123">
        <v>1409.1399647307283</v>
      </c>
      <c r="J21" s="124">
        <v>1461.518086780929</v>
      </c>
      <c r="K21" s="123">
        <v>1564.8157857562708</v>
      </c>
      <c r="L21" s="124">
        <v>1540.8129025893111</v>
      </c>
      <c r="M21" s="123">
        <v>1560.342952187144</v>
      </c>
      <c r="N21" s="124">
        <v>1781.6266974463535</v>
      </c>
      <c r="O21" s="123">
        <v>1740.1560081825285</v>
      </c>
      <c r="P21" s="124">
        <v>1777.8068734259887</v>
      </c>
    </row>
    <row r="22" spans="1:16" ht="20" customHeight="1" thickBot="1">
      <c r="A22" s="1646" t="s">
        <v>227</v>
      </c>
      <c r="B22" s="132">
        <v>1138.5080596692771</v>
      </c>
      <c r="C22" s="133">
        <v>1224.9103826817075</v>
      </c>
      <c r="D22" s="132">
        <v>1256.3508095278153</v>
      </c>
      <c r="E22" s="133">
        <v>1352.2406840417314</v>
      </c>
      <c r="F22" s="132">
        <v>1406.9954574849744</v>
      </c>
      <c r="G22" s="133">
        <v>1473.1303047318702</v>
      </c>
      <c r="H22" s="124">
        <v>1564.7730716018234</v>
      </c>
      <c r="I22" s="123">
        <v>1712.4385679183324</v>
      </c>
      <c r="J22" s="124">
        <v>1813.0412462234362</v>
      </c>
      <c r="K22" s="123">
        <v>1888.2455140450277</v>
      </c>
      <c r="L22" s="124">
        <v>1888.2284705256739</v>
      </c>
      <c r="M22" s="123">
        <v>1976.1784544310754</v>
      </c>
      <c r="N22" s="124">
        <v>2073.0018942345587</v>
      </c>
      <c r="O22" s="123">
        <v>2188.1389100107331</v>
      </c>
      <c r="P22" s="124">
        <v>2238.4001883806627</v>
      </c>
    </row>
    <row r="23" spans="1:16" ht="20" customHeight="1" thickBot="1">
      <c r="A23" s="1646" t="s">
        <v>228</v>
      </c>
      <c r="B23" s="132">
        <v>1104.4916088981208</v>
      </c>
      <c r="C23" s="133">
        <v>1061.5019562532173</v>
      </c>
      <c r="D23" s="132">
        <v>1158.6719421376101</v>
      </c>
      <c r="E23" s="133">
        <v>1353.8739751619062</v>
      </c>
      <c r="F23" s="132">
        <v>1489.2693401125439</v>
      </c>
      <c r="G23" s="133">
        <v>1551.2354164333785</v>
      </c>
      <c r="H23" s="124">
        <v>1608.7833104527003</v>
      </c>
      <c r="I23" s="123">
        <v>1718.3818274144037</v>
      </c>
      <c r="J23" s="124">
        <v>1843.7705637644858</v>
      </c>
      <c r="K23" s="123">
        <v>1921.1971300570419</v>
      </c>
      <c r="L23" s="124">
        <v>1957.5211782069607</v>
      </c>
      <c r="M23" s="123">
        <v>2126.0191035073431</v>
      </c>
      <c r="N23" s="124">
        <v>2198.8899922488613</v>
      </c>
      <c r="O23" s="123">
        <v>2293.471184708183</v>
      </c>
      <c r="P23" s="124">
        <v>2324.1735380507153</v>
      </c>
    </row>
    <row r="24" spans="1:16" ht="20" customHeight="1" thickBot="1">
      <c r="A24" s="1646" t="s">
        <v>229</v>
      </c>
      <c r="B24" s="132">
        <v>1228.596407039445</v>
      </c>
      <c r="C24" s="133">
        <v>1278.9323442787233</v>
      </c>
      <c r="D24" s="132">
        <v>1393.7234109066944</v>
      </c>
      <c r="E24" s="133">
        <v>1477.742640114355</v>
      </c>
      <c r="F24" s="132">
        <v>1577.6759415994654</v>
      </c>
      <c r="G24" s="133">
        <v>1636.1657378612056</v>
      </c>
      <c r="H24" s="124">
        <v>1712.7233845247633</v>
      </c>
      <c r="I24" s="123">
        <v>1804.5198720520671</v>
      </c>
      <c r="J24" s="124">
        <v>1892.7897057709893</v>
      </c>
      <c r="K24" s="123">
        <v>2025.9039271516788</v>
      </c>
      <c r="L24" s="124">
        <v>2085.8067572550881</v>
      </c>
      <c r="M24" s="123">
        <v>2159.1798098364375</v>
      </c>
      <c r="N24" s="124">
        <v>2283.5779240587103</v>
      </c>
      <c r="O24" s="123">
        <v>2360.210714916836</v>
      </c>
      <c r="P24" s="124">
        <v>2427.3223725664839</v>
      </c>
    </row>
    <row r="25" spans="1:16" ht="20" customHeight="1" thickBot="1">
      <c r="A25" s="1646" t="s">
        <v>230</v>
      </c>
      <c r="B25" s="132">
        <v>1164.7847345516263</v>
      </c>
      <c r="C25" s="133">
        <v>1368.261088527636</v>
      </c>
      <c r="D25" s="132">
        <v>1418.0873330003469</v>
      </c>
      <c r="E25" s="133">
        <v>1501.7362997740595</v>
      </c>
      <c r="F25" s="132">
        <v>1593.8394113823024</v>
      </c>
      <c r="G25" s="133">
        <v>1664.6342055410319</v>
      </c>
      <c r="H25" s="124">
        <v>1769.1114412104155</v>
      </c>
      <c r="I25" s="123">
        <v>1872.8260455234893</v>
      </c>
      <c r="J25" s="124">
        <v>1887.2865497552884</v>
      </c>
      <c r="K25" s="123">
        <v>1959.3771181296381</v>
      </c>
      <c r="L25" s="124">
        <v>1949.5365546751752</v>
      </c>
      <c r="M25" s="123">
        <v>2050.2224657798888</v>
      </c>
      <c r="N25" s="124">
        <v>2170.2155949635535</v>
      </c>
      <c r="O25" s="123">
        <v>2232.1540949027544</v>
      </c>
      <c r="P25" s="124">
        <v>2264.2043659244682</v>
      </c>
    </row>
    <row r="26" spans="1:16" ht="20" customHeight="1" thickBot="1">
      <c r="A26" s="1646" t="s">
        <v>231</v>
      </c>
      <c r="B26" s="132">
        <v>1896.8026629309772</v>
      </c>
      <c r="C26" s="133">
        <v>1910.5277918899142</v>
      </c>
      <c r="D26" s="132">
        <v>1976.5817892979815</v>
      </c>
      <c r="E26" s="133">
        <v>2018.8657382981467</v>
      </c>
      <c r="F26" s="132">
        <v>2166.1043519788736</v>
      </c>
      <c r="G26" s="133">
        <v>2308.4148834211696</v>
      </c>
      <c r="H26" s="124">
        <v>2463.4536075157698</v>
      </c>
      <c r="I26" s="123">
        <v>2597.5405820613723</v>
      </c>
      <c r="J26" s="124">
        <v>2604.5346697995269</v>
      </c>
      <c r="K26" s="123">
        <v>2798.603658570345</v>
      </c>
      <c r="L26" s="124">
        <v>2776.2294514760056</v>
      </c>
      <c r="M26" s="123">
        <v>2861.8480046404452</v>
      </c>
      <c r="N26" s="124">
        <v>2865.4649561210445</v>
      </c>
      <c r="O26" s="123">
        <v>2992.7155287390519</v>
      </c>
      <c r="P26" s="124">
        <v>3063.7613533942704</v>
      </c>
    </row>
    <row r="27" spans="1:16" ht="20" customHeight="1" thickBot="1">
      <c r="A27" s="1646" t="s">
        <v>232</v>
      </c>
      <c r="B27" s="132">
        <v>1898.0743294611764</v>
      </c>
      <c r="C27" s="133">
        <v>1997.7023437083599</v>
      </c>
      <c r="D27" s="132">
        <v>2019.0638919104133</v>
      </c>
      <c r="E27" s="133">
        <v>2066.9063099211612</v>
      </c>
      <c r="F27" s="132">
        <v>2201.824731855736</v>
      </c>
      <c r="G27" s="133">
        <v>2334.2006121970758</v>
      </c>
      <c r="H27" s="124">
        <v>2410.3960323458523</v>
      </c>
      <c r="I27" s="123">
        <v>2514.3354036211631</v>
      </c>
      <c r="J27" s="124">
        <v>2628.6473220914554</v>
      </c>
      <c r="K27" s="123">
        <v>2755.905041303417</v>
      </c>
      <c r="L27" s="124">
        <v>2732.9908696229272</v>
      </c>
      <c r="M27" s="123">
        <v>2780.9536745674886</v>
      </c>
      <c r="N27" s="124">
        <v>2870.6569703095656</v>
      </c>
      <c r="O27" s="123">
        <v>2928.8429319040929</v>
      </c>
      <c r="P27" s="124">
        <v>3000.5752805927932</v>
      </c>
    </row>
    <row r="28" spans="1:16" ht="20" customHeight="1" thickBot="1">
      <c r="A28" s="1646" t="s">
        <v>233</v>
      </c>
      <c r="B28" s="132">
        <v>1306.6403819606062</v>
      </c>
      <c r="C28" s="133">
        <v>1361.8453098306245</v>
      </c>
      <c r="D28" s="132">
        <v>1376.5124556178826</v>
      </c>
      <c r="E28" s="133">
        <v>1433.5893239917536</v>
      </c>
      <c r="F28" s="132">
        <v>1556.3534596161526</v>
      </c>
      <c r="G28" s="133">
        <v>1655.5190584508061</v>
      </c>
      <c r="H28" s="124">
        <v>1739.1566608782025</v>
      </c>
      <c r="I28" s="123">
        <v>1851.6117360307155</v>
      </c>
      <c r="J28" s="124">
        <v>1873.4360325028056</v>
      </c>
      <c r="K28" s="123">
        <v>2018.8565154122919</v>
      </c>
      <c r="L28" s="124">
        <v>2132.729717003032</v>
      </c>
      <c r="M28" s="123">
        <v>2217.8401524334809</v>
      </c>
      <c r="N28" s="124">
        <v>2292.7037323562349</v>
      </c>
      <c r="O28" s="123">
        <v>2375.5839560085515</v>
      </c>
      <c r="P28" s="124">
        <v>2458.3602175078854</v>
      </c>
    </row>
    <row r="29" spans="1:16" ht="20" customHeight="1" thickBot="1">
      <c r="A29" s="1646" t="s">
        <v>234</v>
      </c>
      <c r="B29" s="132">
        <v>1818.9238081131236</v>
      </c>
      <c r="C29" s="133">
        <v>1961.3289326189874</v>
      </c>
      <c r="D29" s="132">
        <v>2021.7607577514182</v>
      </c>
      <c r="E29" s="133">
        <v>1881.74532998874</v>
      </c>
      <c r="F29" s="132">
        <v>2227.1122818687704</v>
      </c>
      <c r="G29" s="133">
        <v>2315.8636954302247</v>
      </c>
      <c r="H29" s="124">
        <v>2387.3652927304915</v>
      </c>
      <c r="I29" s="123">
        <v>2560.0461906563714</v>
      </c>
      <c r="J29" s="124">
        <v>2680.8592129585641</v>
      </c>
      <c r="K29" s="123">
        <v>2675.4198363193022</v>
      </c>
      <c r="L29" s="124">
        <v>2564.8291244355028</v>
      </c>
      <c r="M29" s="123">
        <v>2599.2291895795956</v>
      </c>
      <c r="N29" s="124">
        <v>2706.8139221823776</v>
      </c>
      <c r="O29" s="123">
        <v>2706.1362717380475</v>
      </c>
      <c r="P29" s="124">
        <v>2762.9302320989705</v>
      </c>
    </row>
    <row r="30" spans="1:16" ht="20" customHeight="1" thickBot="1">
      <c r="A30" s="1646" t="s">
        <v>235</v>
      </c>
      <c r="B30" s="132">
        <v>2070.7055924720303</v>
      </c>
      <c r="C30" s="133">
        <v>2259.3214815363717</v>
      </c>
      <c r="D30" s="132">
        <v>2522.6730551616743</v>
      </c>
      <c r="E30" s="133">
        <v>2517.2153807728232</v>
      </c>
      <c r="F30" s="132">
        <v>2598.3424238217312</v>
      </c>
      <c r="G30" s="133">
        <v>2805.0849410640894</v>
      </c>
      <c r="H30" s="124">
        <v>2847.3501428386908</v>
      </c>
      <c r="I30" s="123">
        <v>2892.7584851537499</v>
      </c>
      <c r="J30" s="124">
        <v>3010.3792503012851</v>
      </c>
      <c r="K30" s="123">
        <v>3233.3383857545473</v>
      </c>
      <c r="L30" s="124">
        <v>3167.5185727633507</v>
      </c>
      <c r="M30" s="123">
        <v>3215.8719312559856</v>
      </c>
      <c r="N30" s="124">
        <v>3398.0746224899831</v>
      </c>
      <c r="O30" s="123">
        <v>3397.4995519788049</v>
      </c>
      <c r="P30" s="124">
        <v>3462.626766805437</v>
      </c>
    </row>
    <row r="31" spans="1:16" ht="20" customHeight="1" thickBot="1">
      <c r="A31" s="1646" t="s">
        <v>236</v>
      </c>
      <c r="B31" s="132">
        <v>1717.0496844759566</v>
      </c>
      <c r="C31" s="133">
        <v>1845.0558806075642</v>
      </c>
      <c r="D31" s="132">
        <v>1848.3342486228491</v>
      </c>
      <c r="E31" s="133">
        <v>2074.061466642424</v>
      </c>
      <c r="F31" s="132">
        <v>2087.6961782399458</v>
      </c>
      <c r="G31" s="133">
        <v>2167.5827623087298</v>
      </c>
      <c r="H31" s="124">
        <v>2229.0850697777792</v>
      </c>
      <c r="I31" s="123">
        <v>2132.4432120453034</v>
      </c>
      <c r="J31" s="124">
        <v>2309.4576105953747</v>
      </c>
      <c r="K31" s="123">
        <v>2497.2469193750835</v>
      </c>
      <c r="L31" s="124">
        <v>2409.1473481488047</v>
      </c>
      <c r="M31" s="123">
        <v>2547.3958354148162</v>
      </c>
      <c r="N31" s="124">
        <v>2662.5536009307011</v>
      </c>
      <c r="O31" s="123">
        <v>2721.44023616817</v>
      </c>
      <c r="P31" s="124">
        <v>2854.251260616285</v>
      </c>
    </row>
    <row r="32" spans="1:16" ht="30" customHeight="1" thickBot="1">
      <c r="A32" s="701" t="s">
        <v>0</v>
      </c>
      <c r="B32" s="436">
        <v>1490.5270087783661</v>
      </c>
      <c r="C32" s="435">
        <v>1569.89438526044</v>
      </c>
      <c r="D32" s="436">
        <v>1645.8523332821831</v>
      </c>
      <c r="E32" s="435">
        <v>1709.7272154599079</v>
      </c>
      <c r="F32" s="436">
        <v>1815.5684429134135</v>
      </c>
      <c r="G32" s="435">
        <v>1915.651858294355</v>
      </c>
      <c r="H32" s="681">
        <v>1986.8602051130679</v>
      </c>
      <c r="I32" s="843">
        <v>2080.1097731368104</v>
      </c>
      <c r="J32" s="134">
        <v>2208.6199103577751</v>
      </c>
      <c r="K32" s="843">
        <v>2333.6518395021967</v>
      </c>
      <c r="L32" s="134">
        <v>2348.6110145248435</v>
      </c>
      <c r="M32" s="843">
        <v>2444.23328932606</v>
      </c>
      <c r="N32" s="134">
        <v>2551.5456227393033</v>
      </c>
      <c r="O32" s="843">
        <v>2629.9453998465406</v>
      </c>
      <c r="P32" s="134">
        <v>2684.4030022827769</v>
      </c>
    </row>
    <row r="33" spans="1:8" ht="20" customHeight="1">
      <c r="A33" s="95" t="s">
        <v>678</v>
      </c>
      <c r="B33" s="135"/>
      <c r="C33" s="135"/>
      <c r="D33" s="135"/>
      <c r="E33" s="135"/>
      <c r="F33" s="1647"/>
      <c r="G33" s="135"/>
      <c r="H33" s="731"/>
    </row>
    <row r="34" spans="1:8" ht="15.75" customHeight="1">
      <c r="A34" s="96"/>
      <c r="B34" s="136"/>
      <c r="C34" s="136"/>
      <c r="D34" s="136"/>
      <c r="E34" s="136"/>
      <c r="F34" s="136"/>
      <c r="G34" s="136"/>
      <c r="H34" s="732"/>
    </row>
    <row r="35" spans="1:8" ht="14.25" customHeight="1">
      <c r="A35" s="352" t="s">
        <v>2465</v>
      </c>
      <c r="B35" s="136"/>
      <c r="C35" s="136"/>
      <c r="D35" s="136"/>
      <c r="E35" s="136"/>
      <c r="F35" s="136"/>
      <c r="G35" s="136"/>
      <c r="H35" s="732"/>
    </row>
    <row r="36" spans="1:8" ht="14.25" customHeight="1">
      <c r="A36" s="352" t="s">
        <v>2461</v>
      </c>
      <c r="B36" s="136"/>
      <c r="C36" s="136"/>
      <c r="D36" s="136"/>
      <c r="E36" s="136"/>
      <c r="F36" s="136"/>
      <c r="G36" s="136"/>
      <c r="H36" s="732"/>
    </row>
    <row r="37" spans="1:8" ht="13.5" customHeight="1">
      <c r="A37" s="96"/>
      <c r="B37" s="136"/>
      <c r="C37" s="136"/>
      <c r="D37" s="136"/>
      <c r="E37" s="136"/>
      <c r="F37" s="136"/>
      <c r="G37" s="136"/>
      <c r="H37" s="732"/>
    </row>
    <row r="38" spans="1:8" ht="12.75" customHeight="1">
      <c r="A38" s="96" t="s">
        <v>2462</v>
      </c>
      <c r="B38" s="136"/>
      <c r="C38" s="136"/>
      <c r="D38" s="136"/>
      <c r="E38" s="136"/>
      <c r="F38" s="136"/>
      <c r="G38" s="136"/>
      <c r="H38" s="732"/>
    </row>
    <row r="39" spans="1:8" ht="12.75" customHeight="1">
      <c r="A39" s="96" t="s">
        <v>2463</v>
      </c>
      <c r="B39" s="136"/>
      <c r="C39" s="136"/>
      <c r="D39" s="136"/>
      <c r="E39" s="136"/>
      <c r="F39" s="136"/>
      <c r="G39" s="136"/>
      <c r="H39" s="732"/>
    </row>
    <row r="40" spans="1:8" ht="12.75" customHeight="1">
      <c r="A40" s="3" t="s">
        <v>2464</v>
      </c>
      <c r="B40" s="136"/>
      <c r="C40" s="136"/>
      <c r="D40" s="136"/>
      <c r="E40" s="136"/>
      <c r="F40" s="136"/>
      <c r="G40" s="136"/>
      <c r="H40" s="732"/>
    </row>
    <row r="42" spans="1:8">
      <c r="A42" s="96"/>
    </row>
    <row r="43" spans="1:8">
      <c r="A43" s="96" t="s">
        <v>677</v>
      </c>
    </row>
  </sheetData>
  <pageMargins left="0.43307086614173229" right="0.47244094488188981" top="0.56000000000000005" bottom="0.47244094488188981" header="0.42" footer="0.51181102362204722"/>
  <pageSetup paperSize="9" scale="66" orientation="landscape"/>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7E92A-F7E1-9840-9E01-14199FF012E2}">
  <sheetPr>
    <pageSetUpPr fitToPage="1"/>
  </sheetPr>
  <dimension ref="A1:G44"/>
  <sheetViews>
    <sheetView zoomScale="75" workbookViewId="0">
      <selection activeCell="A3" sqref="A3"/>
    </sheetView>
  </sheetViews>
  <sheetFormatPr baseColWidth="10" defaultColWidth="11.3984375" defaultRowHeight="13"/>
  <cols>
    <col min="1" max="1" width="21.3984375" style="3" customWidth="1"/>
    <col min="2" max="5" width="19.796875" style="3" customWidth="1"/>
    <col min="6" max="6" width="11.3984375" style="3"/>
    <col min="7" max="7" width="14.59765625" style="3" customWidth="1"/>
    <col min="8" max="16384" width="11.3984375" style="3"/>
  </cols>
  <sheetData>
    <row r="1" spans="1:7" s="2" customFormat="1" ht="14" customHeight="1"/>
    <row r="2" spans="1:7" s="2" customFormat="1" ht="28" customHeight="1">
      <c r="A2" s="71" t="s">
        <v>499</v>
      </c>
      <c r="E2" s="71">
        <v>2010</v>
      </c>
    </row>
    <row r="3" spans="1:7" ht="27" customHeight="1">
      <c r="A3" s="72" t="s">
        <v>203</v>
      </c>
      <c r="B3" s="73" t="s">
        <v>204</v>
      </c>
      <c r="C3" s="74" t="s">
        <v>205</v>
      </c>
      <c r="D3" s="73" t="s">
        <v>206</v>
      </c>
      <c r="E3" s="74" t="s">
        <v>190</v>
      </c>
    </row>
    <row r="4" spans="1:7" ht="21.75" customHeight="1">
      <c r="A4" s="75"/>
      <c r="B4" s="76"/>
      <c r="C4" s="77" t="s">
        <v>206</v>
      </c>
      <c r="D4" s="78"/>
      <c r="E4" s="77"/>
    </row>
    <row r="5" spans="1:7" ht="21.75" customHeight="1">
      <c r="A5" s="75"/>
      <c r="B5" s="76" t="s">
        <v>207</v>
      </c>
      <c r="C5" s="77" t="s">
        <v>208</v>
      </c>
      <c r="D5" s="76" t="s">
        <v>209</v>
      </c>
      <c r="E5" s="77"/>
    </row>
    <row r="6" spans="1:7" ht="24" customHeight="1">
      <c r="A6" s="79"/>
      <c r="B6" s="80"/>
      <c r="C6" s="79"/>
      <c r="D6" s="80"/>
      <c r="E6" s="81"/>
    </row>
    <row r="7" spans="1:7" ht="30" customHeight="1" thickBot="1">
      <c r="A7" s="84" t="s">
        <v>211</v>
      </c>
      <c r="B7" s="85">
        <v>250811523</v>
      </c>
      <c r="C7" s="86">
        <v>144454673.38999999</v>
      </c>
      <c r="D7" s="85">
        <v>3819498782.4099998</v>
      </c>
      <c r="E7" s="86">
        <v>4214764978.7999997</v>
      </c>
      <c r="G7" s="88"/>
    </row>
    <row r="8" spans="1:7" ht="20" customHeight="1" thickBot="1">
      <c r="A8" s="89" t="s">
        <v>212</v>
      </c>
      <c r="B8" s="85">
        <v>151842497.08000001</v>
      </c>
      <c r="C8" s="86">
        <v>104245522.59999999</v>
      </c>
      <c r="D8" s="85">
        <v>2999399655.5799999</v>
      </c>
      <c r="E8" s="86">
        <v>3255487675.2599998</v>
      </c>
      <c r="G8" s="88"/>
    </row>
    <row r="9" spans="1:7" ht="20" customHeight="1" thickBot="1">
      <c r="A9" s="89" t="s">
        <v>213</v>
      </c>
      <c r="B9" s="85">
        <v>59718553.159999996</v>
      </c>
      <c r="C9" s="86">
        <v>39006425.25</v>
      </c>
      <c r="D9" s="85">
        <v>906743914.96000004</v>
      </c>
      <c r="E9" s="86">
        <v>1005468893.37</v>
      </c>
      <c r="G9" s="88"/>
    </row>
    <row r="10" spans="1:7" ht="20" customHeight="1" thickBot="1">
      <c r="A10" s="89" t="s">
        <v>214</v>
      </c>
      <c r="B10" s="85">
        <v>5167321.7699999996</v>
      </c>
      <c r="C10" s="86">
        <v>3359814.87</v>
      </c>
      <c r="D10" s="85">
        <v>82288503.25</v>
      </c>
      <c r="E10" s="86">
        <v>90815639.890000001</v>
      </c>
      <c r="G10" s="88"/>
    </row>
    <row r="11" spans="1:7" ht="20" customHeight="1" thickBot="1">
      <c r="A11" s="89" t="s">
        <v>215</v>
      </c>
      <c r="B11" s="85">
        <v>27162971.309999999</v>
      </c>
      <c r="C11" s="86">
        <v>14363413.220000001</v>
      </c>
      <c r="D11" s="85">
        <v>344551763.86000001</v>
      </c>
      <c r="E11" s="86">
        <v>386078148.38999999</v>
      </c>
      <c r="G11" s="88"/>
    </row>
    <row r="12" spans="1:7" ht="20" customHeight="1" thickBot="1">
      <c r="A12" s="89" t="s">
        <v>216</v>
      </c>
      <c r="B12" s="85">
        <v>5626006.5999999996</v>
      </c>
      <c r="C12" s="86">
        <v>3482044.64</v>
      </c>
      <c r="D12" s="85">
        <v>77232684.579999998</v>
      </c>
      <c r="E12" s="86">
        <v>86340735.819999993</v>
      </c>
      <c r="G12" s="88"/>
    </row>
    <row r="13" spans="1:7" ht="20" customHeight="1" thickBot="1">
      <c r="A13" s="89" t="s">
        <v>217</v>
      </c>
      <c r="B13" s="85">
        <v>5528519.0499999998</v>
      </c>
      <c r="C13" s="86">
        <v>3366822.36</v>
      </c>
      <c r="D13" s="85">
        <v>88839718.439999998</v>
      </c>
      <c r="E13" s="86">
        <v>97735059.849999994</v>
      </c>
      <c r="G13" s="88"/>
    </row>
    <row r="14" spans="1:7" ht="20" customHeight="1" thickBot="1">
      <c r="A14" s="89" t="s">
        <v>218</v>
      </c>
      <c r="B14" s="85">
        <v>6235598.2199999997</v>
      </c>
      <c r="C14" s="86">
        <v>4302191.57</v>
      </c>
      <c r="D14" s="85">
        <v>96641655.260000005</v>
      </c>
      <c r="E14" s="86">
        <v>107179445.05000001</v>
      </c>
      <c r="G14" s="88"/>
    </row>
    <row r="15" spans="1:7" ht="20" customHeight="1" thickBot="1">
      <c r="A15" s="89" t="s">
        <v>219</v>
      </c>
      <c r="B15" s="85">
        <v>18084835.469999999</v>
      </c>
      <c r="C15" s="86">
        <v>10814702.51</v>
      </c>
      <c r="D15" s="85">
        <v>264483047.84</v>
      </c>
      <c r="E15" s="86">
        <v>293382585.81999999</v>
      </c>
      <c r="G15" s="88"/>
    </row>
    <row r="16" spans="1:7" ht="20" customHeight="1" thickBot="1">
      <c r="A16" s="89" t="s">
        <v>220</v>
      </c>
      <c r="B16" s="85">
        <v>54335593.079999998</v>
      </c>
      <c r="C16" s="86">
        <v>32144577.09</v>
      </c>
      <c r="D16" s="85">
        <v>714040368.70000005</v>
      </c>
      <c r="E16" s="86">
        <v>800520538.87</v>
      </c>
      <c r="G16" s="88"/>
    </row>
    <row r="17" spans="1:7" ht="20" customHeight="1" thickBot="1">
      <c r="A17" s="89" t="s">
        <v>221</v>
      </c>
      <c r="B17" s="85">
        <v>43763962.43</v>
      </c>
      <c r="C17" s="86">
        <v>27035711.079999998</v>
      </c>
      <c r="D17" s="85">
        <v>689429080.53999996</v>
      </c>
      <c r="E17" s="86">
        <v>760228754.04999995</v>
      </c>
      <c r="G17" s="88"/>
    </row>
    <row r="18" spans="1:7" ht="20" customHeight="1" thickBot="1">
      <c r="A18" s="89" t="s">
        <v>222</v>
      </c>
      <c r="B18" s="85">
        <v>34181012.229999997</v>
      </c>
      <c r="C18" s="86">
        <v>21301060.5</v>
      </c>
      <c r="D18" s="85">
        <v>701126814.58000004</v>
      </c>
      <c r="E18" s="86">
        <v>756608887.31000006</v>
      </c>
      <c r="G18" s="88"/>
    </row>
    <row r="19" spans="1:7" ht="20" customHeight="1" thickBot="1">
      <c r="A19" s="89" t="s">
        <v>223</v>
      </c>
      <c r="B19" s="85">
        <v>54053110.630000003</v>
      </c>
      <c r="C19" s="86">
        <v>32141885.5</v>
      </c>
      <c r="D19" s="85">
        <v>838670939.36000001</v>
      </c>
      <c r="E19" s="86">
        <v>924865935.49000001</v>
      </c>
      <c r="G19" s="88"/>
    </row>
    <row r="20" spans="1:7" ht="20" customHeight="1" thickBot="1">
      <c r="A20" s="89" t="s">
        <v>224</v>
      </c>
      <c r="B20" s="85">
        <v>11269362.380000001</v>
      </c>
      <c r="C20" s="86">
        <v>8138802.2400000002</v>
      </c>
      <c r="D20" s="85">
        <v>210194646.47999999</v>
      </c>
      <c r="E20" s="86">
        <v>229602811.09999999</v>
      </c>
      <c r="G20" s="88"/>
    </row>
    <row r="21" spans="1:7" ht="20" customHeight="1" thickBot="1">
      <c r="A21" s="89" t="s">
        <v>225</v>
      </c>
      <c r="B21" s="85">
        <v>8491125.3699999992</v>
      </c>
      <c r="C21" s="86">
        <v>5014179.53</v>
      </c>
      <c r="D21" s="85">
        <v>121070798.06</v>
      </c>
      <c r="E21" s="86">
        <v>134576102.96000001</v>
      </c>
      <c r="G21" s="88"/>
    </row>
    <row r="22" spans="1:7" ht="20" customHeight="1" thickBot="1">
      <c r="A22" s="89" t="s">
        <v>226</v>
      </c>
      <c r="B22" s="85">
        <v>2386692.2799999998</v>
      </c>
      <c r="C22" s="86">
        <v>1354941.59</v>
      </c>
      <c r="D22" s="85">
        <v>29720172.25</v>
      </c>
      <c r="E22" s="86">
        <v>33461806.120000001</v>
      </c>
      <c r="G22" s="88"/>
    </row>
    <row r="23" spans="1:7" ht="20" customHeight="1" thickBot="1">
      <c r="A23" s="89" t="s">
        <v>227</v>
      </c>
      <c r="B23" s="85">
        <v>81844355.75</v>
      </c>
      <c r="C23" s="86">
        <v>54061888.170000002</v>
      </c>
      <c r="D23" s="85">
        <v>1127592719.1300001</v>
      </c>
      <c r="E23" s="86">
        <v>1263498963.0500002</v>
      </c>
      <c r="G23" s="88"/>
    </row>
    <row r="24" spans="1:7" ht="20" customHeight="1" thickBot="1">
      <c r="A24" s="89" t="s">
        <v>228</v>
      </c>
      <c r="B24" s="85">
        <v>31520043.530000001</v>
      </c>
      <c r="C24" s="86">
        <v>19158284.73</v>
      </c>
      <c r="D24" s="85">
        <v>483622557.80000001</v>
      </c>
      <c r="E24" s="86">
        <v>534300886.06</v>
      </c>
      <c r="G24" s="88"/>
    </row>
    <row r="25" spans="1:7" ht="20" customHeight="1" thickBot="1">
      <c r="A25" s="89" t="s">
        <v>229</v>
      </c>
      <c r="B25" s="85">
        <v>110838300.8</v>
      </c>
      <c r="C25" s="86">
        <v>68261226.629999995</v>
      </c>
      <c r="D25" s="85">
        <v>1550339227.79</v>
      </c>
      <c r="E25" s="86">
        <v>1729438755.22</v>
      </c>
      <c r="G25" s="88"/>
    </row>
    <row r="26" spans="1:7" ht="20" customHeight="1" thickBot="1">
      <c r="A26" s="89" t="s">
        <v>230</v>
      </c>
      <c r="B26" s="85">
        <v>43118888.990000002</v>
      </c>
      <c r="C26" s="86">
        <v>27164192.850000001</v>
      </c>
      <c r="D26" s="85">
        <v>587895063.46000004</v>
      </c>
      <c r="E26" s="86">
        <v>658178145.30000007</v>
      </c>
      <c r="G26" s="88"/>
    </row>
    <row r="27" spans="1:7" ht="20" customHeight="1" thickBot="1">
      <c r="A27" s="89" t="s">
        <v>231</v>
      </c>
      <c r="B27" s="85">
        <v>57591267.960000001</v>
      </c>
      <c r="C27" s="86">
        <v>28410618.149999999</v>
      </c>
      <c r="D27" s="85">
        <v>1088202000.52</v>
      </c>
      <c r="E27" s="86">
        <v>1174203886.6299999</v>
      </c>
      <c r="G27" s="88"/>
    </row>
    <row r="28" spans="1:7" ht="20" customHeight="1" thickBot="1">
      <c r="A28" s="89" t="s">
        <v>232</v>
      </c>
      <c r="B28" s="85">
        <v>166497958.00999999</v>
      </c>
      <c r="C28" s="86">
        <v>82077357.769999996</v>
      </c>
      <c r="D28" s="85">
        <v>2160947855.1700001</v>
      </c>
      <c r="E28" s="86">
        <v>2409523170.9499998</v>
      </c>
      <c r="G28" s="88"/>
    </row>
    <row r="29" spans="1:7" ht="20" customHeight="1" thickBot="1">
      <c r="A29" s="89" t="s">
        <v>233</v>
      </c>
      <c r="B29" s="85">
        <v>52915054.200000003</v>
      </c>
      <c r="C29" s="86">
        <v>61721642.700000003</v>
      </c>
      <c r="D29" s="85">
        <v>784525794.11000001</v>
      </c>
      <c r="E29" s="86">
        <v>899162491.00999999</v>
      </c>
      <c r="G29" s="88"/>
    </row>
    <row r="30" spans="1:7" ht="20" customHeight="1" thickBot="1">
      <c r="A30" s="89" t="s">
        <v>234</v>
      </c>
      <c r="B30" s="85">
        <v>33161478.98</v>
      </c>
      <c r="C30" s="86">
        <v>16952126.91</v>
      </c>
      <c r="D30" s="85">
        <v>499302463.54000002</v>
      </c>
      <c r="E30" s="86">
        <v>549416069.43000007</v>
      </c>
      <c r="G30" s="88"/>
    </row>
    <row r="31" spans="1:7" ht="20" customHeight="1" thickBot="1">
      <c r="A31" s="89" t="s">
        <v>235</v>
      </c>
      <c r="B31" s="85">
        <v>117277433.68000001</v>
      </c>
      <c r="C31" s="86">
        <v>58948626</v>
      </c>
      <c r="D31" s="85">
        <v>1485078572.8399999</v>
      </c>
      <c r="E31" s="86">
        <v>1661304632.52</v>
      </c>
      <c r="G31" s="88"/>
    </row>
    <row r="32" spans="1:7" ht="20" customHeight="1" thickBot="1">
      <c r="A32" s="90" t="s">
        <v>236</v>
      </c>
      <c r="B32" s="85">
        <v>14148987.24</v>
      </c>
      <c r="C32" s="86">
        <v>7510632.4800000004</v>
      </c>
      <c r="D32" s="85">
        <v>210013273.94999999</v>
      </c>
      <c r="E32" s="86">
        <v>231672893.66999999</v>
      </c>
      <c r="G32" s="88"/>
    </row>
    <row r="33" spans="1:7" ht="20" customHeight="1" thickBot="1">
      <c r="A33" s="289" t="s">
        <v>494</v>
      </c>
      <c r="B33" s="85">
        <v>291255.99</v>
      </c>
      <c r="C33" s="86">
        <v>140686.98000000001</v>
      </c>
      <c r="D33" s="85">
        <v>3978577.78</v>
      </c>
      <c r="E33" s="86">
        <v>4410520.75</v>
      </c>
      <c r="G33" s="88"/>
    </row>
    <row r="34" spans="1:7" ht="20" customHeight="1" thickBot="1">
      <c r="A34" s="90" t="s">
        <v>495</v>
      </c>
      <c r="B34" s="85">
        <v>-45545.8</v>
      </c>
      <c r="C34" s="86">
        <v>23824.93</v>
      </c>
      <c r="D34" s="85">
        <v>254881.78</v>
      </c>
      <c r="E34" s="86">
        <v>233160.91</v>
      </c>
      <c r="G34" s="88"/>
    </row>
    <row r="35" spans="1:7" ht="30" customHeight="1" thickBot="1">
      <c r="A35" s="91" t="s">
        <v>0</v>
      </c>
      <c r="B35" s="92">
        <v>1447818163.46</v>
      </c>
      <c r="C35" s="93">
        <v>878957876.19000006</v>
      </c>
      <c r="D35" s="92">
        <v>21965685534.119999</v>
      </c>
      <c r="E35" s="93">
        <v>24292461573.77</v>
      </c>
      <c r="G35" s="88"/>
    </row>
    <row r="36" spans="1:7" ht="20" customHeight="1">
      <c r="A36" s="95" t="s">
        <v>678</v>
      </c>
      <c r="B36" s="95"/>
      <c r="C36" s="95"/>
      <c r="D36" s="95"/>
      <c r="E36" s="95"/>
    </row>
    <row r="37" spans="1:7" ht="13.5" customHeight="1">
      <c r="A37" s="96"/>
      <c r="B37" s="96"/>
      <c r="C37" s="96"/>
      <c r="D37" s="96"/>
      <c r="E37" s="96"/>
    </row>
    <row r="38" spans="1:7" ht="13.5" customHeight="1">
      <c r="A38" s="96" t="s">
        <v>496</v>
      </c>
      <c r="B38" s="96"/>
      <c r="C38" s="96"/>
      <c r="D38" s="96"/>
      <c r="E38" s="96"/>
    </row>
    <row r="39" spans="1:7" ht="12.75" customHeight="1">
      <c r="A39" s="96"/>
      <c r="B39" s="96"/>
      <c r="C39" s="96"/>
      <c r="D39" s="96"/>
      <c r="E39" s="96"/>
    </row>
    <row r="40" spans="1:7" ht="12" customHeight="1">
      <c r="A40" s="96" t="s">
        <v>497</v>
      </c>
    </row>
    <row r="41" spans="1:7" ht="14.25" customHeight="1">
      <c r="A41" s="96" t="s">
        <v>498</v>
      </c>
    </row>
    <row r="42" spans="1:7" ht="14.25" customHeight="1">
      <c r="A42" s="96"/>
    </row>
    <row r="43" spans="1:7" ht="12" customHeight="1"/>
    <row r="44" spans="1:7">
      <c r="A44" s="96" t="s">
        <v>677</v>
      </c>
    </row>
  </sheetData>
  <pageMargins left="0.56000000000000005" right="1.03" top="0.81" bottom="0.49" header="0.44" footer="0.4921259845"/>
  <pageSetup paperSize="9" scale="85" orientation="portrait" horizontalDpi="1200" verticalDpi="1200"/>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1623A-C33A-A54F-A279-16D1149E40BC}">
  <sheetPr>
    <pageSetUpPr fitToPage="1"/>
  </sheetPr>
  <dimension ref="A1:H44"/>
  <sheetViews>
    <sheetView zoomScale="75" workbookViewId="0">
      <selection activeCell="F3" sqref="F3:F4"/>
    </sheetView>
  </sheetViews>
  <sheetFormatPr baseColWidth="10" defaultColWidth="11.3984375" defaultRowHeight="13"/>
  <cols>
    <col min="1" max="1" width="20.59765625" style="3" customWidth="1"/>
    <col min="2" max="4" width="17" style="8" customWidth="1"/>
    <col min="5" max="5" width="17.3984375" style="8" customWidth="1"/>
    <col min="6" max="6" width="18.19921875" style="121" customWidth="1"/>
    <col min="7" max="7" width="11.3984375" style="3"/>
    <col min="8" max="8" width="0" style="3" hidden="1" customWidth="1"/>
    <col min="9" max="16384" width="11.3984375" style="3"/>
  </cols>
  <sheetData>
    <row r="1" spans="1:8" s="2" customFormat="1" ht="14" customHeight="1">
      <c r="B1" s="100"/>
      <c r="C1" s="100"/>
      <c r="D1" s="100"/>
      <c r="E1" s="100"/>
      <c r="F1" s="101"/>
    </row>
    <row r="2" spans="1:8" s="2" customFormat="1" ht="31.5" customHeight="1">
      <c r="A2" s="1807" t="s">
        <v>503</v>
      </c>
      <c r="B2" s="1811"/>
      <c r="C2" s="1811"/>
      <c r="D2" s="1811"/>
      <c r="E2" s="1811"/>
      <c r="F2" s="102">
        <v>2010</v>
      </c>
      <c r="G2" s="102"/>
    </row>
    <row r="3" spans="1:8" ht="27" customHeight="1">
      <c r="A3" s="72" t="s">
        <v>203</v>
      </c>
      <c r="B3" s="73" t="s">
        <v>204</v>
      </c>
      <c r="C3" s="74" t="s">
        <v>205</v>
      </c>
      <c r="D3" s="73" t="s">
        <v>206</v>
      </c>
      <c r="E3" s="74" t="s">
        <v>500</v>
      </c>
      <c r="F3" s="299" t="s">
        <v>585</v>
      </c>
    </row>
    <row r="4" spans="1:8" ht="20.25" customHeight="1">
      <c r="A4" s="75"/>
      <c r="B4" s="76"/>
      <c r="C4" s="77" t="s">
        <v>206</v>
      </c>
      <c r="D4" s="78"/>
      <c r="E4" s="77" t="s">
        <v>501</v>
      </c>
      <c r="F4" s="78" t="s">
        <v>586</v>
      </c>
    </row>
    <row r="5" spans="1:8" ht="20.25" customHeight="1">
      <c r="A5" s="75"/>
      <c r="B5" s="76" t="s">
        <v>207</v>
      </c>
      <c r="C5" s="77" t="s">
        <v>208</v>
      </c>
      <c r="D5" s="76" t="s">
        <v>209</v>
      </c>
      <c r="E5" s="77"/>
      <c r="F5" s="78" t="s">
        <v>210</v>
      </c>
    </row>
    <row r="6" spans="1:8" ht="24" customHeight="1">
      <c r="A6" s="79"/>
      <c r="B6" s="107"/>
      <c r="C6" s="108"/>
      <c r="D6" s="107"/>
      <c r="E6" s="109"/>
      <c r="F6" s="80"/>
    </row>
    <row r="7" spans="1:8" ht="30" customHeight="1" thickBot="1">
      <c r="A7" s="84" t="s">
        <v>211</v>
      </c>
      <c r="B7" s="111">
        <v>1004.4705818180595</v>
      </c>
      <c r="C7" s="112">
        <v>1387.769076452026</v>
      </c>
      <c r="D7" s="111">
        <v>3811.1009072278957</v>
      </c>
      <c r="E7" s="112">
        <v>3108.2564531997687</v>
      </c>
      <c r="F7" s="300">
        <v>2.054724801153612E-2</v>
      </c>
      <c r="H7" s="88">
        <v>172.8785586534616</v>
      </c>
    </row>
    <row r="8" spans="1:8" ht="20" customHeight="1" thickBot="1">
      <c r="A8" s="89" t="s">
        <v>212</v>
      </c>
      <c r="B8" s="111">
        <v>850.60644811153531</v>
      </c>
      <c r="C8" s="112">
        <v>1289.2095464223794</v>
      </c>
      <c r="D8" s="111">
        <v>4183.7204096910846</v>
      </c>
      <c r="E8" s="112">
        <v>3334.5411426728592</v>
      </c>
      <c r="F8" s="301">
        <v>1.1615109499938648E-2</v>
      </c>
      <c r="H8" s="88">
        <v>161.49387493756916</v>
      </c>
    </row>
    <row r="9" spans="1:8" ht="20" customHeight="1" thickBot="1">
      <c r="A9" s="89" t="s">
        <v>213</v>
      </c>
      <c r="B9" s="111">
        <v>788.86996870202779</v>
      </c>
      <c r="C9" s="112">
        <v>1114.8974134639132</v>
      </c>
      <c r="D9" s="111">
        <v>3413.2222093902692</v>
      </c>
      <c r="E9" s="112">
        <v>2671.6732530210502</v>
      </c>
      <c r="F9" s="301">
        <v>2.2246030770542557E-2</v>
      </c>
      <c r="H9" s="88">
        <v>129.41591119853354</v>
      </c>
    </row>
    <row r="10" spans="1:8" ht="20" customHeight="1" thickBot="1">
      <c r="A10" s="89" t="s">
        <v>214</v>
      </c>
      <c r="B10" s="111">
        <v>726.17478122659247</v>
      </c>
      <c r="C10" s="112">
        <v>1033.5411408954158</v>
      </c>
      <c r="D10" s="111">
        <v>3279.3070031554294</v>
      </c>
      <c r="E10" s="112">
        <v>2561.0850331205761</v>
      </c>
      <c r="F10" s="301">
        <v>5.6256075144569461E-3</v>
      </c>
      <c r="H10" s="88">
        <v>126.90557061409594</v>
      </c>
    </row>
    <row r="11" spans="1:8" ht="20" customHeight="1" thickBot="1">
      <c r="A11" s="89" t="s">
        <v>215</v>
      </c>
      <c r="B11" s="111">
        <v>930.55360204069052</v>
      </c>
      <c r="C11" s="112">
        <v>1122.9470213793957</v>
      </c>
      <c r="D11" s="111">
        <v>3309.9312690598663</v>
      </c>
      <c r="E11" s="112">
        <v>2642.9726382426174</v>
      </c>
      <c r="F11" s="301">
        <v>-4.1782108605210405E-4</v>
      </c>
      <c r="H11" s="88">
        <v>131.64111605385247</v>
      </c>
    </row>
    <row r="12" spans="1:8" ht="20" customHeight="1" thickBot="1">
      <c r="A12" s="89" t="s">
        <v>216</v>
      </c>
      <c r="B12" s="111">
        <v>769.46628425905783</v>
      </c>
      <c r="C12" s="112">
        <v>1011.4607432194946</v>
      </c>
      <c r="D12" s="111">
        <v>3077.9828686297374</v>
      </c>
      <c r="E12" s="112">
        <v>2408.6473950480035</v>
      </c>
      <c r="F12" s="301">
        <v>-1.0904597779350924E-2</v>
      </c>
      <c r="H12" s="88">
        <v>125.19129183854066</v>
      </c>
    </row>
    <row r="13" spans="1:8" ht="20" customHeight="1" thickBot="1">
      <c r="A13" s="89" t="s">
        <v>217</v>
      </c>
      <c r="B13" s="111">
        <v>729.64196393573741</v>
      </c>
      <c r="C13" s="112">
        <v>941.20508562706516</v>
      </c>
      <c r="D13" s="111">
        <v>3015.1442732780124</v>
      </c>
      <c r="E13" s="112">
        <v>2406.1621902746642</v>
      </c>
      <c r="F13" s="301">
        <v>1.7244991524938937E-2</v>
      </c>
      <c r="H13" s="88">
        <v>117.8833340734285</v>
      </c>
    </row>
    <row r="14" spans="1:8" ht="20" customHeight="1" thickBot="1">
      <c r="A14" s="89" t="s">
        <v>218</v>
      </c>
      <c r="B14" s="111">
        <v>847.87775142908424</v>
      </c>
      <c r="C14" s="112">
        <v>1163.1725917694739</v>
      </c>
      <c r="D14" s="111">
        <v>3486.6178531691457</v>
      </c>
      <c r="E14" s="112">
        <v>2764.4294407843408</v>
      </c>
      <c r="F14" s="301">
        <v>4.0648801568579217E-2</v>
      </c>
      <c r="H14" s="88">
        <v>140.25371771237261</v>
      </c>
    </row>
    <row r="15" spans="1:8" ht="20" customHeight="1" thickBot="1">
      <c r="A15" s="89" t="s">
        <v>219</v>
      </c>
      <c r="B15" s="111">
        <v>839.29191009911483</v>
      </c>
      <c r="C15" s="112">
        <v>1233.3175398202031</v>
      </c>
      <c r="D15" s="111">
        <v>3243.7897722701364</v>
      </c>
      <c r="E15" s="112">
        <v>2622.9602195621324</v>
      </c>
      <c r="F15" s="301">
        <v>1.6328624217265914E-2</v>
      </c>
      <c r="H15" s="88">
        <v>131.3336445580656</v>
      </c>
    </row>
    <row r="16" spans="1:8" ht="20" customHeight="1" thickBot="1">
      <c r="A16" s="89" t="s">
        <v>220</v>
      </c>
      <c r="B16" s="111">
        <v>879.60328649289886</v>
      </c>
      <c r="C16" s="112">
        <v>1317.3126996024446</v>
      </c>
      <c r="D16" s="111">
        <v>3762.6764791791638</v>
      </c>
      <c r="E16" s="112">
        <v>2901.0281874134271</v>
      </c>
      <c r="F16" s="301">
        <v>1.2048247605604625E-2</v>
      </c>
      <c r="H16" s="88">
        <v>163.19734143075968</v>
      </c>
    </row>
    <row r="17" spans="1:8" ht="20" customHeight="1" thickBot="1">
      <c r="A17" s="89" t="s">
        <v>221</v>
      </c>
      <c r="B17" s="111">
        <v>920.10878901856233</v>
      </c>
      <c r="C17" s="112">
        <v>1193.8889630771891</v>
      </c>
      <c r="D17" s="111">
        <v>3707.8102073849859</v>
      </c>
      <c r="E17" s="112">
        <v>2967.9196265684732</v>
      </c>
      <c r="F17" s="301">
        <v>3.7903438631318089E-3</v>
      </c>
      <c r="H17" s="88">
        <v>156.59253023292777</v>
      </c>
    </row>
    <row r="18" spans="1:8" ht="20" customHeight="1" thickBot="1">
      <c r="A18" s="89" t="s">
        <v>222</v>
      </c>
      <c r="B18" s="111">
        <v>1230.3777028902221</v>
      </c>
      <c r="C18" s="112">
        <v>1632.1663669402387</v>
      </c>
      <c r="D18" s="111">
        <v>5113.7797240663031</v>
      </c>
      <c r="E18" s="112">
        <v>4252.1131045990123</v>
      </c>
      <c r="F18" s="301">
        <v>-1.8946768386075494E-3</v>
      </c>
      <c r="H18" s="88">
        <v>239.48436004651805</v>
      </c>
    </row>
    <row r="19" spans="1:8" ht="20" customHeight="1" thickBot="1">
      <c r="A19" s="89" t="s">
        <v>223</v>
      </c>
      <c r="B19" s="111">
        <v>1090.1855393042213</v>
      </c>
      <c r="C19" s="112">
        <v>1483.1277809898536</v>
      </c>
      <c r="D19" s="111">
        <v>4165.3344916745054</v>
      </c>
      <c r="E19" s="112">
        <v>3392.7751861206939</v>
      </c>
      <c r="F19" s="301">
        <v>1.6399724785901775E-2</v>
      </c>
      <c r="H19" s="88">
        <v>177.06647582891381</v>
      </c>
    </row>
    <row r="20" spans="1:8" ht="20" customHeight="1" thickBot="1">
      <c r="A20" s="89" t="s">
        <v>224</v>
      </c>
      <c r="B20" s="111">
        <v>827.23970241175675</v>
      </c>
      <c r="C20" s="112">
        <v>1213.706800442606</v>
      </c>
      <c r="D20" s="111">
        <v>3794.7347613236993</v>
      </c>
      <c r="E20" s="112">
        <v>3032.2715199497511</v>
      </c>
      <c r="F20" s="301">
        <v>3.6392049080266907E-2</v>
      </c>
      <c r="H20" s="88">
        <v>165.60622548393192</v>
      </c>
    </row>
    <row r="21" spans="1:8" ht="20" customHeight="1" thickBot="1">
      <c r="A21" s="89" t="s">
        <v>225</v>
      </c>
      <c r="B21" s="111">
        <v>804.18055675256392</v>
      </c>
      <c r="C21" s="112">
        <v>1015.3696286966314</v>
      </c>
      <c r="D21" s="111">
        <v>3172.6591294125601</v>
      </c>
      <c r="E21" s="112">
        <v>2508.047826864024</v>
      </c>
      <c r="F21" s="301">
        <v>2.9146351683671037E-2</v>
      </c>
      <c r="H21" s="88">
        <v>125.02923450612184</v>
      </c>
    </row>
    <row r="22" spans="1:8" ht="20" customHeight="1" thickBot="1">
      <c r="A22" s="89" t="s">
        <v>226</v>
      </c>
      <c r="B22" s="111">
        <v>684.78033133065924</v>
      </c>
      <c r="C22" s="112">
        <v>850.67183370061343</v>
      </c>
      <c r="D22" s="111">
        <v>2787.5013599776398</v>
      </c>
      <c r="E22" s="112">
        <v>2125.9034996099122</v>
      </c>
      <c r="F22" s="301">
        <v>2.0803000554000802E-2</v>
      </c>
      <c r="H22" s="88">
        <v>109.87124540182084</v>
      </c>
    </row>
    <row r="23" spans="1:8" ht="20" customHeight="1" thickBot="1">
      <c r="A23" s="89" t="s">
        <v>227</v>
      </c>
      <c r="B23" s="111">
        <v>844.8065048084004</v>
      </c>
      <c r="C23" s="112">
        <v>1162.2293422347045</v>
      </c>
      <c r="D23" s="111">
        <v>3370.8829855107301</v>
      </c>
      <c r="E23" s="112">
        <v>2643.830487389243</v>
      </c>
      <c r="F23" s="301">
        <v>2.1182227814927884E-2</v>
      </c>
      <c r="H23" s="88">
        <v>134.24530167185685</v>
      </c>
    </row>
    <row r="24" spans="1:8" ht="20" customHeight="1" thickBot="1">
      <c r="A24" s="89" t="s">
        <v>228</v>
      </c>
      <c r="B24" s="111">
        <v>912.09134356483128</v>
      </c>
      <c r="C24" s="112">
        <v>1028.9045337076961</v>
      </c>
      <c r="D24" s="111">
        <v>3371.2428814919108</v>
      </c>
      <c r="E24" s="112">
        <v>2717.2443478563355</v>
      </c>
      <c r="F24" s="301">
        <v>1.1712027146965521E-2</v>
      </c>
      <c r="H24" s="88">
        <v>132.91701511018809</v>
      </c>
    </row>
    <row r="25" spans="1:8" ht="20" customHeight="1" thickBot="1">
      <c r="A25" s="89" t="s">
        <v>229</v>
      </c>
      <c r="B25" s="111">
        <v>930.85640438016469</v>
      </c>
      <c r="C25" s="112">
        <v>1283.2007977658495</v>
      </c>
      <c r="D25" s="111">
        <v>3553.9172729373563</v>
      </c>
      <c r="E25" s="112">
        <v>2842.1286570633338</v>
      </c>
      <c r="F25" s="301">
        <v>2.5454365226950798E-2</v>
      </c>
      <c r="H25" s="88">
        <v>145.05617363699608</v>
      </c>
    </row>
    <row r="26" spans="1:8" ht="20" customHeight="1" thickBot="1">
      <c r="A26" s="89" t="s">
        <v>230</v>
      </c>
      <c r="B26" s="111">
        <v>858.93824748178395</v>
      </c>
      <c r="C26" s="112">
        <v>1150.6643192388826</v>
      </c>
      <c r="D26" s="111">
        <v>3397.00226599693</v>
      </c>
      <c r="E26" s="112">
        <v>2666.0865459385977</v>
      </c>
      <c r="F26" s="301">
        <v>1.2660847589816273E-2</v>
      </c>
      <c r="H26" s="88">
        <v>145.7338374894791</v>
      </c>
    </row>
    <row r="27" spans="1:8" ht="20" customHeight="1" thickBot="1">
      <c r="A27" s="89" t="s">
        <v>231</v>
      </c>
      <c r="B27" s="111">
        <v>979.34256696377327</v>
      </c>
      <c r="C27" s="112">
        <v>1216.4344880146773</v>
      </c>
      <c r="D27" s="111">
        <v>4377.6511724838456</v>
      </c>
      <c r="E27" s="112">
        <v>3550.2009101993222</v>
      </c>
      <c r="F27" s="301">
        <v>2.0828188976552201E-2</v>
      </c>
      <c r="H27" s="88">
        <v>199.67764846714121</v>
      </c>
    </row>
    <row r="28" spans="1:8" ht="20" customHeight="1" thickBot="1">
      <c r="A28" s="89" t="s">
        <v>232</v>
      </c>
      <c r="B28" s="111">
        <v>1132.8650495551187</v>
      </c>
      <c r="C28" s="112">
        <v>1421.9172484391843</v>
      </c>
      <c r="D28" s="111">
        <v>4416.1857812798216</v>
      </c>
      <c r="E28" s="112">
        <v>3471.8444565097698</v>
      </c>
      <c r="F28" s="301">
        <v>2.0119057452154768E-2</v>
      </c>
      <c r="H28" s="88">
        <v>203.24357993536964</v>
      </c>
    </row>
    <row r="29" spans="1:8" ht="20" customHeight="1" thickBot="1">
      <c r="A29" s="89" t="s">
        <v>233</v>
      </c>
      <c r="B29" s="111">
        <v>869.0696784092371</v>
      </c>
      <c r="C29" s="112">
        <v>2177.162508227635</v>
      </c>
      <c r="D29" s="111">
        <v>3486.3922257831582</v>
      </c>
      <c r="E29" s="112">
        <v>2861.1900922005416</v>
      </c>
      <c r="F29" s="301">
        <v>3.1663028237749538E-2</v>
      </c>
      <c r="H29" s="88">
        <v>144.85185631308477</v>
      </c>
    </row>
    <row r="30" spans="1:8" ht="20" customHeight="1" thickBot="1">
      <c r="A30" s="89" t="s">
        <v>234</v>
      </c>
      <c r="B30" s="111">
        <v>925.71881623821503</v>
      </c>
      <c r="C30" s="112">
        <v>1153.9846556315554</v>
      </c>
      <c r="D30" s="111">
        <v>4086.0886556564597</v>
      </c>
      <c r="E30" s="112">
        <v>3181.1807766300876</v>
      </c>
      <c r="F30" s="301">
        <v>1.6415639777384913E-2</v>
      </c>
      <c r="H30" s="88">
        <v>184.5803903521614</v>
      </c>
    </row>
    <row r="31" spans="1:8" ht="20" customHeight="1" thickBot="1">
      <c r="A31" s="89" t="s">
        <v>235</v>
      </c>
      <c r="B31" s="111">
        <v>1337.1421322661806</v>
      </c>
      <c r="C31" s="112">
        <v>1773.0408494672781</v>
      </c>
      <c r="D31" s="111">
        <v>4991.9845838192559</v>
      </c>
      <c r="E31" s="112">
        <v>3970.1643507240051</v>
      </c>
      <c r="F31" s="301">
        <v>1.6452061653193552E-2</v>
      </c>
      <c r="H31" s="88">
        <v>244.01642882305748</v>
      </c>
    </row>
    <row r="32" spans="1:8" ht="20" customHeight="1" thickBot="1">
      <c r="A32" s="90" t="s">
        <v>236</v>
      </c>
      <c r="B32" s="111">
        <v>942.55764102570936</v>
      </c>
      <c r="C32" s="112">
        <v>1213.347390391938</v>
      </c>
      <c r="D32" s="111">
        <v>4255.6260673854031</v>
      </c>
      <c r="E32" s="112">
        <v>3283.7736897705354</v>
      </c>
      <c r="F32" s="301">
        <v>4.040694282146657E-2</v>
      </c>
      <c r="H32" s="88">
        <v>200.58331332206401</v>
      </c>
    </row>
    <row r="33" spans="1:8" ht="20" customHeight="1" thickBot="1">
      <c r="A33" s="289" t="s">
        <v>494</v>
      </c>
      <c r="B33" s="111">
        <v>874.59008467959882</v>
      </c>
      <c r="C33" s="112">
        <v>380.32759319834554</v>
      </c>
      <c r="D33" s="111">
        <v>1290.6900133656877</v>
      </c>
      <c r="E33" s="112">
        <v>1165.1245558652208</v>
      </c>
      <c r="F33" s="301">
        <v>-0.12942837444613317</v>
      </c>
      <c r="H33" s="88">
        <v>244.01642882305748</v>
      </c>
    </row>
    <row r="34" spans="1:8" ht="20" customHeight="1" thickBot="1">
      <c r="A34" s="90" t="s">
        <v>495</v>
      </c>
      <c r="B34" s="123" t="s">
        <v>35</v>
      </c>
      <c r="C34" s="124" t="s">
        <v>35</v>
      </c>
      <c r="D34" s="123" t="s">
        <v>35</v>
      </c>
      <c r="E34" s="124" t="s">
        <v>35</v>
      </c>
      <c r="F34" s="301" t="s">
        <v>35</v>
      </c>
      <c r="H34" s="88">
        <v>200.58331332206401</v>
      </c>
    </row>
    <row r="35" spans="1:8" s="115" customFormat="1" ht="30" customHeight="1" thickBot="1">
      <c r="A35" s="91" t="s">
        <v>0</v>
      </c>
      <c r="B35" s="113">
        <v>962.23072687431443</v>
      </c>
      <c r="C35" s="114">
        <v>1339.1518937955034</v>
      </c>
      <c r="D35" s="113">
        <v>3909.4171856200396</v>
      </c>
      <c r="E35" s="114">
        <v>3122.5601901496079</v>
      </c>
      <c r="F35" s="302">
        <v>1.7543763633968455E-2</v>
      </c>
      <c r="H35" s="116">
        <v>167.9825427102873</v>
      </c>
    </row>
    <row r="36" spans="1:8" ht="20" customHeight="1">
      <c r="A36" s="95" t="s">
        <v>678</v>
      </c>
      <c r="B36" s="117"/>
      <c r="C36" s="117"/>
      <c r="D36" s="117"/>
      <c r="E36" s="117"/>
      <c r="F36" s="118"/>
    </row>
    <row r="37" spans="1:8" ht="14.25" customHeight="1">
      <c r="A37" s="96"/>
      <c r="B37" s="119"/>
      <c r="C37" s="119"/>
      <c r="D37" s="119"/>
      <c r="E37" s="119"/>
      <c r="F37" s="120"/>
    </row>
    <row r="38" spans="1:8" ht="20" customHeight="1">
      <c r="A38" s="96" t="s">
        <v>502</v>
      </c>
      <c r="B38" s="119"/>
      <c r="C38" s="119"/>
      <c r="D38" s="119"/>
      <c r="E38" s="119"/>
      <c r="F38" s="120"/>
    </row>
    <row r="39" spans="1:8" ht="9.75" customHeight="1">
      <c r="A39" s="96"/>
      <c r="B39" s="119"/>
      <c r="C39" s="119"/>
      <c r="D39" s="119"/>
      <c r="E39" s="119"/>
      <c r="F39" s="120"/>
    </row>
    <row r="40" spans="1:8" ht="15.75" customHeight="1">
      <c r="A40" s="96" t="s">
        <v>497</v>
      </c>
    </row>
    <row r="41" spans="1:8" ht="15.75" customHeight="1">
      <c r="A41" s="96" t="s">
        <v>498</v>
      </c>
    </row>
    <row r="42" spans="1:8" ht="12" customHeight="1">
      <c r="A42" s="96"/>
    </row>
    <row r="43" spans="1:8" ht="12" customHeight="1"/>
    <row r="44" spans="1:8">
      <c r="A44" s="96" t="s">
        <v>677</v>
      </c>
    </row>
  </sheetData>
  <mergeCells count="1">
    <mergeCell ref="A2:E2"/>
  </mergeCells>
  <pageMargins left="0.55000000000000004" right="0.78740157480314965" top="1.1000000000000001" bottom="0.49" header="0.92" footer="0.4921259845"/>
  <pageSetup paperSize="9" scale="83" orientation="portrait" horizontalDpi="4294967292" verticalDpi="4294967292"/>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DE73B-F3BF-6848-A7D7-72332555F846}">
  <sheetPr>
    <pageSetUpPr fitToPage="1"/>
  </sheetPr>
  <dimension ref="A1:J50"/>
  <sheetViews>
    <sheetView zoomScaleNormal="100" workbookViewId="0">
      <selection activeCell="H4" activeCellId="2" sqref="C4:C33 E4:E33 H4:H33"/>
    </sheetView>
  </sheetViews>
  <sheetFormatPr baseColWidth="10" defaultColWidth="11.3984375" defaultRowHeight="13"/>
  <cols>
    <col min="1" max="1" width="21.19921875" style="3" customWidth="1"/>
    <col min="2" max="2" width="14.796875" style="128" customWidth="1"/>
    <col min="3" max="3" width="14.796875" style="49" customWidth="1"/>
    <col min="4" max="4" width="16" style="128" customWidth="1"/>
    <col min="5" max="5" width="15.796875" style="49" customWidth="1"/>
    <col min="6" max="6" width="16" style="128" customWidth="1"/>
    <col min="7" max="7" width="13.59765625" style="3" customWidth="1"/>
    <col min="8" max="8" width="13.19921875" style="3" customWidth="1"/>
    <col min="9" max="9" width="7.796875" style="3" customWidth="1"/>
    <col min="10" max="10" width="9" style="3" customWidth="1"/>
    <col min="11" max="16384" width="11.3984375" style="3"/>
  </cols>
  <sheetData>
    <row r="1" spans="1:10" s="2" customFormat="1" ht="18.75" customHeight="1">
      <c r="A1" s="303"/>
      <c r="B1" s="304"/>
      <c r="C1" s="261"/>
      <c r="D1" s="122"/>
      <c r="E1" s="261"/>
      <c r="F1" s="122"/>
    </row>
    <row r="2" spans="1:10" s="2" customFormat="1" ht="28.25" customHeight="1">
      <c r="A2" s="305" t="s">
        <v>2379</v>
      </c>
      <c r="B2" s="306"/>
      <c r="C2" s="306"/>
      <c r="D2" s="306"/>
      <c r="E2" s="306"/>
      <c r="F2" s="307"/>
      <c r="H2" s="307">
        <v>2010</v>
      </c>
    </row>
    <row r="3" spans="1:10" ht="27" customHeight="1">
      <c r="A3" s="72" t="s">
        <v>504</v>
      </c>
      <c r="B3" s="1813" t="s">
        <v>505</v>
      </c>
      <c r="C3" s="1814"/>
      <c r="D3" s="1815" t="s">
        <v>507</v>
      </c>
      <c r="E3" s="1814"/>
      <c r="F3" s="1816" t="s">
        <v>644</v>
      </c>
      <c r="G3" s="1817"/>
      <c r="H3" s="1817"/>
    </row>
    <row r="4" spans="1:10" ht="15" customHeight="1">
      <c r="A4" s="75"/>
      <c r="B4" s="105" t="s">
        <v>717</v>
      </c>
      <c r="C4" s="1585" t="s">
        <v>2375</v>
      </c>
      <c r="D4" s="105" t="s">
        <v>640</v>
      </c>
      <c r="E4" s="1585" t="s">
        <v>2375</v>
      </c>
      <c r="F4" s="105" t="s">
        <v>717</v>
      </c>
      <c r="G4" s="1580" t="s">
        <v>641</v>
      </c>
      <c r="H4" s="1590" t="s">
        <v>2375</v>
      </c>
    </row>
    <row r="5" spans="1:10" ht="15" customHeight="1">
      <c r="A5" s="75"/>
      <c r="B5" s="105"/>
      <c r="C5" s="1585" t="s">
        <v>2290</v>
      </c>
      <c r="D5" s="105"/>
      <c r="E5" s="1585" t="s">
        <v>2290</v>
      </c>
      <c r="F5" s="105"/>
      <c r="G5" s="1580"/>
      <c r="H5" s="1590" t="s">
        <v>2290</v>
      </c>
    </row>
    <row r="6" spans="1:10" ht="19.5" customHeight="1">
      <c r="A6" s="79"/>
      <c r="B6" s="110"/>
      <c r="C6" s="1586"/>
      <c r="D6" s="110"/>
      <c r="E6" s="1586"/>
      <c r="F6" s="110"/>
      <c r="G6" s="1581"/>
      <c r="H6" s="1591"/>
    </row>
    <row r="7" spans="1:10" ht="30" customHeight="1" thickBot="1">
      <c r="A7" s="84" t="s">
        <v>508</v>
      </c>
      <c r="B7" s="308">
        <v>265.56914250000005</v>
      </c>
      <c r="C7" s="1587">
        <v>1198.1658285449257</v>
      </c>
      <c r="D7" s="308">
        <v>216.41740764000008</v>
      </c>
      <c r="E7" s="1587">
        <v>1030.2907668474347</v>
      </c>
      <c r="F7" s="308">
        <v>481.98655011000011</v>
      </c>
      <c r="G7" s="1582">
        <v>1.984099259176525E-2</v>
      </c>
      <c r="H7" s="1592">
        <v>1116.4820727702095</v>
      </c>
      <c r="I7" s="51"/>
      <c r="J7" s="51"/>
    </row>
    <row r="8" spans="1:10" ht="20" customHeight="1" thickBot="1">
      <c r="A8" s="89" t="s">
        <v>509</v>
      </c>
      <c r="B8" s="308">
        <v>170.33831276999993</v>
      </c>
      <c r="C8" s="1587">
        <v>859.86396897028374</v>
      </c>
      <c r="D8" s="308">
        <v>128.62152216000004</v>
      </c>
      <c r="E8" s="1587">
        <v>683.79124082399107</v>
      </c>
      <c r="F8" s="308">
        <v>298.95983490999987</v>
      </c>
      <c r="G8" s="1582">
        <v>1.2306691687415203E-2</v>
      </c>
      <c r="H8" s="1592">
        <v>774.10691446214821</v>
      </c>
      <c r="I8" s="51"/>
      <c r="J8" s="51"/>
    </row>
    <row r="9" spans="1:10" ht="20" customHeight="1" thickBot="1">
      <c r="A9" s="89" t="s">
        <v>510</v>
      </c>
      <c r="B9" s="308">
        <v>189.38780398000003</v>
      </c>
      <c r="C9" s="1587">
        <v>881.83187356081987</v>
      </c>
      <c r="D9" s="308">
        <v>174.22125208999998</v>
      </c>
      <c r="E9" s="1587">
        <v>852.06257665549197</v>
      </c>
      <c r="F9" s="308">
        <v>363.60905606000006</v>
      </c>
      <c r="G9" s="1582">
        <v>1.4967979056549893E-2</v>
      </c>
      <c r="H9" s="1592">
        <v>867.31280830013895</v>
      </c>
      <c r="I9" s="51"/>
      <c r="J9" s="51"/>
    </row>
    <row r="10" spans="1:10" ht="20" customHeight="1" thickBot="1">
      <c r="A10" s="89" t="s">
        <v>511</v>
      </c>
      <c r="B10" s="308">
        <v>133.41180951000004</v>
      </c>
      <c r="C10" s="1587">
        <v>971.91890739467203</v>
      </c>
      <c r="D10" s="308">
        <v>169.85091236000005</v>
      </c>
      <c r="E10" s="1587">
        <v>1304.0969874408115</v>
      </c>
      <c r="F10" s="308">
        <v>303.26272186000006</v>
      </c>
      <c r="G10" s="1582">
        <v>1.2483820173840131E-2</v>
      </c>
      <c r="H10" s="1592">
        <v>1133.648046971769</v>
      </c>
      <c r="I10" s="51"/>
      <c r="J10" s="51"/>
    </row>
    <row r="11" spans="1:10" ht="20" customHeight="1" thickBot="1">
      <c r="A11" s="310" t="s">
        <v>512</v>
      </c>
      <c r="B11" s="311">
        <v>758.70706870999993</v>
      </c>
      <c r="C11" s="1588">
        <v>983.06354043971146</v>
      </c>
      <c r="D11" s="311">
        <v>689.11109427000019</v>
      </c>
      <c r="E11" s="1588">
        <v>940.29189933490647</v>
      </c>
      <c r="F11" s="311">
        <v>1447.8181629600001</v>
      </c>
      <c r="G11" s="1583">
        <v>5.9599483510393778E-2</v>
      </c>
      <c r="H11" s="1593">
        <v>962.23075851729743</v>
      </c>
      <c r="I11" s="51"/>
      <c r="J11" s="51"/>
    </row>
    <row r="12" spans="1:10" ht="20" customHeight="1" thickBot="1">
      <c r="A12" s="89" t="s">
        <v>513</v>
      </c>
      <c r="B12" s="308">
        <v>86.498177500000011</v>
      </c>
      <c r="C12" s="1587">
        <v>926.5961571051713</v>
      </c>
      <c r="D12" s="308">
        <v>127.52709035999999</v>
      </c>
      <c r="E12" s="1587">
        <v>1403.6961910787472</v>
      </c>
      <c r="F12" s="308">
        <v>214.02526786000007</v>
      </c>
      <c r="G12" s="1582">
        <v>8.8103573701210011E-3</v>
      </c>
      <c r="H12" s="1592">
        <v>1161.9090814678441</v>
      </c>
      <c r="I12" s="51"/>
      <c r="J12" s="51"/>
    </row>
    <row r="13" spans="1:10" ht="20" customHeight="1" thickBot="1">
      <c r="A13" s="89" t="s">
        <v>514</v>
      </c>
      <c r="B13" s="308">
        <v>226.79232797000003</v>
      </c>
      <c r="C13" s="1587">
        <v>952.46200425783445</v>
      </c>
      <c r="D13" s="308">
        <v>408.02009403</v>
      </c>
      <c r="E13" s="1587">
        <v>1743.3658328148358</v>
      </c>
      <c r="F13" s="308">
        <v>634.81242197000006</v>
      </c>
      <c r="G13" s="1582">
        <v>2.6132074761407338E-2</v>
      </c>
      <c r="H13" s="1592">
        <v>1344.50500663704</v>
      </c>
      <c r="I13" s="51"/>
      <c r="J13" s="51"/>
    </row>
    <row r="14" spans="1:10" ht="20" customHeight="1" thickBot="1">
      <c r="A14" s="310" t="s">
        <v>515</v>
      </c>
      <c r="B14" s="311">
        <v>313.29050546000008</v>
      </c>
      <c r="C14" s="1588">
        <v>945.17728798967619</v>
      </c>
      <c r="D14" s="311">
        <v>535.54718438999987</v>
      </c>
      <c r="E14" s="1588">
        <v>1648.3826232441418</v>
      </c>
      <c r="F14" s="311">
        <v>848.83768982999993</v>
      </c>
      <c r="G14" s="1583">
        <v>3.4942432131528332E-2</v>
      </c>
      <c r="H14" s="1593">
        <v>1293.2607042509608</v>
      </c>
      <c r="I14" s="51"/>
      <c r="J14" s="51"/>
    </row>
    <row r="15" spans="1:10" ht="20" customHeight="1" thickBot="1">
      <c r="A15" s="89" t="s">
        <v>516</v>
      </c>
      <c r="B15" s="308">
        <v>265.68097813999998</v>
      </c>
      <c r="C15" s="1587">
        <v>1012.3086730697009</v>
      </c>
      <c r="D15" s="308">
        <v>581.91325207</v>
      </c>
      <c r="E15" s="1587">
        <v>2267.2645087792457</v>
      </c>
      <c r="F15" s="308">
        <v>847.59423021999987</v>
      </c>
      <c r="G15" s="1582">
        <v>3.4891245074743157E-2</v>
      </c>
      <c r="H15" s="1592">
        <v>1632.7856148296471</v>
      </c>
      <c r="I15" s="51"/>
      <c r="J15" s="51"/>
    </row>
    <row r="16" spans="1:10" ht="20" customHeight="1" thickBot="1">
      <c r="A16" s="89" t="s">
        <v>517</v>
      </c>
      <c r="B16" s="308">
        <v>314.93636916999992</v>
      </c>
      <c r="C16" s="1587">
        <v>1197.2803895041995</v>
      </c>
      <c r="D16" s="308">
        <v>703.68353359999981</v>
      </c>
      <c r="E16" s="1587">
        <v>2685.9243985241683</v>
      </c>
      <c r="F16" s="308">
        <v>1018.61990277</v>
      </c>
      <c r="G16" s="1582">
        <v>4.1931522653633667E-2</v>
      </c>
      <c r="H16" s="1592">
        <v>1940.1084320957989</v>
      </c>
      <c r="I16" s="51"/>
      <c r="J16" s="51"/>
    </row>
    <row r="17" spans="1:10" ht="20" customHeight="1" thickBot="1">
      <c r="A17" s="89" t="s">
        <v>518</v>
      </c>
      <c r="B17" s="308">
        <v>417.27371964000014</v>
      </c>
      <c r="C17" s="1587">
        <v>1466.9421008629984</v>
      </c>
      <c r="D17" s="308">
        <v>733.42679398000007</v>
      </c>
      <c r="E17" s="1587">
        <v>2593.557723328493</v>
      </c>
      <c r="F17" s="308">
        <v>1150.7005136399998</v>
      </c>
      <c r="G17" s="1582">
        <v>4.7368625454924318E-2</v>
      </c>
      <c r="H17" s="1592">
        <v>2028.5979715333899</v>
      </c>
      <c r="I17" s="51"/>
      <c r="J17" s="51"/>
    </row>
    <row r="18" spans="1:10" ht="20" customHeight="1" thickBot="1">
      <c r="A18" s="89" t="s">
        <v>519</v>
      </c>
      <c r="B18" s="308">
        <v>561.57610326999998</v>
      </c>
      <c r="C18" s="1587">
        <v>1742.9288523610026</v>
      </c>
      <c r="D18" s="308">
        <v>802.38652557</v>
      </c>
      <c r="E18" s="1587">
        <v>2518.8744547278234</v>
      </c>
      <c r="F18" s="308">
        <v>1363.9626288099998</v>
      </c>
      <c r="G18" s="1582">
        <v>5.6147567618821781E-2</v>
      </c>
      <c r="H18" s="1592">
        <v>2128.6897650868736</v>
      </c>
      <c r="I18" s="51"/>
      <c r="J18" s="51"/>
    </row>
    <row r="19" spans="1:10" ht="20" customHeight="1" thickBot="1">
      <c r="A19" s="89" t="s">
        <v>520</v>
      </c>
      <c r="B19" s="308">
        <v>679.12701425</v>
      </c>
      <c r="C19" s="1587">
        <v>2122.7524576188439</v>
      </c>
      <c r="D19" s="308">
        <v>887.03909127999987</v>
      </c>
      <c r="E19" s="1587">
        <v>2836.3390688488566</v>
      </c>
      <c r="F19" s="308">
        <v>1566.1661055100003</v>
      </c>
      <c r="G19" s="1582">
        <v>6.4471280557114929E-2</v>
      </c>
      <c r="H19" s="1592">
        <v>2475.4927794720666</v>
      </c>
      <c r="I19" s="51"/>
      <c r="J19" s="51"/>
    </row>
    <row r="20" spans="1:10" ht="20" customHeight="1" thickBot="1">
      <c r="A20" s="89" t="s">
        <v>521</v>
      </c>
      <c r="B20" s="308">
        <v>751.13467119999973</v>
      </c>
      <c r="C20" s="1587">
        <v>2721.1465138074323</v>
      </c>
      <c r="D20" s="308">
        <v>902.12570087000029</v>
      </c>
      <c r="E20" s="1587">
        <v>3349.3770427889026</v>
      </c>
      <c r="F20" s="308">
        <v>1653.2603721100004</v>
      </c>
      <c r="G20" s="1582">
        <v>6.8056518979227432E-2</v>
      </c>
      <c r="H20" s="1592">
        <v>3031.405479316521</v>
      </c>
      <c r="I20" s="51"/>
      <c r="J20" s="51"/>
    </row>
    <row r="21" spans="1:10" ht="20" customHeight="1" thickBot="1">
      <c r="A21" s="89" t="s">
        <v>522</v>
      </c>
      <c r="B21" s="308">
        <v>841.87010921000012</v>
      </c>
      <c r="C21" s="1587">
        <v>3545.7534008368689</v>
      </c>
      <c r="D21" s="308">
        <v>920.15965746000006</v>
      </c>
      <c r="E21" s="1587">
        <v>3859.6642140379558</v>
      </c>
      <c r="F21" s="308">
        <v>1762.0297666700001</v>
      </c>
      <c r="G21" s="1582">
        <v>7.2534014774874062E-2</v>
      </c>
      <c r="H21" s="1592">
        <v>3703.0301658620574</v>
      </c>
      <c r="I21" s="51"/>
      <c r="J21" s="51"/>
    </row>
    <row r="22" spans="1:10" ht="20" customHeight="1" thickBot="1">
      <c r="A22" s="89" t="s">
        <v>523</v>
      </c>
      <c r="B22" s="308">
        <v>1016.3052875999997</v>
      </c>
      <c r="C22" s="1587">
        <v>4580.1101744434663</v>
      </c>
      <c r="D22" s="308">
        <v>1043.39582292</v>
      </c>
      <c r="E22" s="1587">
        <v>4568.6007792748787</v>
      </c>
      <c r="F22" s="308">
        <v>2059.7011105200004</v>
      </c>
      <c r="G22" s="1582">
        <v>8.4787665684346036E-2</v>
      </c>
      <c r="H22" s="1592">
        <v>4574.2725490783532</v>
      </c>
      <c r="I22" s="51"/>
      <c r="J22" s="51"/>
    </row>
    <row r="23" spans="1:10" ht="20" customHeight="1" thickBot="1">
      <c r="A23" s="89" t="s">
        <v>524</v>
      </c>
      <c r="B23" s="308">
        <v>1037.4768849800002</v>
      </c>
      <c r="C23" s="1587">
        <v>5766.3671904349212</v>
      </c>
      <c r="D23" s="308">
        <v>1086.3146423099995</v>
      </c>
      <c r="E23" s="1587">
        <v>5541.6164136456064</v>
      </c>
      <c r="F23" s="308">
        <v>2123.7915272699997</v>
      </c>
      <c r="G23" s="1582">
        <v>8.7425949851507284E-2</v>
      </c>
      <c r="H23" s="1592">
        <v>5649.1763622547851</v>
      </c>
      <c r="I23" s="51"/>
      <c r="J23" s="51"/>
    </row>
    <row r="24" spans="1:10" ht="20" customHeight="1" thickBot="1">
      <c r="A24" s="89" t="s">
        <v>525</v>
      </c>
      <c r="B24" s="308">
        <v>955.93359973000008</v>
      </c>
      <c r="C24" s="1587">
        <v>7130.7846894252962</v>
      </c>
      <c r="D24" s="308">
        <v>1091.4897499799997</v>
      </c>
      <c r="E24" s="1587">
        <v>6806.2768865583457</v>
      </c>
      <c r="F24" s="308">
        <v>2047.4233497200005</v>
      </c>
      <c r="G24" s="1582">
        <v>8.4282251246908579E-2</v>
      </c>
      <c r="H24" s="1592">
        <v>6954.0324801307634</v>
      </c>
      <c r="I24" s="51"/>
      <c r="J24" s="51"/>
    </row>
    <row r="25" spans="1:10" ht="20" customHeight="1" thickBot="1">
      <c r="A25" s="89" t="s">
        <v>526</v>
      </c>
      <c r="B25" s="308">
        <v>924.07875418000015</v>
      </c>
      <c r="C25" s="1587">
        <v>8771.7431383571402</v>
      </c>
      <c r="D25" s="308">
        <v>1200.0769061699998</v>
      </c>
      <c r="E25" s="1587">
        <v>8414.2710224976872</v>
      </c>
      <c r="F25" s="308">
        <v>2124.1556603199997</v>
      </c>
      <c r="G25" s="1582">
        <v>8.7440939400792048E-2</v>
      </c>
      <c r="H25" s="1592">
        <v>8566.1364963020296</v>
      </c>
      <c r="I25" s="51"/>
      <c r="J25" s="51"/>
    </row>
    <row r="26" spans="1:10" ht="20" customHeight="1" thickBot="1">
      <c r="A26" s="89" t="s">
        <v>527</v>
      </c>
      <c r="B26" s="308">
        <v>705.95633896000004</v>
      </c>
      <c r="C26" s="1587">
        <v>10168.120523589769</v>
      </c>
      <c r="D26" s="308">
        <v>1220.8113457199997</v>
      </c>
      <c r="E26" s="1587">
        <v>10631.21138706411</v>
      </c>
      <c r="F26" s="308">
        <v>1926.7676847000005</v>
      </c>
      <c r="G26" s="1582">
        <v>7.9315456726874817E-2</v>
      </c>
      <c r="H26" s="1592">
        <v>10456.72348096422</v>
      </c>
      <c r="I26" s="51"/>
      <c r="J26" s="51"/>
    </row>
    <row r="27" spans="1:10" ht="20" customHeight="1" thickBot="1">
      <c r="A27" s="89" t="s">
        <v>528</v>
      </c>
      <c r="B27" s="308">
        <v>440.72236680000003</v>
      </c>
      <c r="C27" s="1587">
        <v>12173.998597865197</v>
      </c>
      <c r="D27" s="308">
        <v>1035.30039732</v>
      </c>
      <c r="E27" s="1587">
        <v>13789.162642931145</v>
      </c>
      <c r="F27" s="308">
        <v>1476.0227641000001</v>
      </c>
      <c r="G27" s="1582">
        <v>6.0760526867609285E-2</v>
      </c>
      <c r="H27" s="1592">
        <v>13263.72290335541</v>
      </c>
      <c r="I27" s="51"/>
      <c r="J27" s="51"/>
    </row>
    <row r="28" spans="1:10" ht="20" customHeight="1" thickBot="1">
      <c r="A28" s="89" t="s">
        <v>529</v>
      </c>
      <c r="B28" s="308">
        <v>153.00279227999997</v>
      </c>
      <c r="C28" s="1587">
        <v>14867.385562574515</v>
      </c>
      <c r="D28" s="308">
        <v>493.47459158999999</v>
      </c>
      <c r="E28" s="1587">
        <v>17937.401301591766</v>
      </c>
      <c r="F28" s="308">
        <v>646.47738386999993</v>
      </c>
      <c r="G28" s="1582">
        <v>2.6612263311457749E-2</v>
      </c>
      <c r="H28" s="1592">
        <v>17101.630726502157</v>
      </c>
      <c r="I28" s="51"/>
      <c r="J28" s="51"/>
    </row>
    <row r="29" spans="1:10" ht="20" customHeight="1" thickBot="1">
      <c r="A29" s="89" t="s">
        <v>530</v>
      </c>
      <c r="B29" s="308">
        <v>38.03986914</v>
      </c>
      <c r="C29" s="1587">
        <v>17648.226189426801</v>
      </c>
      <c r="D29" s="308">
        <v>165.88272470000004</v>
      </c>
      <c r="E29" s="1587">
        <v>22138.654552976826</v>
      </c>
      <c r="F29" s="308">
        <v>203.92259383000004</v>
      </c>
      <c r="G29" s="1582">
        <v>8.3944804529321234E-3</v>
      </c>
      <c r="H29" s="1592">
        <v>21135.554565976257</v>
      </c>
      <c r="I29" s="51"/>
      <c r="J29" s="51"/>
    </row>
    <row r="30" spans="1:10" ht="20" customHeight="1" thickBot="1">
      <c r="A30" s="89" t="s">
        <v>531</v>
      </c>
      <c r="B30" s="308">
        <v>3.6455251899999999</v>
      </c>
      <c r="C30" s="1587">
        <v>22662.720315802562</v>
      </c>
      <c r="D30" s="308">
        <v>21.523057789999999</v>
      </c>
      <c r="E30" s="1587">
        <v>24825.035802027702</v>
      </c>
      <c r="F30" s="308">
        <v>25.168582969999999</v>
      </c>
      <c r="G30" s="1582">
        <v>1.0360655668483524E-3</v>
      </c>
      <c r="H30" s="1592">
        <v>24487.10678808752</v>
      </c>
      <c r="I30" s="51"/>
      <c r="J30" s="51"/>
    </row>
    <row r="31" spans="1:10" ht="20" customHeight="1" thickBot="1">
      <c r="A31" s="310" t="s">
        <v>532</v>
      </c>
      <c r="B31" s="311">
        <v>9106.7603836599992</v>
      </c>
      <c r="C31" s="1588">
        <v>3341.9328197608538</v>
      </c>
      <c r="D31" s="311">
        <v>12889.003793260001</v>
      </c>
      <c r="E31" s="1588">
        <v>4454.2250113186319</v>
      </c>
      <c r="F31" s="311">
        <v>21995.764176959987</v>
      </c>
      <c r="G31" s="1583">
        <v>0.90545637421973346</v>
      </c>
      <c r="H31" s="1593">
        <v>3914.7732162939083</v>
      </c>
      <c r="I31" s="51"/>
      <c r="J31" s="51"/>
    </row>
    <row r="32" spans="1:10" ht="20" customHeight="1" thickBot="1">
      <c r="A32" s="89" t="s">
        <v>495</v>
      </c>
      <c r="B32" s="308">
        <v>1.469E-2</v>
      </c>
      <c r="C32" s="1587" t="s">
        <v>35</v>
      </c>
      <c r="D32" s="308">
        <v>2.6853490000000001E-2</v>
      </c>
      <c r="E32" s="1587" t="s">
        <v>35</v>
      </c>
      <c r="F32" s="308">
        <v>4.1543489999999995E-2</v>
      </c>
      <c r="G32" s="1582">
        <v>1.7101391670326862E-6</v>
      </c>
      <c r="H32" s="1592" t="s">
        <v>35</v>
      </c>
      <c r="I32" s="51"/>
      <c r="J32" s="51"/>
    </row>
    <row r="33" spans="1:10" s="248" customFormat="1" ht="24.75" customHeight="1" thickBot="1">
      <c r="A33" s="91" t="s">
        <v>190</v>
      </c>
      <c r="B33" s="313">
        <v>10178.772647849999</v>
      </c>
      <c r="C33" s="1589">
        <v>2658.8658034604518</v>
      </c>
      <c r="D33" s="313">
        <v>14113.688925360004</v>
      </c>
      <c r="E33" s="1589">
        <v>3571.7992146838906</v>
      </c>
      <c r="F33" s="313">
        <v>24292.461573220004</v>
      </c>
      <c r="G33" s="1584">
        <v>1</v>
      </c>
      <c r="H33" s="1594">
        <v>3122.5602663401269</v>
      </c>
      <c r="I33" s="315"/>
      <c r="J33" s="315"/>
    </row>
    <row r="34" spans="1:10" ht="20" customHeight="1">
      <c r="A34" s="95" t="s">
        <v>678</v>
      </c>
      <c r="B34" s="126"/>
      <c r="C34" s="292"/>
      <c r="D34" s="126"/>
      <c r="E34" s="292"/>
      <c r="F34" s="126"/>
    </row>
    <row r="35" spans="1:10" ht="12.75" customHeight="1">
      <c r="A35" s="96"/>
      <c r="B35" s="127"/>
      <c r="C35" s="316"/>
      <c r="D35" s="127"/>
      <c r="E35" s="316"/>
      <c r="F35" s="127"/>
    </row>
    <row r="36" spans="1:10" ht="16.5" customHeight="1">
      <c r="A36" s="96" t="s">
        <v>2380</v>
      </c>
      <c r="B36" s="127"/>
      <c r="C36" s="316"/>
      <c r="D36" s="127"/>
      <c r="E36" s="316"/>
      <c r="F36" s="127"/>
    </row>
    <row r="37" spans="1:10" ht="14.25" customHeight="1">
      <c r="A37" s="96"/>
      <c r="B37" s="127"/>
      <c r="C37" s="316"/>
      <c r="D37" s="127"/>
      <c r="E37" s="316"/>
      <c r="F37" s="127"/>
    </row>
    <row r="38" spans="1:10" ht="13.5" customHeight="1">
      <c r="A38" s="96" t="s">
        <v>533</v>
      </c>
      <c r="B38" s="127"/>
      <c r="C38" s="316"/>
      <c r="D38" s="127"/>
      <c r="E38" s="316"/>
      <c r="F38" s="127"/>
    </row>
    <row r="39" spans="1:10" ht="12" customHeight="1">
      <c r="A39" s="96"/>
      <c r="B39" s="127"/>
      <c r="C39" s="316"/>
      <c r="D39" s="127"/>
      <c r="E39" s="316"/>
      <c r="F39" s="127"/>
    </row>
    <row r="40" spans="1:10" ht="14.25" customHeight="1">
      <c r="A40" s="96"/>
      <c r="B40" s="127"/>
      <c r="C40" s="316"/>
      <c r="D40" s="127"/>
      <c r="E40" s="316"/>
      <c r="F40" s="127"/>
    </row>
    <row r="41" spans="1:10" ht="15.75" customHeight="1">
      <c r="A41" s="96" t="s">
        <v>677</v>
      </c>
      <c r="B41" s="127"/>
      <c r="C41" s="316"/>
      <c r="D41" s="127"/>
      <c r="E41" s="316"/>
      <c r="F41" s="127"/>
    </row>
    <row r="42" spans="1:10" ht="18" customHeight="1">
      <c r="A42"/>
    </row>
    <row r="43" spans="1:10" ht="30" customHeight="1"/>
    <row r="44" spans="1:10" ht="30" customHeight="1">
      <c r="H44" s="317"/>
    </row>
    <row r="45" spans="1:10" ht="30" customHeight="1"/>
    <row r="46" spans="1:10" ht="30" customHeight="1"/>
    <row r="47" spans="1:10" ht="30" customHeight="1"/>
    <row r="48" spans="1:10" ht="30" customHeight="1"/>
    <row r="49" ht="30" customHeight="1"/>
    <row r="50" ht="30" customHeight="1"/>
  </sheetData>
  <mergeCells count="3">
    <mergeCell ref="B3:C3"/>
    <mergeCell ref="D3:E3"/>
    <mergeCell ref="F3:H3"/>
  </mergeCells>
  <pageMargins left="0.46" right="0.43" top="0.6692913385826772" bottom="0.47244094488188981" header="0.43307086614173229" footer="0.51181102362204722"/>
  <pageSetup paperSize="9" scale="76" orientation="portrait"/>
  <headerFooter alignWithMargins="0"/>
  <rowBreaks count="1" manualBreakCount="1">
    <brk id="41" max="16383"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C21EA-169B-A74C-8A6D-479257E1B029}">
  <dimension ref="A1:G44"/>
  <sheetViews>
    <sheetView zoomScaleNormal="100" workbookViewId="0">
      <selection activeCell="A41" sqref="A41"/>
    </sheetView>
  </sheetViews>
  <sheetFormatPr baseColWidth="10" defaultColWidth="11.3984375" defaultRowHeight="13"/>
  <cols>
    <col min="1" max="5" width="19.796875" style="3" customWidth="1"/>
    <col min="6" max="6" width="11.3984375" style="3"/>
    <col min="7" max="7" width="15.19921875" style="3" hidden="1" customWidth="1"/>
    <col min="8" max="16384" width="11.3984375" style="3"/>
  </cols>
  <sheetData>
    <row r="1" spans="1:7" s="2" customFormat="1" ht="14" customHeight="1"/>
    <row r="2" spans="1:7" s="2" customFormat="1" ht="28" customHeight="1">
      <c r="A2" s="71" t="s">
        <v>534</v>
      </c>
      <c r="E2" s="71">
        <v>2010</v>
      </c>
    </row>
    <row r="3" spans="1:7" ht="27" customHeight="1">
      <c r="A3" s="72" t="s">
        <v>203</v>
      </c>
      <c r="B3" s="73" t="s">
        <v>204</v>
      </c>
      <c r="C3" s="74" t="s">
        <v>205</v>
      </c>
      <c r="D3" s="73" t="s">
        <v>206</v>
      </c>
      <c r="E3" s="74" t="s">
        <v>190</v>
      </c>
    </row>
    <row r="4" spans="1:7" ht="21" customHeight="1">
      <c r="A4" s="75"/>
      <c r="B4" s="76"/>
      <c r="C4" s="77" t="s">
        <v>206</v>
      </c>
      <c r="D4" s="78"/>
      <c r="E4" s="77"/>
    </row>
    <row r="5" spans="1:7" ht="21" customHeight="1">
      <c r="A5" s="75"/>
      <c r="B5" s="76" t="s">
        <v>207</v>
      </c>
      <c r="C5" s="77" t="s">
        <v>208</v>
      </c>
      <c r="D5" s="76" t="s">
        <v>209</v>
      </c>
      <c r="E5" s="77"/>
    </row>
    <row r="6" spans="1:7" ht="24" customHeight="1">
      <c r="A6" s="79"/>
      <c r="B6" s="80"/>
      <c r="C6" s="79"/>
      <c r="D6" s="80"/>
      <c r="E6" s="81"/>
    </row>
    <row r="7" spans="1:7" ht="30" customHeight="1" thickBot="1">
      <c r="A7" s="84" t="s">
        <v>211</v>
      </c>
      <c r="B7" s="111">
        <v>227453211.05000001</v>
      </c>
      <c r="C7" s="112">
        <v>108947443.88</v>
      </c>
      <c r="D7" s="111">
        <v>3268050969.79</v>
      </c>
      <c r="E7" s="112">
        <v>3604451624.7199998</v>
      </c>
      <c r="G7" s="8">
        <v>2156035045</v>
      </c>
    </row>
    <row r="8" spans="1:7" ht="20" customHeight="1" thickBot="1">
      <c r="A8" s="89" t="s">
        <v>212</v>
      </c>
      <c r="B8" s="318">
        <v>137090584.76000002</v>
      </c>
      <c r="C8" s="319">
        <v>78258455.079999998</v>
      </c>
      <c r="D8" s="318">
        <v>2608820062.7599998</v>
      </c>
      <c r="E8" s="319">
        <v>2824169102.5999999</v>
      </c>
      <c r="G8" s="8">
        <v>1563935884</v>
      </c>
    </row>
    <row r="9" spans="1:7" ht="20" customHeight="1" thickBot="1">
      <c r="A9" s="89" t="s">
        <v>213</v>
      </c>
      <c r="B9" s="318">
        <v>53672895.049999997</v>
      </c>
      <c r="C9" s="319">
        <v>28577335.359999999</v>
      </c>
      <c r="D9" s="318">
        <v>780256694.72000003</v>
      </c>
      <c r="E9" s="319">
        <v>862506925.13</v>
      </c>
      <c r="G9" s="8">
        <v>464604355</v>
      </c>
    </row>
    <row r="10" spans="1:7" ht="20" customHeight="1" thickBot="1">
      <c r="A10" s="89" t="s">
        <v>214</v>
      </c>
      <c r="B10" s="318">
        <v>4591221.6899999995</v>
      </c>
      <c r="C10" s="319">
        <v>2416075</v>
      </c>
      <c r="D10" s="318">
        <v>70105727.810000002</v>
      </c>
      <c r="E10" s="319">
        <v>77113024.5</v>
      </c>
      <c r="G10" s="8">
        <v>45901795</v>
      </c>
    </row>
    <row r="11" spans="1:7" ht="20" customHeight="1" thickBot="1">
      <c r="A11" s="89" t="s">
        <v>215</v>
      </c>
      <c r="B11" s="318">
        <v>24506014.709999997</v>
      </c>
      <c r="C11" s="319">
        <v>10073982.359999999</v>
      </c>
      <c r="D11" s="318">
        <v>290472412.17000002</v>
      </c>
      <c r="E11" s="319">
        <v>325052409.24000001</v>
      </c>
      <c r="G11" s="8">
        <v>171549320</v>
      </c>
    </row>
    <row r="12" spans="1:7" ht="20" customHeight="1" thickBot="1">
      <c r="A12" s="89" t="s">
        <v>216</v>
      </c>
      <c r="B12" s="318">
        <v>5070022.63</v>
      </c>
      <c r="C12" s="319">
        <v>2487968.58</v>
      </c>
      <c r="D12" s="318">
        <v>65344724.890000001</v>
      </c>
      <c r="E12" s="319">
        <v>72902716.099999994</v>
      </c>
      <c r="G12" s="8">
        <v>41764939</v>
      </c>
    </row>
    <row r="13" spans="1:7" ht="20" customHeight="1" thickBot="1">
      <c r="A13" s="89" t="s">
        <v>217</v>
      </c>
      <c r="B13" s="318">
        <v>4956749.3499999996</v>
      </c>
      <c r="C13" s="319">
        <v>2348151.08</v>
      </c>
      <c r="D13" s="318">
        <v>74852614.099999994</v>
      </c>
      <c r="E13" s="319">
        <v>82157514.530000001</v>
      </c>
      <c r="G13" s="8">
        <v>44323506</v>
      </c>
    </row>
    <row r="14" spans="1:7" ht="20" customHeight="1" thickBot="1">
      <c r="A14" s="89" t="s">
        <v>218</v>
      </c>
      <c r="B14" s="318">
        <v>5609513.9900000002</v>
      </c>
      <c r="C14" s="319">
        <v>3128545.21</v>
      </c>
      <c r="D14" s="318">
        <v>82316828.88000001</v>
      </c>
      <c r="E14" s="319">
        <v>91054888.080000013</v>
      </c>
      <c r="G14" s="8">
        <v>55927154</v>
      </c>
    </row>
    <row r="15" spans="1:7" ht="20" customHeight="1" thickBot="1">
      <c r="A15" s="89" t="s">
        <v>219</v>
      </c>
      <c r="B15" s="318">
        <v>16318496.609999999</v>
      </c>
      <c r="C15" s="319">
        <v>8048836.2899999991</v>
      </c>
      <c r="D15" s="318">
        <v>224457300.03</v>
      </c>
      <c r="E15" s="319">
        <v>248824632.93000001</v>
      </c>
      <c r="G15" s="8">
        <v>128772453</v>
      </c>
    </row>
    <row r="16" spans="1:7" ht="20" customHeight="1" thickBot="1">
      <c r="A16" s="89" t="s">
        <v>220</v>
      </c>
      <c r="B16" s="318">
        <v>48992187.619999997</v>
      </c>
      <c r="C16" s="319">
        <v>24006013.490000002</v>
      </c>
      <c r="D16" s="318">
        <v>611523482.31000006</v>
      </c>
      <c r="E16" s="319">
        <v>684521683.41999996</v>
      </c>
      <c r="G16" s="8">
        <v>391250033</v>
      </c>
    </row>
    <row r="17" spans="1:7" ht="20" customHeight="1" thickBot="1">
      <c r="A17" s="89" t="s">
        <v>221</v>
      </c>
      <c r="B17" s="318">
        <v>39618586.539999999</v>
      </c>
      <c r="C17" s="319">
        <v>19764304.889999997</v>
      </c>
      <c r="D17" s="318">
        <v>589975698.05999994</v>
      </c>
      <c r="E17" s="319">
        <v>649358589.49000001</v>
      </c>
      <c r="G17" s="8">
        <v>393696828</v>
      </c>
    </row>
    <row r="18" spans="1:7" ht="20" customHeight="1" thickBot="1">
      <c r="A18" s="89" t="s">
        <v>222</v>
      </c>
      <c r="B18" s="318">
        <v>31341662.709999997</v>
      </c>
      <c r="C18" s="319">
        <v>16951011.100000001</v>
      </c>
      <c r="D18" s="318">
        <v>621743119.44000006</v>
      </c>
      <c r="E18" s="319">
        <v>670035793.25</v>
      </c>
      <c r="G18" s="8">
        <v>473520714</v>
      </c>
    </row>
    <row r="19" spans="1:7" ht="20" customHeight="1" thickBot="1">
      <c r="A19" s="89" t="s">
        <v>223</v>
      </c>
      <c r="B19" s="318">
        <v>48703742.240000002</v>
      </c>
      <c r="C19" s="319">
        <v>24049273.079999998</v>
      </c>
      <c r="D19" s="318">
        <v>717995527.53999996</v>
      </c>
      <c r="E19" s="319">
        <v>790748542.86000001</v>
      </c>
      <c r="G19" s="8">
        <v>469771093</v>
      </c>
    </row>
    <row r="20" spans="1:7" ht="20" customHeight="1" thickBot="1">
      <c r="A20" s="89" t="s">
        <v>224</v>
      </c>
      <c r="B20" s="318">
        <v>10227050.780000001</v>
      </c>
      <c r="C20" s="319">
        <v>6041268.9400000004</v>
      </c>
      <c r="D20" s="318">
        <v>180173188.03</v>
      </c>
      <c r="E20" s="319">
        <v>196441507.75</v>
      </c>
      <c r="G20" s="8">
        <v>127694959</v>
      </c>
    </row>
    <row r="21" spans="1:7" ht="20" customHeight="1" thickBot="1">
      <c r="A21" s="89" t="s">
        <v>225</v>
      </c>
      <c r="B21" s="318">
        <v>7705178.419999999</v>
      </c>
      <c r="C21" s="319">
        <v>3607595.42</v>
      </c>
      <c r="D21" s="318">
        <v>102824653.26000001</v>
      </c>
      <c r="E21" s="319">
        <v>114137427.10000001</v>
      </c>
      <c r="G21" s="8">
        <v>69489100</v>
      </c>
    </row>
    <row r="22" spans="1:7" ht="20" customHeight="1" thickBot="1">
      <c r="A22" s="89" t="s">
        <v>226</v>
      </c>
      <c r="B22" s="318">
        <v>2150406.0999999996</v>
      </c>
      <c r="C22" s="319">
        <v>906816.42000000016</v>
      </c>
      <c r="D22" s="318">
        <v>24925528.780000001</v>
      </c>
      <c r="E22" s="319">
        <v>27982751.300000001</v>
      </c>
      <c r="G22" s="8">
        <v>16712649</v>
      </c>
    </row>
    <row r="23" spans="1:7" ht="20" customHeight="1" thickBot="1">
      <c r="A23" s="89" t="s">
        <v>227</v>
      </c>
      <c r="B23" s="318">
        <v>73728335.689999998</v>
      </c>
      <c r="C23" s="319">
        <v>39018729.039999999</v>
      </c>
      <c r="D23" s="318">
        <v>956994861.01000011</v>
      </c>
      <c r="E23" s="319">
        <v>1069741925.7400002</v>
      </c>
      <c r="G23" s="8">
        <v>615853738</v>
      </c>
    </row>
    <row r="24" spans="1:7" ht="20" customHeight="1" thickBot="1">
      <c r="A24" s="89" t="s">
        <v>228</v>
      </c>
      <c r="B24" s="318">
        <v>28623827.59</v>
      </c>
      <c r="C24" s="319">
        <v>13781599.199999999</v>
      </c>
      <c r="D24" s="318">
        <v>414604625.22000003</v>
      </c>
      <c r="E24" s="319">
        <v>457010052.00999999</v>
      </c>
      <c r="G24" s="8">
        <v>264690646</v>
      </c>
    </row>
    <row r="25" spans="1:7" ht="20" customHeight="1" thickBot="1">
      <c r="A25" s="89" t="s">
        <v>229</v>
      </c>
      <c r="B25" s="318">
        <v>100587091.75</v>
      </c>
      <c r="C25" s="319">
        <v>50934004.309999995</v>
      </c>
      <c r="D25" s="318">
        <v>1325507528.98</v>
      </c>
      <c r="E25" s="319">
        <v>1477028625.04</v>
      </c>
      <c r="G25" s="8">
        <v>819222625</v>
      </c>
    </row>
    <row r="26" spans="1:7" ht="20" customHeight="1" thickBot="1">
      <c r="A26" s="89" t="s">
        <v>230</v>
      </c>
      <c r="B26" s="318">
        <v>38881561.960000001</v>
      </c>
      <c r="C26" s="319">
        <v>19754044.190000001</v>
      </c>
      <c r="D26" s="318">
        <v>500329680.41000003</v>
      </c>
      <c r="E26" s="319">
        <v>558965286.56000006</v>
      </c>
      <c r="G26" s="8">
        <v>344655658</v>
      </c>
    </row>
    <row r="27" spans="1:7" ht="20" customHeight="1" thickBot="1">
      <c r="A27" s="89" t="s">
        <v>231</v>
      </c>
      <c r="B27" s="318">
        <v>51439150.609999999</v>
      </c>
      <c r="C27" s="319">
        <v>19940698.039999999</v>
      </c>
      <c r="D27" s="318">
        <v>941937588.82999992</v>
      </c>
      <c r="E27" s="319">
        <v>1013317437.4799999</v>
      </c>
      <c r="G27" s="8">
        <v>627641817</v>
      </c>
    </row>
    <row r="28" spans="1:7" ht="20" customHeight="1" thickBot="1">
      <c r="A28" s="89" t="s">
        <v>232</v>
      </c>
      <c r="B28" s="318">
        <v>148573460.70999998</v>
      </c>
      <c r="C28" s="319">
        <v>61395072.059999995</v>
      </c>
      <c r="D28" s="318">
        <v>1872485262.4200001</v>
      </c>
      <c r="E28" s="319">
        <v>2082453795.1899998</v>
      </c>
      <c r="G28" s="8">
        <v>1280335377</v>
      </c>
    </row>
    <row r="29" spans="1:7" ht="20" customHeight="1" thickBot="1">
      <c r="A29" s="89" t="s">
        <v>233</v>
      </c>
      <c r="B29" s="318">
        <v>47635521.090000004</v>
      </c>
      <c r="C29" s="319">
        <v>53380889.890000001</v>
      </c>
      <c r="D29" s="318">
        <v>671552074.76999998</v>
      </c>
      <c r="E29" s="319">
        <v>772568485.75</v>
      </c>
      <c r="G29" s="8">
        <v>410743307</v>
      </c>
    </row>
    <row r="30" spans="1:7" ht="20" customHeight="1" thickBot="1">
      <c r="A30" s="89" t="s">
        <v>234</v>
      </c>
      <c r="B30" s="318">
        <v>29772089.710000001</v>
      </c>
      <c r="C30" s="319">
        <v>12527929.25</v>
      </c>
      <c r="D30" s="318">
        <v>434880743.41000003</v>
      </c>
      <c r="E30" s="319">
        <v>477180762.37000006</v>
      </c>
      <c r="G30" s="8">
        <v>318756043</v>
      </c>
    </row>
    <row r="31" spans="1:7" ht="20" customHeight="1" thickBot="1">
      <c r="A31" s="89" t="s">
        <v>235</v>
      </c>
      <c r="B31" s="318">
        <v>106322414.56</v>
      </c>
      <c r="C31" s="319">
        <v>45382501.719999999</v>
      </c>
      <c r="D31" s="318">
        <v>1297221974.4499998</v>
      </c>
      <c r="E31" s="319">
        <v>1448926890.73</v>
      </c>
      <c r="G31" s="8">
        <v>966736347</v>
      </c>
    </row>
    <row r="32" spans="1:7" ht="20" customHeight="1" thickBot="1">
      <c r="A32" s="90" t="s">
        <v>236</v>
      </c>
      <c r="B32" s="318">
        <v>12706173.109999999</v>
      </c>
      <c r="C32" s="319">
        <v>5545670.6699999999</v>
      </c>
      <c r="D32" s="318">
        <v>183117894.59999999</v>
      </c>
      <c r="E32" s="319">
        <v>201369738.38</v>
      </c>
      <c r="G32" s="8">
        <v>146808815</v>
      </c>
    </row>
    <row r="33" spans="1:7" ht="20" customHeight="1" thickBot="1">
      <c r="A33" s="289" t="s">
        <v>494</v>
      </c>
      <c r="B33" s="318">
        <v>272300.45999999996</v>
      </c>
      <c r="C33" s="319">
        <v>125430.30000000002</v>
      </c>
      <c r="D33" s="318">
        <v>3516642.05</v>
      </c>
      <c r="E33" s="319">
        <v>3914372.81</v>
      </c>
      <c r="G33" s="8">
        <v>966736347</v>
      </c>
    </row>
    <row r="34" spans="1:7" ht="20" customHeight="1" thickBot="1">
      <c r="A34" s="90" t="s">
        <v>495</v>
      </c>
      <c r="B34" s="318">
        <v>-176630.15000000002</v>
      </c>
      <c r="C34" s="319">
        <v>-107259.42000000001</v>
      </c>
      <c r="D34" s="318">
        <v>-8874.0099999999802</v>
      </c>
      <c r="E34" s="319">
        <v>-292763.57999999996</v>
      </c>
      <c r="G34" s="8">
        <v>146808815</v>
      </c>
    </row>
    <row r="35" spans="1:7" ht="30" customHeight="1" thickBot="1">
      <c r="A35" s="91" t="s">
        <v>0</v>
      </c>
      <c r="B35" s="320">
        <v>1306476008.76</v>
      </c>
      <c r="C35" s="321">
        <v>661292385.35000002</v>
      </c>
      <c r="D35" s="320">
        <v>18915978534.829998</v>
      </c>
      <c r="E35" s="321">
        <v>20883746928.940002</v>
      </c>
      <c r="G35" s="8">
        <v>12410394200</v>
      </c>
    </row>
    <row r="36" spans="1:7" ht="20" customHeight="1">
      <c r="A36" s="95" t="s">
        <v>678</v>
      </c>
      <c r="B36" s="95"/>
      <c r="C36" s="95"/>
      <c r="D36" s="95"/>
      <c r="E36" s="95"/>
    </row>
    <row r="37" spans="1:7" ht="12.75" customHeight="1">
      <c r="A37" s="96"/>
      <c r="B37" s="96"/>
      <c r="C37" s="96"/>
      <c r="D37" s="96"/>
      <c r="E37" s="96"/>
    </row>
    <row r="38" spans="1:7" ht="14.25" customHeight="1">
      <c r="A38" s="96" t="s">
        <v>535</v>
      </c>
      <c r="B38" s="96"/>
      <c r="C38" s="96"/>
      <c r="D38" s="96"/>
      <c r="E38" s="96"/>
    </row>
    <row r="39" spans="1:7" ht="10.5" customHeight="1">
      <c r="A39" s="96"/>
      <c r="B39" s="96"/>
      <c r="C39" s="96"/>
      <c r="D39" s="96"/>
      <c r="E39" s="96"/>
    </row>
    <row r="40" spans="1:7" ht="15" customHeight="1">
      <c r="A40" s="96" t="s">
        <v>536</v>
      </c>
      <c r="B40" s="96"/>
      <c r="C40" s="96"/>
      <c r="D40" s="96"/>
      <c r="E40" s="96"/>
    </row>
    <row r="41" spans="1:7" ht="13.5" customHeight="1">
      <c r="A41" s="96" t="s">
        <v>498</v>
      </c>
    </row>
    <row r="42" spans="1:7" ht="12" customHeight="1"/>
    <row r="43" spans="1:7" ht="12" customHeight="1"/>
    <row r="44" spans="1:7" ht="12" customHeight="1">
      <c r="A44" s="96" t="s">
        <v>677</v>
      </c>
    </row>
  </sheetData>
  <pageMargins left="0.6" right="0.59" top="0.76" bottom="0.49" header="0.35" footer="0.4921259845"/>
  <pageSetup paperSize="9" scale="80" orientation="portrait" horizontalDpi="4294967292" verticalDpi="4294967292"/>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29667-ACF3-4448-9F74-C3DB8BA7A167}">
  <sheetPr>
    <pageSetUpPr fitToPage="1"/>
  </sheetPr>
  <dimension ref="A1:G52"/>
  <sheetViews>
    <sheetView zoomScale="75" workbookViewId="0">
      <selection activeCell="F4" sqref="F4"/>
    </sheetView>
  </sheetViews>
  <sheetFormatPr baseColWidth="10" defaultColWidth="11.3984375" defaultRowHeight="13"/>
  <cols>
    <col min="1" max="1" width="25.796875" style="3" customWidth="1"/>
    <col min="2" max="2" width="25.59765625" style="3" customWidth="1"/>
    <col min="3" max="6" width="17.59765625" style="3" customWidth="1"/>
    <col min="7" max="7" width="14.59765625" style="3" customWidth="1"/>
    <col min="8" max="16384" width="11.3984375" style="3"/>
  </cols>
  <sheetData>
    <row r="1" spans="1:7" s="2" customFormat="1" ht="14" customHeight="1">
      <c r="A1" s="242"/>
      <c r="B1" s="242"/>
      <c r="C1" s="242"/>
      <c r="D1" s="242"/>
      <c r="E1" s="242"/>
      <c r="F1" s="242"/>
    </row>
    <row r="2" spans="1:7" s="2" customFormat="1" ht="20.25" customHeight="1">
      <c r="A2" s="371" t="s">
        <v>626</v>
      </c>
      <c r="B2" s="371"/>
      <c r="C2" s="242"/>
      <c r="D2" s="242"/>
      <c r="E2" s="242"/>
      <c r="F2" s="307">
        <v>2010</v>
      </c>
      <c r="G2" s="307"/>
    </row>
    <row r="3" spans="1:7" s="2" customFormat="1" ht="10.5" customHeight="1">
      <c r="A3" s="372"/>
      <c r="B3" s="372"/>
      <c r="C3" s="373"/>
      <c r="D3" s="373"/>
      <c r="E3" s="373"/>
      <c r="F3" s="373"/>
      <c r="G3" s="246"/>
    </row>
    <row r="4" spans="1:7" s="2" customFormat="1" ht="81.75" customHeight="1">
      <c r="A4" s="374" t="s">
        <v>593</v>
      </c>
      <c r="B4" s="375"/>
      <c r="C4" s="376" t="s">
        <v>594</v>
      </c>
      <c r="D4" s="377" t="s">
        <v>595</v>
      </c>
      <c r="E4" s="376" t="s">
        <v>596</v>
      </c>
      <c r="F4" s="378" t="s">
        <v>644</v>
      </c>
    </row>
    <row r="5" spans="1:7" ht="8.25" customHeight="1">
      <c r="A5" s="379"/>
      <c r="B5" s="380"/>
      <c r="C5" s="360"/>
      <c r="D5" s="359"/>
      <c r="E5" s="360"/>
      <c r="F5" s="359"/>
    </row>
    <row r="6" spans="1:7" ht="47.25" customHeight="1" thickBot="1">
      <c r="A6" s="381" t="s">
        <v>597</v>
      </c>
      <c r="B6" s="382" t="s">
        <v>598</v>
      </c>
      <c r="C6" s="291">
        <v>1007.816150676082</v>
      </c>
      <c r="D6" s="290">
        <v>1849.7478130794084</v>
      </c>
      <c r="E6" s="291">
        <v>6135.0040822396659</v>
      </c>
      <c r="F6" s="290">
        <v>4355.9418749750675</v>
      </c>
    </row>
    <row r="7" spans="1:7" ht="19.5" customHeight="1" thickBot="1">
      <c r="A7" s="90"/>
      <c r="B7" s="383"/>
      <c r="C7" s="384"/>
      <c r="D7" s="385"/>
      <c r="E7" s="384"/>
      <c r="F7" s="385"/>
    </row>
    <row r="8" spans="1:7" ht="22.5" customHeight="1" thickBot="1">
      <c r="A8" s="386" t="s">
        <v>599</v>
      </c>
      <c r="B8" s="387" t="s">
        <v>600</v>
      </c>
      <c r="C8" s="384">
        <v>1053.2881536786631</v>
      </c>
      <c r="D8" s="385">
        <v>1304.4670316696788</v>
      </c>
      <c r="E8" s="384">
        <v>4582.0547230817947</v>
      </c>
      <c r="F8" s="385">
        <v>4454.8829011502567</v>
      </c>
    </row>
    <row r="9" spans="1:7" ht="20" customHeight="1" thickBot="1">
      <c r="A9" s="388" t="s">
        <v>601</v>
      </c>
      <c r="B9" s="387" t="s">
        <v>602</v>
      </c>
      <c r="C9" s="384">
        <v>799.12412171670769</v>
      </c>
      <c r="D9" s="385">
        <v>559.33966372100861</v>
      </c>
      <c r="E9" s="384">
        <v>1971.0853402461814</v>
      </c>
      <c r="F9" s="385">
        <v>1652.6773307959857</v>
      </c>
    </row>
    <row r="10" spans="1:7" ht="20" customHeight="1" thickBot="1">
      <c r="A10" s="388" t="s">
        <v>603</v>
      </c>
      <c r="B10" s="387" t="s">
        <v>604</v>
      </c>
      <c r="C10" s="384">
        <v>665.83825186478805</v>
      </c>
      <c r="D10" s="385">
        <v>345.19740048441702</v>
      </c>
      <c r="E10" s="384">
        <v>1139.8576510423377</v>
      </c>
      <c r="F10" s="385">
        <v>1065.0571932637195</v>
      </c>
    </row>
    <row r="11" spans="1:7" ht="20" customHeight="1" thickBot="1">
      <c r="A11" s="388"/>
      <c r="B11" s="387" t="s">
        <v>605</v>
      </c>
      <c r="C11" s="384">
        <v>546.24723157442111</v>
      </c>
      <c r="D11" s="385">
        <v>226.35919790285317</v>
      </c>
      <c r="E11" s="384">
        <v>697.9012738505221</v>
      </c>
      <c r="F11" s="385">
        <v>622.64509678831371</v>
      </c>
    </row>
    <row r="12" spans="1:7" ht="20" customHeight="1" thickBot="1">
      <c r="A12" s="388"/>
      <c r="B12" s="387" t="s">
        <v>606</v>
      </c>
      <c r="C12" s="384">
        <v>405.80298240232889</v>
      </c>
      <c r="D12" s="385">
        <v>258.89555217164138</v>
      </c>
      <c r="E12" s="384">
        <v>575.90293928766437</v>
      </c>
      <c r="F12" s="385">
        <v>540.32724791420583</v>
      </c>
    </row>
    <row r="13" spans="1:7" ht="20" customHeight="1" thickBot="1">
      <c r="A13" s="388"/>
      <c r="B13" s="387" t="s">
        <v>607</v>
      </c>
      <c r="C13" s="384">
        <v>334.2037605928831</v>
      </c>
      <c r="D13" s="268" t="s">
        <v>35</v>
      </c>
      <c r="E13" s="269" t="s">
        <v>35</v>
      </c>
      <c r="F13" s="385">
        <v>334.2037605928831</v>
      </c>
    </row>
    <row r="14" spans="1:7" ht="20" customHeight="1" thickBot="1">
      <c r="A14" s="389"/>
      <c r="B14" s="387" t="s">
        <v>190</v>
      </c>
      <c r="C14" s="384">
        <v>599.78812032653923</v>
      </c>
      <c r="D14" s="385">
        <v>540.38288122626727</v>
      </c>
      <c r="E14" s="384">
        <v>2587.7440562225465</v>
      </c>
      <c r="F14" s="385">
        <v>2365.6789656687006</v>
      </c>
    </row>
    <row r="15" spans="1:7" ht="18.75" customHeight="1" thickBot="1">
      <c r="A15" s="390"/>
      <c r="B15" s="391"/>
      <c r="C15" s="384"/>
      <c r="D15" s="385"/>
      <c r="E15" s="384"/>
      <c r="F15" s="385"/>
    </row>
    <row r="16" spans="1:7" ht="20" customHeight="1" thickBot="1">
      <c r="A16" s="390" t="s">
        <v>589</v>
      </c>
      <c r="B16" s="391"/>
      <c r="C16" s="384">
        <v>559.22091152815017</v>
      </c>
      <c r="D16" s="385">
        <v>347.56527173913042</v>
      </c>
      <c r="E16" s="384">
        <v>1337.0937523444945</v>
      </c>
      <c r="F16" s="385">
        <v>1299.9711091531651</v>
      </c>
    </row>
    <row r="17" spans="1:6" ht="20.25" customHeight="1" thickBot="1">
      <c r="A17" s="390"/>
      <c r="B17" s="391"/>
      <c r="C17" s="384"/>
      <c r="D17" s="385"/>
      <c r="E17" s="384"/>
      <c r="F17" s="385"/>
    </row>
    <row r="18" spans="1:6" ht="58.5" customHeight="1" thickBot="1">
      <c r="A18" s="386" t="s">
        <v>608</v>
      </c>
      <c r="B18" s="387" t="s">
        <v>598</v>
      </c>
      <c r="C18" s="384">
        <v>789.59022091800466</v>
      </c>
      <c r="D18" s="385">
        <v>1298.2282540645274</v>
      </c>
      <c r="E18" s="384">
        <v>3988.1981519814899</v>
      </c>
      <c r="F18" s="385">
        <v>2521.0717387763452</v>
      </c>
    </row>
    <row r="19" spans="1:6" ht="20" customHeight="1" thickBot="1">
      <c r="A19" s="91"/>
      <c r="B19" s="387" t="s">
        <v>600</v>
      </c>
      <c r="C19" s="384">
        <v>5029.2719857808042</v>
      </c>
      <c r="D19" s="385">
        <v>989.50420822662204</v>
      </c>
      <c r="E19" s="384">
        <v>2564.9776968863398</v>
      </c>
      <c r="F19" s="385">
        <v>2440.6767545160915</v>
      </c>
    </row>
    <row r="20" spans="1:6" ht="20" customHeight="1" thickBot="1">
      <c r="A20" s="91"/>
      <c r="B20" s="387" t="s">
        <v>602</v>
      </c>
      <c r="C20" s="384">
        <v>592.63525376493124</v>
      </c>
      <c r="D20" s="385">
        <v>382.21094176174114</v>
      </c>
      <c r="E20" s="384">
        <v>1017.1694150164442</v>
      </c>
      <c r="F20" s="385">
        <v>883.48739704193326</v>
      </c>
    </row>
    <row r="21" spans="1:6" ht="20" customHeight="1" thickBot="1">
      <c r="A21" s="91"/>
      <c r="B21" s="387" t="s">
        <v>604</v>
      </c>
      <c r="C21" s="384">
        <v>388.30177829749209</v>
      </c>
      <c r="D21" s="385">
        <v>247.33434188364004</v>
      </c>
      <c r="E21" s="384">
        <v>657.77845426616932</v>
      </c>
      <c r="F21" s="385">
        <v>594.3515988950943</v>
      </c>
    </row>
    <row r="22" spans="1:6" ht="20" customHeight="1" thickBot="1">
      <c r="A22" s="91"/>
      <c r="B22" s="387" t="s">
        <v>605</v>
      </c>
      <c r="C22" s="384">
        <v>351.0175632475183</v>
      </c>
      <c r="D22" s="385">
        <v>162.0231295885693</v>
      </c>
      <c r="E22" s="384">
        <v>399.02256755736829</v>
      </c>
      <c r="F22" s="385">
        <v>371.1119286011903</v>
      </c>
    </row>
    <row r="23" spans="1:6" ht="20" customHeight="1" thickBot="1">
      <c r="A23" s="91"/>
      <c r="B23" s="387" t="s">
        <v>606</v>
      </c>
      <c r="C23" s="384">
        <v>299.63306947212197</v>
      </c>
      <c r="D23" s="385">
        <v>153.94135530356004</v>
      </c>
      <c r="E23" s="384">
        <v>382.93759678254037</v>
      </c>
      <c r="F23" s="385">
        <v>358.36611914985031</v>
      </c>
    </row>
    <row r="24" spans="1:6" ht="20" customHeight="1" thickBot="1">
      <c r="A24" s="91"/>
      <c r="B24" s="387" t="s">
        <v>607</v>
      </c>
      <c r="C24" s="384">
        <v>262.67061508003104</v>
      </c>
      <c r="D24" s="268" t="s">
        <v>35</v>
      </c>
      <c r="E24" s="269" t="s">
        <v>35</v>
      </c>
      <c r="F24" s="385">
        <v>262.67061508003104</v>
      </c>
    </row>
    <row r="25" spans="1:6" ht="20" customHeight="1" thickBot="1">
      <c r="A25" s="91"/>
      <c r="B25" s="387" t="s">
        <v>609</v>
      </c>
      <c r="C25" s="384">
        <v>766.81742431155885</v>
      </c>
      <c r="D25" s="385">
        <v>743.91339774226367</v>
      </c>
      <c r="E25" s="384">
        <v>2145.7171423401451</v>
      </c>
      <c r="F25" s="385">
        <v>1721.2284164085715</v>
      </c>
    </row>
    <row r="26" spans="1:6" ht="39.75" customHeight="1" thickBot="1">
      <c r="A26" s="392"/>
      <c r="B26" s="393" t="s">
        <v>610</v>
      </c>
      <c r="C26" s="394">
        <v>833.69285122313522</v>
      </c>
      <c r="D26" s="395">
        <v>779.58907344463273</v>
      </c>
      <c r="E26" s="394">
        <v>1935.7525722714297</v>
      </c>
      <c r="F26" s="395">
        <v>1607.5308637619505</v>
      </c>
    </row>
    <row r="27" spans="1:6" ht="45" customHeight="1" thickBot="1">
      <c r="A27" s="392"/>
      <c r="B27" s="396" t="s">
        <v>611</v>
      </c>
      <c r="C27" s="394">
        <v>693.08714515725183</v>
      </c>
      <c r="D27" s="395">
        <v>693.12014226939561</v>
      </c>
      <c r="E27" s="394">
        <v>2267.1483379661313</v>
      </c>
      <c r="F27" s="395">
        <v>1792.7509028202335</v>
      </c>
    </row>
    <row r="28" spans="1:6" ht="45" customHeight="1" thickBot="1">
      <c r="A28" s="397"/>
      <c r="B28" s="396" t="s">
        <v>612</v>
      </c>
      <c r="C28" s="394">
        <v>559.21993842656298</v>
      </c>
      <c r="D28" s="395">
        <v>380.37970810234714</v>
      </c>
      <c r="E28" s="394">
        <v>1099.6095314253214</v>
      </c>
      <c r="F28" s="395">
        <v>994.71572652810164</v>
      </c>
    </row>
    <row r="29" spans="1:6" ht="15.75" customHeight="1" thickBot="1">
      <c r="A29" s="398"/>
      <c r="B29" s="399"/>
      <c r="C29" s="384"/>
      <c r="D29" s="385"/>
      <c r="E29" s="384"/>
      <c r="F29" s="385"/>
    </row>
    <row r="30" spans="1:6" ht="27.75" customHeight="1" thickBot="1">
      <c r="A30" s="400" t="s">
        <v>613</v>
      </c>
      <c r="B30" s="401"/>
      <c r="C30" s="402">
        <v>868.29360356464599</v>
      </c>
      <c r="D30" s="403">
        <v>1007.5233829627219</v>
      </c>
      <c r="E30" s="402">
        <v>3366.635416026018</v>
      </c>
      <c r="F30" s="403">
        <v>2684.4029573344997</v>
      </c>
    </row>
    <row r="31" spans="1:6" ht="15.75" customHeight="1">
      <c r="A31" s="352" t="s">
        <v>678</v>
      </c>
      <c r="B31" s="352"/>
      <c r="C31" s="352"/>
      <c r="D31" s="352"/>
      <c r="E31" s="352"/>
      <c r="F31" s="352"/>
    </row>
    <row r="32" spans="1:6" ht="13.5" customHeight="1">
      <c r="A32" s="324"/>
      <c r="B32" s="324"/>
      <c r="C32" s="352"/>
      <c r="D32" s="352"/>
      <c r="E32" s="352"/>
      <c r="F32" s="352"/>
    </row>
    <row r="33" spans="1:6" ht="13.5" customHeight="1">
      <c r="A33" s="352" t="s">
        <v>627</v>
      </c>
      <c r="B33" s="352"/>
      <c r="C33" s="352"/>
      <c r="D33" s="352"/>
      <c r="E33" s="352"/>
      <c r="F33" s="352"/>
    </row>
    <row r="34" spans="1:6" ht="16.5" customHeight="1">
      <c r="A34" s="352"/>
      <c r="B34" s="352"/>
      <c r="C34" s="352"/>
      <c r="D34" s="352"/>
      <c r="E34" s="352"/>
      <c r="F34" s="352"/>
    </row>
    <row r="35" spans="1:6" ht="12" customHeight="1">
      <c r="A35" s="352" t="s">
        <v>615</v>
      </c>
      <c r="B35" s="352"/>
      <c r="C35" s="138"/>
      <c r="D35" s="138"/>
      <c r="E35" s="138"/>
      <c r="F35" s="138"/>
    </row>
    <row r="36" spans="1:6" ht="12" customHeight="1">
      <c r="A36" s="96" t="s">
        <v>616</v>
      </c>
      <c r="B36" s="96"/>
    </row>
    <row r="37" spans="1:6" ht="12" customHeight="1">
      <c r="A37" s="96" t="s">
        <v>617</v>
      </c>
      <c r="B37" s="96"/>
    </row>
    <row r="38" spans="1:6" ht="12" customHeight="1">
      <c r="A38" s="96" t="s">
        <v>618</v>
      </c>
      <c r="B38" s="96"/>
    </row>
    <row r="39" spans="1:6" ht="12" customHeight="1">
      <c r="A39" s="96" t="s">
        <v>619</v>
      </c>
      <c r="B39" s="96"/>
    </row>
    <row r="40" spans="1:6" ht="12" customHeight="1">
      <c r="A40" s="96" t="s">
        <v>620</v>
      </c>
      <c r="B40" s="96"/>
    </row>
    <row r="41" spans="1:6" ht="12" customHeight="1">
      <c r="A41" s="3" t="s">
        <v>621</v>
      </c>
    </row>
    <row r="42" spans="1:6" ht="12" customHeight="1">
      <c r="A42" s="96" t="s">
        <v>628</v>
      </c>
    </row>
    <row r="43" spans="1:6" ht="12" customHeight="1"/>
    <row r="44" spans="1:6" ht="12" customHeight="1"/>
    <row r="45" spans="1:6" ht="12" customHeight="1">
      <c r="A45" s="352" t="s">
        <v>677</v>
      </c>
      <c r="B45" s="352"/>
      <c r="C45" s="96"/>
      <c r="D45" s="96"/>
      <c r="E45" s="96"/>
      <c r="F45" s="96"/>
    </row>
    <row r="50" spans="1:7">
      <c r="A50" s="57"/>
      <c r="B50" s="57"/>
      <c r="C50" s="404"/>
      <c r="D50" s="405"/>
      <c r="E50" s="404"/>
      <c r="F50" s="405"/>
      <c r="G50" s="405"/>
    </row>
    <row r="51" spans="1:7">
      <c r="A51" s="406"/>
      <c r="B51" s="406"/>
      <c r="C51" s="406"/>
      <c r="D51" s="407"/>
      <c r="E51" s="406"/>
      <c r="F51" s="48"/>
      <c r="G51" s="4"/>
    </row>
    <row r="52" spans="1:7">
      <c r="A52" s="4"/>
      <c r="B52" s="4"/>
      <c r="C52" s="4"/>
      <c r="D52" s="4"/>
      <c r="E52" s="4"/>
      <c r="F52" s="4"/>
      <c r="G52" s="4"/>
    </row>
  </sheetData>
  <pageMargins left="0.55118110236220474" right="0.45" top="0.59055118110236227" bottom="0.47244094488188981" header="0.43307086614173229" footer="0.31496062992125984"/>
  <pageSetup paperSize="9" scale="67" orientation="portrait"/>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B88C0-0EA7-5641-9314-F65F8326EE1B}">
  <sheetPr>
    <pageSetUpPr fitToPage="1"/>
  </sheetPr>
  <dimension ref="A1:L50"/>
  <sheetViews>
    <sheetView zoomScaleNormal="100" workbookViewId="0">
      <selection activeCell="D1" sqref="D1"/>
    </sheetView>
  </sheetViews>
  <sheetFormatPr baseColWidth="10" defaultColWidth="11.3984375" defaultRowHeight="13"/>
  <cols>
    <col min="1" max="1" width="21.19921875" style="3" customWidth="1"/>
    <col min="2" max="2" width="14.796875" style="128" customWidth="1"/>
    <col min="3" max="3" width="14.796875" style="49" customWidth="1"/>
    <col min="4" max="4" width="16" style="128" customWidth="1"/>
    <col min="5" max="5" width="15.796875" style="49" customWidth="1"/>
    <col min="6" max="8" width="16" style="128" customWidth="1"/>
    <col min="9" max="9" width="13.59765625" style="3" customWidth="1"/>
    <col min="10" max="10" width="8" style="3" customWidth="1"/>
    <col min="11" max="11" width="7.796875" style="3" customWidth="1"/>
    <col min="12" max="12" width="9" style="3" customWidth="1"/>
    <col min="13" max="16384" width="11.3984375" style="3"/>
  </cols>
  <sheetData>
    <row r="1" spans="1:12" s="2" customFormat="1" ht="18.75" customHeight="1">
      <c r="A1" s="303"/>
      <c r="B1" s="304"/>
      <c r="C1" s="261"/>
      <c r="D1" s="122"/>
      <c r="E1" s="261"/>
      <c r="F1" s="122"/>
      <c r="G1" s="122"/>
      <c r="H1" s="122"/>
    </row>
    <row r="2" spans="1:12" s="2" customFormat="1" ht="28.25" customHeight="1">
      <c r="A2" s="305" t="s">
        <v>2377</v>
      </c>
      <c r="B2" s="306"/>
      <c r="C2" s="306"/>
      <c r="D2" s="306"/>
      <c r="E2" s="306"/>
      <c r="F2" s="307"/>
      <c r="G2" s="307"/>
      <c r="H2" s="307">
        <v>2010</v>
      </c>
    </row>
    <row r="3" spans="1:12" ht="27" customHeight="1">
      <c r="A3" s="72" t="s">
        <v>2381</v>
      </c>
      <c r="B3" s="1813" t="s">
        <v>505</v>
      </c>
      <c r="C3" s="1814"/>
      <c r="D3" s="1815" t="s">
        <v>507</v>
      </c>
      <c r="E3" s="1814"/>
      <c r="F3" s="1816" t="s">
        <v>644</v>
      </c>
      <c r="G3" s="1817"/>
      <c r="H3" s="1817"/>
    </row>
    <row r="4" spans="1:12" ht="15" customHeight="1">
      <c r="A4" s="75"/>
      <c r="B4" s="105" t="s">
        <v>717</v>
      </c>
      <c r="C4" s="1585" t="s">
        <v>2375</v>
      </c>
      <c r="D4" s="105" t="s">
        <v>640</v>
      </c>
      <c r="E4" s="1585" t="s">
        <v>2375</v>
      </c>
      <c r="F4" s="105" t="s">
        <v>717</v>
      </c>
      <c r="G4" s="1580" t="s">
        <v>641</v>
      </c>
      <c r="H4" s="1590" t="s">
        <v>2375</v>
      </c>
    </row>
    <row r="5" spans="1:12" ht="15" customHeight="1">
      <c r="A5" s="75"/>
      <c r="B5" s="105"/>
      <c r="C5" s="1585" t="s">
        <v>2290</v>
      </c>
      <c r="D5" s="105"/>
      <c r="E5" s="1585" t="s">
        <v>2290</v>
      </c>
      <c r="F5" s="105"/>
      <c r="G5" s="1580"/>
      <c r="H5" s="1590" t="s">
        <v>2290</v>
      </c>
    </row>
    <row r="6" spans="1:12" ht="19.5" customHeight="1">
      <c r="A6" s="79"/>
      <c r="B6" s="110"/>
      <c r="C6" s="1586"/>
      <c r="D6" s="110"/>
      <c r="E6" s="1586"/>
      <c r="F6" s="110"/>
      <c r="G6" s="1581"/>
      <c r="H6" s="1591"/>
    </row>
    <row r="7" spans="1:12" ht="30" customHeight="1" thickBot="1">
      <c r="A7" s="84" t="s">
        <v>508</v>
      </c>
      <c r="B7" s="308">
        <v>240.90614353000007</v>
      </c>
      <c r="C7" s="1587">
        <v>1086.8940056323947</v>
      </c>
      <c r="D7" s="308">
        <v>195.78089411000008</v>
      </c>
      <c r="E7" s="1587">
        <v>932.04724022110713</v>
      </c>
      <c r="F7" s="308">
        <v>436.68703760000011</v>
      </c>
      <c r="G7" s="1582">
        <v>2.0910377773757469E-2</v>
      </c>
      <c r="H7" s="1592">
        <v>1011.5494898773834</v>
      </c>
      <c r="J7" s="51"/>
      <c r="K7" s="51"/>
      <c r="L7" s="51"/>
    </row>
    <row r="8" spans="1:12" ht="20" customHeight="1" thickBot="1">
      <c r="A8" s="89" t="s">
        <v>509</v>
      </c>
      <c r="B8" s="308">
        <v>153.60802032999993</v>
      </c>
      <c r="C8" s="1587">
        <v>775.40982929052541</v>
      </c>
      <c r="D8" s="308">
        <v>115.46803609000004</v>
      </c>
      <c r="E8" s="1587">
        <v>613.8632971181321</v>
      </c>
      <c r="F8" s="308">
        <v>269.07605636999989</v>
      </c>
      <c r="G8" s="1582">
        <v>1.2884472182852711E-2</v>
      </c>
      <c r="H8" s="1592">
        <v>696.72782571253856</v>
      </c>
      <c r="J8" s="51"/>
      <c r="K8" s="51"/>
      <c r="L8" s="51"/>
    </row>
    <row r="9" spans="1:12" ht="20" customHeight="1" thickBot="1">
      <c r="A9" s="89" t="s">
        <v>510</v>
      </c>
      <c r="B9" s="308">
        <v>170.05778510000005</v>
      </c>
      <c r="C9" s="1587">
        <v>791.82699253523663</v>
      </c>
      <c r="D9" s="308">
        <v>156.76854111999998</v>
      </c>
      <c r="E9" s="1587">
        <v>766.70673343700946</v>
      </c>
      <c r="F9" s="308">
        <v>326.82632622000006</v>
      </c>
      <c r="G9" s="1582">
        <v>1.5649793465885773E-2</v>
      </c>
      <c r="H9" s="1592">
        <v>779.57535461798568</v>
      </c>
      <c r="J9" s="51"/>
      <c r="K9" s="51"/>
      <c r="L9" s="51"/>
    </row>
    <row r="10" spans="1:12" ht="20" customHeight="1" thickBot="1">
      <c r="A10" s="89" t="s">
        <v>511</v>
      </c>
      <c r="B10" s="308">
        <v>120.24788384000004</v>
      </c>
      <c r="C10" s="1587">
        <v>876.01833981221932</v>
      </c>
      <c r="D10" s="308">
        <v>153.63870430000006</v>
      </c>
      <c r="E10" s="1587">
        <v>1179.6214023700738</v>
      </c>
      <c r="F10" s="308">
        <v>273.88658813000006</v>
      </c>
      <c r="G10" s="1582">
        <v>1.3114820298856102E-2</v>
      </c>
      <c r="H10" s="1592">
        <v>1023.8350227189237</v>
      </c>
      <c r="J10" s="51"/>
      <c r="K10" s="51"/>
      <c r="L10" s="51"/>
    </row>
    <row r="11" spans="1:12" ht="20" customHeight="1" thickBot="1">
      <c r="A11" s="310" t="s">
        <v>512</v>
      </c>
      <c r="B11" s="311">
        <v>684.81983274999993</v>
      </c>
      <c r="C11" s="1588">
        <v>887.32718741002122</v>
      </c>
      <c r="D11" s="311">
        <v>621.65617563000023</v>
      </c>
      <c r="E11" s="1588">
        <v>848.24968133132325</v>
      </c>
      <c r="F11" s="311">
        <v>1306.4760083600002</v>
      </c>
      <c r="G11" s="1583">
        <v>6.2559463723267428E-2</v>
      </c>
      <c r="H11" s="1593">
        <v>868.29370750450084</v>
      </c>
      <c r="J11" s="51"/>
      <c r="K11" s="51"/>
      <c r="L11" s="51"/>
    </row>
    <row r="12" spans="1:12" ht="20" customHeight="1" thickBot="1">
      <c r="A12" s="89" t="s">
        <v>513</v>
      </c>
      <c r="B12" s="308">
        <v>60.690260140000007</v>
      </c>
      <c r="C12" s="1587">
        <v>650.13348771928929</v>
      </c>
      <c r="D12" s="308">
        <v>92.765687969999988</v>
      </c>
      <c r="E12" s="1587">
        <v>1021.0759337384804</v>
      </c>
      <c r="F12" s="308">
        <v>153.45594812000007</v>
      </c>
      <c r="G12" s="1582">
        <v>7.3481041810967828E-3</v>
      </c>
      <c r="H12" s="1592">
        <v>833.08789428787748</v>
      </c>
      <c r="J12" s="51"/>
      <c r="K12" s="51"/>
      <c r="L12" s="51"/>
    </row>
    <row r="13" spans="1:12" ht="20" customHeight="1" thickBot="1">
      <c r="A13" s="89" t="s">
        <v>514</v>
      </c>
      <c r="B13" s="308">
        <v>164.62630984000003</v>
      </c>
      <c r="C13" s="1587">
        <v>691.38275720031913</v>
      </c>
      <c r="D13" s="308">
        <v>313.12121198999995</v>
      </c>
      <c r="E13" s="1587">
        <v>1337.8871053169271</v>
      </c>
      <c r="F13" s="308">
        <v>477.74752179000006</v>
      </c>
      <c r="G13" s="1582">
        <v>2.2876523232768675E-2</v>
      </c>
      <c r="H13" s="1592">
        <v>1011.8484023386815</v>
      </c>
      <c r="J13" s="51"/>
      <c r="K13" s="51"/>
      <c r="L13" s="51"/>
    </row>
    <row r="14" spans="1:12" ht="20" customHeight="1" thickBot="1">
      <c r="A14" s="310" t="s">
        <v>515</v>
      </c>
      <c r="B14" s="311">
        <v>225.31656998000011</v>
      </c>
      <c r="C14" s="1588">
        <v>679.76558766165078</v>
      </c>
      <c r="D14" s="311">
        <v>405.88689996999983</v>
      </c>
      <c r="E14" s="1588">
        <v>1249.2959209094743</v>
      </c>
      <c r="F14" s="311">
        <v>631.20346989999996</v>
      </c>
      <c r="G14" s="1583">
        <v>3.0224627413386607E-2</v>
      </c>
      <c r="H14" s="1593">
        <v>961.68048825919811</v>
      </c>
      <c r="J14" s="51"/>
      <c r="K14" s="51"/>
      <c r="L14" s="51"/>
    </row>
    <row r="15" spans="1:12" ht="20" customHeight="1" thickBot="1">
      <c r="A15" s="89" t="s">
        <v>516</v>
      </c>
      <c r="B15" s="308">
        <v>196.06830063999996</v>
      </c>
      <c r="C15" s="1587">
        <v>747.0675644205138</v>
      </c>
      <c r="D15" s="308">
        <v>467.12850599000001</v>
      </c>
      <c r="E15" s="1587">
        <v>1820.0374005966057</v>
      </c>
      <c r="F15" s="308">
        <v>663.19680663999986</v>
      </c>
      <c r="G15" s="1582">
        <v>3.1756600428095645E-2</v>
      </c>
      <c r="H15" s="1592">
        <v>1277.5667496010281</v>
      </c>
      <c r="J15" s="51"/>
      <c r="K15" s="51"/>
      <c r="L15" s="51"/>
    </row>
    <row r="16" spans="1:12" ht="20" customHeight="1" thickBot="1">
      <c r="A16" s="89" t="s">
        <v>517</v>
      </c>
      <c r="B16" s="308">
        <v>234.46455473999993</v>
      </c>
      <c r="C16" s="1587">
        <v>891.35406674008402</v>
      </c>
      <c r="D16" s="308">
        <v>572.58912389999978</v>
      </c>
      <c r="E16" s="1587">
        <v>2185.5436780574223</v>
      </c>
      <c r="F16" s="308">
        <v>807.05367861000002</v>
      </c>
      <c r="G16" s="1582">
        <v>3.8645061223213518E-2</v>
      </c>
      <c r="H16" s="1592">
        <v>1537.1500623218615</v>
      </c>
      <c r="J16" s="51"/>
      <c r="K16" s="51"/>
      <c r="L16" s="51"/>
    </row>
    <row r="17" spans="1:12" ht="20" customHeight="1" thickBot="1">
      <c r="A17" s="89" t="s">
        <v>518</v>
      </c>
      <c r="B17" s="308">
        <v>319.44590070000015</v>
      </c>
      <c r="C17" s="1587">
        <v>1123.0245726695168</v>
      </c>
      <c r="D17" s="308">
        <v>588.16868694000004</v>
      </c>
      <c r="E17" s="1587">
        <v>2079.893253361035</v>
      </c>
      <c r="F17" s="308">
        <v>907.61458763999985</v>
      </c>
      <c r="G17" s="1582">
        <v>4.3460332609894486E-2</v>
      </c>
      <c r="H17" s="1592">
        <v>1600.0558699643009</v>
      </c>
      <c r="J17" s="51"/>
      <c r="K17" s="51"/>
      <c r="L17" s="51"/>
    </row>
    <row r="18" spans="1:12" ht="20" customHeight="1" thickBot="1">
      <c r="A18" s="89" t="s">
        <v>519</v>
      </c>
      <c r="B18" s="308">
        <v>441.29276066</v>
      </c>
      <c r="C18" s="1587">
        <v>1369.6129169559001</v>
      </c>
      <c r="D18" s="308">
        <v>639.94967077000001</v>
      </c>
      <c r="E18" s="1587">
        <v>2008.9480900354517</v>
      </c>
      <c r="F18" s="308">
        <v>1081.2424313599997</v>
      </c>
      <c r="G18" s="1582">
        <v>5.1774350411251183E-2</v>
      </c>
      <c r="H18" s="1592">
        <v>1687.4580348449524</v>
      </c>
      <c r="J18" s="51"/>
      <c r="K18" s="51"/>
      <c r="L18" s="51"/>
    </row>
    <row r="19" spans="1:12" ht="20" customHeight="1" thickBot="1">
      <c r="A19" s="89" t="s">
        <v>520</v>
      </c>
      <c r="B19" s="308">
        <v>547.40586870000004</v>
      </c>
      <c r="C19" s="1587">
        <v>1711.0306742563853</v>
      </c>
      <c r="D19" s="308">
        <v>720.29380833999983</v>
      </c>
      <c r="E19" s="1587">
        <v>2303.1650912888413</v>
      </c>
      <c r="F19" s="308">
        <v>1267.6996770200003</v>
      </c>
      <c r="G19" s="1582">
        <v>6.0702692930490895E-2</v>
      </c>
      <c r="H19" s="1592">
        <v>2003.7347162357189</v>
      </c>
      <c r="J19" s="51"/>
      <c r="K19" s="51"/>
      <c r="L19" s="51"/>
    </row>
    <row r="20" spans="1:12" ht="20" customHeight="1" thickBot="1">
      <c r="A20" s="89" t="s">
        <v>521</v>
      </c>
      <c r="B20" s="308">
        <v>620.42303651999964</v>
      </c>
      <c r="C20" s="1587">
        <v>2247.6155710068347</v>
      </c>
      <c r="D20" s="308">
        <v>748.21606692000034</v>
      </c>
      <c r="E20" s="1587">
        <v>2777.947369386372</v>
      </c>
      <c r="F20" s="308">
        <v>1368.6391034800004</v>
      </c>
      <c r="G20" s="1582">
        <v>6.5536089294040312E-2</v>
      </c>
      <c r="H20" s="1592">
        <v>2509.526114268996</v>
      </c>
      <c r="J20" s="51"/>
      <c r="K20" s="51"/>
      <c r="L20" s="51"/>
    </row>
    <row r="21" spans="1:12" ht="20" customHeight="1" thickBot="1">
      <c r="A21" s="89" t="s">
        <v>522</v>
      </c>
      <c r="B21" s="308">
        <v>712.40899084000011</v>
      </c>
      <c r="C21" s="1587">
        <v>3000.4944639596274</v>
      </c>
      <c r="D21" s="308">
        <v>778.56620811000016</v>
      </c>
      <c r="E21" s="1587">
        <v>3265.7420995790881</v>
      </c>
      <c r="F21" s="308">
        <v>1490.9751989599999</v>
      </c>
      <c r="G21" s="1582">
        <v>7.1394046484417092E-2</v>
      </c>
      <c r="H21" s="1592">
        <v>3133.3898227697086</v>
      </c>
      <c r="J21" s="51"/>
      <c r="K21" s="51"/>
      <c r="L21" s="51"/>
    </row>
    <row r="22" spans="1:12" ht="20" customHeight="1" thickBot="1">
      <c r="A22" s="89" t="s">
        <v>523</v>
      </c>
      <c r="B22" s="308">
        <v>877.54960412999969</v>
      </c>
      <c r="C22" s="1587">
        <v>3954.7898839984828</v>
      </c>
      <c r="D22" s="308">
        <v>897.78574976000004</v>
      </c>
      <c r="E22" s="1587">
        <v>3931.0342114431678</v>
      </c>
      <c r="F22" s="308">
        <v>1775.3353538700003</v>
      </c>
      <c r="G22" s="1582">
        <v>8.5010384390052013E-2</v>
      </c>
      <c r="H22" s="1592">
        <v>3942.7408827126478</v>
      </c>
      <c r="J22" s="51"/>
      <c r="K22" s="51"/>
      <c r="L22" s="51"/>
    </row>
    <row r="23" spans="1:12" ht="20" customHeight="1" thickBot="1">
      <c r="A23" s="89" t="s">
        <v>524</v>
      </c>
      <c r="B23" s="308">
        <v>913.05783424000026</v>
      </c>
      <c r="C23" s="1587">
        <v>5074.8376321006899</v>
      </c>
      <c r="D23" s="308">
        <v>951.77264931999946</v>
      </c>
      <c r="E23" s="1587">
        <v>4855.277403161007</v>
      </c>
      <c r="F23" s="308">
        <v>1864.8304835299996</v>
      </c>
      <c r="G23" s="1582">
        <v>8.9295780586804138E-2</v>
      </c>
      <c r="H23" s="1592">
        <v>4960.3532888708714</v>
      </c>
      <c r="J23" s="51"/>
      <c r="K23" s="51"/>
      <c r="L23" s="51"/>
    </row>
    <row r="24" spans="1:12" ht="20" customHeight="1" thickBot="1">
      <c r="A24" s="89" t="s">
        <v>525</v>
      </c>
      <c r="B24" s="308">
        <v>856.02846059000012</v>
      </c>
      <c r="C24" s="1587">
        <v>6385.5425127975141</v>
      </c>
      <c r="D24" s="308">
        <v>973.65609171999972</v>
      </c>
      <c r="E24" s="1587">
        <v>6071.4935276781098</v>
      </c>
      <c r="F24" s="308">
        <v>1829.6845523400004</v>
      </c>
      <c r="G24" s="1582">
        <v>8.7612848337584176E-2</v>
      </c>
      <c r="H24" s="1592">
        <v>6214.487007343123</v>
      </c>
      <c r="J24" s="51"/>
      <c r="K24" s="51"/>
      <c r="L24" s="51"/>
    </row>
    <row r="25" spans="1:12" ht="20" customHeight="1" thickBot="1">
      <c r="A25" s="89" t="s">
        <v>526</v>
      </c>
      <c r="B25" s="308">
        <v>839.4961129400001</v>
      </c>
      <c r="C25" s="1587">
        <v>7968.8492296237155</v>
      </c>
      <c r="D25" s="308">
        <v>1087.2172979199997</v>
      </c>
      <c r="E25" s="1587">
        <v>7622.9622935103689</v>
      </c>
      <c r="F25" s="308">
        <v>1926.7134108399996</v>
      </c>
      <c r="G25" s="1582">
        <v>9.2258990566449456E-2</v>
      </c>
      <c r="H25" s="1592">
        <v>7769.9061207335062</v>
      </c>
      <c r="J25" s="51"/>
      <c r="K25" s="51"/>
      <c r="L25" s="51"/>
    </row>
    <row r="26" spans="1:12" ht="20" customHeight="1" thickBot="1">
      <c r="A26" s="89" t="s">
        <v>527</v>
      </c>
      <c r="B26" s="308">
        <v>646.39840465999998</v>
      </c>
      <c r="C26" s="1587">
        <v>9310.2880760610915</v>
      </c>
      <c r="D26" s="308">
        <v>1122.0813494199997</v>
      </c>
      <c r="E26" s="1587">
        <v>9771.4393472733718</v>
      </c>
      <c r="F26" s="308">
        <v>1768.4797540900004</v>
      </c>
      <c r="G26" s="1582">
        <v>8.468210997629029E-2</v>
      </c>
      <c r="H26" s="1592">
        <v>9597.6821269358352</v>
      </c>
      <c r="J26" s="51"/>
      <c r="K26" s="51"/>
      <c r="L26" s="51"/>
    </row>
    <row r="27" spans="1:12" ht="20" customHeight="1" thickBot="1">
      <c r="A27" s="89" t="s">
        <v>528</v>
      </c>
      <c r="B27" s="308">
        <v>406.89038195000001</v>
      </c>
      <c r="C27" s="1587">
        <v>11239.463463836468</v>
      </c>
      <c r="D27" s="308">
        <v>964.05370298000003</v>
      </c>
      <c r="E27" s="1587">
        <v>12840.228151484407</v>
      </c>
      <c r="F27" s="308">
        <v>1370.9440849000002</v>
      </c>
      <c r="G27" s="1582">
        <v>6.5646461318175919E-2</v>
      </c>
      <c r="H27" s="1592">
        <v>12319.472910836361</v>
      </c>
      <c r="J27" s="51"/>
      <c r="K27" s="51"/>
      <c r="L27" s="51"/>
    </row>
    <row r="28" spans="1:12" ht="20" customHeight="1" thickBot="1">
      <c r="A28" s="89" t="s">
        <v>529</v>
      </c>
      <c r="B28" s="308">
        <v>142.31680653999996</v>
      </c>
      <c r="C28" s="1587">
        <v>13829.021048141267</v>
      </c>
      <c r="D28" s="308">
        <v>464.57790913999997</v>
      </c>
      <c r="E28" s="1587">
        <v>16887.030323584117</v>
      </c>
      <c r="F28" s="308">
        <v>606.89471568999988</v>
      </c>
      <c r="G28" s="1582">
        <v>2.9060623928112286E-2</v>
      </c>
      <c r="H28" s="1592">
        <v>16054.528087997251</v>
      </c>
      <c r="J28" s="51"/>
      <c r="K28" s="51"/>
      <c r="L28" s="51"/>
    </row>
    <row r="29" spans="1:12" ht="20" customHeight="1" thickBot="1">
      <c r="A29" s="89" t="s">
        <v>530</v>
      </c>
      <c r="B29" s="308">
        <v>35.567097330000003</v>
      </c>
      <c r="C29" s="1587">
        <v>16501.007831311326</v>
      </c>
      <c r="D29" s="308">
        <v>157.24723220000004</v>
      </c>
      <c r="E29" s="1587">
        <v>20986.164529087542</v>
      </c>
      <c r="F29" s="308">
        <v>192.81432951000005</v>
      </c>
      <c r="G29" s="1582">
        <v>9.232745932662538E-3</v>
      </c>
      <c r="H29" s="1592">
        <v>19984.23865605619</v>
      </c>
      <c r="J29" s="51"/>
      <c r="K29" s="51"/>
      <c r="L29" s="51"/>
    </row>
    <row r="30" spans="1:12" ht="20" customHeight="1" thickBot="1">
      <c r="A30" s="89" t="s">
        <v>531</v>
      </c>
      <c r="B30" s="308">
        <v>3.44427511</v>
      </c>
      <c r="C30" s="1587">
        <v>21411.631915951759</v>
      </c>
      <c r="D30" s="308">
        <v>20.463462849999999</v>
      </c>
      <c r="E30" s="1587">
        <v>23602.882213174311</v>
      </c>
      <c r="F30" s="308">
        <v>23.907737940000001</v>
      </c>
      <c r="G30" s="1582">
        <v>1.1448011710833389E-3</v>
      </c>
      <c r="H30" s="1592">
        <v>23260.400980706923</v>
      </c>
      <c r="J30" s="51"/>
      <c r="K30" s="51"/>
      <c r="L30" s="51"/>
    </row>
    <row r="31" spans="1:12" ht="20" customHeight="1" thickBot="1">
      <c r="A31" s="310" t="s">
        <v>532</v>
      </c>
      <c r="B31" s="311">
        <v>7792.2583902099996</v>
      </c>
      <c r="C31" s="1588">
        <v>2859.5464201544892</v>
      </c>
      <c r="D31" s="311">
        <v>11153.767516220001</v>
      </c>
      <c r="E31" s="1588">
        <v>3854.5562588134335</v>
      </c>
      <c r="F31" s="311">
        <v>18946.025906489987</v>
      </c>
      <c r="G31" s="1583">
        <v>0.90721391959196851</v>
      </c>
      <c r="H31" s="1593">
        <v>3371.9853594187966</v>
      </c>
      <c r="J31" s="51"/>
      <c r="K31" s="51"/>
      <c r="L31" s="51"/>
    </row>
    <row r="32" spans="1:12" ht="20" customHeight="1" thickBot="1">
      <c r="A32" s="89" t="s">
        <v>495</v>
      </c>
      <c r="B32" s="308">
        <v>1.469E-2</v>
      </c>
      <c r="C32" s="1587" t="s">
        <v>35</v>
      </c>
      <c r="D32" s="308">
        <v>2.6853490000000001E-2</v>
      </c>
      <c r="E32" s="1587" t="s">
        <v>35</v>
      </c>
      <c r="F32" s="308">
        <v>4.1543489999999995E-2</v>
      </c>
      <c r="G32" s="1582">
        <v>1.989273770786906E-6</v>
      </c>
      <c r="H32" s="1592" t="s">
        <v>35</v>
      </c>
      <c r="J32" s="51"/>
      <c r="K32" s="51"/>
      <c r="L32" s="51"/>
    </row>
    <row r="33" spans="1:12" s="248" customFormat="1" ht="24.75" customHeight="1" thickBot="1">
      <c r="A33" s="91" t="s">
        <v>190</v>
      </c>
      <c r="B33" s="313">
        <v>8702.4094829599999</v>
      </c>
      <c r="C33" s="1589">
        <v>2273.215031169766</v>
      </c>
      <c r="D33" s="313">
        <v>12181.337445230003</v>
      </c>
      <c r="E33" s="1589">
        <v>3082.7724594732194</v>
      </c>
      <c r="F33" s="313">
        <v>20883.746928190005</v>
      </c>
      <c r="G33" s="1584">
        <v>1</v>
      </c>
      <c r="H33" s="1594">
        <v>2684.4030677466253</v>
      </c>
      <c r="J33" s="315"/>
      <c r="K33" s="315"/>
      <c r="L33" s="315"/>
    </row>
    <row r="34" spans="1:12" ht="20" customHeight="1">
      <c r="A34" s="95" t="s">
        <v>678</v>
      </c>
      <c r="B34" s="126"/>
      <c r="C34" s="292"/>
      <c r="D34" s="126"/>
      <c r="E34" s="292"/>
      <c r="F34" s="126"/>
      <c r="G34" s="3"/>
      <c r="H34" s="3"/>
    </row>
    <row r="35" spans="1:12" ht="12.75" customHeight="1">
      <c r="A35" s="96"/>
      <c r="B35" s="127"/>
      <c r="C35" s="316"/>
      <c r="D35" s="127"/>
      <c r="E35" s="316"/>
      <c r="F35" s="127"/>
      <c r="G35" s="127"/>
      <c r="H35" s="127"/>
    </row>
    <row r="36" spans="1:12" ht="16.5" customHeight="1">
      <c r="A36" s="96" t="s">
        <v>2378</v>
      </c>
      <c r="B36" s="127"/>
      <c r="C36" s="316"/>
      <c r="D36" s="127"/>
      <c r="E36" s="316"/>
      <c r="F36" s="127"/>
      <c r="G36" s="127"/>
      <c r="H36" s="127"/>
    </row>
    <row r="37" spans="1:12" ht="14.25" customHeight="1">
      <c r="A37" s="96"/>
      <c r="B37" s="127"/>
      <c r="C37" s="316"/>
      <c r="D37" s="127"/>
      <c r="E37" s="316"/>
      <c r="F37" s="127"/>
      <c r="G37" s="127"/>
      <c r="H37" s="127"/>
    </row>
    <row r="38" spans="1:12" ht="13.5" customHeight="1">
      <c r="A38" s="96" t="s">
        <v>536</v>
      </c>
      <c r="B38" s="127"/>
      <c r="C38" s="316"/>
      <c r="D38" s="127"/>
      <c r="E38" s="316"/>
      <c r="F38" s="127"/>
      <c r="G38" s="127"/>
      <c r="H38" s="127"/>
    </row>
    <row r="39" spans="1:12" ht="12" customHeight="1">
      <c r="A39" s="96"/>
      <c r="B39" s="127"/>
      <c r="C39" s="316"/>
      <c r="D39" s="127"/>
      <c r="E39" s="316"/>
      <c r="F39" s="127"/>
      <c r="G39" s="127"/>
      <c r="H39" s="127"/>
    </row>
    <row r="40" spans="1:12" ht="14.25" customHeight="1">
      <c r="A40" s="96"/>
      <c r="B40" s="127"/>
      <c r="C40" s="316"/>
      <c r="D40" s="127"/>
      <c r="E40" s="316"/>
      <c r="F40" s="127"/>
      <c r="G40" s="127"/>
      <c r="H40" s="127"/>
    </row>
    <row r="41" spans="1:12" ht="15.75" customHeight="1">
      <c r="A41" s="96" t="s">
        <v>677</v>
      </c>
      <c r="B41" s="127"/>
      <c r="C41" s="316"/>
      <c r="D41" s="127"/>
      <c r="E41" s="316"/>
      <c r="F41" s="127"/>
      <c r="G41" s="127"/>
      <c r="H41" s="127"/>
    </row>
    <row r="42" spans="1:12" ht="18" customHeight="1">
      <c r="A42"/>
    </row>
    <row r="43" spans="1:12" ht="30" customHeight="1"/>
    <row r="44" spans="1:12" ht="30" customHeight="1">
      <c r="J44" s="317"/>
    </row>
    <row r="45" spans="1:12" ht="30" customHeight="1"/>
    <row r="46" spans="1:12" ht="30" customHeight="1"/>
    <row r="47" spans="1:12" ht="30" customHeight="1"/>
    <row r="48" spans="1:12" ht="30" customHeight="1"/>
    <row r="49" ht="30" customHeight="1"/>
    <row r="50" ht="30" customHeight="1"/>
  </sheetData>
  <mergeCells count="3">
    <mergeCell ref="B3:C3"/>
    <mergeCell ref="D3:E3"/>
    <mergeCell ref="F3:H3"/>
  </mergeCells>
  <pageMargins left="0.49" right="0.55118110236220474" top="0.6692913385826772" bottom="0.47244094488188981" header="0.43307086614173229" footer="0.51181102362204722"/>
  <pageSetup paperSize="9" scale="64" orientation="portrait"/>
  <headerFooter alignWithMargins="0"/>
  <rowBreaks count="1" manualBreakCount="1">
    <brk id="41" max="16383"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313D3-C892-1A49-A4F3-BEB74C007ADF}">
  <sheetPr>
    <pageSetUpPr fitToPage="1"/>
  </sheetPr>
  <dimension ref="A1:H45"/>
  <sheetViews>
    <sheetView zoomScale="75" workbookViewId="0">
      <selection activeCell="A3" sqref="A3"/>
    </sheetView>
  </sheetViews>
  <sheetFormatPr baseColWidth="10" defaultColWidth="11.3984375" defaultRowHeight="13"/>
  <cols>
    <col min="1" max="1" width="19.3984375" style="3" customWidth="1"/>
    <col min="2" max="5" width="19.3984375" style="128" customWidth="1"/>
    <col min="6" max="6" width="12.59765625" style="121" customWidth="1"/>
    <col min="7" max="7" width="11.3984375" style="3"/>
    <col min="8" max="8" width="15.19921875" style="3" hidden="1" customWidth="1"/>
    <col min="9" max="16384" width="11.3984375" style="3"/>
  </cols>
  <sheetData>
    <row r="1" spans="1:8" s="2" customFormat="1" ht="14" customHeight="1">
      <c r="B1" s="122"/>
      <c r="C1" s="122"/>
      <c r="D1" s="122"/>
      <c r="E1" s="122"/>
      <c r="F1" s="101"/>
    </row>
    <row r="2" spans="1:8" s="2" customFormat="1" ht="31.5" customHeight="1">
      <c r="A2" s="129" t="s">
        <v>537</v>
      </c>
      <c r="B2" s="306"/>
      <c r="C2" s="306"/>
      <c r="D2" s="306"/>
      <c r="E2" s="102">
        <v>2010</v>
      </c>
    </row>
    <row r="3" spans="1:8" ht="27" customHeight="1">
      <c r="A3" s="72" t="s">
        <v>203</v>
      </c>
      <c r="B3" s="73" t="s">
        <v>204</v>
      </c>
      <c r="C3" s="74" t="s">
        <v>205</v>
      </c>
      <c r="D3" s="73" t="s">
        <v>206</v>
      </c>
      <c r="E3" s="74" t="s">
        <v>190</v>
      </c>
      <c r="F3"/>
    </row>
    <row r="4" spans="1:8" ht="18" customHeight="1">
      <c r="A4" s="75"/>
      <c r="B4" s="76"/>
      <c r="C4" s="77" t="s">
        <v>206</v>
      </c>
      <c r="D4" s="78"/>
      <c r="E4" s="77"/>
      <c r="F4"/>
    </row>
    <row r="5" spans="1:8" ht="21" customHeight="1">
      <c r="A5" s="75"/>
      <c r="B5" s="76" t="s">
        <v>207</v>
      </c>
      <c r="C5" s="77" t="s">
        <v>208</v>
      </c>
      <c r="D5" s="76" t="s">
        <v>209</v>
      </c>
      <c r="E5" s="77"/>
      <c r="F5"/>
    </row>
    <row r="6" spans="1:8" ht="24" customHeight="1">
      <c r="A6" s="79"/>
      <c r="B6" s="110"/>
      <c r="C6" s="109"/>
      <c r="D6" s="110"/>
      <c r="E6" s="109"/>
      <c r="F6"/>
    </row>
    <row r="7" spans="1:8" ht="30" customHeight="1" thickBot="1">
      <c r="A7" s="84" t="s">
        <v>211</v>
      </c>
      <c r="B7" s="123">
        <v>23358311.949999999</v>
      </c>
      <c r="C7" s="124">
        <v>35507229.509999998</v>
      </c>
      <c r="D7" s="123">
        <v>551447812.62</v>
      </c>
      <c r="E7" s="124">
        <v>610313354.08000004</v>
      </c>
      <c r="F7"/>
      <c r="H7" s="8">
        <v>2156035045</v>
      </c>
    </row>
    <row r="8" spans="1:8" ht="20" customHeight="1" thickBot="1">
      <c r="A8" s="89" t="s">
        <v>212</v>
      </c>
      <c r="B8" s="133">
        <v>14751912.32</v>
      </c>
      <c r="C8" s="132">
        <v>25987067.52</v>
      </c>
      <c r="D8" s="133">
        <v>390579592.81999999</v>
      </c>
      <c r="E8" s="132">
        <v>431318572.65999997</v>
      </c>
      <c r="F8"/>
      <c r="H8" s="8">
        <v>1563935884</v>
      </c>
    </row>
    <row r="9" spans="1:8" ht="20" customHeight="1" thickBot="1">
      <c r="A9" s="89" t="s">
        <v>213</v>
      </c>
      <c r="B9" s="133">
        <v>6045658.1100000003</v>
      </c>
      <c r="C9" s="132">
        <v>10429089.890000001</v>
      </c>
      <c r="D9" s="133">
        <v>126487220.23999999</v>
      </c>
      <c r="E9" s="132">
        <v>142961968.24000001</v>
      </c>
      <c r="F9"/>
      <c r="H9" s="8">
        <v>464604355</v>
      </c>
    </row>
    <row r="10" spans="1:8" ht="20" customHeight="1" thickBot="1">
      <c r="A10" s="89" t="s">
        <v>214</v>
      </c>
      <c r="B10" s="133">
        <v>576100.07999999996</v>
      </c>
      <c r="C10" s="132">
        <v>943739.87</v>
      </c>
      <c r="D10" s="133">
        <v>12182775.439999999</v>
      </c>
      <c r="E10" s="132">
        <v>13702615.389999999</v>
      </c>
      <c r="F10"/>
      <c r="H10" s="8">
        <v>45901795</v>
      </c>
    </row>
    <row r="11" spans="1:8" ht="20" customHeight="1" thickBot="1">
      <c r="A11" s="89" t="s">
        <v>215</v>
      </c>
      <c r="B11" s="133">
        <v>2656956.6</v>
      </c>
      <c r="C11" s="132">
        <v>4289430.8600000003</v>
      </c>
      <c r="D11" s="133">
        <v>54079351.689999998</v>
      </c>
      <c r="E11" s="132">
        <v>61025739.149999999</v>
      </c>
      <c r="F11"/>
      <c r="H11" s="8">
        <v>171549320</v>
      </c>
    </row>
    <row r="12" spans="1:8" ht="20" customHeight="1" thickBot="1">
      <c r="A12" s="89" t="s">
        <v>216</v>
      </c>
      <c r="B12" s="133">
        <v>555983.97</v>
      </c>
      <c r="C12" s="132">
        <v>994076.06</v>
      </c>
      <c r="D12" s="133">
        <v>11887959.689999999</v>
      </c>
      <c r="E12" s="132">
        <v>13438019.719999999</v>
      </c>
      <c r="F12"/>
      <c r="H12" s="8">
        <v>41764939</v>
      </c>
    </row>
    <row r="13" spans="1:8" ht="20" customHeight="1" thickBot="1">
      <c r="A13" s="89" t="s">
        <v>217</v>
      </c>
      <c r="B13" s="133">
        <v>571769.69999999995</v>
      </c>
      <c r="C13" s="132">
        <v>1018671.28</v>
      </c>
      <c r="D13" s="133">
        <v>13987104.34</v>
      </c>
      <c r="E13" s="132">
        <v>15577545.32</v>
      </c>
      <c r="F13"/>
      <c r="H13" s="8">
        <v>44323506</v>
      </c>
    </row>
    <row r="14" spans="1:8" ht="20" customHeight="1" thickBot="1">
      <c r="A14" s="89" t="s">
        <v>218</v>
      </c>
      <c r="B14" s="133">
        <v>626084.23</v>
      </c>
      <c r="C14" s="132">
        <v>1173646.3600000001</v>
      </c>
      <c r="D14" s="133">
        <v>14324826.380000001</v>
      </c>
      <c r="E14" s="132">
        <v>16124556.970000001</v>
      </c>
      <c r="F14"/>
      <c r="H14" s="8">
        <v>55927154</v>
      </c>
    </row>
    <row r="15" spans="1:8" ht="20" customHeight="1" thickBot="1">
      <c r="A15" s="89" t="s">
        <v>219</v>
      </c>
      <c r="B15" s="133">
        <v>1766338.86</v>
      </c>
      <c r="C15" s="132">
        <v>2765866.22</v>
      </c>
      <c r="D15" s="133">
        <v>40025747.810000002</v>
      </c>
      <c r="E15" s="132">
        <v>44557952.890000001</v>
      </c>
      <c r="F15"/>
      <c r="H15" s="8">
        <v>128772453</v>
      </c>
    </row>
    <row r="16" spans="1:8" ht="20" customHeight="1" thickBot="1">
      <c r="A16" s="89" t="s">
        <v>220</v>
      </c>
      <c r="B16" s="133">
        <v>5343405.46</v>
      </c>
      <c r="C16" s="132">
        <v>8138563.5999999996</v>
      </c>
      <c r="D16" s="133">
        <v>102516886.39</v>
      </c>
      <c r="E16" s="132">
        <v>115998855.45</v>
      </c>
      <c r="F16"/>
      <c r="H16" s="8">
        <v>391250033</v>
      </c>
    </row>
    <row r="17" spans="1:8" ht="20" customHeight="1" thickBot="1">
      <c r="A17" s="89" t="s">
        <v>221</v>
      </c>
      <c r="B17" s="133">
        <v>4145375.89</v>
      </c>
      <c r="C17" s="132">
        <v>7271406.1900000004</v>
      </c>
      <c r="D17" s="133">
        <v>99453382.480000004</v>
      </c>
      <c r="E17" s="132">
        <v>110870164.56</v>
      </c>
      <c r="F17"/>
      <c r="H17" s="8">
        <v>393696828</v>
      </c>
    </row>
    <row r="18" spans="1:8" ht="20" customHeight="1" thickBot="1">
      <c r="A18" s="89" t="s">
        <v>222</v>
      </c>
      <c r="B18" s="133">
        <v>2839349.52</v>
      </c>
      <c r="C18" s="132">
        <v>4350049.4000000004</v>
      </c>
      <c r="D18" s="133">
        <v>79383695.140000001</v>
      </c>
      <c r="E18" s="132">
        <v>86573094.060000002</v>
      </c>
      <c r="F18"/>
      <c r="H18" s="8">
        <v>473520714</v>
      </c>
    </row>
    <row r="19" spans="1:8" ht="20" customHeight="1" thickBot="1">
      <c r="A19" s="89" t="s">
        <v>223</v>
      </c>
      <c r="B19" s="133">
        <v>5349368.3899999997</v>
      </c>
      <c r="C19" s="132">
        <v>8092612.4199999999</v>
      </c>
      <c r="D19" s="133">
        <v>120675411.81999999</v>
      </c>
      <c r="E19" s="132">
        <v>134117392.63</v>
      </c>
      <c r="F19"/>
      <c r="H19" s="8">
        <v>469771093</v>
      </c>
    </row>
    <row r="20" spans="1:8" ht="20" customHeight="1" thickBot="1">
      <c r="A20" s="89" t="s">
        <v>224</v>
      </c>
      <c r="B20" s="133">
        <v>1042311.6</v>
      </c>
      <c r="C20" s="132">
        <v>2097533.2999999998</v>
      </c>
      <c r="D20" s="133">
        <v>30021458.449999999</v>
      </c>
      <c r="E20" s="132">
        <v>33161303.349999998</v>
      </c>
      <c r="F20"/>
      <c r="H20" s="8">
        <v>127694959</v>
      </c>
    </row>
    <row r="21" spans="1:8" ht="20" customHeight="1" thickBot="1">
      <c r="A21" s="89" t="s">
        <v>225</v>
      </c>
      <c r="B21" s="133">
        <v>785946.95</v>
      </c>
      <c r="C21" s="132">
        <v>1406584.11</v>
      </c>
      <c r="D21" s="133">
        <v>18246144.800000001</v>
      </c>
      <c r="E21" s="132">
        <v>20438675.859999999</v>
      </c>
      <c r="F21"/>
      <c r="H21" s="8">
        <v>69489100</v>
      </c>
    </row>
    <row r="22" spans="1:8" ht="20" customHeight="1" thickBot="1">
      <c r="A22" s="89" t="s">
        <v>226</v>
      </c>
      <c r="B22" s="133">
        <v>236286.18</v>
      </c>
      <c r="C22" s="132">
        <v>448125.17</v>
      </c>
      <c r="D22" s="133">
        <v>4794643.47</v>
      </c>
      <c r="E22" s="132">
        <v>5479054.8199999994</v>
      </c>
      <c r="F22"/>
      <c r="H22" s="8">
        <v>16712649</v>
      </c>
    </row>
    <row r="23" spans="1:8" ht="20" customHeight="1" thickBot="1">
      <c r="A23" s="89" t="s">
        <v>227</v>
      </c>
      <c r="B23" s="133">
        <v>8116020.0599999996</v>
      </c>
      <c r="C23" s="132">
        <v>15043159.130000001</v>
      </c>
      <c r="D23" s="133">
        <v>170597858.12</v>
      </c>
      <c r="E23" s="132">
        <v>193757037.31</v>
      </c>
      <c r="F23"/>
      <c r="H23" s="8">
        <v>615853738</v>
      </c>
    </row>
    <row r="24" spans="1:8" ht="20" customHeight="1" thickBot="1">
      <c r="A24" s="89" t="s">
        <v>228</v>
      </c>
      <c r="B24" s="133">
        <v>2896215.94</v>
      </c>
      <c r="C24" s="132">
        <v>5376685.5300000003</v>
      </c>
      <c r="D24" s="133">
        <v>69017932.579999998</v>
      </c>
      <c r="E24" s="132">
        <v>77290834.049999997</v>
      </c>
      <c r="F24"/>
      <c r="H24" s="8">
        <v>264690646</v>
      </c>
    </row>
    <row r="25" spans="1:8" ht="20" customHeight="1" thickBot="1">
      <c r="A25" s="89" t="s">
        <v>229</v>
      </c>
      <c r="B25" s="133">
        <v>10251209.050000001</v>
      </c>
      <c r="C25" s="132">
        <v>17327222.32</v>
      </c>
      <c r="D25" s="133">
        <v>224831698.81</v>
      </c>
      <c r="E25" s="132">
        <v>252410130.18000001</v>
      </c>
      <c r="F25"/>
      <c r="H25" s="8">
        <v>819222625</v>
      </c>
    </row>
    <row r="26" spans="1:8" ht="20" customHeight="1" thickBot="1">
      <c r="A26" s="89" t="s">
        <v>230</v>
      </c>
      <c r="B26" s="133">
        <v>4237327.03</v>
      </c>
      <c r="C26" s="132">
        <v>7410148.6600000001</v>
      </c>
      <c r="D26" s="133">
        <v>87565383.049999997</v>
      </c>
      <c r="E26" s="132">
        <v>99212858.739999995</v>
      </c>
      <c r="F26"/>
      <c r="H26" s="8">
        <v>344655658</v>
      </c>
    </row>
    <row r="27" spans="1:8" ht="20" customHeight="1" thickBot="1">
      <c r="A27" s="89" t="s">
        <v>231</v>
      </c>
      <c r="B27" s="133">
        <v>6152117.3499999996</v>
      </c>
      <c r="C27" s="132">
        <v>8469920.1099999994</v>
      </c>
      <c r="D27" s="133">
        <v>146264411.69</v>
      </c>
      <c r="E27" s="132">
        <v>160886449.15000001</v>
      </c>
      <c r="F27"/>
      <c r="H27" s="8">
        <v>627641817</v>
      </c>
    </row>
    <row r="28" spans="1:8" ht="20" customHeight="1" thickBot="1">
      <c r="A28" s="89" t="s">
        <v>232</v>
      </c>
      <c r="B28" s="133">
        <v>17924497.300000001</v>
      </c>
      <c r="C28" s="132">
        <v>20682285.710000001</v>
      </c>
      <c r="D28" s="133">
        <v>288462592.75</v>
      </c>
      <c r="E28" s="132">
        <v>327069375.75999999</v>
      </c>
      <c r="F28"/>
      <c r="H28" s="8">
        <v>1280335377</v>
      </c>
    </row>
    <row r="29" spans="1:8" ht="20" customHeight="1" thickBot="1">
      <c r="A29" s="89" t="s">
        <v>233</v>
      </c>
      <c r="B29" s="133">
        <v>5279533.1100000003</v>
      </c>
      <c r="C29" s="132">
        <v>8340752.8099999996</v>
      </c>
      <c r="D29" s="133">
        <v>112973719.34</v>
      </c>
      <c r="E29" s="132">
        <v>126594005.26000001</v>
      </c>
      <c r="F29"/>
      <c r="H29" s="8">
        <v>410743307</v>
      </c>
    </row>
    <row r="30" spans="1:8" ht="20" customHeight="1" thickBot="1">
      <c r="A30" s="89" t="s">
        <v>234</v>
      </c>
      <c r="B30" s="133">
        <v>3389389.27</v>
      </c>
      <c r="C30" s="132">
        <v>4424197.66</v>
      </c>
      <c r="D30" s="133">
        <v>64421720.130000003</v>
      </c>
      <c r="E30" s="132">
        <v>72235307.060000002</v>
      </c>
      <c r="F30"/>
      <c r="H30" s="8">
        <v>318756043</v>
      </c>
    </row>
    <row r="31" spans="1:8" ht="20" customHeight="1" thickBot="1">
      <c r="A31" s="89" t="s">
        <v>235</v>
      </c>
      <c r="B31" s="133">
        <v>10955019.119999999</v>
      </c>
      <c r="C31" s="132">
        <v>13566124.279999999</v>
      </c>
      <c r="D31" s="133">
        <v>187856598.38999999</v>
      </c>
      <c r="E31" s="132">
        <v>212377741.78999999</v>
      </c>
      <c r="F31"/>
      <c r="H31" s="8">
        <v>966736347</v>
      </c>
    </row>
    <row r="32" spans="1:8" ht="20" customHeight="1" thickBot="1">
      <c r="A32" s="90" t="s">
        <v>236</v>
      </c>
      <c r="B32" s="133">
        <v>1442814.13</v>
      </c>
      <c r="C32" s="132">
        <v>1964961.81</v>
      </c>
      <c r="D32" s="133">
        <v>26895379.350000001</v>
      </c>
      <c r="E32" s="132">
        <v>30303155.290000003</v>
      </c>
      <c r="F32"/>
      <c r="H32" s="8">
        <v>146808815</v>
      </c>
    </row>
    <row r="33" spans="1:8" ht="20" customHeight="1" thickBot="1">
      <c r="A33" s="289" t="s">
        <v>494</v>
      </c>
      <c r="B33" s="133">
        <v>18955.53</v>
      </c>
      <c r="C33" s="132">
        <v>15256.68</v>
      </c>
      <c r="D33" s="133">
        <v>461935.73</v>
      </c>
      <c r="E33" s="132">
        <v>496147.94</v>
      </c>
      <c r="F33"/>
      <c r="H33" s="8">
        <v>966736347</v>
      </c>
    </row>
    <row r="34" spans="1:8" ht="20" customHeight="1" thickBot="1">
      <c r="A34" s="90" t="s">
        <v>495</v>
      </c>
      <c r="B34" s="133">
        <v>131084.35</v>
      </c>
      <c r="C34" s="132">
        <v>131084.35</v>
      </c>
      <c r="D34" s="133">
        <v>263755.78999999998</v>
      </c>
      <c r="E34" s="132">
        <v>525924.49</v>
      </c>
      <c r="F34"/>
      <c r="H34" s="8">
        <v>146808815</v>
      </c>
    </row>
    <row r="35" spans="1:8" ht="30" customHeight="1" thickBot="1">
      <c r="A35" s="91" t="s">
        <v>0</v>
      </c>
      <c r="B35" s="270">
        <v>141342154.69999999</v>
      </c>
      <c r="C35" s="322">
        <v>217665490.84</v>
      </c>
      <c r="D35" s="270">
        <v>3049706999.29</v>
      </c>
      <c r="E35" s="322">
        <v>3408714644.8299999</v>
      </c>
      <c r="F35" s="323"/>
      <c r="H35" s="8">
        <v>12410394200</v>
      </c>
    </row>
    <row r="36" spans="1:8" ht="20" customHeight="1">
      <c r="A36" s="95" t="s">
        <v>678</v>
      </c>
      <c r="B36" s="126"/>
      <c r="C36" s="126"/>
      <c r="D36" s="126"/>
      <c r="E36" s="126"/>
      <c r="F36" s="120"/>
    </row>
    <row r="37" spans="1:8" ht="14.25" customHeight="1">
      <c r="A37" s="96"/>
      <c r="B37" s="127"/>
      <c r="C37" s="127"/>
      <c r="D37" s="127"/>
      <c r="E37" s="127"/>
      <c r="F37" s="120"/>
    </row>
    <row r="38" spans="1:8" ht="15.75" customHeight="1">
      <c r="A38" s="96" t="s">
        <v>538</v>
      </c>
      <c r="B38" s="127"/>
      <c r="C38" s="127"/>
      <c r="D38" s="127"/>
      <c r="E38" s="127"/>
      <c r="F38" s="120"/>
    </row>
    <row r="39" spans="1:8" ht="13.5" customHeight="1">
      <c r="A39" s="96"/>
      <c r="B39" s="127"/>
      <c r="C39" s="127"/>
      <c r="D39" s="127"/>
      <c r="E39" s="127"/>
      <c r="F39" s="120"/>
    </row>
    <row r="40" spans="1:8" ht="15" customHeight="1">
      <c r="A40" s="324" t="s">
        <v>539</v>
      </c>
      <c r="B40" s="325"/>
      <c r="C40" s="127"/>
      <c r="D40" s="127"/>
      <c r="E40" s="127"/>
      <c r="F40" s="120"/>
    </row>
    <row r="41" spans="1:8" ht="15" customHeight="1">
      <c r="A41" s="96" t="s">
        <v>498</v>
      </c>
      <c r="B41" s="325"/>
      <c r="C41" s="127"/>
      <c r="D41" s="127"/>
      <c r="E41" s="127"/>
      <c r="F41" s="120"/>
    </row>
    <row r="42" spans="1:8" ht="12" customHeight="1"/>
    <row r="43" spans="1:8" ht="12" customHeight="1"/>
    <row r="44" spans="1:8" ht="12" customHeight="1">
      <c r="A44" s="96" t="s">
        <v>677</v>
      </c>
    </row>
    <row r="45" spans="1:8" ht="12" customHeight="1"/>
  </sheetData>
  <pageMargins left="0.62" right="0.56000000000000005" top="0.78" bottom="0.49" header="0.4" footer="0.4921259845"/>
  <pageSetup paperSize="9" scale="83" orientation="portrait" horizontalDpi="4294967292" verticalDpi="4294967292"/>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49E0D-6606-D04A-B670-352BF8595B3C}">
  <sheetPr>
    <pageSetUpPr fitToPage="1"/>
  </sheetPr>
  <dimension ref="A1:J50"/>
  <sheetViews>
    <sheetView zoomScaleNormal="100" workbookViewId="0">
      <selection activeCell="K14" sqref="K14"/>
    </sheetView>
  </sheetViews>
  <sheetFormatPr baseColWidth="10" defaultColWidth="11.3984375" defaultRowHeight="13"/>
  <cols>
    <col min="1" max="1" width="21.19921875" style="3" customWidth="1"/>
    <col min="2" max="2" width="14.796875" style="128" customWidth="1"/>
    <col min="3" max="3" width="14.796875" style="49" customWidth="1"/>
    <col min="4" max="4" width="16" style="128" customWidth="1"/>
    <col min="5" max="5" width="15.796875" style="49" customWidth="1"/>
    <col min="6" max="8" width="16" style="128" customWidth="1"/>
    <col min="9" max="9" width="7.796875" style="3" customWidth="1"/>
    <col min="10" max="10" width="9" style="3" customWidth="1"/>
    <col min="11" max="16384" width="11.3984375" style="3"/>
  </cols>
  <sheetData>
    <row r="1" spans="1:10" s="2" customFormat="1" ht="18.75" customHeight="1">
      <c r="A1" s="303"/>
      <c r="B1" s="304"/>
      <c r="C1" s="261"/>
      <c r="D1" s="122"/>
      <c r="E1" s="261"/>
      <c r="F1" s="122"/>
      <c r="G1" s="122"/>
      <c r="H1" s="122"/>
    </row>
    <row r="2" spans="1:10" s="2" customFormat="1" ht="28.75" customHeight="1">
      <c r="A2" s="305" t="s">
        <v>2374</v>
      </c>
      <c r="B2" s="306"/>
      <c r="C2" s="306"/>
      <c r="D2" s="306"/>
      <c r="E2" s="306"/>
      <c r="F2" s="307"/>
      <c r="G2" s="307"/>
      <c r="H2" s="307">
        <v>2010</v>
      </c>
    </row>
    <row r="3" spans="1:10" ht="27" customHeight="1">
      <c r="A3" s="72" t="s">
        <v>504</v>
      </c>
      <c r="B3" s="1813" t="s">
        <v>505</v>
      </c>
      <c r="C3" s="1814"/>
      <c r="D3" s="1815" t="s">
        <v>507</v>
      </c>
      <c r="E3" s="1814"/>
      <c r="F3" s="1816" t="s">
        <v>644</v>
      </c>
      <c r="G3" s="1817"/>
      <c r="H3" s="1817"/>
    </row>
    <row r="4" spans="1:10" ht="17.5" customHeight="1">
      <c r="A4" s="75"/>
      <c r="B4" s="105" t="s">
        <v>717</v>
      </c>
      <c r="C4" s="1585" t="s">
        <v>2375</v>
      </c>
      <c r="D4" s="105" t="s">
        <v>640</v>
      </c>
      <c r="E4" s="1585" t="s">
        <v>2375</v>
      </c>
      <c r="F4" s="105" t="s">
        <v>717</v>
      </c>
      <c r="G4" s="1580" t="s">
        <v>641</v>
      </c>
      <c r="H4" s="1590" t="s">
        <v>2375</v>
      </c>
    </row>
    <row r="5" spans="1:10" ht="15" customHeight="1">
      <c r="A5" s="75"/>
      <c r="B5" s="105"/>
      <c r="C5" s="1585" t="s">
        <v>2290</v>
      </c>
      <c r="D5" s="105"/>
      <c r="E5" s="1585" t="s">
        <v>2290</v>
      </c>
      <c r="F5" s="105"/>
      <c r="G5" s="1580"/>
      <c r="H5" s="1590" t="s">
        <v>2290</v>
      </c>
    </row>
    <row r="6" spans="1:10" ht="19.5" customHeight="1">
      <c r="A6" s="79"/>
      <c r="B6" s="110"/>
      <c r="C6" s="1586"/>
      <c r="D6" s="110"/>
      <c r="E6" s="1586"/>
      <c r="F6" s="110"/>
      <c r="G6" s="1581"/>
      <c r="H6" s="1591"/>
    </row>
    <row r="7" spans="1:10" ht="30" customHeight="1" thickBot="1">
      <c r="A7" s="84" t="s">
        <v>508</v>
      </c>
      <c r="B7" s="308">
        <v>24.662998969999997</v>
      </c>
      <c r="C7" s="1587">
        <v>111.27182291253092</v>
      </c>
      <c r="D7" s="308">
        <v>20.636513529999995</v>
      </c>
      <c r="E7" s="1587">
        <v>98.243526626327679</v>
      </c>
      <c r="F7" s="308">
        <v>45.29951251</v>
      </c>
      <c r="G7" s="1582">
        <v>1.3289323756110808E-2</v>
      </c>
      <c r="H7" s="1592">
        <v>104.93258289282602</v>
      </c>
      <c r="I7" s="51"/>
      <c r="J7" s="51"/>
    </row>
    <row r="8" spans="1:10" ht="20" customHeight="1" thickBot="1">
      <c r="A8" s="89" t="s">
        <v>509</v>
      </c>
      <c r="B8" s="308">
        <v>16.730292439999992</v>
      </c>
      <c r="C8" s="1587">
        <v>84.454139679758285</v>
      </c>
      <c r="D8" s="308">
        <v>13.15348607</v>
      </c>
      <c r="E8" s="1587">
        <v>69.927943705859036</v>
      </c>
      <c r="F8" s="308">
        <v>29.883778539999994</v>
      </c>
      <c r="G8" s="1582">
        <v>8.7668759787714601E-3</v>
      </c>
      <c r="H8" s="1592">
        <v>77.37908874960975</v>
      </c>
      <c r="I8" s="51"/>
      <c r="J8" s="51"/>
    </row>
    <row r="9" spans="1:10" ht="20" customHeight="1" thickBot="1">
      <c r="A9" s="89" t="s">
        <v>510</v>
      </c>
      <c r="B9" s="308">
        <v>19.330018879999997</v>
      </c>
      <c r="C9" s="1587">
        <v>90.004881025583444</v>
      </c>
      <c r="D9" s="308">
        <v>17.452710970000002</v>
      </c>
      <c r="E9" s="1587">
        <v>85.355843218482605</v>
      </c>
      <c r="F9" s="308">
        <v>36.78272983999998</v>
      </c>
      <c r="G9" s="1582">
        <v>1.0790791741288821E-2</v>
      </c>
      <c r="H9" s="1592">
        <v>87.737453682153216</v>
      </c>
      <c r="I9" s="51"/>
      <c r="J9" s="51"/>
    </row>
    <row r="10" spans="1:10" ht="20" customHeight="1" thickBot="1">
      <c r="A10" s="89" t="s">
        <v>511</v>
      </c>
      <c r="B10" s="308">
        <v>13.163925669999999</v>
      </c>
      <c r="C10" s="1587">
        <v>95.900567582452794</v>
      </c>
      <c r="D10" s="308">
        <v>16.212208060000002</v>
      </c>
      <c r="E10" s="1587">
        <v>124.47558507073798</v>
      </c>
      <c r="F10" s="308">
        <v>29.376133729999999</v>
      </c>
      <c r="G10" s="1582">
        <v>8.6179503974705574E-3</v>
      </c>
      <c r="H10" s="1592">
        <v>109.8130242528451</v>
      </c>
      <c r="I10" s="51"/>
      <c r="J10" s="51"/>
    </row>
    <row r="11" spans="1:10" ht="20" customHeight="1" thickBot="1">
      <c r="A11" s="310" t="s">
        <v>512</v>
      </c>
      <c r="B11" s="311">
        <v>73.887235960000012</v>
      </c>
      <c r="C11" s="1588">
        <v>95.736353029690193</v>
      </c>
      <c r="D11" s="311">
        <v>67.454918640000017</v>
      </c>
      <c r="E11" s="1588">
        <v>92.042218003583301</v>
      </c>
      <c r="F11" s="311">
        <v>141.34215460000004</v>
      </c>
      <c r="G11" s="1583">
        <v>4.1464941867774351E-2</v>
      </c>
      <c r="H11" s="1593">
        <v>93.937051012796729</v>
      </c>
      <c r="I11" s="51"/>
      <c r="J11" s="51"/>
    </row>
    <row r="12" spans="1:10" ht="20" customHeight="1" thickBot="1">
      <c r="A12" s="89" t="s">
        <v>513</v>
      </c>
      <c r="B12" s="308">
        <v>25.807917360000008</v>
      </c>
      <c r="C12" s="1587">
        <v>276.46266938588201</v>
      </c>
      <c r="D12" s="308">
        <v>34.761402390000008</v>
      </c>
      <c r="E12" s="1587">
        <v>382.62025734026696</v>
      </c>
      <c r="F12" s="308">
        <v>60.569319740000012</v>
      </c>
      <c r="G12" s="1582">
        <v>1.7768961631420731E-2</v>
      </c>
      <c r="H12" s="1592">
        <v>328.82118717996656</v>
      </c>
      <c r="I12" s="51"/>
      <c r="J12" s="51"/>
    </row>
    <row r="13" spans="1:10" ht="20" customHeight="1" thickBot="1">
      <c r="A13" s="89" t="s">
        <v>514</v>
      </c>
      <c r="B13" s="308">
        <v>62.166018129999983</v>
      </c>
      <c r="C13" s="1587">
        <v>261.0792470575152</v>
      </c>
      <c r="D13" s="308">
        <v>94.898882040000032</v>
      </c>
      <c r="E13" s="1587">
        <v>405.47872749790895</v>
      </c>
      <c r="F13" s="308">
        <v>157.06490018000002</v>
      </c>
      <c r="G13" s="1582">
        <v>4.6077456324777721E-2</v>
      </c>
      <c r="H13" s="1592">
        <v>332.65660429835862</v>
      </c>
      <c r="I13" s="51"/>
      <c r="J13" s="51"/>
    </row>
    <row r="14" spans="1:10" ht="20" customHeight="1" thickBot="1">
      <c r="A14" s="310" t="s">
        <v>515</v>
      </c>
      <c r="B14" s="311">
        <v>87.973935479999966</v>
      </c>
      <c r="C14" s="1588">
        <v>265.41170032802529</v>
      </c>
      <c r="D14" s="311">
        <v>129.66028442000001</v>
      </c>
      <c r="E14" s="1588">
        <v>399.08670233466739</v>
      </c>
      <c r="F14" s="311">
        <v>217.63421992999997</v>
      </c>
      <c r="G14" s="1583">
        <v>6.3846417959132096E-2</v>
      </c>
      <c r="H14" s="1593">
        <v>331.58021599176271</v>
      </c>
      <c r="I14" s="51"/>
      <c r="J14" s="51"/>
    </row>
    <row r="15" spans="1:10" ht="20" customHeight="1" thickBot="1">
      <c r="A15" s="89" t="s">
        <v>516</v>
      </c>
      <c r="B15" s="308">
        <v>69.612677500000004</v>
      </c>
      <c r="C15" s="1587">
        <v>265.24110864918703</v>
      </c>
      <c r="D15" s="308">
        <v>114.78474607999996</v>
      </c>
      <c r="E15" s="1587">
        <v>447.22710818263965</v>
      </c>
      <c r="F15" s="308">
        <v>184.39742358000001</v>
      </c>
      <c r="G15" s="1582">
        <v>5.4095881522044247E-2</v>
      </c>
      <c r="H15" s="1592">
        <v>355.21886522861894</v>
      </c>
      <c r="I15" s="51"/>
      <c r="J15" s="51"/>
    </row>
    <row r="16" spans="1:10" ht="20" customHeight="1" thickBot="1">
      <c r="A16" s="89" t="s">
        <v>517</v>
      </c>
      <c r="B16" s="308">
        <v>80.471814429999981</v>
      </c>
      <c r="C16" s="1587">
        <v>305.92632276411553</v>
      </c>
      <c r="D16" s="308">
        <v>131.09440969999997</v>
      </c>
      <c r="E16" s="1587">
        <v>500.38072046674563</v>
      </c>
      <c r="F16" s="308">
        <v>211.56622415999996</v>
      </c>
      <c r="G16" s="1582">
        <v>6.20662760575953E-2</v>
      </c>
      <c r="H16" s="1592">
        <v>402.95836977393748</v>
      </c>
      <c r="I16" s="51"/>
      <c r="J16" s="51"/>
    </row>
    <row r="17" spans="1:10" ht="20" customHeight="1" thickBot="1">
      <c r="A17" s="89" t="s">
        <v>518</v>
      </c>
      <c r="B17" s="308">
        <v>97.827818939999972</v>
      </c>
      <c r="C17" s="1587">
        <v>343.9175281934813</v>
      </c>
      <c r="D17" s="308">
        <v>145.25810704</v>
      </c>
      <c r="E17" s="1587">
        <v>513.66446996745833</v>
      </c>
      <c r="F17" s="308">
        <v>243.085926</v>
      </c>
      <c r="G17" s="1582">
        <v>7.1313075840603424E-2</v>
      </c>
      <c r="H17" s="1592">
        <v>428.54210156908903</v>
      </c>
      <c r="I17" s="51"/>
      <c r="J17" s="51"/>
    </row>
    <row r="18" spans="1:10" ht="20" customHeight="1" thickBot="1">
      <c r="A18" s="89" t="s">
        <v>519</v>
      </c>
      <c r="B18" s="308">
        <v>120.28334261000001</v>
      </c>
      <c r="C18" s="1587">
        <v>373.31593540510266</v>
      </c>
      <c r="D18" s="308">
        <v>162.43685480000005</v>
      </c>
      <c r="E18" s="1587">
        <v>509.92636469237152</v>
      </c>
      <c r="F18" s="308">
        <v>282.72019745000006</v>
      </c>
      <c r="G18" s="1582">
        <v>8.2940412117574552E-2</v>
      </c>
      <c r="H18" s="1592">
        <v>441.23173024192084</v>
      </c>
      <c r="I18" s="51"/>
      <c r="J18" s="51"/>
    </row>
    <row r="19" spans="1:10" ht="20" customHeight="1" thickBot="1">
      <c r="A19" s="89" t="s">
        <v>520</v>
      </c>
      <c r="B19" s="308">
        <v>131.72114554999999</v>
      </c>
      <c r="C19" s="1587">
        <v>411.72178336245872</v>
      </c>
      <c r="D19" s="308">
        <v>166.74528294000007</v>
      </c>
      <c r="E19" s="1587">
        <v>533.17397756001515</v>
      </c>
      <c r="F19" s="308">
        <v>298.46642849</v>
      </c>
      <c r="G19" s="1582">
        <v>8.7559816403280422E-2</v>
      </c>
      <c r="H19" s="1592">
        <v>471.75806323634754</v>
      </c>
      <c r="I19" s="51"/>
      <c r="J19" s="51"/>
    </row>
    <row r="20" spans="1:10" ht="20" customHeight="1" thickBot="1">
      <c r="A20" s="89" t="s">
        <v>521</v>
      </c>
      <c r="B20" s="308">
        <v>130.71163468000003</v>
      </c>
      <c r="C20" s="1587">
        <v>473.53094280059759</v>
      </c>
      <c r="D20" s="308">
        <v>153.90963394999991</v>
      </c>
      <c r="E20" s="1587">
        <v>571.42967340253063</v>
      </c>
      <c r="F20" s="308">
        <v>284.62126863000003</v>
      </c>
      <c r="G20" s="1582">
        <v>8.3498121218502599E-2</v>
      </c>
      <c r="H20" s="1592">
        <v>521.87936504752486</v>
      </c>
      <c r="I20" s="51"/>
      <c r="J20" s="51"/>
    </row>
    <row r="21" spans="1:10" ht="20" customHeight="1" thickBot="1">
      <c r="A21" s="89" t="s">
        <v>522</v>
      </c>
      <c r="B21" s="308">
        <v>129.46111837000004</v>
      </c>
      <c r="C21" s="1587">
        <v>545.25893687724169</v>
      </c>
      <c r="D21" s="308">
        <v>141.59344934999996</v>
      </c>
      <c r="E21" s="1587">
        <v>593.92211445886778</v>
      </c>
      <c r="F21" s="308">
        <v>271.05456771000001</v>
      </c>
      <c r="G21" s="1582">
        <v>7.9518116339015066E-2</v>
      </c>
      <c r="H21" s="1592">
        <v>569.64034309234853</v>
      </c>
      <c r="I21" s="51"/>
      <c r="J21" s="51"/>
    </row>
    <row r="22" spans="1:10" ht="20" customHeight="1" thickBot="1">
      <c r="A22" s="89" t="s">
        <v>523</v>
      </c>
      <c r="B22" s="308">
        <v>138.75568346999998</v>
      </c>
      <c r="C22" s="1587">
        <v>625.32029044498313</v>
      </c>
      <c r="D22" s="308">
        <v>145.61007315999998</v>
      </c>
      <c r="E22" s="1587">
        <v>637.56656783171104</v>
      </c>
      <c r="F22" s="308">
        <v>284.36575665000004</v>
      </c>
      <c r="G22" s="1582">
        <v>8.3423162764478725E-2</v>
      </c>
      <c r="H22" s="1592">
        <v>631.53166636570575</v>
      </c>
      <c r="I22" s="51"/>
      <c r="J22" s="51"/>
    </row>
    <row r="23" spans="1:10" ht="20" customHeight="1" thickBot="1">
      <c r="A23" s="89" t="s">
        <v>524</v>
      </c>
      <c r="B23" s="308">
        <v>124.41905074</v>
      </c>
      <c r="C23" s="1587">
        <v>691.52955833423141</v>
      </c>
      <c r="D23" s="308">
        <v>134.54199299000001</v>
      </c>
      <c r="E23" s="1587">
        <v>686.33901048459893</v>
      </c>
      <c r="F23" s="308">
        <v>258.96104374000009</v>
      </c>
      <c r="G23" s="1582">
        <v>7.5970291064865886E-2</v>
      </c>
      <c r="H23" s="1592">
        <v>688.82307338391308</v>
      </c>
      <c r="I23" s="51"/>
      <c r="J23" s="51"/>
    </row>
    <row r="24" spans="1:10" ht="20" customHeight="1" thickBot="1">
      <c r="A24" s="89" t="s">
        <v>525</v>
      </c>
      <c r="B24" s="308">
        <v>99.905139139999989</v>
      </c>
      <c r="C24" s="1587">
        <v>745.24217662778153</v>
      </c>
      <c r="D24" s="308">
        <v>117.83365825999999</v>
      </c>
      <c r="E24" s="1587">
        <v>734.78335888023571</v>
      </c>
      <c r="F24" s="308">
        <v>217.73879737999997</v>
      </c>
      <c r="G24" s="1582">
        <v>6.3877097397245952E-2</v>
      </c>
      <c r="H24" s="1592">
        <v>739.54547278763971</v>
      </c>
      <c r="I24" s="51"/>
      <c r="J24" s="51"/>
    </row>
    <row r="25" spans="1:10" ht="20" customHeight="1" thickBot="1">
      <c r="A25" s="89" t="s">
        <v>526</v>
      </c>
      <c r="B25" s="308">
        <v>84.582641240000015</v>
      </c>
      <c r="C25" s="1587">
        <v>802.89390873342461</v>
      </c>
      <c r="D25" s="308">
        <v>112.85960824999997</v>
      </c>
      <c r="E25" s="1587">
        <v>791.3087289873182</v>
      </c>
      <c r="F25" s="308">
        <v>197.44224948000002</v>
      </c>
      <c r="G25" s="1582">
        <v>5.7922786164537492E-2</v>
      </c>
      <c r="H25" s="1592">
        <v>796.23037556852364</v>
      </c>
      <c r="I25" s="51"/>
      <c r="J25" s="51"/>
    </row>
    <row r="26" spans="1:10" ht="20" customHeight="1" thickBot="1">
      <c r="A26" s="89" t="s">
        <v>527</v>
      </c>
      <c r="B26" s="308">
        <v>59.557934300000007</v>
      </c>
      <c r="C26" s="1587">
        <v>857.83244752867699</v>
      </c>
      <c r="D26" s="308">
        <v>98.729996299999996</v>
      </c>
      <c r="E26" s="1587">
        <v>859.77203979073579</v>
      </c>
      <c r="F26" s="308">
        <v>158.28793061000002</v>
      </c>
      <c r="G26" s="1582">
        <v>4.6436251518087085E-2</v>
      </c>
      <c r="H26" s="1592">
        <v>859.04135402838358</v>
      </c>
      <c r="I26" s="51"/>
      <c r="J26" s="51"/>
    </row>
    <row r="27" spans="1:10" ht="20" customHeight="1" thickBot="1">
      <c r="A27" s="89" t="s">
        <v>528</v>
      </c>
      <c r="B27" s="308">
        <v>33.831984850000019</v>
      </c>
      <c r="C27" s="1587">
        <v>934.5351340287292</v>
      </c>
      <c r="D27" s="308">
        <v>71.246694340000019</v>
      </c>
      <c r="E27" s="1587">
        <v>948.93449144674014</v>
      </c>
      <c r="F27" s="308">
        <v>105.07867919999997</v>
      </c>
      <c r="G27" s="1582">
        <v>3.0826481575161352E-2</v>
      </c>
      <c r="H27" s="1592">
        <v>944.24999251905194</v>
      </c>
      <c r="I27" s="51"/>
      <c r="J27" s="51"/>
    </row>
    <row r="28" spans="1:10" ht="20" customHeight="1" thickBot="1">
      <c r="A28" s="89" t="s">
        <v>529</v>
      </c>
      <c r="B28" s="308">
        <v>10.68598574</v>
      </c>
      <c r="C28" s="1587">
        <v>1038.3645144332472</v>
      </c>
      <c r="D28" s="308">
        <v>28.896682449999997</v>
      </c>
      <c r="E28" s="1587">
        <v>1050.3709780076499</v>
      </c>
      <c r="F28" s="308">
        <v>39.582668180000006</v>
      </c>
      <c r="G28" s="1582">
        <v>1.1612197646908528E-2</v>
      </c>
      <c r="H28" s="1592">
        <v>1047.1026385049083</v>
      </c>
      <c r="I28" s="51"/>
      <c r="J28" s="51"/>
    </row>
    <row r="29" spans="1:10" ht="20" customHeight="1" thickBot="1">
      <c r="A29" s="89" t="s">
        <v>530</v>
      </c>
      <c r="B29" s="308">
        <v>2.4727718100000002</v>
      </c>
      <c r="C29" s="1587">
        <v>1147.2183581154745</v>
      </c>
      <c r="D29" s="308">
        <v>8.635492499999998</v>
      </c>
      <c r="E29" s="1587">
        <v>1152.4900238892817</v>
      </c>
      <c r="F29" s="308">
        <v>11.108264319999996</v>
      </c>
      <c r="G29" s="1582">
        <v>3.2587838750879755E-3</v>
      </c>
      <c r="H29" s="1592">
        <v>1151.3159099200686</v>
      </c>
      <c r="I29" s="51"/>
      <c r="J29" s="51"/>
    </row>
    <row r="30" spans="1:10" ht="20" customHeight="1" thickBot="1">
      <c r="A30" s="89" t="s">
        <v>531</v>
      </c>
      <c r="B30" s="308">
        <v>0.20125008</v>
      </c>
      <c r="C30" s="1587">
        <v>1251.088399850802</v>
      </c>
      <c r="D30" s="308">
        <v>1.05959494</v>
      </c>
      <c r="E30" s="1587">
        <v>1222.153588853389</v>
      </c>
      <c r="F30" s="308">
        <v>1.2608450300000003</v>
      </c>
      <c r="G30" s="1582">
        <v>3.6988870037518305E-4</v>
      </c>
      <c r="H30" s="1592">
        <v>1226.7058073805981</v>
      </c>
      <c r="I30" s="51"/>
      <c r="J30" s="51"/>
    </row>
    <row r="31" spans="1:10" ht="20" customHeight="1" thickBot="1">
      <c r="A31" s="310" t="s">
        <v>532</v>
      </c>
      <c r="B31" s="311">
        <v>1314.5019934499996</v>
      </c>
      <c r="C31" s="1588">
        <v>482.38639960636431</v>
      </c>
      <c r="D31" s="311">
        <v>1735.2362770400002</v>
      </c>
      <c r="E31" s="1588">
        <v>599.66875250519843</v>
      </c>
      <c r="F31" s="311">
        <v>3049.7382704699994</v>
      </c>
      <c r="G31" s="1583">
        <v>0.89468864016429239</v>
      </c>
      <c r="H31" s="1593">
        <v>542.7878568751114</v>
      </c>
      <c r="I31" s="51"/>
      <c r="J31" s="51"/>
    </row>
    <row r="32" spans="1:10" ht="20" customHeight="1" thickBot="1">
      <c r="A32" s="89" t="s">
        <v>495</v>
      </c>
      <c r="B32" s="308">
        <v>0</v>
      </c>
      <c r="C32" s="1587" t="s">
        <v>35</v>
      </c>
      <c r="D32" s="308">
        <v>0</v>
      </c>
      <c r="E32" s="1587" t="s">
        <v>35</v>
      </c>
      <c r="F32" s="308">
        <v>0</v>
      </c>
      <c r="G32" s="1582">
        <v>0</v>
      </c>
      <c r="H32" s="1592" t="s">
        <v>35</v>
      </c>
      <c r="I32" s="51"/>
      <c r="J32" s="51"/>
    </row>
    <row r="33" spans="1:10" s="248" customFormat="1" ht="24.75" customHeight="1" thickBot="1">
      <c r="A33" s="91" t="s">
        <v>190</v>
      </c>
      <c r="B33" s="313">
        <v>1476.3631648899996</v>
      </c>
      <c r="C33" s="1589">
        <v>385.65077229068618</v>
      </c>
      <c r="D33" s="313">
        <v>1932.35148013</v>
      </c>
      <c r="E33" s="1589">
        <v>489.02675521067124</v>
      </c>
      <c r="F33" s="313">
        <v>3408.7146450300002</v>
      </c>
      <c r="G33" s="1584">
        <v>1</v>
      </c>
      <c r="H33" s="1594">
        <v>438.15719859350179</v>
      </c>
      <c r="I33" s="315"/>
      <c r="J33" s="315"/>
    </row>
    <row r="34" spans="1:10" ht="20" customHeight="1">
      <c r="A34" s="95" t="s">
        <v>678</v>
      </c>
      <c r="B34" s="126"/>
      <c r="C34" s="292"/>
      <c r="D34" s="126"/>
      <c r="E34" s="292"/>
      <c r="F34" s="126"/>
      <c r="G34" s="126"/>
      <c r="H34" s="126"/>
    </row>
    <row r="35" spans="1:10" ht="12.75" customHeight="1">
      <c r="A35" s="96"/>
      <c r="B35" s="127"/>
      <c r="C35" s="316"/>
      <c r="D35" s="127"/>
      <c r="E35" s="316"/>
      <c r="F35" s="127"/>
      <c r="G35" s="127"/>
      <c r="H35" s="127"/>
    </row>
    <row r="36" spans="1:10" ht="16.5" customHeight="1">
      <c r="A36" s="96" t="s">
        <v>2376</v>
      </c>
      <c r="B36" s="127"/>
      <c r="C36" s="316"/>
      <c r="D36" s="127"/>
      <c r="E36" s="316"/>
      <c r="F36" s="127"/>
      <c r="G36" s="127"/>
      <c r="H36" s="127"/>
    </row>
    <row r="37" spans="1:10" ht="14.25" customHeight="1">
      <c r="A37" s="96"/>
      <c r="B37" s="127"/>
      <c r="C37" s="316"/>
      <c r="D37" s="127"/>
      <c r="E37" s="316"/>
      <c r="F37" s="127"/>
      <c r="G37" s="127"/>
      <c r="H37" s="127"/>
    </row>
    <row r="38" spans="1:10" ht="13.5" customHeight="1">
      <c r="A38" s="326" t="s">
        <v>544</v>
      </c>
      <c r="B38" s="127"/>
      <c r="C38" s="316"/>
      <c r="D38" s="127"/>
      <c r="E38" s="316"/>
      <c r="F38" s="127"/>
      <c r="G38" s="127"/>
      <c r="H38" s="127"/>
    </row>
    <row r="39" spans="1:10" ht="12" customHeight="1">
      <c r="A39" s="96"/>
      <c r="B39" s="127"/>
      <c r="C39" s="316"/>
      <c r="D39" s="127"/>
      <c r="E39" s="316"/>
      <c r="F39" s="127"/>
      <c r="G39" s="127"/>
      <c r="H39" s="127"/>
    </row>
    <row r="40" spans="1:10" ht="14.25" customHeight="1">
      <c r="A40" s="96"/>
      <c r="B40" s="127"/>
      <c r="C40" s="316"/>
      <c r="D40" s="127"/>
      <c r="E40" s="316"/>
      <c r="F40" s="127"/>
      <c r="G40" s="127"/>
      <c r="H40" s="127"/>
    </row>
    <row r="41" spans="1:10" ht="15.75" customHeight="1">
      <c r="A41" s="96" t="s">
        <v>677</v>
      </c>
      <c r="B41" s="127"/>
      <c r="C41" s="316"/>
      <c r="D41" s="127"/>
      <c r="E41" s="316"/>
      <c r="F41" s="127"/>
      <c r="G41" s="127"/>
      <c r="H41" s="127"/>
    </row>
    <row r="42" spans="1:10" ht="18" customHeight="1">
      <c r="A42"/>
    </row>
    <row r="43" spans="1:10" ht="30" customHeight="1"/>
    <row r="44" spans="1:10" ht="30" customHeight="1"/>
    <row r="45" spans="1:10" ht="30" customHeight="1"/>
    <row r="46" spans="1:10" ht="30" customHeight="1"/>
    <row r="47" spans="1:10" ht="30" customHeight="1"/>
    <row r="48" spans="1:10" ht="30" customHeight="1"/>
    <row r="49" ht="30" customHeight="1"/>
    <row r="50" ht="30" customHeight="1"/>
  </sheetData>
  <mergeCells count="3">
    <mergeCell ref="B3:C3"/>
    <mergeCell ref="D3:E3"/>
    <mergeCell ref="F3:H3"/>
  </mergeCells>
  <pageMargins left="0.54" right="0.55118110236220474" top="0.6692913385826772" bottom="0.47244094488188981" header="0.43307086614173229" footer="0.51181102362204722"/>
  <pageSetup paperSize="9" scale="70" orientation="portrait"/>
  <headerFooter alignWithMargins="0"/>
  <rowBreaks count="1" manualBreakCount="1">
    <brk id="41" max="16383" man="1"/>
  </row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F78E6-F24B-F741-8B81-3FB62958D2CE}">
  <sheetPr>
    <pageSetUpPr fitToPage="1"/>
  </sheetPr>
  <dimension ref="A1:H44"/>
  <sheetViews>
    <sheetView zoomScale="75" workbookViewId="0">
      <selection activeCell="F3" sqref="F3:F4"/>
    </sheetView>
  </sheetViews>
  <sheetFormatPr baseColWidth="10" defaultColWidth="11.3984375" defaultRowHeight="13"/>
  <cols>
    <col min="1" max="1" width="19.796875" style="3" customWidth="1"/>
    <col min="2" max="6" width="18.3984375" style="3" customWidth="1"/>
    <col min="7" max="7" width="16.796875" style="3" customWidth="1"/>
    <col min="8" max="8" width="12.19921875" style="3" customWidth="1"/>
    <col min="9" max="16384" width="11.3984375" style="3"/>
  </cols>
  <sheetData>
    <row r="1" spans="1:8" s="2" customFormat="1" ht="14" customHeight="1"/>
    <row r="2" spans="1:8" s="2" customFormat="1" ht="27.75" customHeight="1">
      <c r="A2" s="1807" t="s">
        <v>541</v>
      </c>
      <c r="B2" s="1811"/>
      <c r="C2" s="1811"/>
      <c r="D2" s="1811"/>
      <c r="E2" s="1811"/>
      <c r="F2" s="71">
        <v>2010</v>
      </c>
    </row>
    <row r="3" spans="1:8" ht="27" customHeight="1">
      <c r="A3" s="72" t="s">
        <v>203</v>
      </c>
      <c r="B3" s="73" t="s">
        <v>204</v>
      </c>
      <c r="C3" s="74" t="s">
        <v>205</v>
      </c>
      <c r="D3" s="73" t="s">
        <v>206</v>
      </c>
      <c r="E3" s="74" t="s">
        <v>500</v>
      </c>
      <c r="F3" s="299" t="s">
        <v>585</v>
      </c>
    </row>
    <row r="4" spans="1:8" ht="15" customHeight="1">
      <c r="A4" s="75"/>
      <c r="B4" s="76"/>
      <c r="C4" s="77" t="s">
        <v>206</v>
      </c>
      <c r="D4" s="78"/>
      <c r="E4" s="77" t="s">
        <v>501</v>
      </c>
      <c r="F4" s="78" t="s">
        <v>586</v>
      </c>
    </row>
    <row r="5" spans="1:8" ht="15" customHeight="1">
      <c r="A5" s="75"/>
      <c r="B5" s="76" t="s">
        <v>207</v>
      </c>
      <c r="C5" s="77" t="s">
        <v>208</v>
      </c>
      <c r="D5" s="76" t="s">
        <v>209</v>
      </c>
      <c r="E5" s="77"/>
      <c r="F5" s="78" t="s">
        <v>210</v>
      </c>
    </row>
    <row r="6" spans="1:8" ht="24" customHeight="1">
      <c r="A6" s="79"/>
      <c r="B6" s="80"/>
      <c r="C6" s="79"/>
      <c r="D6" s="80"/>
      <c r="E6" s="81"/>
      <c r="F6" s="82"/>
      <c r="H6" s="83"/>
    </row>
    <row r="7" spans="1:8" ht="30" customHeight="1" thickBot="1">
      <c r="A7" s="84" t="s">
        <v>211</v>
      </c>
      <c r="B7" s="85">
        <v>910.92329613492041</v>
      </c>
      <c r="C7" s="86">
        <v>1046.6528359865654</v>
      </c>
      <c r="D7" s="85">
        <v>3260.8655547142203</v>
      </c>
      <c r="E7" s="86">
        <v>2658.1695727129568</v>
      </c>
      <c r="F7" s="87">
        <v>2.4279554960105577E-2</v>
      </c>
      <c r="H7" s="88"/>
    </row>
    <row r="8" spans="1:8" ht="20" customHeight="1" thickBot="1">
      <c r="A8" s="89" t="s">
        <v>212</v>
      </c>
      <c r="B8" s="85">
        <v>767.96771401091723</v>
      </c>
      <c r="C8" s="86">
        <v>967.82619397989345</v>
      </c>
      <c r="D8" s="85">
        <v>3638.9194489221923</v>
      </c>
      <c r="E8" s="86">
        <v>2892.7488001419242</v>
      </c>
      <c r="F8" s="87">
        <v>1.5933382149463E-2</v>
      </c>
      <c r="H8" s="88"/>
    </row>
    <row r="9" spans="1:8" ht="20" customHeight="1" thickBot="1">
      <c r="A9" s="89" t="s">
        <v>213</v>
      </c>
      <c r="B9" s="85">
        <v>709.00805189970754</v>
      </c>
      <c r="C9" s="86">
        <v>816.80895063704463</v>
      </c>
      <c r="D9" s="85">
        <v>2937.091096510122</v>
      </c>
      <c r="E9" s="86">
        <v>2291.8030558776159</v>
      </c>
      <c r="F9" s="87">
        <v>2.3339481847506754E-2</v>
      </c>
      <c r="H9" s="88"/>
    </row>
    <row r="10" spans="1:8" ht="20" customHeight="1" thickBot="1">
      <c r="A10" s="89" t="s">
        <v>214</v>
      </c>
      <c r="B10" s="85">
        <v>645.21420470754549</v>
      </c>
      <c r="C10" s="86">
        <v>743.22931727154707</v>
      </c>
      <c r="D10" s="85">
        <v>2793.8070944149945</v>
      </c>
      <c r="E10" s="86">
        <v>2174.6586066543464</v>
      </c>
      <c r="F10" s="87">
        <v>5.3778224976482577E-3</v>
      </c>
      <c r="H10" s="88"/>
    </row>
    <row r="11" spans="1:8" ht="20" customHeight="1" thickBot="1">
      <c r="A11" s="89" t="s">
        <v>215</v>
      </c>
      <c r="B11" s="85">
        <v>839.5311396458801</v>
      </c>
      <c r="C11" s="86">
        <v>787.59472496681212</v>
      </c>
      <c r="D11" s="85">
        <v>2790.4188011395213</v>
      </c>
      <c r="E11" s="86">
        <v>2225.2091375768055</v>
      </c>
      <c r="F11" s="87">
        <v>2.5307212260311279E-4</v>
      </c>
      <c r="H11" s="88"/>
    </row>
    <row r="12" spans="1:8" ht="20" customHeight="1" thickBot="1">
      <c r="A12" s="89" t="s">
        <v>216</v>
      </c>
      <c r="B12" s="85">
        <v>693.42461742142939</v>
      </c>
      <c r="C12" s="86">
        <v>722.70255243871622</v>
      </c>
      <c r="D12" s="85">
        <v>2604.2075950164158</v>
      </c>
      <c r="E12" s="86">
        <v>2033.766976369847</v>
      </c>
      <c r="F12" s="87">
        <v>-1.2195867335059229E-2</v>
      </c>
      <c r="H12" s="88"/>
    </row>
    <row r="13" spans="1:8" ht="20" customHeight="1" thickBot="1">
      <c r="A13" s="89" t="s">
        <v>217</v>
      </c>
      <c r="B13" s="85">
        <v>654.18103795286538</v>
      </c>
      <c r="C13" s="86">
        <v>656.43253548924565</v>
      </c>
      <c r="D13" s="85">
        <v>2540.4338814505591</v>
      </c>
      <c r="E13" s="86">
        <v>2022.6549757315913</v>
      </c>
      <c r="F13" s="87">
        <v>1.7940642370770584E-2</v>
      </c>
      <c r="H13" s="88"/>
    </row>
    <row r="14" spans="1:8" ht="20" customHeight="1" thickBot="1">
      <c r="A14" s="89" t="s">
        <v>218</v>
      </c>
      <c r="B14" s="85">
        <v>762.74672303232376</v>
      </c>
      <c r="C14" s="86">
        <v>845.85681069141071</v>
      </c>
      <c r="D14" s="85">
        <v>2969.8096997317257</v>
      </c>
      <c r="E14" s="86">
        <v>2348.5362628836929</v>
      </c>
      <c r="F14" s="87">
        <v>4.5083311660801727E-2</v>
      </c>
      <c r="H14" s="88"/>
    </row>
    <row r="15" spans="1:8" ht="20" customHeight="1" thickBot="1">
      <c r="A15" s="89" t="s">
        <v>219</v>
      </c>
      <c r="B15" s="85">
        <v>757.31859504458237</v>
      </c>
      <c r="C15" s="86">
        <v>917.89588871440628</v>
      </c>
      <c r="D15" s="85">
        <v>2752.8883234480322</v>
      </c>
      <c r="E15" s="86">
        <v>2224.593910365787</v>
      </c>
      <c r="F15" s="87">
        <v>1.9915758674861839E-2</v>
      </c>
      <c r="H15" s="88"/>
    </row>
    <row r="16" spans="1:8" ht="20" customHeight="1" thickBot="1">
      <c r="A16" s="89" t="s">
        <v>220</v>
      </c>
      <c r="B16" s="85">
        <v>793.10239937163328</v>
      </c>
      <c r="C16" s="86">
        <v>983.78729166863036</v>
      </c>
      <c r="D16" s="85">
        <v>3222.457894842511</v>
      </c>
      <c r="E16" s="86">
        <v>2480.6567752780611</v>
      </c>
      <c r="F16" s="87">
        <v>1.5241487929371335E-2</v>
      </c>
      <c r="H16" s="88"/>
    </row>
    <row r="17" spans="1:8" ht="20" customHeight="1" thickBot="1">
      <c r="A17" s="89" t="s">
        <v>221</v>
      </c>
      <c r="B17" s="85">
        <v>832.95496248205041</v>
      </c>
      <c r="C17" s="86">
        <v>872.78582764997941</v>
      </c>
      <c r="D17" s="85">
        <v>3172.9411728071609</v>
      </c>
      <c r="E17" s="86">
        <v>2535.0844626187836</v>
      </c>
      <c r="F17" s="87">
        <v>4.7294682188847937E-3</v>
      </c>
      <c r="H17" s="88"/>
    </row>
    <row r="18" spans="1:8" ht="20" customHeight="1" thickBot="1">
      <c r="A18" s="89" t="s">
        <v>222</v>
      </c>
      <c r="B18" s="85">
        <v>1128.1726448125708</v>
      </c>
      <c r="C18" s="86">
        <v>1298.8494259734468</v>
      </c>
      <c r="D18" s="85">
        <v>4534.7821416224315</v>
      </c>
      <c r="E18" s="86">
        <v>3765.5756161655959</v>
      </c>
      <c r="F18" s="87">
        <v>-2.1268528030155137E-3</v>
      </c>
      <c r="H18" s="88"/>
    </row>
    <row r="19" spans="1:8" ht="20" customHeight="1" thickBot="1">
      <c r="A19" s="89" t="s">
        <v>223</v>
      </c>
      <c r="B19" s="85">
        <v>982.29528108932413</v>
      </c>
      <c r="C19" s="86">
        <v>1109.7091680436552</v>
      </c>
      <c r="D19" s="85">
        <v>3565.9892281621533</v>
      </c>
      <c r="E19" s="86">
        <v>2900.7793797217996</v>
      </c>
      <c r="F19" s="87">
        <v>2.1004541562354349E-2</v>
      </c>
      <c r="H19" s="88"/>
    </row>
    <row r="20" spans="1:8" ht="20" customHeight="1" thickBot="1">
      <c r="A20" s="89" t="s">
        <v>224</v>
      </c>
      <c r="B20" s="85">
        <v>750.72769501242408</v>
      </c>
      <c r="C20" s="86">
        <v>900.91010686367213</v>
      </c>
      <c r="D20" s="85">
        <v>3252.744402036933</v>
      </c>
      <c r="E20" s="86">
        <v>2594.3235905194601</v>
      </c>
      <c r="F20" s="87">
        <v>4.218620678547165E-2</v>
      </c>
      <c r="H20" s="88"/>
    </row>
    <row r="21" spans="1:8" ht="20" customHeight="1" thickBot="1">
      <c r="A21" s="89" t="s">
        <v>225</v>
      </c>
      <c r="B21" s="85">
        <v>729.74481021865313</v>
      </c>
      <c r="C21" s="86">
        <v>730.53683063738799</v>
      </c>
      <c r="D21" s="85">
        <v>2694.5190757919086</v>
      </c>
      <c r="E21" s="86">
        <v>2127.1393635695599</v>
      </c>
      <c r="F21" s="87">
        <v>3.2756248418553686E-2</v>
      </c>
      <c r="H21" s="88"/>
    </row>
    <row r="22" spans="1:8" ht="20" customHeight="1" thickBot="1">
      <c r="A22" s="89" t="s">
        <v>226</v>
      </c>
      <c r="B22" s="85">
        <v>616.98603292648625</v>
      </c>
      <c r="C22" s="86">
        <v>569.32578682688882</v>
      </c>
      <c r="D22" s="85">
        <v>2337.8042626388819</v>
      </c>
      <c r="E22" s="86">
        <v>1777.8068734259887</v>
      </c>
      <c r="F22" s="87">
        <v>2.1636488375995612E-2</v>
      </c>
      <c r="H22" s="88"/>
    </row>
    <row r="23" spans="1:8" ht="20" customHeight="1" thickBot="1">
      <c r="A23" s="89" t="s">
        <v>227</v>
      </c>
      <c r="B23" s="85">
        <v>761.03204685082198</v>
      </c>
      <c r="C23" s="86">
        <v>838.82959552563773</v>
      </c>
      <c r="D23" s="85">
        <v>2860.8890776527792</v>
      </c>
      <c r="E23" s="86">
        <v>2238.4001883806627</v>
      </c>
      <c r="F23" s="87">
        <v>2.2969875513837057E-2</v>
      </c>
      <c r="H23" s="88"/>
    </row>
    <row r="24" spans="1:8" ht="20" customHeight="1" thickBot="1">
      <c r="A24" s="89" t="s">
        <v>228</v>
      </c>
      <c r="B24" s="85">
        <v>828.28392478844978</v>
      </c>
      <c r="C24" s="86">
        <v>740.14715296604516</v>
      </c>
      <c r="D24" s="85">
        <v>2890.1317129722738</v>
      </c>
      <c r="E24" s="86">
        <v>2324.1735380507153</v>
      </c>
      <c r="F24" s="87">
        <v>1.338684939546721E-2</v>
      </c>
      <c r="H24" s="88"/>
    </row>
    <row r="25" spans="1:8" ht="20" customHeight="1" thickBot="1">
      <c r="A25" s="89" t="s">
        <v>229</v>
      </c>
      <c r="B25" s="85">
        <v>844.76338844652093</v>
      </c>
      <c r="C25" s="86">
        <v>957.47700694374726</v>
      </c>
      <c r="D25" s="85">
        <v>3038.5247423337632</v>
      </c>
      <c r="E25" s="86">
        <v>2427.3223725664839</v>
      </c>
      <c r="F25" s="87">
        <v>2.8434604260328778E-2</v>
      </c>
      <c r="H25" s="88"/>
    </row>
    <row r="26" spans="1:8" ht="20" customHeight="1" thickBot="1">
      <c r="A26" s="89" t="s">
        <v>230</v>
      </c>
      <c r="B26" s="85">
        <v>774.52971241958699</v>
      </c>
      <c r="C26" s="86">
        <v>836.77339266501178</v>
      </c>
      <c r="D26" s="85">
        <v>2891.0279465442914</v>
      </c>
      <c r="E26" s="86">
        <v>2264.2043659244682</v>
      </c>
      <c r="F26" s="87">
        <v>1.435844912987967E-2</v>
      </c>
      <c r="H26" s="88"/>
    </row>
    <row r="27" spans="1:8" ht="20" customHeight="1" thickBot="1">
      <c r="A27" s="89" t="s">
        <v>231</v>
      </c>
      <c r="B27" s="85">
        <v>874.72548504788188</v>
      </c>
      <c r="C27" s="86">
        <v>853.7847604327003</v>
      </c>
      <c r="D27" s="85">
        <v>3789.2543738918357</v>
      </c>
      <c r="E27" s="86">
        <v>3063.7613533942704</v>
      </c>
      <c r="F27" s="87">
        <v>2.3739584993282947E-2</v>
      </c>
      <c r="H27" s="88"/>
    </row>
    <row r="28" spans="1:8" ht="20" customHeight="1" thickBot="1">
      <c r="A28" s="89" t="s">
        <v>232</v>
      </c>
      <c r="B28" s="85">
        <v>1010.9053765073837</v>
      </c>
      <c r="C28" s="86">
        <v>1063.6150371203723</v>
      </c>
      <c r="D28" s="85">
        <v>3826.6739161573541</v>
      </c>
      <c r="E28" s="86">
        <v>3000.5752805927932</v>
      </c>
      <c r="F28" s="87">
        <v>2.4491702135104199E-2</v>
      </c>
      <c r="H28" s="88"/>
    </row>
    <row r="29" spans="1:8" ht="20" customHeight="1" thickBot="1">
      <c r="A29" s="89" t="s">
        <v>233</v>
      </c>
      <c r="B29" s="85">
        <v>782.35934216510225</v>
      </c>
      <c r="C29" s="86">
        <v>1882.9517012244978</v>
      </c>
      <c r="D29" s="85">
        <v>2984.3428352062579</v>
      </c>
      <c r="E29" s="86">
        <v>2458.3602175078854</v>
      </c>
      <c r="F29" s="87">
        <v>3.4844595279391578E-2</v>
      </c>
      <c r="H29" s="88"/>
    </row>
    <row r="30" spans="1:8" ht="20" customHeight="1" thickBot="1">
      <c r="A30" s="89" t="s">
        <v>234</v>
      </c>
      <c r="B30" s="85">
        <v>831.10236608871367</v>
      </c>
      <c r="C30" s="86">
        <v>852.8155905209502</v>
      </c>
      <c r="D30" s="85">
        <v>3558.887451931615</v>
      </c>
      <c r="E30" s="86">
        <v>2762.9302320989705</v>
      </c>
      <c r="F30" s="87">
        <v>2.0987102886894295E-2</v>
      </c>
      <c r="H30" s="88"/>
    </row>
    <row r="31" spans="1:8" ht="20" customHeight="1" thickBot="1">
      <c r="A31" s="89" t="s">
        <v>235</v>
      </c>
      <c r="B31" s="85">
        <v>1212.2381574307246</v>
      </c>
      <c r="C31" s="86">
        <v>1365.0026278912592</v>
      </c>
      <c r="D31" s="85">
        <v>4360.5181683162418</v>
      </c>
      <c r="E31" s="86">
        <v>3462.626766805437</v>
      </c>
      <c r="F31" s="87">
        <v>1.916916068133109E-2</v>
      </c>
      <c r="H31" s="88"/>
    </row>
    <row r="32" spans="1:8" ht="20" customHeight="1" thickBot="1">
      <c r="A32" s="90" t="s">
        <v>236</v>
      </c>
      <c r="B32" s="85">
        <v>846.44224705837678</v>
      </c>
      <c r="C32" s="86">
        <v>895.90657688759791</v>
      </c>
      <c r="D32" s="85">
        <v>3710.6287188781421</v>
      </c>
      <c r="E32" s="86">
        <v>2854.251260616285</v>
      </c>
      <c r="F32" s="87">
        <v>4.8801742064016412E-2</v>
      </c>
      <c r="H32" s="88"/>
    </row>
    <row r="33" spans="1:8" ht="20" customHeight="1" thickBot="1">
      <c r="A33" s="289" t="s">
        <v>494</v>
      </c>
      <c r="B33" s="85">
        <v>817.66998979040295</v>
      </c>
      <c r="C33" s="86">
        <v>339.08329053012898</v>
      </c>
      <c r="D33" s="85">
        <v>1140.8334901314508</v>
      </c>
      <c r="E33" s="86">
        <v>1034.0574594830205</v>
      </c>
      <c r="F33" s="87">
        <v>-3.0321769890964694E-3</v>
      </c>
      <c r="H33" s="88"/>
    </row>
    <row r="34" spans="1:8" ht="20" customHeight="1" thickBot="1">
      <c r="A34" s="90" t="s">
        <v>495</v>
      </c>
      <c r="B34" s="131" t="s">
        <v>35</v>
      </c>
      <c r="C34" s="130" t="s">
        <v>35</v>
      </c>
      <c r="D34" s="131" t="s">
        <v>35</v>
      </c>
      <c r="E34" s="130" t="s">
        <v>35</v>
      </c>
      <c r="F34" s="87" t="s">
        <v>35</v>
      </c>
      <c r="H34" s="88"/>
    </row>
    <row r="35" spans="1:8" ht="30" customHeight="1" thickBot="1">
      <c r="A35" s="91" t="s">
        <v>0</v>
      </c>
      <c r="B35" s="92">
        <v>868.29367891662014</v>
      </c>
      <c r="C35" s="93">
        <v>1007.5237667050255</v>
      </c>
      <c r="D35" s="92">
        <v>3366.6352662663126</v>
      </c>
      <c r="E35" s="93">
        <v>2684.4030022827769</v>
      </c>
      <c r="F35" s="94">
        <v>2.0706742596030323E-2</v>
      </c>
      <c r="H35" s="88"/>
    </row>
    <row r="36" spans="1:8" ht="20" customHeight="1">
      <c r="A36" s="95" t="s">
        <v>678</v>
      </c>
      <c r="B36" s="95"/>
      <c r="C36" s="95"/>
      <c r="D36" s="95"/>
      <c r="E36" s="95"/>
      <c r="F36" s="95"/>
      <c r="H36" s="83"/>
    </row>
    <row r="37" spans="1:8" ht="11.25" customHeight="1">
      <c r="A37" s="96"/>
      <c r="B37" s="96"/>
      <c r="C37" s="96"/>
      <c r="D37" s="96"/>
      <c r="E37" s="96"/>
      <c r="F37" s="96"/>
      <c r="H37" s="83"/>
    </row>
    <row r="38" spans="1:8" ht="14.25" customHeight="1">
      <c r="A38" s="96" t="s">
        <v>540</v>
      </c>
      <c r="B38" s="96"/>
      <c r="C38" s="96"/>
      <c r="D38" s="96"/>
      <c r="E38" s="96"/>
      <c r="F38" s="96"/>
      <c r="H38" s="83"/>
    </row>
    <row r="39" spans="1:8" ht="13.5" customHeight="1">
      <c r="A39" s="96"/>
      <c r="B39" s="96"/>
      <c r="C39" s="96"/>
      <c r="D39" s="96"/>
      <c r="E39" s="96"/>
      <c r="F39" s="96"/>
      <c r="H39" s="83"/>
    </row>
    <row r="40" spans="1:8" ht="15" customHeight="1">
      <c r="A40" s="96" t="s">
        <v>536</v>
      </c>
      <c r="B40" s="96"/>
      <c r="C40" s="96"/>
      <c r="D40" s="96"/>
      <c r="E40" s="96"/>
    </row>
    <row r="41" spans="1:8" ht="13.5" customHeight="1">
      <c r="A41" s="96" t="s">
        <v>498</v>
      </c>
    </row>
    <row r="42" spans="1:8" ht="13.5" customHeight="1">
      <c r="A42" s="96"/>
    </row>
    <row r="43" spans="1:8" ht="12" customHeight="1"/>
    <row r="44" spans="1:8" ht="12" customHeight="1">
      <c r="A44" s="96" t="s">
        <v>677</v>
      </c>
    </row>
  </sheetData>
  <mergeCells count="1">
    <mergeCell ref="A2:E2"/>
  </mergeCells>
  <pageMargins left="0.65" right="0.5" top="0.87" bottom="0.49" header="0.51" footer="0.4921259845"/>
  <pageSetup paperSize="9" scale="72" orientation="portrait"/>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4479E-62F7-C04D-8F33-A9299049DA8B}">
  <sheetPr>
    <pageSetUpPr fitToPage="1"/>
  </sheetPr>
  <dimension ref="A1:H44"/>
  <sheetViews>
    <sheetView zoomScale="75" workbookViewId="0">
      <selection activeCell="I13" sqref="I13"/>
    </sheetView>
  </sheetViews>
  <sheetFormatPr baseColWidth="10" defaultColWidth="11.3984375" defaultRowHeight="13"/>
  <cols>
    <col min="1" max="1" width="19.59765625" style="3" customWidth="1"/>
    <col min="2" max="5" width="18.59765625" style="3" customWidth="1"/>
    <col min="6" max="6" width="20" style="3" customWidth="1"/>
    <col min="7" max="7" width="16.796875" style="3" customWidth="1"/>
    <col min="8" max="8" width="12.19921875" style="3" customWidth="1"/>
    <col min="9" max="16384" width="11.3984375" style="3"/>
  </cols>
  <sheetData>
    <row r="1" spans="1:8" s="2" customFormat="1" ht="14" customHeight="1"/>
    <row r="2" spans="1:8" s="2" customFormat="1" ht="32.25" customHeight="1">
      <c r="A2" s="1807" t="s">
        <v>542</v>
      </c>
      <c r="B2" s="1811"/>
      <c r="C2" s="1811"/>
      <c r="D2" s="1811"/>
      <c r="E2" s="1811"/>
      <c r="F2" s="71">
        <v>2010</v>
      </c>
    </row>
    <row r="3" spans="1:8" ht="27" customHeight="1">
      <c r="A3" s="72" t="s">
        <v>203</v>
      </c>
      <c r="B3" s="73" t="s">
        <v>204</v>
      </c>
      <c r="C3" s="74" t="s">
        <v>205</v>
      </c>
      <c r="D3" s="73" t="s">
        <v>206</v>
      </c>
      <c r="E3" s="74" t="s">
        <v>500</v>
      </c>
      <c r="F3" s="299" t="s">
        <v>585</v>
      </c>
    </row>
    <row r="4" spans="1:8" ht="15" customHeight="1">
      <c r="A4" s="75"/>
      <c r="B4" s="76"/>
      <c r="C4" s="77" t="s">
        <v>206</v>
      </c>
      <c r="D4" s="78"/>
      <c r="E4" s="77" t="s">
        <v>501</v>
      </c>
      <c r="F4" s="78" t="s">
        <v>586</v>
      </c>
    </row>
    <row r="5" spans="1:8" ht="15" customHeight="1">
      <c r="A5" s="75"/>
      <c r="B5" s="76" t="s">
        <v>207</v>
      </c>
      <c r="C5" s="77" t="s">
        <v>208</v>
      </c>
      <c r="D5" s="76" t="s">
        <v>209</v>
      </c>
      <c r="E5" s="77"/>
      <c r="F5" s="78" t="s">
        <v>210</v>
      </c>
    </row>
    <row r="6" spans="1:8" ht="24" customHeight="1">
      <c r="A6" s="79"/>
      <c r="B6" s="80"/>
      <c r="C6" s="79"/>
      <c r="D6" s="80"/>
      <c r="E6" s="81"/>
      <c r="F6" s="82"/>
      <c r="H6" s="83"/>
    </row>
    <row r="7" spans="1:8" ht="30" customHeight="1" thickBot="1">
      <c r="A7" s="84" t="s">
        <v>211</v>
      </c>
      <c r="B7" s="85">
        <v>93.547285683139179</v>
      </c>
      <c r="C7" s="86">
        <v>341.11624046546063</v>
      </c>
      <c r="D7" s="85">
        <v>550.23535251367548</v>
      </c>
      <c r="E7" s="86">
        <v>450.08688048681182</v>
      </c>
      <c r="F7" s="87">
        <v>-9.5240042722232756E-4</v>
      </c>
      <c r="H7" s="88"/>
    </row>
    <row r="8" spans="1:8" ht="20" customHeight="1" thickBot="1">
      <c r="A8" s="89" t="s">
        <v>212</v>
      </c>
      <c r="B8" s="85">
        <v>82.63873410061808</v>
      </c>
      <c r="C8" s="86">
        <v>321.38335244248611</v>
      </c>
      <c r="D8" s="85">
        <v>544.80096076889185</v>
      </c>
      <c r="E8" s="86">
        <v>441.79234253093495</v>
      </c>
      <c r="F8" s="87">
        <v>-1.5777331210638845E-2</v>
      </c>
      <c r="H8" s="88"/>
    </row>
    <row r="9" spans="1:8" ht="20" customHeight="1" thickBot="1">
      <c r="A9" s="89" t="s">
        <v>213</v>
      </c>
      <c r="B9" s="85">
        <v>79.86191680232028</v>
      </c>
      <c r="C9" s="86">
        <v>298.08846282686841</v>
      </c>
      <c r="D9" s="85">
        <v>476.13111288014716</v>
      </c>
      <c r="E9" s="86">
        <v>379.87019714343461</v>
      </c>
      <c r="F9" s="87">
        <v>1.5698365757657443E-2</v>
      </c>
      <c r="H9" s="88"/>
    </row>
    <row r="10" spans="1:8" ht="20" customHeight="1" thickBot="1">
      <c r="A10" s="89" t="s">
        <v>214</v>
      </c>
      <c r="B10" s="85">
        <v>80.960576519047009</v>
      </c>
      <c r="C10" s="86">
        <v>290.31182362386869</v>
      </c>
      <c r="D10" s="85">
        <v>485.49990874043471</v>
      </c>
      <c r="E10" s="86">
        <v>386.42642646622949</v>
      </c>
      <c r="F10" s="87">
        <v>7.022326734363653E-3</v>
      </c>
      <c r="H10" s="88"/>
    </row>
    <row r="11" spans="1:8" ht="20" customHeight="1" thickBot="1">
      <c r="A11" s="89" t="s">
        <v>215</v>
      </c>
      <c r="B11" s="85">
        <v>91.022462394810304</v>
      </c>
      <c r="C11" s="86">
        <v>335.35229641258343</v>
      </c>
      <c r="D11" s="85">
        <v>519.51246792034487</v>
      </c>
      <c r="E11" s="86">
        <v>417.76350066581216</v>
      </c>
      <c r="F11" s="87">
        <v>-3.9762111575235709E-3</v>
      </c>
      <c r="H11" s="88"/>
    </row>
    <row r="12" spans="1:8" ht="20" customHeight="1" thickBot="1">
      <c r="A12" s="89" t="s">
        <v>216</v>
      </c>
      <c r="B12" s="85">
        <v>76.041666837628583</v>
      </c>
      <c r="C12" s="86">
        <v>288.75819078077842</v>
      </c>
      <c r="D12" s="85">
        <v>473.77527361332187</v>
      </c>
      <c r="E12" s="86">
        <v>374.88041867815645</v>
      </c>
      <c r="F12" s="87">
        <v>-3.8400628062178668E-3</v>
      </c>
      <c r="H12" s="88"/>
    </row>
    <row r="13" spans="1:8" ht="20" customHeight="1" thickBot="1">
      <c r="A13" s="89" t="s">
        <v>217</v>
      </c>
      <c r="B13" s="85">
        <v>75.460925982871913</v>
      </c>
      <c r="C13" s="86">
        <v>284.77255013781962</v>
      </c>
      <c r="D13" s="85">
        <v>474.71039182745335</v>
      </c>
      <c r="E13" s="86">
        <v>383.50721454307319</v>
      </c>
      <c r="F13" s="87">
        <v>1.3591734799343369E-2</v>
      </c>
      <c r="H13" s="88"/>
    </row>
    <row r="14" spans="1:8" ht="20" customHeight="1" thickBot="1">
      <c r="A14" s="89" t="s">
        <v>218</v>
      </c>
      <c r="B14" s="85">
        <v>85.131028396760556</v>
      </c>
      <c r="C14" s="86">
        <v>317.3157810780632</v>
      </c>
      <c r="D14" s="85">
        <v>516.80815343742017</v>
      </c>
      <c r="E14" s="86">
        <v>415.89317790064763</v>
      </c>
      <c r="F14" s="87">
        <v>1.6297013358944137E-2</v>
      </c>
      <c r="H14" s="88"/>
    </row>
    <row r="15" spans="1:8" ht="20" customHeight="1" thickBot="1">
      <c r="A15" s="89" t="s">
        <v>219</v>
      </c>
      <c r="B15" s="85">
        <v>81.973315054532435</v>
      </c>
      <c r="C15" s="86">
        <v>315.4216511057968</v>
      </c>
      <c r="D15" s="85">
        <v>490.90144882210387</v>
      </c>
      <c r="E15" s="86">
        <v>398.36630919634575</v>
      </c>
      <c r="F15" s="87">
        <v>-3.2480356799763528E-3</v>
      </c>
      <c r="H15" s="88"/>
    </row>
    <row r="16" spans="1:8" ht="20" customHeight="1" thickBot="1">
      <c r="A16" s="89" t="s">
        <v>220</v>
      </c>
      <c r="B16" s="85">
        <v>86.500887121265592</v>
      </c>
      <c r="C16" s="86">
        <v>333.52540793381422</v>
      </c>
      <c r="D16" s="85">
        <v>540.21858433665261</v>
      </c>
      <c r="E16" s="86">
        <v>420.37141213536546</v>
      </c>
      <c r="F16" s="87">
        <v>-6.3938378369178149E-3</v>
      </c>
      <c r="H16" s="88"/>
    </row>
    <row r="17" spans="1:8" ht="20" customHeight="1" thickBot="1">
      <c r="A17" s="89" t="s">
        <v>221</v>
      </c>
      <c r="B17" s="85">
        <v>87.153826536511929</v>
      </c>
      <c r="C17" s="86">
        <v>321.10313542720979</v>
      </c>
      <c r="D17" s="85">
        <v>534.86903457782466</v>
      </c>
      <c r="E17" s="86">
        <v>432.83516394969013</v>
      </c>
      <c r="F17" s="87">
        <v>-1.6749789291170048E-3</v>
      </c>
      <c r="H17" s="88"/>
    </row>
    <row r="18" spans="1:8" ht="20" customHeight="1" thickBot="1">
      <c r="A18" s="89" t="s">
        <v>222</v>
      </c>
      <c r="B18" s="85">
        <v>102.20505807765116</v>
      </c>
      <c r="C18" s="86">
        <v>333.31694096679206</v>
      </c>
      <c r="D18" s="85">
        <v>578.99758244387169</v>
      </c>
      <c r="E18" s="86">
        <v>486.537488433416</v>
      </c>
      <c r="F18" s="87">
        <v>-9.4081483777830915E-5</v>
      </c>
      <c r="H18" s="88"/>
    </row>
    <row r="19" spans="1:8" ht="20" customHeight="1" thickBot="1">
      <c r="A19" s="89" t="s">
        <v>223</v>
      </c>
      <c r="B19" s="85">
        <v>107.89025821489719</v>
      </c>
      <c r="C19" s="86">
        <v>373.41861294619849</v>
      </c>
      <c r="D19" s="85">
        <v>599.3452635123524</v>
      </c>
      <c r="E19" s="86">
        <v>491.99580639889444</v>
      </c>
      <c r="F19" s="87">
        <v>-9.927493827361758E-3</v>
      </c>
      <c r="H19" s="88"/>
    </row>
    <row r="20" spans="1:8" ht="20" customHeight="1" thickBot="1">
      <c r="A20" s="89" t="s">
        <v>224</v>
      </c>
      <c r="B20" s="85">
        <v>76.512007399332731</v>
      </c>
      <c r="C20" s="86">
        <v>312.79669357893385</v>
      </c>
      <c r="D20" s="85">
        <v>541.99035928676665</v>
      </c>
      <c r="E20" s="86">
        <v>437.9479294302912</v>
      </c>
      <c r="F20" s="87">
        <v>3.3476325217476439E-3</v>
      </c>
      <c r="H20" s="88"/>
    </row>
    <row r="21" spans="1:8" ht="20" customHeight="1" thickBot="1">
      <c r="A21" s="89" t="s">
        <v>225</v>
      </c>
      <c r="B21" s="85">
        <v>74.435746533910802</v>
      </c>
      <c r="C21" s="86">
        <v>284.83279805924332</v>
      </c>
      <c r="D21" s="85">
        <v>478.14005362065188</v>
      </c>
      <c r="E21" s="86">
        <v>380.90846329446413</v>
      </c>
      <c r="F21" s="87">
        <v>9.4423787139563849E-3</v>
      </c>
      <c r="H21" s="88"/>
    </row>
    <row r="22" spans="1:8" ht="20" customHeight="1" thickBot="1">
      <c r="A22" s="89" t="s">
        <v>226</v>
      </c>
      <c r="B22" s="85">
        <v>67.794298404172906</v>
      </c>
      <c r="C22" s="86">
        <v>281.34604687372473</v>
      </c>
      <c r="D22" s="85">
        <v>449.69709733875817</v>
      </c>
      <c r="E22" s="86">
        <v>348.09662618392321</v>
      </c>
      <c r="F22" s="87">
        <v>1.6567314414255397E-2</v>
      </c>
      <c r="H22" s="88"/>
    </row>
    <row r="23" spans="1:8" ht="20" customHeight="1" thickBot="1">
      <c r="A23" s="89" t="s">
        <v>227</v>
      </c>
      <c r="B23" s="85">
        <v>83.774457957578392</v>
      </c>
      <c r="C23" s="86">
        <v>323.39974670906673</v>
      </c>
      <c r="D23" s="85">
        <v>509.99390785795089</v>
      </c>
      <c r="E23" s="86">
        <v>405.43029900858056</v>
      </c>
      <c r="F23" s="87">
        <v>1.1423934943273059E-2</v>
      </c>
      <c r="H23" s="88"/>
    </row>
    <row r="24" spans="1:8" ht="20" customHeight="1" thickBot="1">
      <c r="A24" s="89" t="s">
        <v>228</v>
      </c>
      <c r="B24" s="85">
        <v>83.807418776381382</v>
      </c>
      <c r="C24" s="86">
        <v>288.75738074165093</v>
      </c>
      <c r="D24" s="85">
        <v>481.11116851963686</v>
      </c>
      <c r="E24" s="86">
        <v>393.07080980562</v>
      </c>
      <c r="F24" s="87">
        <v>1.9210794666783277E-3</v>
      </c>
      <c r="H24" s="88"/>
    </row>
    <row r="25" spans="1:8" ht="20" customHeight="1" thickBot="1">
      <c r="A25" s="89" t="s">
        <v>229</v>
      </c>
      <c r="B25" s="85">
        <v>86.093015933643798</v>
      </c>
      <c r="C25" s="86">
        <v>325.72379082210227</v>
      </c>
      <c r="D25" s="85">
        <v>515.39253060359295</v>
      </c>
      <c r="E25" s="86">
        <v>414.80628449684951</v>
      </c>
      <c r="F25" s="87">
        <v>8.3553865289089126E-3</v>
      </c>
      <c r="H25" s="88"/>
    </row>
    <row r="26" spans="1:8" ht="20" customHeight="1" thickBot="1">
      <c r="A26" s="89" t="s">
        <v>230</v>
      </c>
      <c r="B26" s="85">
        <v>84.408535062196947</v>
      </c>
      <c r="C26" s="86">
        <v>313.8909265738709</v>
      </c>
      <c r="D26" s="85">
        <v>505.97431945263833</v>
      </c>
      <c r="E26" s="86">
        <v>401.88218001412963</v>
      </c>
      <c r="F26" s="87">
        <v>3.2017552100619484E-3</v>
      </c>
      <c r="H26" s="88"/>
    </row>
    <row r="27" spans="1:8" ht="20" customHeight="1" thickBot="1">
      <c r="A27" s="89" t="s">
        <v>231</v>
      </c>
      <c r="B27" s="85">
        <v>104.61708191589129</v>
      </c>
      <c r="C27" s="86">
        <v>362.64972758197689</v>
      </c>
      <c r="D27" s="85">
        <v>588.39679859200965</v>
      </c>
      <c r="E27" s="86">
        <v>486.43955680505229</v>
      </c>
      <c r="F27" s="87">
        <v>2.8651270862542848E-3</v>
      </c>
      <c r="H27" s="88"/>
    </row>
    <row r="28" spans="1:8" ht="20" customHeight="1" thickBot="1">
      <c r="A28" s="89" t="s">
        <v>232</v>
      </c>
      <c r="B28" s="85">
        <v>121.9596730477349</v>
      </c>
      <c r="C28" s="86">
        <v>358.30221131881183</v>
      </c>
      <c r="D28" s="85">
        <v>589.51186512246716</v>
      </c>
      <c r="E28" s="86">
        <v>471.26917591697668</v>
      </c>
      <c r="F28" s="87">
        <v>-6.8693719280185986E-3</v>
      </c>
      <c r="H28" s="88"/>
    </row>
    <row r="29" spans="1:8" ht="20" customHeight="1" thickBot="1">
      <c r="A29" s="89" t="s">
        <v>233</v>
      </c>
      <c r="B29" s="85">
        <v>86.710336244134837</v>
      </c>
      <c r="C29" s="86">
        <v>294.21080700313723</v>
      </c>
      <c r="D29" s="85">
        <v>502.04939057690058</v>
      </c>
      <c r="E29" s="86">
        <v>402.82987469265663</v>
      </c>
      <c r="F29" s="87">
        <v>1.2662979075562355E-2</v>
      </c>
      <c r="H29" s="88"/>
    </row>
    <row r="30" spans="1:8" ht="20" customHeight="1" thickBot="1">
      <c r="A30" s="89" t="s">
        <v>234</v>
      </c>
      <c r="B30" s="85">
        <v>94.616450149501375</v>
      </c>
      <c r="C30" s="86">
        <v>301.16906511060529</v>
      </c>
      <c r="D30" s="85">
        <v>527.20120372484473</v>
      </c>
      <c r="E30" s="86">
        <v>418.25054453111727</v>
      </c>
      <c r="F30" s="87">
        <v>-1.2784199728163644E-2</v>
      </c>
      <c r="H30" s="88"/>
    </row>
    <row r="31" spans="1:8" ht="20" customHeight="1" thickBot="1">
      <c r="A31" s="89" t="s">
        <v>235</v>
      </c>
      <c r="B31" s="85">
        <v>124.90397483545597</v>
      </c>
      <c r="C31" s="86">
        <v>408.03822157601888</v>
      </c>
      <c r="D31" s="85">
        <v>631.46641550301308</v>
      </c>
      <c r="E31" s="86">
        <v>507.53758391856826</v>
      </c>
      <c r="F31" s="87">
        <v>-1.7054104134170537E-3</v>
      </c>
      <c r="H31" s="88"/>
    </row>
    <row r="32" spans="1:8" ht="20" customHeight="1" thickBot="1">
      <c r="A32" s="90" t="s">
        <v>236</v>
      </c>
      <c r="B32" s="85">
        <v>96.115393967332537</v>
      </c>
      <c r="C32" s="86">
        <v>317.44081350434004</v>
      </c>
      <c r="D32" s="85">
        <v>544.99734850726134</v>
      </c>
      <c r="E32" s="86">
        <v>429.52242915425074</v>
      </c>
      <c r="F32" s="87">
        <v>-1.2136693275693824E-2</v>
      </c>
      <c r="H32" s="88"/>
    </row>
    <row r="33" spans="1:8" ht="20" customHeight="1" thickBot="1">
      <c r="A33" s="289" t="s">
        <v>494</v>
      </c>
      <c r="B33" s="85">
        <v>56.920094889195845</v>
      </c>
      <c r="C33" s="86">
        <v>41.244302668216591</v>
      </c>
      <c r="D33" s="85">
        <v>149.85652323423693</v>
      </c>
      <c r="E33" s="86">
        <v>131.06709638220028</v>
      </c>
      <c r="F33" s="87">
        <v>-0.5647662360106781</v>
      </c>
      <c r="H33" s="88"/>
    </row>
    <row r="34" spans="1:8" ht="20" customHeight="1" thickBot="1">
      <c r="A34" s="90" t="s">
        <v>495</v>
      </c>
      <c r="B34" s="85" t="s">
        <v>35</v>
      </c>
      <c r="C34" s="86" t="s">
        <v>35</v>
      </c>
      <c r="D34" s="85" t="s">
        <v>35</v>
      </c>
      <c r="E34" s="86" t="s">
        <v>35</v>
      </c>
      <c r="F34" s="87" t="s">
        <v>35</v>
      </c>
      <c r="H34" s="88"/>
    </row>
    <row r="35" spans="1:8" ht="30" customHeight="1" thickBot="1">
      <c r="A35" s="91" t="s">
        <v>0</v>
      </c>
      <c r="B35" s="92">
        <v>93.937047957694219</v>
      </c>
      <c r="C35" s="93">
        <v>331.62812709047785</v>
      </c>
      <c r="D35" s="92">
        <v>542.78191935372695</v>
      </c>
      <c r="E35" s="93">
        <v>438.15718786683112</v>
      </c>
      <c r="F35" s="94">
        <v>-1.4144910990223261E-3</v>
      </c>
      <c r="H35" s="88"/>
    </row>
    <row r="36" spans="1:8" ht="20" customHeight="1">
      <c r="A36" s="95" t="s">
        <v>678</v>
      </c>
      <c r="B36" s="95"/>
      <c r="C36" s="95"/>
      <c r="D36" s="95"/>
      <c r="E36" s="95"/>
      <c r="F36" s="95"/>
      <c r="H36" s="83"/>
    </row>
    <row r="37" spans="1:8" ht="11.25" customHeight="1">
      <c r="A37" s="96"/>
      <c r="B37" s="96"/>
      <c r="C37" s="96"/>
      <c r="D37" s="96"/>
      <c r="E37" s="96"/>
      <c r="F37" s="96"/>
      <c r="H37" s="83"/>
    </row>
    <row r="38" spans="1:8" ht="14.25" customHeight="1">
      <c r="A38" s="96" t="s">
        <v>543</v>
      </c>
      <c r="B38" s="96"/>
      <c r="C38" s="96"/>
      <c r="D38" s="96"/>
      <c r="E38" s="96"/>
      <c r="F38" s="96"/>
      <c r="H38" s="83"/>
    </row>
    <row r="39" spans="1:8" ht="13.5" customHeight="1">
      <c r="A39" s="96"/>
      <c r="B39" s="96"/>
      <c r="C39" s="96"/>
      <c r="D39" s="96"/>
      <c r="E39" s="96"/>
      <c r="F39" s="96"/>
      <c r="H39" s="83"/>
    </row>
    <row r="40" spans="1:8" ht="13.5" customHeight="1">
      <c r="A40" s="326" t="s">
        <v>544</v>
      </c>
      <c r="B40" s="96"/>
      <c r="C40" s="96"/>
      <c r="D40" s="96"/>
      <c r="E40" s="96"/>
      <c r="F40" s="96"/>
      <c r="H40" s="83"/>
    </row>
    <row r="41" spans="1:8" ht="13.5" customHeight="1">
      <c r="A41" s="96" t="s">
        <v>498</v>
      </c>
      <c r="B41" s="96"/>
      <c r="C41" s="96"/>
      <c r="D41" s="96"/>
      <c r="E41" s="96"/>
      <c r="F41" s="96"/>
      <c r="H41" s="83"/>
    </row>
    <row r="42" spans="1:8" ht="13.5" customHeight="1">
      <c r="A42" s="96"/>
      <c r="B42" s="96"/>
      <c r="C42" s="96"/>
      <c r="D42" s="96"/>
      <c r="E42" s="96"/>
      <c r="F42" s="96"/>
      <c r="H42" s="83"/>
    </row>
    <row r="43" spans="1:8" ht="12" customHeight="1"/>
    <row r="44" spans="1:8" ht="12" customHeight="1">
      <c r="A44" s="96" t="s">
        <v>677</v>
      </c>
    </row>
  </sheetData>
  <mergeCells count="1">
    <mergeCell ref="A2:E2"/>
  </mergeCells>
  <pageMargins left="0.65" right="0.5" top="0.87" bottom="0.49" header="0.51" footer="0.4921259845"/>
  <pageSetup paperSize="9" scale="70" orientation="portrait"/>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C8B01-423B-5F4A-9A96-A8799C8124A7}">
  <sheetPr>
    <pageSetUpPr fitToPage="1"/>
  </sheetPr>
  <dimension ref="A1:K30"/>
  <sheetViews>
    <sheetView zoomScaleNormal="100" workbookViewId="0">
      <selection activeCell="E6" sqref="E6"/>
    </sheetView>
  </sheetViews>
  <sheetFormatPr baseColWidth="10" defaultColWidth="11.3984375" defaultRowHeight="13"/>
  <cols>
    <col min="1" max="1" width="15.59765625" style="3" customWidth="1"/>
    <col min="2" max="2" width="17.3984375" style="3" customWidth="1"/>
    <col min="3" max="4" width="16.3984375" style="3" customWidth="1"/>
    <col min="5" max="5" width="16.59765625" style="3" customWidth="1"/>
    <col min="6" max="6" width="17.796875" style="3" customWidth="1"/>
    <col min="7" max="7" width="15.19921875" style="3" customWidth="1"/>
    <col min="8" max="16384" width="11.3984375" style="3"/>
  </cols>
  <sheetData>
    <row r="1" spans="1:11" s="2" customFormat="1" ht="14" customHeight="1"/>
    <row r="2" spans="1:11" s="2" customFormat="1" ht="28" customHeight="1">
      <c r="A2" s="71" t="s">
        <v>741</v>
      </c>
      <c r="G2" s="358"/>
    </row>
    <row r="3" spans="1:11" ht="24" customHeight="1">
      <c r="A3" s="72" t="s">
        <v>742</v>
      </c>
      <c r="B3" s="73" t="s">
        <v>681</v>
      </c>
      <c r="C3" s="74" t="s">
        <v>682</v>
      </c>
      <c r="D3" s="73" t="s">
        <v>683</v>
      </c>
      <c r="E3" s="74" t="s">
        <v>684</v>
      </c>
      <c r="F3" s="73" t="s">
        <v>190</v>
      </c>
      <c r="G3" s="277" t="s">
        <v>585</v>
      </c>
    </row>
    <row r="4" spans="1:11" ht="15" customHeight="1">
      <c r="A4" s="328"/>
      <c r="B4" s="76" t="s">
        <v>685</v>
      </c>
      <c r="C4" s="77" t="s">
        <v>686</v>
      </c>
      <c r="D4" s="76" t="s">
        <v>696</v>
      </c>
      <c r="E4" s="106" t="s">
        <v>688</v>
      </c>
      <c r="F4" s="76"/>
      <c r="G4" s="75" t="s">
        <v>586</v>
      </c>
    </row>
    <row r="5" spans="1:11" ht="15" customHeight="1">
      <c r="A5" s="328"/>
      <c r="B5" s="76" t="s">
        <v>689</v>
      </c>
      <c r="C5" s="77" t="s">
        <v>690</v>
      </c>
      <c r="D5" s="76" t="s">
        <v>698</v>
      </c>
      <c r="E5" s="106" t="s">
        <v>691</v>
      </c>
      <c r="F5" s="76"/>
      <c r="G5" s="75" t="s">
        <v>210</v>
      </c>
    </row>
    <row r="6" spans="1:11" ht="24" customHeight="1">
      <c r="A6" s="329"/>
      <c r="B6" s="82"/>
      <c r="C6" s="81"/>
      <c r="D6" s="82"/>
      <c r="E6" s="109" t="s">
        <v>692</v>
      </c>
      <c r="F6" s="82"/>
      <c r="G6" s="79"/>
    </row>
    <row r="7" spans="1:11" ht="1.25" customHeight="1" thickBot="1">
      <c r="A7" s="427">
        <v>1996</v>
      </c>
      <c r="B7" s="308">
        <v>9158.0126325000001</v>
      </c>
      <c r="C7" s="428">
        <v>3158.8991608000001</v>
      </c>
      <c r="D7" s="308">
        <v>29.792276350000002</v>
      </c>
      <c r="E7" s="428">
        <v>112.31317695</v>
      </c>
      <c r="F7" s="308">
        <v>12459.0172466</v>
      </c>
      <c r="G7" s="309" t="s">
        <v>35</v>
      </c>
    </row>
    <row r="8" spans="1:11" ht="0.75" hidden="1" customHeight="1" thickBot="1">
      <c r="A8" s="333">
        <v>1997</v>
      </c>
      <c r="B8" s="429">
        <v>8010.294124</v>
      </c>
      <c r="C8" s="430">
        <v>4715.0935929999996</v>
      </c>
      <c r="D8" s="429">
        <v>15.300134</v>
      </c>
      <c r="E8" s="430">
        <v>397.78968400000002</v>
      </c>
      <c r="F8" s="429">
        <v>13138.477535</v>
      </c>
      <c r="G8" s="452">
        <v>5.453562467661089E-2</v>
      </c>
      <c r="I8" s="9"/>
      <c r="J8" s="9"/>
      <c r="K8" s="9"/>
    </row>
    <row r="9" spans="1:11" ht="19.5" hidden="1" customHeight="1" thickBot="1">
      <c r="A9" s="333">
        <v>1998</v>
      </c>
      <c r="B9" s="429">
        <v>8034.9225379999998</v>
      </c>
      <c r="C9" s="430">
        <v>5294.4749119999997</v>
      </c>
      <c r="D9" s="429">
        <v>7.7133700000000003</v>
      </c>
      <c r="E9" s="430">
        <v>686.98183200000005</v>
      </c>
      <c r="F9" s="429">
        <v>14024.092651999999</v>
      </c>
      <c r="G9" s="452">
        <v>6.7406220746717538E-2</v>
      </c>
    </row>
    <row r="10" spans="1:11" ht="19.75" hidden="1" customHeight="1" thickBot="1">
      <c r="A10" s="333">
        <v>1999</v>
      </c>
      <c r="B10" s="429">
        <v>8789.075476</v>
      </c>
      <c r="C10" s="430">
        <v>4984.7508509999998</v>
      </c>
      <c r="D10" s="429">
        <v>7.2724950000000002</v>
      </c>
      <c r="E10" s="430">
        <v>839.41169600000001</v>
      </c>
      <c r="F10" s="429">
        <v>14620.510517999999</v>
      </c>
      <c r="G10" s="452">
        <v>4.2528089395854327E-2</v>
      </c>
    </row>
    <row r="11" spans="1:11" ht="20" customHeight="1" thickBot="1">
      <c r="A11" s="333">
        <v>2000</v>
      </c>
      <c r="B11" s="429">
        <v>9137.1621560000003</v>
      </c>
      <c r="C11" s="430">
        <v>5390.9432980000001</v>
      </c>
      <c r="D11" s="429">
        <v>7.5360680000000002</v>
      </c>
      <c r="E11" s="430">
        <v>942.68592000000001</v>
      </c>
      <c r="F11" s="429">
        <v>15478.327442</v>
      </c>
      <c r="G11" s="452">
        <v>5.8672159425890213E-2</v>
      </c>
    </row>
    <row r="12" spans="1:11" ht="20" customHeight="1" thickBot="1">
      <c r="A12" s="333">
        <v>2001</v>
      </c>
      <c r="B12" s="429">
        <v>9659.7746029999998</v>
      </c>
      <c r="C12" s="430">
        <v>5684.1019910000005</v>
      </c>
      <c r="D12" s="429">
        <v>8.3615560000000002</v>
      </c>
      <c r="E12" s="430">
        <v>1034.2226659999999</v>
      </c>
      <c r="F12" s="429">
        <v>16386.460816999999</v>
      </c>
      <c r="G12" s="452">
        <v>5.867128592562304E-2</v>
      </c>
    </row>
    <row r="13" spans="1:11" ht="20" customHeight="1" thickBot="1">
      <c r="A13" s="333">
        <v>2002</v>
      </c>
      <c r="B13" s="429">
        <v>9980.4930999999997</v>
      </c>
      <c r="C13" s="430">
        <v>6029.9190769999996</v>
      </c>
      <c r="D13" s="429">
        <v>7.9602409999999999</v>
      </c>
      <c r="E13" s="430">
        <v>1077.2149870000001</v>
      </c>
      <c r="F13" s="429">
        <v>17095.58741</v>
      </c>
      <c r="G13" s="452">
        <v>4.3275152634809542E-2</v>
      </c>
    </row>
    <row r="14" spans="1:11" ht="20" customHeight="1" thickBot="1">
      <c r="A14" s="333">
        <v>2003</v>
      </c>
      <c r="B14" s="429">
        <v>10400.406953</v>
      </c>
      <c r="C14" s="430">
        <v>6474.0950759999996</v>
      </c>
      <c r="D14" s="429">
        <v>8.2890060000000005</v>
      </c>
      <c r="E14" s="430">
        <v>1041.3283280000001</v>
      </c>
      <c r="F14" s="429">
        <v>17924.119349000001</v>
      </c>
      <c r="G14" s="452">
        <v>4.8464666298354497E-2</v>
      </c>
    </row>
    <row r="15" spans="1:11" ht="20" customHeight="1" thickBot="1">
      <c r="A15" s="333">
        <v>2004</v>
      </c>
      <c r="B15" s="429">
        <v>11244.13615765</v>
      </c>
      <c r="C15" s="430">
        <v>6631.1356945500002</v>
      </c>
      <c r="D15" s="429">
        <v>8.6720649999999999</v>
      </c>
      <c r="E15" s="430">
        <v>1255.877035</v>
      </c>
      <c r="F15" s="429">
        <v>19139.820942999999</v>
      </c>
      <c r="G15" s="452">
        <v>6.7824899529461302E-2</v>
      </c>
    </row>
    <row r="16" spans="1:11" ht="20" customHeight="1" thickBot="1">
      <c r="A16" s="333">
        <v>2005</v>
      </c>
      <c r="B16" s="429">
        <v>12276.40351</v>
      </c>
      <c r="C16" s="430">
        <v>6478.0200850000001</v>
      </c>
      <c r="D16" s="429">
        <v>9.1072369999999996</v>
      </c>
      <c r="E16" s="430">
        <v>1584.1758170000001</v>
      </c>
      <c r="F16" s="429">
        <v>20347.706649</v>
      </c>
      <c r="G16" s="452">
        <v>6.3108516511057644E-2</v>
      </c>
    </row>
    <row r="17" spans="1:7" ht="20" customHeight="1" thickBot="1">
      <c r="A17" s="333">
        <v>2006</v>
      </c>
      <c r="B17" s="429">
        <v>12157.648692999999</v>
      </c>
      <c r="C17" s="430">
        <v>6151.3591749999996</v>
      </c>
      <c r="D17" s="429">
        <v>8.8529470000000003</v>
      </c>
      <c r="E17" s="430">
        <v>2284.7661029999999</v>
      </c>
      <c r="F17" s="429">
        <v>20602.626918999998</v>
      </c>
      <c r="G17" s="452">
        <v>1.2528206465593383E-2</v>
      </c>
    </row>
    <row r="18" spans="1:7" ht="20" customHeight="1" thickBot="1">
      <c r="A18" s="333">
        <v>2007</v>
      </c>
      <c r="B18" s="429">
        <v>12229.89782127</v>
      </c>
      <c r="C18" s="430">
        <v>6058.52217587</v>
      </c>
      <c r="D18" s="429">
        <v>9.0125824800000007</v>
      </c>
      <c r="E18" s="430">
        <v>3281.2562875499998</v>
      </c>
      <c r="F18" s="429">
        <v>21578.688867239998</v>
      </c>
      <c r="G18" s="452">
        <v>4.737560661936091E-2</v>
      </c>
    </row>
    <row r="19" spans="1:7" ht="20" customHeight="1" thickBot="1">
      <c r="A19" s="333">
        <v>2008</v>
      </c>
      <c r="B19" s="429">
        <v>12358.176374460001</v>
      </c>
      <c r="C19" s="430">
        <v>6003.8314850100005</v>
      </c>
      <c r="D19" s="429">
        <v>10.17656891</v>
      </c>
      <c r="E19" s="430">
        <v>4349.7270544200001</v>
      </c>
      <c r="F19" s="429">
        <v>22721.911482829997</v>
      </c>
      <c r="G19" s="452">
        <v>5.2979243670619791E-2</v>
      </c>
    </row>
    <row r="20" spans="1:7" ht="20" customHeight="1" thickBot="1">
      <c r="A20" s="333">
        <v>2009</v>
      </c>
      <c r="B20" s="429">
        <v>12207.08733409</v>
      </c>
      <c r="C20" s="430">
        <v>5757.8256273900015</v>
      </c>
      <c r="D20" s="429">
        <v>10.04827551</v>
      </c>
      <c r="E20" s="430">
        <v>5681.3612091200011</v>
      </c>
      <c r="F20" s="429">
        <v>23656.322446040002</v>
      </c>
      <c r="G20" s="452">
        <v>4.112378326603805E-2</v>
      </c>
    </row>
    <row r="21" spans="1:7" ht="30" customHeight="1" thickBot="1">
      <c r="A21" s="431">
        <v>2010</v>
      </c>
      <c r="B21" s="432">
        <v>11551.631429409998</v>
      </c>
      <c r="C21" s="433">
        <v>5191.0689485400007</v>
      </c>
      <c r="D21" s="432">
        <v>8.6391040799999992</v>
      </c>
      <c r="E21" s="433">
        <v>7541.1220916599996</v>
      </c>
      <c r="F21" s="432">
        <v>24292.461573649998</v>
      </c>
      <c r="G21" s="314">
        <v>2.6890871523290505E-2</v>
      </c>
    </row>
    <row r="22" spans="1:7" ht="19.5" customHeight="1">
      <c r="A22" s="95" t="s">
        <v>678</v>
      </c>
      <c r="B22" s="95"/>
      <c r="C22" s="95"/>
      <c r="D22" s="95"/>
      <c r="E22" s="95"/>
      <c r="F22" s="95"/>
      <c r="G22" s="95"/>
    </row>
    <row r="23" spans="1:7" ht="14.25" customHeight="1">
      <c r="A23" s="96"/>
      <c r="B23" s="96"/>
      <c r="C23" s="96"/>
      <c r="D23" s="96"/>
      <c r="E23" s="96"/>
      <c r="F23" s="96"/>
      <c r="G23" s="96"/>
    </row>
    <row r="24" spans="1:7" ht="14.25" customHeight="1">
      <c r="A24" s="96" t="s">
        <v>497</v>
      </c>
      <c r="B24" s="96"/>
      <c r="C24" s="96"/>
      <c r="D24" s="96"/>
      <c r="E24" s="96"/>
      <c r="F24" s="96"/>
      <c r="G24" s="96"/>
    </row>
    <row r="25" spans="1:7" ht="13.5" customHeight="1">
      <c r="A25" s="99" t="s">
        <v>743</v>
      </c>
      <c r="B25" s="96"/>
      <c r="C25" s="96"/>
      <c r="D25" s="96"/>
      <c r="E25" s="96"/>
      <c r="F25" s="96"/>
      <c r="G25" s="96"/>
    </row>
    <row r="27" spans="1:7">
      <c r="A27" s="3" t="s">
        <v>744</v>
      </c>
    </row>
    <row r="30" spans="1:7">
      <c r="A30" s="3" t="s">
        <v>677</v>
      </c>
      <c r="G30" s="4"/>
    </row>
  </sheetData>
  <pageMargins left="0.6" right="0.63" top="0.99" bottom="0.49" header="0.59" footer="0.4921259845"/>
  <pageSetup paperSize="9" scale="78" orientation="portrait" horizontalDpi="4294967292" verticalDpi="4294967292"/>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CBB2A-E344-3948-8ECE-6949BD85A74C}">
  <sheetPr>
    <pageSetUpPr fitToPage="1"/>
  </sheetPr>
  <dimension ref="A1:J57"/>
  <sheetViews>
    <sheetView zoomScaleNormal="100" workbookViewId="0">
      <selection sqref="A1:H57"/>
    </sheetView>
  </sheetViews>
  <sheetFormatPr baseColWidth="10" defaultColWidth="11.3984375" defaultRowHeight="13"/>
  <cols>
    <col min="1" max="1" width="21.796875" style="3" customWidth="1"/>
    <col min="2" max="2" width="17.59765625" style="3" customWidth="1"/>
    <col min="3" max="3" width="15.796875" style="3" customWidth="1"/>
    <col min="4" max="4" width="19.59765625" style="3" customWidth="1"/>
    <col min="5" max="5" width="15.3984375" style="3" customWidth="1"/>
    <col min="6" max="6" width="20" style="3" customWidth="1"/>
    <col min="7" max="7" width="16.3984375" style="3" customWidth="1"/>
    <col min="8" max="8" width="13.19921875" style="3" customWidth="1"/>
    <col min="9" max="10" width="13.3984375" style="3" customWidth="1"/>
    <col min="11" max="16384" width="11.3984375" style="3"/>
  </cols>
  <sheetData>
    <row r="1" spans="1:10" s="2" customFormat="1" ht="14" customHeight="1"/>
    <row r="2" spans="1:10" s="2" customFormat="1" ht="27.75" customHeight="1">
      <c r="A2" s="1807" t="s">
        <v>1487</v>
      </c>
      <c r="B2" s="1811"/>
      <c r="C2" s="1811"/>
      <c r="D2" s="1811"/>
      <c r="E2" s="1811"/>
      <c r="F2" s="1811"/>
      <c r="G2" s="71"/>
    </row>
    <row r="3" spans="1:10" ht="24" customHeight="1">
      <c r="A3" s="72" t="s">
        <v>1476</v>
      </c>
      <c r="B3" s="73" t="s">
        <v>681</v>
      </c>
      <c r="C3" s="74" t="s">
        <v>682</v>
      </c>
      <c r="D3" s="73" t="s">
        <v>683</v>
      </c>
      <c r="E3" s="74" t="s">
        <v>684</v>
      </c>
      <c r="F3" s="73" t="s">
        <v>644</v>
      </c>
      <c r="G3" s="652" t="s">
        <v>585</v>
      </c>
    </row>
    <row r="4" spans="1:10" ht="15" customHeight="1">
      <c r="A4" s="328"/>
      <c r="B4" s="76" t="s">
        <v>685</v>
      </c>
      <c r="C4" s="77" t="s">
        <v>686</v>
      </c>
      <c r="D4" s="76" t="s">
        <v>696</v>
      </c>
      <c r="E4" s="106" t="s">
        <v>1477</v>
      </c>
      <c r="F4" s="76"/>
      <c r="G4" s="653" t="s">
        <v>586</v>
      </c>
    </row>
    <row r="5" spans="1:10" ht="15" customHeight="1">
      <c r="A5" s="328"/>
      <c r="B5" s="76" t="s">
        <v>689</v>
      </c>
      <c r="C5" s="77" t="s">
        <v>690</v>
      </c>
      <c r="D5" s="76" t="s">
        <v>698</v>
      </c>
      <c r="E5" s="106" t="s">
        <v>1478</v>
      </c>
      <c r="F5" s="76"/>
      <c r="G5" s="75" t="s">
        <v>210</v>
      </c>
    </row>
    <row r="6" spans="1:10" ht="24" customHeight="1">
      <c r="A6" s="263" t="s">
        <v>1365</v>
      </c>
      <c r="B6" s="82"/>
      <c r="C6" s="81"/>
      <c r="D6" s="82"/>
      <c r="E6" s="109" t="s">
        <v>692</v>
      </c>
      <c r="F6" s="82"/>
      <c r="G6" s="108"/>
    </row>
    <row r="7" spans="1:10" ht="1.25" customHeight="1" thickBot="1">
      <c r="A7" s="427">
        <v>1996</v>
      </c>
      <c r="B7" s="123">
        <v>1922.0914738477522</v>
      </c>
      <c r="C7" s="124">
        <v>1362.8683192106039</v>
      </c>
      <c r="D7" s="123">
        <v>1064.9780620150216</v>
      </c>
      <c r="E7" s="124">
        <v>918.79836090338449</v>
      </c>
      <c r="F7" s="123">
        <v>1722.6026867710073</v>
      </c>
      <c r="G7" s="309" t="s">
        <v>35</v>
      </c>
    </row>
    <row r="8" spans="1:10" ht="0.75" hidden="1" customHeight="1" thickBot="1">
      <c r="A8" s="333">
        <v>1997</v>
      </c>
      <c r="B8" s="133">
        <v>1955.5774171208591</v>
      </c>
      <c r="C8" s="132">
        <v>1717.9609773327356</v>
      </c>
      <c r="D8" s="133">
        <v>1327.1545657683146</v>
      </c>
      <c r="E8" s="132">
        <v>1035.2511493240283</v>
      </c>
      <c r="F8" s="133">
        <v>1815.5878047739013</v>
      </c>
      <c r="G8" s="452">
        <v>5.3979433979168621E-2</v>
      </c>
      <c r="H8" s="9"/>
      <c r="I8" s="9"/>
      <c r="J8" s="9"/>
    </row>
    <row r="9" spans="1:10" ht="19.5" hidden="1" customHeight="1" thickBot="1">
      <c r="A9" s="333">
        <v>1998</v>
      </c>
      <c r="B9" s="133">
        <v>2001.1385556748141</v>
      </c>
      <c r="C9" s="132">
        <v>1942.4124575719206</v>
      </c>
      <c r="D9" s="133">
        <v>652.30881205655157</v>
      </c>
      <c r="E9" s="132">
        <v>1390.9212818258898</v>
      </c>
      <c r="F9" s="133">
        <v>1935.2604970637331</v>
      </c>
      <c r="G9" s="452">
        <v>6.591402077892608E-2</v>
      </c>
    </row>
    <row r="10" spans="1:10" ht="19.75" hidden="1" customHeight="1" thickBot="1">
      <c r="A10" s="333">
        <v>1999</v>
      </c>
      <c r="B10" s="133">
        <v>2196.7543830608033</v>
      </c>
      <c r="C10" s="132">
        <v>1834.5631598914081</v>
      </c>
      <c r="D10" s="133">
        <v>708.57112386703454</v>
      </c>
      <c r="E10" s="132">
        <v>1548.1903262736841</v>
      </c>
      <c r="F10" s="133">
        <v>2010.9263687008995</v>
      </c>
      <c r="G10" s="452">
        <v>3.909854603655178E-2</v>
      </c>
    </row>
    <row r="11" spans="1:10" ht="20" customHeight="1" thickBot="1">
      <c r="A11" s="333">
        <v>2000</v>
      </c>
      <c r="B11" s="133">
        <v>2330.7313959837929</v>
      </c>
      <c r="C11" s="132">
        <v>1955.0764432666085</v>
      </c>
      <c r="D11" s="133">
        <v>768.43697012283224</v>
      </c>
      <c r="E11" s="132">
        <v>1632.0632045626817</v>
      </c>
      <c r="F11" s="133">
        <v>2130.4988026779488</v>
      </c>
      <c r="G11" s="452">
        <v>5.9461368570295083E-2</v>
      </c>
    </row>
    <row r="12" spans="1:10" ht="20" customHeight="1" thickBot="1">
      <c r="A12" s="333">
        <v>2001</v>
      </c>
      <c r="B12" s="133">
        <v>2495.1244025796968</v>
      </c>
      <c r="C12" s="132">
        <v>2011.3716436312093</v>
      </c>
      <c r="D12" s="133">
        <v>897.62686042302278</v>
      </c>
      <c r="E12" s="132">
        <v>1740.2608610070422</v>
      </c>
      <c r="F12" s="133">
        <v>2244.3978355168092</v>
      </c>
      <c r="G12" s="452">
        <v>5.3461204810673471E-2</v>
      </c>
    </row>
    <row r="13" spans="1:10" ht="20" customHeight="1" thickBot="1">
      <c r="A13" s="333">
        <v>2002</v>
      </c>
      <c r="B13" s="133">
        <v>2622.961008005575</v>
      </c>
      <c r="C13" s="132">
        <v>2026.9678660755228</v>
      </c>
      <c r="D13" s="133">
        <v>902.79734523799152</v>
      </c>
      <c r="E13" s="132">
        <v>1937.719195679239</v>
      </c>
      <c r="F13" s="133">
        <v>2327.6297728803838</v>
      </c>
      <c r="G13" s="452">
        <v>3.7084306554951346E-2</v>
      </c>
    </row>
    <row r="14" spans="1:10" ht="20" customHeight="1" thickBot="1">
      <c r="A14" s="333">
        <v>2003</v>
      </c>
      <c r="B14" s="133">
        <v>2838.5410322271737</v>
      </c>
      <c r="C14" s="132">
        <v>2089.4955210203316</v>
      </c>
      <c r="D14" s="133">
        <v>999.42596938760983</v>
      </c>
      <c r="E14" s="132">
        <v>1730.3106743718724</v>
      </c>
      <c r="F14" s="133">
        <v>2431.2114971885403</v>
      </c>
      <c r="G14" s="452">
        <v>4.4500944916156783E-2</v>
      </c>
    </row>
    <row r="15" spans="1:10" ht="20" customHeight="1" thickBot="1">
      <c r="A15" s="333">
        <v>2004</v>
      </c>
      <c r="B15" s="133">
        <v>3104.8815477572248</v>
      </c>
      <c r="C15" s="132">
        <v>2203.0474404075858</v>
      </c>
      <c r="D15" s="133">
        <v>1076.1693397885631</v>
      </c>
      <c r="E15" s="132">
        <v>1687.7897523259062</v>
      </c>
      <c r="F15" s="133">
        <v>2592.2165787191948</v>
      </c>
      <c r="G15" s="452">
        <v>6.6224218549822259E-2</v>
      </c>
    </row>
    <row r="16" spans="1:10" ht="20" customHeight="1" thickBot="1">
      <c r="A16" s="333">
        <v>2005</v>
      </c>
      <c r="B16" s="133">
        <v>3415.1929895176959</v>
      </c>
      <c r="C16" s="132">
        <v>2210.8019372998301</v>
      </c>
      <c r="D16" s="133">
        <v>1184.6612422697292</v>
      </c>
      <c r="E16" s="132">
        <v>1753.636061440061</v>
      </c>
      <c r="F16" s="133">
        <v>2736.4253387803569</v>
      </c>
      <c r="G16" s="452">
        <v>5.5631447327759709E-2</v>
      </c>
    </row>
    <row r="17" spans="1:7" ht="20" customHeight="1" thickBot="1">
      <c r="A17" s="333">
        <v>2006</v>
      </c>
      <c r="B17" s="133">
        <v>3636.67</v>
      </c>
      <c r="C17" s="132">
        <v>2215.41</v>
      </c>
      <c r="D17" s="133">
        <v>1230.94</v>
      </c>
      <c r="E17" s="132">
        <v>1690.49</v>
      </c>
      <c r="F17" s="133">
        <v>2754.94</v>
      </c>
      <c r="G17" s="452">
        <v>6.7660026960192354E-3</v>
      </c>
    </row>
    <row r="18" spans="1:7" ht="20" customHeight="1" thickBot="1">
      <c r="A18" s="333">
        <v>2007</v>
      </c>
      <c r="B18" s="133">
        <v>3903.58</v>
      </c>
      <c r="C18" s="132">
        <v>2360.81</v>
      </c>
      <c r="D18" s="133">
        <v>1312.45</v>
      </c>
      <c r="E18" s="132">
        <v>1791.63</v>
      </c>
      <c r="F18" s="133">
        <v>2862.81</v>
      </c>
      <c r="G18" s="452">
        <v>3.915511771581226E-2</v>
      </c>
    </row>
    <row r="19" spans="1:7" ht="20" customHeight="1" thickBot="1">
      <c r="A19" s="333">
        <v>2008</v>
      </c>
      <c r="B19" s="133">
        <v>4193.12</v>
      </c>
      <c r="C19" s="132">
        <v>2525.2199999999998</v>
      </c>
      <c r="D19" s="133">
        <v>1563.03</v>
      </c>
      <c r="E19" s="132">
        <v>1904.22</v>
      </c>
      <c r="F19" s="133">
        <v>2983.62</v>
      </c>
      <c r="G19" s="452">
        <v>4.2199796703239034E-2</v>
      </c>
    </row>
    <row r="20" spans="1:7" ht="20" customHeight="1" thickBot="1">
      <c r="A20" s="333">
        <v>2009</v>
      </c>
      <c r="B20" s="133">
        <v>4441.9708725220817</v>
      </c>
      <c r="C20" s="132">
        <v>2638.2955656157005</v>
      </c>
      <c r="D20" s="133">
        <v>1632.0689143820541</v>
      </c>
      <c r="E20" s="132">
        <v>2049.5670694598875</v>
      </c>
      <c r="F20" s="133">
        <v>3068.7231792819921</v>
      </c>
      <c r="G20" s="452">
        <v>2.8523464543739552E-2</v>
      </c>
    </row>
    <row r="21" spans="1:7" ht="30" customHeight="1" thickBot="1">
      <c r="A21" s="431">
        <v>2010</v>
      </c>
      <c r="B21" s="435">
        <v>4791.6454856573782</v>
      </c>
      <c r="C21" s="436">
        <v>2938.3754716485723</v>
      </c>
      <c r="D21" s="435">
        <v>1519.3026047134924</v>
      </c>
      <c r="E21" s="436">
        <v>2095.2492620205348</v>
      </c>
      <c r="F21" s="435">
        <v>3122.5601379207528</v>
      </c>
      <c r="G21" s="837">
        <v>1.7543765107987719E-2</v>
      </c>
    </row>
    <row r="22" spans="1:7" ht="20" customHeight="1">
      <c r="A22" s="95" t="s">
        <v>678</v>
      </c>
      <c r="B22" s="95"/>
      <c r="C22" s="95"/>
      <c r="D22" s="95"/>
      <c r="E22" s="95"/>
      <c r="F22" s="95"/>
      <c r="G22" s="666"/>
    </row>
    <row r="23" spans="1:7">
      <c r="G23" s="667"/>
    </row>
    <row r="24" spans="1:7">
      <c r="A24" s="3" t="s">
        <v>1488</v>
      </c>
      <c r="G24" s="667"/>
    </row>
    <row r="25" spans="1:7">
      <c r="G25" s="667"/>
    </row>
    <row r="26" spans="1:7">
      <c r="G26" s="667"/>
    </row>
    <row r="27" spans="1:7" ht="18">
      <c r="A27" s="838" t="s">
        <v>1480</v>
      </c>
      <c r="G27" s="667"/>
    </row>
    <row r="28" spans="1:7">
      <c r="G28" s="667"/>
    </row>
    <row r="29" spans="1:7" ht="18" customHeight="1">
      <c r="A29" s="72" t="s">
        <v>695</v>
      </c>
      <c r="B29" s="73" t="s">
        <v>204</v>
      </c>
      <c r="C29" s="652" t="s">
        <v>585</v>
      </c>
      <c r="D29" s="73" t="s">
        <v>1362</v>
      </c>
      <c r="E29" s="652" t="s">
        <v>585</v>
      </c>
      <c r="F29" s="73" t="s">
        <v>1481</v>
      </c>
      <c r="G29" s="652" t="s">
        <v>585</v>
      </c>
    </row>
    <row r="30" spans="1:7" ht="18" customHeight="1">
      <c r="A30" s="839"/>
      <c r="B30" s="76" t="s">
        <v>207</v>
      </c>
      <c r="C30" s="653" t="s">
        <v>586</v>
      </c>
      <c r="D30" s="76" t="s">
        <v>208</v>
      </c>
      <c r="E30" s="653" t="s">
        <v>586</v>
      </c>
      <c r="F30" s="76" t="s">
        <v>1482</v>
      </c>
      <c r="G30" s="653" t="s">
        <v>586</v>
      </c>
    </row>
    <row r="31" spans="1:7" ht="18" customHeight="1">
      <c r="A31" s="328"/>
      <c r="B31" s="76"/>
      <c r="C31" s="653" t="s">
        <v>210</v>
      </c>
      <c r="D31" s="76"/>
      <c r="E31" s="653" t="s">
        <v>210</v>
      </c>
      <c r="F31" s="76"/>
      <c r="G31" s="653" t="s">
        <v>210</v>
      </c>
    </row>
    <row r="32" spans="1:7" ht="18" customHeight="1">
      <c r="A32" s="329"/>
      <c r="B32" s="82"/>
      <c r="C32" s="81"/>
      <c r="D32" s="82"/>
      <c r="E32" s="109"/>
      <c r="F32" s="82"/>
      <c r="G32" s="654"/>
    </row>
    <row r="33" spans="1:7" ht="2.25" customHeight="1" thickBot="1">
      <c r="A33" s="427">
        <v>1996</v>
      </c>
      <c r="B33" s="123" t="s">
        <v>35</v>
      </c>
      <c r="C33" s="124" t="s">
        <v>35</v>
      </c>
      <c r="D33" s="123" t="s">
        <v>35</v>
      </c>
      <c r="E33" s="124" t="s">
        <v>35</v>
      </c>
      <c r="F33" s="123" t="s">
        <v>35</v>
      </c>
      <c r="G33" s="309" t="s">
        <v>35</v>
      </c>
    </row>
    <row r="34" spans="1:7" ht="0.75" customHeight="1" thickBot="1">
      <c r="A34" s="333">
        <v>1997</v>
      </c>
      <c r="B34" s="133">
        <v>578.16999999999996</v>
      </c>
      <c r="C34" s="844" t="s">
        <v>35</v>
      </c>
      <c r="D34" s="133">
        <v>891.7</v>
      </c>
      <c r="E34" s="844" t="s">
        <v>35</v>
      </c>
      <c r="F34" s="133">
        <v>2289.58</v>
      </c>
      <c r="G34" s="452" t="s">
        <v>35</v>
      </c>
    </row>
    <row r="35" spans="1:7" ht="18" hidden="1" customHeight="1" thickBot="1">
      <c r="A35" s="333">
        <v>1998</v>
      </c>
      <c r="B35" s="133">
        <v>619.65</v>
      </c>
      <c r="C35" s="452">
        <v>7.1743604822111173E-2</v>
      </c>
      <c r="D35" s="133">
        <v>941.32</v>
      </c>
      <c r="E35" s="452">
        <v>5.564651788718189E-2</v>
      </c>
      <c r="F35" s="133">
        <v>2462.12</v>
      </c>
      <c r="G35" s="452">
        <v>7.5358799430463197E-2</v>
      </c>
    </row>
    <row r="36" spans="1:7" ht="18" hidden="1" customHeight="1" thickBot="1">
      <c r="A36" s="333">
        <v>1999</v>
      </c>
      <c r="B36" s="133">
        <v>634.95000000000005</v>
      </c>
      <c r="C36" s="452">
        <v>2.4691358024691468E-2</v>
      </c>
      <c r="D36" s="133">
        <v>971.45</v>
      </c>
      <c r="E36" s="452">
        <v>3.200824374282929E-2</v>
      </c>
      <c r="F36" s="133">
        <v>2570.02</v>
      </c>
      <c r="G36" s="452">
        <v>4.382402157490306E-2</v>
      </c>
    </row>
    <row r="37" spans="1:7" ht="18" customHeight="1" thickBot="1">
      <c r="A37" s="333">
        <v>2000</v>
      </c>
      <c r="B37" s="133">
        <v>669.86</v>
      </c>
      <c r="C37" s="452">
        <v>5.4980707142294527E-2</v>
      </c>
      <c r="D37" s="133">
        <v>1028.6199999999999</v>
      </c>
      <c r="E37" s="452">
        <v>5.885017242266688E-2</v>
      </c>
      <c r="F37" s="133">
        <v>2753.78</v>
      </c>
      <c r="G37" s="452">
        <v>7.1501389094248413E-2</v>
      </c>
    </row>
    <row r="38" spans="1:7" ht="18" customHeight="1" thickBot="1">
      <c r="A38" s="333">
        <v>2001</v>
      </c>
      <c r="B38" s="133">
        <v>702.31</v>
      </c>
      <c r="C38" s="452">
        <v>4.8442958230077826E-2</v>
      </c>
      <c r="D38" s="133">
        <v>1072.96</v>
      </c>
      <c r="E38" s="452">
        <v>4.3106297758161549E-2</v>
      </c>
      <c r="F38" s="133">
        <v>2898.13</v>
      </c>
      <c r="G38" s="452">
        <v>5.2418856989302043E-2</v>
      </c>
    </row>
    <row r="39" spans="1:7" ht="18" customHeight="1" thickBot="1">
      <c r="A39" s="333">
        <v>2002</v>
      </c>
      <c r="B39" s="133">
        <v>715.59</v>
      </c>
      <c r="C39" s="452">
        <v>1.8909028776466386E-2</v>
      </c>
      <c r="D39" s="133">
        <v>1090.74</v>
      </c>
      <c r="E39" s="452">
        <v>1.6570981210855873E-2</v>
      </c>
      <c r="F39" s="133">
        <v>2994.63</v>
      </c>
      <c r="G39" s="452">
        <v>3.3297333107900506E-2</v>
      </c>
    </row>
    <row r="40" spans="1:7" ht="18" customHeight="1" thickBot="1">
      <c r="A40" s="333">
        <v>2003</v>
      </c>
      <c r="B40" s="133">
        <v>741.79</v>
      </c>
      <c r="C40" s="452">
        <v>3.6613144398328634E-2</v>
      </c>
      <c r="D40" s="133">
        <v>1120.92</v>
      </c>
      <c r="E40" s="452">
        <v>2.7669288739754716E-2</v>
      </c>
      <c r="F40" s="133">
        <v>3118.37</v>
      </c>
      <c r="G40" s="452">
        <v>4.1320630595432339E-2</v>
      </c>
    </row>
    <row r="41" spans="1:7" ht="18" customHeight="1" thickBot="1">
      <c r="A41" s="333">
        <v>2004</v>
      </c>
      <c r="B41" s="133">
        <v>782.37</v>
      </c>
      <c r="C41" s="452">
        <v>5.4705509645587069E-2</v>
      </c>
      <c r="D41" s="133">
        <v>1166.3800000000001</v>
      </c>
      <c r="E41" s="452">
        <v>4.0555971880241293E-2</v>
      </c>
      <c r="F41" s="133">
        <v>3296.18</v>
      </c>
      <c r="G41" s="452">
        <v>5.7020174001160884E-2</v>
      </c>
    </row>
    <row r="42" spans="1:7" ht="18" customHeight="1" thickBot="1">
      <c r="A42" s="333">
        <v>2005</v>
      </c>
      <c r="B42" s="133">
        <v>842.26</v>
      </c>
      <c r="C42" s="452">
        <v>7.6549458696013373E-2</v>
      </c>
      <c r="D42" s="133">
        <v>1192.9100000000001</v>
      </c>
      <c r="E42" s="452">
        <v>2.2745588916133652E-2</v>
      </c>
      <c r="F42" s="133">
        <v>3456.92</v>
      </c>
      <c r="G42" s="452">
        <v>4.8765540716829925E-2</v>
      </c>
    </row>
    <row r="43" spans="1:7" ht="18" customHeight="1" thickBot="1">
      <c r="A43" s="333">
        <v>2006</v>
      </c>
      <c r="B43" s="133">
        <v>852.62</v>
      </c>
      <c r="C43" s="452">
        <v>1.2300239830931092E-2</v>
      </c>
      <c r="D43" s="133">
        <v>1171.6600000000001</v>
      </c>
      <c r="E43" s="452">
        <v>-1.7813581913136756E-2</v>
      </c>
      <c r="F43" s="133">
        <v>3483.89</v>
      </c>
      <c r="G43" s="452">
        <v>7.8017425916712124E-3</v>
      </c>
    </row>
    <row r="44" spans="1:7" ht="18" customHeight="1" thickBot="1">
      <c r="A44" s="333">
        <v>2007</v>
      </c>
      <c r="B44" s="133">
        <v>903.11</v>
      </c>
      <c r="C44" s="452">
        <v>5.9217470854542542E-2</v>
      </c>
      <c r="D44" s="133">
        <v>1190.6199999999999</v>
      </c>
      <c r="E44" s="452">
        <v>1.6182168888585258E-2</v>
      </c>
      <c r="F44" s="133">
        <v>3600.94</v>
      </c>
      <c r="G44" s="452">
        <v>3.3597501643278127E-2</v>
      </c>
    </row>
    <row r="45" spans="1:7" ht="18" customHeight="1" thickBot="1">
      <c r="A45" s="333">
        <v>2008</v>
      </c>
      <c r="B45" s="133">
        <v>927.10641606481363</v>
      </c>
      <c r="C45" s="452">
        <v>2.6570867407972099E-2</v>
      </c>
      <c r="D45" s="133">
        <v>1232.0845759774513</v>
      </c>
      <c r="E45" s="452">
        <v>3.4826036835809537E-2</v>
      </c>
      <c r="F45" s="133">
        <v>3745.8697096406327</v>
      </c>
      <c r="G45" s="452">
        <v>4.024774354491667E-2</v>
      </c>
    </row>
    <row r="46" spans="1:7" ht="18" customHeight="1" thickBot="1">
      <c r="A46" s="333">
        <v>2009</v>
      </c>
      <c r="B46" s="133">
        <v>961.34067298921809</v>
      </c>
      <c r="C46" s="452">
        <v>3.6925919539759988E-2</v>
      </c>
      <c r="D46" s="133">
        <v>1283.9269392146032</v>
      </c>
      <c r="E46" s="452">
        <v>4.2076951735252166E-2</v>
      </c>
      <c r="F46" s="133">
        <v>3850.7211121651544</v>
      </c>
      <c r="G46" s="452">
        <v>2.7991203819681454E-2</v>
      </c>
    </row>
    <row r="47" spans="1:7" ht="24" customHeight="1" thickBot="1">
      <c r="A47" s="841">
        <v>2010</v>
      </c>
      <c r="B47" s="843">
        <v>962.23072687431443</v>
      </c>
      <c r="C47" s="837">
        <v>9.2584648720706042E-4</v>
      </c>
      <c r="D47" s="843">
        <v>1339.1518937955034</v>
      </c>
      <c r="E47" s="837">
        <v>4.3012536690508307E-2</v>
      </c>
      <c r="F47" s="843">
        <v>3909.4171856200396</v>
      </c>
      <c r="G47" s="837">
        <v>1.5242878345423039E-2</v>
      </c>
    </row>
    <row r="48" spans="1:7" ht="15" customHeight="1">
      <c r="A48" s="352" t="s">
        <v>678</v>
      </c>
    </row>
    <row r="50" spans="1:1">
      <c r="A50" s="96" t="s">
        <v>1489</v>
      </c>
    </row>
    <row r="52" spans="1:1">
      <c r="A52" s="96" t="s">
        <v>497</v>
      </c>
    </row>
    <row r="53" spans="1:1">
      <c r="A53" s="3" t="s">
        <v>1485</v>
      </c>
    </row>
    <row r="54" spans="1:1">
      <c r="A54" s="3" t="s">
        <v>1490</v>
      </c>
    </row>
    <row r="57" spans="1:1">
      <c r="A57" s="3" t="s">
        <v>677</v>
      </c>
    </row>
  </sheetData>
  <mergeCells count="1">
    <mergeCell ref="A2:F2"/>
  </mergeCells>
  <pageMargins left="0.35" right="0.28000000000000003" top="0.47244094488188981" bottom="0.31496062992125984" header="0.27559055118110237" footer="0.19685039370078741"/>
  <pageSetup paperSize="9" scale="70" orientation="portrait" horizontalDpi="1200" verticalDpi="1200"/>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1B0A1-1BE3-D44D-A896-11300E8ACCA8}">
  <sheetPr>
    <pageSetUpPr fitToPage="1"/>
  </sheetPr>
  <dimension ref="A1:V65"/>
  <sheetViews>
    <sheetView zoomScaleNormal="100" workbookViewId="0">
      <selection activeCell="A3" sqref="A3"/>
    </sheetView>
  </sheetViews>
  <sheetFormatPr baseColWidth="10" defaultColWidth="11.3984375" defaultRowHeight="13"/>
  <cols>
    <col min="1" max="1" width="11.796875" style="3" customWidth="1"/>
    <col min="2" max="2" width="17" style="3" customWidth="1"/>
    <col min="3" max="3" width="13" style="414" customWidth="1"/>
    <col min="4" max="4" width="13" style="3" customWidth="1"/>
    <col min="5" max="5" width="14" style="414" customWidth="1"/>
    <col min="6" max="6" width="13" style="3" customWidth="1"/>
    <col min="7" max="7" width="13" style="414" customWidth="1"/>
    <col min="8" max="8" width="13" style="3" customWidth="1"/>
    <col min="9" max="9" width="15.3984375" style="3" customWidth="1"/>
    <col min="10" max="12" width="13" style="3" customWidth="1"/>
    <col min="13" max="13" width="14.59765625" style="3" customWidth="1"/>
    <col min="14" max="14" width="13.59765625" style="3" customWidth="1"/>
    <col min="15" max="15" width="14.59765625" style="3" customWidth="1"/>
    <col min="16" max="16" width="13" style="3" customWidth="1"/>
    <col min="17" max="16384" width="11.3984375" style="3"/>
  </cols>
  <sheetData>
    <row r="1" spans="1:22" s="2" customFormat="1" ht="14" customHeight="1">
      <c r="A1" s="242"/>
      <c r="B1" s="242"/>
      <c r="C1" s="845"/>
      <c r="D1" s="242"/>
      <c r="E1" s="845"/>
      <c r="F1" s="242"/>
      <c r="G1" s="846"/>
      <c r="H1" s="846"/>
      <c r="I1" s="846"/>
      <c r="J1" s="846"/>
      <c r="K1" s="846"/>
      <c r="L1" s="846"/>
      <c r="M1" s="846"/>
      <c r="N1" s="846"/>
      <c r="O1" s="846"/>
      <c r="P1" s="846"/>
      <c r="Q1" s="846"/>
      <c r="R1" s="846"/>
      <c r="S1" s="846"/>
      <c r="T1" s="846"/>
      <c r="U1" s="846"/>
    </row>
    <row r="2" spans="1:22" s="2" customFormat="1" ht="25.5" customHeight="1">
      <c r="A2" s="71" t="s">
        <v>1491</v>
      </c>
      <c r="B2" s="242"/>
      <c r="C2" s="845"/>
      <c r="D2" s="242"/>
      <c r="E2" s="845"/>
      <c r="F2" s="242"/>
      <c r="G2" s="845"/>
      <c r="N2" s="371"/>
    </row>
    <row r="3" spans="1:22" ht="24" customHeight="1">
      <c r="A3" s="72" t="s">
        <v>742</v>
      </c>
      <c r="B3" s="651" t="s">
        <v>1492</v>
      </c>
      <c r="C3" s="277" t="s">
        <v>585</v>
      </c>
      <c r="D3" s="73"/>
      <c r="E3" s="455"/>
      <c r="F3" s="73"/>
      <c r="G3" s="455"/>
      <c r="H3" s="73"/>
      <c r="I3" s="455"/>
      <c r="J3" s="73"/>
      <c r="K3" s="455"/>
      <c r="L3" s="73"/>
      <c r="M3" s="455"/>
      <c r="N3" s="73"/>
      <c r="O3"/>
    </row>
    <row r="4" spans="1:22" ht="17.25" customHeight="1">
      <c r="A4" s="328"/>
      <c r="B4" s="188" t="s">
        <v>1493</v>
      </c>
      <c r="C4" s="75" t="s">
        <v>586</v>
      </c>
      <c r="D4" s="847" t="s">
        <v>1494</v>
      </c>
      <c r="E4" s="848" t="s">
        <v>1494</v>
      </c>
      <c r="F4" s="847" t="s">
        <v>1494</v>
      </c>
      <c r="G4" s="848" t="s">
        <v>1494</v>
      </c>
      <c r="H4" s="847" t="s">
        <v>1494</v>
      </c>
      <c r="I4" s="848" t="s">
        <v>1494</v>
      </c>
      <c r="J4" s="847" t="s">
        <v>1494</v>
      </c>
      <c r="K4" s="848" t="s">
        <v>1494</v>
      </c>
      <c r="L4" s="847" t="s">
        <v>1494</v>
      </c>
      <c r="M4" s="848" t="s">
        <v>1494</v>
      </c>
      <c r="N4" s="847" t="s">
        <v>1494</v>
      </c>
      <c r="O4"/>
    </row>
    <row r="5" spans="1:22" ht="15" customHeight="1">
      <c r="A5" s="328"/>
      <c r="B5" s="76"/>
      <c r="C5" s="75" t="s">
        <v>210</v>
      </c>
      <c r="D5" s="847" t="s">
        <v>1495</v>
      </c>
      <c r="E5" s="848" t="s">
        <v>1496</v>
      </c>
      <c r="F5" s="847" t="s">
        <v>1497</v>
      </c>
      <c r="G5" s="848" t="s">
        <v>1497</v>
      </c>
      <c r="H5" s="847" t="s">
        <v>556</v>
      </c>
      <c r="I5" s="848" t="s">
        <v>557</v>
      </c>
      <c r="J5" s="847" t="s">
        <v>558</v>
      </c>
      <c r="K5" s="848" t="s">
        <v>559</v>
      </c>
      <c r="L5" s="847" t="s">
        <v>1498</v>
      </c>
      <c r="M5" s="848" t="s">
        <v>1499</v>
      </c>
      <c r="N5" s="847" t="s">
        <v>1500</v>
      </c>
      <c r="O5"/>
    </row>
    <row r="6" spans="1:22" s="96" customFormat="1" ht="19.5" customHeight="1">
      <c r="A6" s="849"/>
      <c r="B6" s="440"/>
      <c r="C6" s="850"/>
      <c r="D6" s="851" t="s">
        <v>1501</v>
      </c>
      <c r="E6" s="852" t="s">
        <v>1501</v>
      </c>
      <c r="F6" s="851" t="s">
        <v>1502</v>
      </c>
      <c r="G6" s="852" t="s">
        <v>1503</v>
      </c>
      <c r="H6" s="851"/>
      <c r="I6" s="852"/>
      <c r="J6" s="851"/>
      <c r="K6" s="852"/>
      <c r="L6" s="851" t="s">
        <v>1504</v>
      </c>
      <c r="M6" s="852" t="s">
        <v>1505</v>
      </c>
      <c r="N6" s="851" t="s">
        <v>1506</v>
      </c>
      <c r="O6"/>
    </row>
    <row r="7" spans="1:22" ht="19.5" customHeight="1">
      <c r="A7" s="329"/>
      <c r="B7" s="82"/>
      <c r="C7" s="654"/>
      <c r="D7" s="440"/>
      <c r="E7" s="853"/>
      <c r="F7" s="440"/>
      <c r="G7" s="853"/>
      <c r="H7" s="440"/>
      <c r="I7" s="853"/>
      <c r="J7" s="440"/>
      <c r="K7" s="808"/>
      <c r="L7" s="440"/>
      <c r="M7" s="853"/>
      <c r="N7" s="440"/>
      <c r="O7"/>
    </row>
    <row r="8" spans="1:22" ht="2.25" customHeight="1" thickBot="1">
      <c r="A8" s="427">
        <v>1996</v>
      </c>
      <c r="B8" s="123">
        <v>8214.622179967444</v>
      </c>
      <c r="C8" s="309">
        <v>0.11122052660984157</v>
      </c>
      <c r="D8" s="131" t="s">
        <v>35</v>
      </c>
      <c r="E8" s="130" t="s">
        <v>35</v>
      </c>
      <c r="F8" s="131" t="s">
        <v>35</v>
      </c>
      <c r="G8" s="130" t="s">
        <v>35</v>
      </c>
      <c r="H8" s="131" t="s">
        <v>35</v>
      </c>
      <c r="I8" s="130" t="s">
        <v>35</v>
      </c>
      <c r="J8" s="131" t="s">
        <v>35</v>
      </c>
      <c r="K8" s="124">
        <v>56.88</v>
      </c>
      <c r="L8" s="131" t="s">
        <v>35</v>
      </c>
      <c r="M8" s="130" t="s">
        <v>35</v>
      </c>
      <c r="N8" s="131" t="s">
        <v>35</v>
      </c>
      <c r="O8"/>
    </row>
    <row r="9" spans="1:22" ht="0.75" hidden="1" customHeight="1" thickBot="1">
      <c r="A9" s="333">
        <v>1997</v>
      </c>
      <c r="B9" s="133">
        <v>8735.6547899365542</v>
      </c>
      <c r="C9" s="452">
        <v>6.3427458811158022E-2</v>
      </c>
      <c r="D9" s="131" t="s">
        <v>35</v>
      </c>
      <c r="E9" s="130" t="s">
        <v>35</v>
      </c>
      <c r="F9" s="131" t="s">
        <v>35</v>
      </c>
      <c r="G9" s="130" t="s">
        <v>35</v>
      </c>
      <c r="H9" s="131" t="s">
        <v>35</v>
      </c>
      <c r="I9" s="130" t="s">
        <v>35</v>
      </c>
      <c r="J9" s="131" t="s">
        <v>35</v>
      </c>
      <c r="K9" s="132">
        <v>56.26</v>
      </c>
      <c r="L9" s="131" t="s">
        <v>35</v>
      </c>
      <c r="M9" s="130" t="s">
        <v>35</v>
      </c>
      <c r="N9" s="131" t="s">
        <v>35</v>
      </c>
      <c r="O9"/>
      <c r="T9" s="9"/>
      <c r="U9" s="9"/>
      <c r="V9" s="9"/>
    </row>
    <row r="10" spans="1:22" ht="19.5" hidden="1" customHeight="1" thickBot="1">
      <c r="A10" s="333">
        <v>1998</v>
      </c>
      <c r="B10" s="133">
        <v>9332.6868080000004</v>
      </c>
      <c r="C10" s="452">
        <v>6.8344277838362513E-2</v>
      </c>
      <c r="D10" s="133">
        <v>3748.16</v>
      </c>
      <c r="E10" s="132">
        <v>1302.8</v>
      </c>
      <c r="F10" s="133">
        <v>933.79</v>
      </c>
      <c r="G10" s="132">
        <v>1787.54</v>
      </c>
      <c r="H10" s="133">
        <v>223.97</v>
      </c>
      <c r="I10" s="132">
        <v>417.71</v>
      </c>
      <c r="J10" s="133">
        <v>397.5</v>
      </c>
      <c r="K10" s="132">
        <v>56.3</v>
      </c>
      <c r="L10" s="133">
        <v>104.38</v>
      </c>
      <c r="M10" s="132">
        <v>87.2</v>
      </c>
      <c r="N10" s="133" t="s">
        <v>35</v>
      </c>
      <c r="O10"/>
    </row>
    <row r="11" spans="1:22" ht="19.75" hidden="1" customHeight="1" thickBot="1">
      <c r="A11" s="333">
        <v>1999</v>
      </c>
      <c r="B11" s="133">
        <v>9826.7075550000009</v>
      </c>
      <c r="C11" s="452">
        <v>5.2934461121798788E-2</v>
      </c>
      <c r="D11" s="133">
        <v>3764.53</v>
      </c>
      <c r="E11" s="132">
        <v>1484.57</v>
      </c>
      <c r="F11" s="133">
        <v>1031.77</v>
      </c>
      <c r="G11" s="132">
        <v>1873.03</v>
      </c>
      <c r="H11" s="133">
        <v>235.27</v>
      </c>
      <c r="I11" s="132">
        <v>437.19</v>
      </c>
      <c r="J11" s="133">
        <v>413.87</v>
      </c>
      <c r="K11" s="132">
        <v>60.6</v>
      </c>
      <c r="L11" s="133">
        <v>125.04</v>
      </c>
      <c r="M11" s="132">
        <v>87.9</v>
      </c>
      <c r="N11" s="133" t="s">
        <v>35</v>
      </c>
      <c r="O11"/>
    </row>
    <row r="12" spans="1:22" ht="20" customHeight="1" thickBot="1">
      <c r="A12" s="333">
        <v>2000</v>
      </c>
      <c r="B12" s="133">
        <v>10542.816855999999</v>
      </c>
      <c r="C12" s="452">
        <v>7.2873777609839388E-2</v>
      </c>
      <c r="D12" s="133">
        <v>3846.3722419999999</v>
      </c>
      <c r="E12" s="132">
        <v>1665.8885190000001</v>
      </c>
      <c r="F12" s="133">
        <v>1143.2080209999999</v>
      </c>
      <c r="G12" s="132">
        <v>2097.7667449999999</v>
      </c>
      <c r="H12" s="133">
        <v>253.12159500000001</v>
      </c>
      <c r="I12" s="132">
        <v>446.74208700000003</v>
      </c>
      <c r="J12" s="133">
        <v>442.743357</v>
      </c>
      <c r="K12" s="132">
        <v>62.290866000000001</v>
      </c>
      <c r="L12" s="133">
        <v>179.87060299999999</v>
      </c>
      <c r="M12" s="132">
        <v>114.545208</v>
      </c>
      <c r="N12" s="133" t="s">
        <v>35</v>
      </c>
      <c r="O12"/>
    </row>
    <row r="13" spans="1:22" ht="20" customHeight="1" thickBot="1">
      <c r="A13" s="333">
        <v>2001</v>
      </c>
      <c r="B13" s="133">
        <v>11308.048632</v>
      </c>
      <c r="C13" s="452">
        <v>7.2583237141646939E-2</v>
      </c>
      <c r="D13" s="133">
        <v>4011.5563699999998</v>
      </c>
      <c r="E13" s="132">
        <v>1925.523136</v>
      </c>
      <c r="F13" s="133">
        <v>1271.4507229999999</v>
      </c>
      <c r="G13" s="132">
        <v>2242.439856</v>
      </c>
      <c r="H13" s="133">
        <v>270.321618</v>
      </c>
      <c r="I13" s="132">
        <v>480.12928299999999</v>
      </c>
      <c r="J13" s="133">
        <v>462.70975499999997</v>
      </c>
      <c r="K13" s="132">
        <v>65.236801</v>
      </c>
      <c r="L13" s="133">
        <v>173.02369200000001</v>
      </c>
      <c r="M13" s="132">
        <v>106.32983400000001</v>
      </c>
      <c r="N13" s="133">
        <v>20.166156999999998</v>
      </c>
      <c r="O13"/>
    </row>
    <row r="14" spans="1:22" ht="20" customHeight="1" thickBot="1">
      <c r="A14" s="333">
        <v>2002</v>
      </c>
      <c r="B14" s="133">
        <v>11864.756498999999</v>
      </c>
      <c r="C14" s="452">
        <v>4.9231117155315675E-2</v>
      </c>
      <c r="D14" s="133">
        <v>4108.8234659999998</v>
      </c>
      <c r="E14" s="132">
        <v>1972.059045</v>
      </c>
      <c r="F14" s="133">
        <v>1260.789229</v>
      </c>
      <c r="G14" s="132">
        <v>2524.68426</v>
      </c>
      <c r="H14" s="133">
        <v>290.06557500000002</v>
      </c>
      <c r="I14" s="132">
        <v>506.24601999999999</v>
      </c>
      <c r="J14" s="133">
        <v>485.55174599999998</v>
      </c>
      <c r="K14" s="132">
        <v>65.211265999999995</v>
      </c>
      <c r="L14" s="133">
        <v>202.87558799999999</v>
      </c>
      <c r="M14" s="132">
        <v>112.82700800000001</v>
      </c>
      <c r="N14" s="133">
        <v>22.283301000000002</v>
      </c>
      <c r="O14"/>
    </row>
    <row r="15" spans="1:22" ht="20" customHeight="1" thickBot="1">
      <c r="A15" s="333">
        <v>2003</v>
      </c>
      <c r="B15" s="133">
        <v>12287.171129999999</v>
      </c>
      <c r="C15" s="452">
        <v>3.560246946792394E-2</v>
      </c>
      <c r="D15" s="133">
        <v>4172.0328019999997</v>
      </c>
      <c r="E15" s="132">
        <v>2141.3752909999998</v>
      </c>
      <c r="F15" s="133">
        <v>1347.924618</v>
      </c>
      <c r="G15" s="132">
        <v>2602.0570160000002</v>
      </c>
      <c r="H15" s="133">
        <v>320.12044100000003</v>
      </c>
      <c r="I15" s="132">
        <v>491.37185499999998</v>
      </c>
      <c r="J15" s="133">
        <v>480.48790700000001</v>
      </c>
      <c r="K15" s="132">
        <v>65.007204000000002</v>
      </c>
      <c r="L15" s="133">
        <v>214.51952800000001</v>
      </c>
      <c r="M15" s="132">
        <v>112.746364</v>
      </c>
      <c r="N15" s="133">
        <v>30.331126999999999</v>
      </c>
      <c r="O15"/>
    </row>
    <row r="16" spans="1:22" ht="20" customHeight="1" thickBot="1">
      <c r="A16" s="333">
        <v>2004</v>
      </c>
      <c r="B16" s="133">
        <v>12930.941864000002</v>
      </c>
      <c r="C16" s="452">
        <v>5.2393730598265333E-2</v>
      </c>
      <c r="D16" s="133">
        <v>4377.7035830000004</v>
      </c>
      <c r="E16" s="132">
        <v>2192.3005199999998</v>
      </c>
      <c r="F16" s="133">
        <v>1398.7252390000001</v>
      </c>
      <c r="G16" s="132">
        <v>2750.1970510000001</v>
      </c>
      <c r="H16" s="133">
        <v>365.15373399999999</v>
      </c>
      <c r="I16" s="132">
        <v>505.40384999999998</v>
      </c>
      <c r="J16" s="133">
        <v>591.27084500000001</v>
      </c>
      <c r="K16" s="132">
        <v>68.244215999999994</v>
      </c>
      <c r="L16" s="133">
        <v>259.95297099999999</v>
      </c>
      <c r="M16" s="132">
        <v>79.496533999999997</v>
      </c>
      <c r="N16" s="133">
        <v>25.676613</v>
      </c>
      <c r="O16"/>
    </row>
    <row r="17" spans="1:17" ht="20" customHeight="1" thickBot="1">
      <c r="A17" s="333">
        <v>2005</v>
      </c>
      <c r="B17" s="133">
        <v>13896.515273999998</v>
      </c>
      <c r="C17" s="452">
        <v>7.467154520956984E-2</v>
      </c>
      <c r="D17" s="133">
        <v>4526.5123919999996</v>
      </c>
      <c r="E17" s="132">
        <v>2671.1515180000001</v>
      </c>
      <c r="F17" s="133">
        <v>1472.471274</v>
      </c>
      <c r="G17" s="132">
        <v>2820.8304370000001</v>
      </c>
      <c r="H17" s="133">
        <v>388.382814</v>
      </c>
      <c r="I17" s="132">
        <v>531.73997799999995</v>
      </c>
      <c r="J17" s="133">
        <v>664.98868300000004</v>
      </c>
      <c r="K17" s="132">
        <v>69.204526000000001</v>
      </c>
      <c r="L17" s="133">
        <v>297.96774900000003</v>
      </c>
      <c r="M17" s="132">
        <v>52.688243999999997</v>
      </c>
      <c r="N17" s="133">
        <v>24.155256000000001</v>
      </c>
      <c r="O17"/>
    </row>
    <row r="18" spans="1:17" ht="20" customHeight="1" thickBot="1">
      <c r="A18" s="333">
        <v>2006</v>
      </c>
      <c r="B18" s="133">
        <v>14030.772541999999</v>
      </c>
      <c r="C18" s="452">
        <v>9.6612183236464248E-3</v>
      </c>
      <c r="D18" s="133">
        <v>4631.4300709999998</v>
      </c>
      <c r="E18" s="132">
        <v>2644.9903220000001</v>
      </c>
      <c r="F18" s="133">
        <v>1472.366248</v>
      </c>
      <c r="G18" s="132">
        <v>2826.9170079999999</v>
      </c>
      <c r="H18" s="133">
        <v>416.81203599999998</v>
      </c>
      <c r="I18" s="132">
        <v>539.40939700000001</v>
      </c>
      <c r="J18" s="133">
        <v>625.59989599999994</v>
      </c>
      <c r="K18" s="132">
        <v>68.417607000000004</v>
      </c>
      <c r="L18" s="133">
        <v>336.37458700000002</v>
      </c>
      <c r="M18" s="132">
        <v>61.767296000000002</v>
      </c>
      <c r="N18" s="133">
        <v>11.768563</v>
      </c>
      <c r="O18"/>
    </row>
    <row r="19" spans="1:17" ht="20" customHeight="1" thickBot="1">
      <c r="A19" s="333">
        <v>2007</v>
      </c>
      <c r="B19" s="133">
        <v>14675.691045</v>
      </c>
      <c r="C19" s="452">
        <v>4.5964575440838207E-2</v>
      </c>
      <c r="D19" s="133">
        <v>4835.7349899999999</v>
      </c>
      <c r="E19" s="132">
        <v>2824.687347</v>
      </c>
      <c r="F19" s="133">
        <v>1518.895055</v>
      </c>
      <c r="G19" s="132">
        <v>2887.694485</v>
      </c>
      <c r="H19" s="133">
        <v>456.109013</v>
      </c>
      <c r="I19" s="132">
        <v>553.92740000000003</v>
      </c>
      <c r="J19" s="133">
        <v>633.04220399999997</v>
      </c>
      <c r="K19" s="132">
        <v>71.228594000000001</v>
      </c>
      <c r="L19" s="133">
        <v>373.80373800000001</v>
      </c>
      <c r="M19" s="132">
        <v>64.120796999999996</v>
      </c>
      <c r="N19" s="133">
        <v>9.7957180000000008</v>
      </c>
      <c r="O19"/>
    </row>
    <row r="20" spans="1:17" ht="20" customHeight="1" thickBot="1">
      <c r="A20" s="333">
        <v>2008</v>
      </c>
      <c r="B20" s="133">
        <v>15615.666009989998</v>
      </c>
      <c r="C20" s="452">
        <v>6.4049792415754592E-2</v>
      </c>
      <c r="D20" s="133">
        <v>5103.8810920400001</v>
      </c>
      <c r="E20" s="132">
        <v>3255.3153891399998</v>
      </c>
      <c r="F20" s="133">
        <v>1619.4145700199999</v>
      </c>
      <c r="G20" s="132">
        <v>3019.5684620500001</v>
      </c>
      <c r="H20" s="133">
        <v>496.14749419999998</v>
      </c>
      <c r="I20" s="132">
        <v>572.72103085000003</v>
      </c>
      <c r="J20" s="133">
        <v>686.59783748999996</v>
      </c>
      <c r="K20" s="132">
        <v>71.69690340999999</v>
      </c>
      <c r="L20" s="133">
        <v>374.54323960000005</v>
      </c>
      <c r="M20" s="132">
        <v>55.54561923</v>
      </c>
      <c r="N20" s="133">
        <v>10.82962706</v>
      </c>
      <c r="O20"/>
    </row>
    <row r="21" spans="1:17" ht="20" customHeight="1" thickBot="1">
      <c r="A21" s="333">
        <v>2009</v>
      </c>
      <c r="B21" s="133">
        <v>16254.018595869999</v>
      </c>
      <c r="C21" s="452">
        <v>4.0878985595082407E-2</v>
      </c>
      <c r="D21" s="133">
        <v>5227.31893072</v>
      </c>
      <c r="E21" s="132">
        <v>3473.7134508499998</v>
      </c>
      <c r="F21" s="133">
        <v>1697.4901301199998</v>
      </c>
      <c r="G21" s="132">
        <v>3136.26183201</v>
      </c>
      <c r="H21" s="133">
        <v>531.28997864999997</v>
      </c>
      <c r="I21" s="132">
        <v>592.22791487999996</v>
      </c>
      <c r="J21" s="133">
        <v>691.81437719000007</v>
      </c>
      <c r="K21" s="132">
        <v>72.583560519999992</v>
      </c>
      <c r="L21" s="133">
        <v>392.16189391</v>
      </c>
      <c r="M21" s="132">
        <v>62.042064340000003</v>
      </c>
      <c r="N21" s="133">
        <v>9.6207207700000001</v>
      </c>
      <c r="O21"/>
    </row>
    <row r="22" spans="1:17" s="115" customFormat="1" ht="30" customHeight="1" thickBot="1">
      <c r="A22" s="647">
        <v>2010</v>
      </c>
      <c r="B22" s="270">
        <v>16768.374995100003</v>
      </c>
      <c r="C22" s="314">
        <v>3.1644875770026282E-2</v>
      </c>
      <c r="D22" s="270">
        <v>5325.2508193000003</v>
      </c>
      <c r="E22" s="322">
        <v>3824.7807484699997</v>
      </c>
      <c r="F22" s="270">
        <v>1619.7804195599999</v>
      </c>
      <c r="G22" s="322">
        <v>3163.9565150100002</v>
      </c>
      <c r="H22" s="270">
        <v>562.75759688999995</v>
      </c>
      <c r="I22" s="322">
        <v>622.54745729000001</v>
      </c>
      <c r="J22" s="270">
        <v>696.93634201999998</v>
      </c>
      <c r="K22" s="322">
        <v>73.035286099999993</v>
      </c>
      <c r="L22" s="270">
        <v>417.93008025</v>
      </c>
      <c r="M22" s="322">
        <v>68.394027909999991</v>
      </c>
      <c r="N22" s="270">
        <v>7.8707267500000002</v>
      </c>
      <c r="O22"/>
      <c r="P22" s="854"/>
      <c r="Q22" s="855"/>
    </row>
    <row r="23" spans="1:17" ht="17.25" customHeight="1" thickBot="1">
      <c r="A23" s="324"/>
      <c r="B23" s="856"/>
      <c r="C23" s="857"/>
      <c r="D23" s="856"/>
      <c r="E23" s="857"/>
      <c r="F23" s="856"/>
      <c r="G23" s="857"/>
      <c r="P23" s="4"/>
      <c r="Q23" s="4"/>
    </row>
    <row r="24" spans="1:17" s="236" customFormat="1" ht="51" customHeight="1" thickBot="1">
      <c r="A24" s="858" t="s">
        <v>1507</v>
      </c>
      <c r="B24" s="339">
        <v>4.7498552584805953E-2</v>
      </c>
      <c r="C24" s="859" t="s">
        <v>35</v>
      </c>
      <c r="D24" s="339">
        <v>3.3067920128826644E-2</v>
      </c>
      <c r="E24" s="860">
        <v>8.6665955088175428E-2</v>
      </c>
      <c r="F24" s="339">
        <v>3.5459431371182681E-2</v>
      </c>
      <c r="G24" s="860">
        <v>4.1951084325355881E-2</v>
      </c>
      <c r="H24" s="339">
        <v>8.3176468992204544E-2</v>
      </c>
      <c r="I24" s="860">
        <v>3.374056676108772E-2</v>
      </c>
      <c r="J24" s="339">
        <v>4.6415359736157624E-2</v>
      </c>
      <c r="K24" s="860">
        <v>1.6040072048618903E-2</v>
      </c>
      <c r="L24" s="339">
        <v>8.7963546290632744E-2</v>
      </c>
      <c r="M24" s="860">
        <v>-5.0261320578379176E-2</v>
      </c>
      <c r="N24" s="339" t="s">
        <v>35</v>
      </c>
      <c r="P24" s="854"/>
      <c r="Q24" s="854"/>
    </row>
    <row r="25" spans="1:17" ht="39" customHeight="1">
      <c r="A25" s="324"/>
      <c r="B25" s="861"/>
      <c r="C25" s="857"/>
      <c r="D25" s="856"/>
      <c r="E25" s="857"/>
      <c r="F25" s="856"/>
      <c r="G25" s="857"/>
    </row>
    <row r="26" spans="1:17" ht="18" customHeight="1">
      <c r="A26" s="72" t="s">
        <v>742</v>
      </c>
      <c r="B26" s="188" t="s">
        <v>1508</v>
      </c>
      <c r="C26" s="277" t="s">
        <v>585</v>
      </c>
      <c r="D26" s="73"/>
      <c r="E26" s="455"/>
      <c r="F26"/>
      <c r="G26" s="3"/>
      <c r="H26" s="651" t="s">
        <v>190</v>
      </c>
      <c r="I26" s="277" t="s">
        <v>585</v>
      </c>
    </row>
    <row r="27" spans="1:17" ht="16.75" customHeight="1">
      <c r="A27" s="328"/>
      <c r="B27" s="188" t="s">
        <v>1493</v>
      </c>
      <c r="C27" s="75" t="s">
        <v>586</v>
      </c>
      <c r="D27" s="862" t="s">
        <v>1494</v>
      </c>
      <c r="E27" s="863" t="s">
        <v>1494</v>
      </c>
      <c r="F27"/>
      <c r="G27" s="3"/>
      <c r="H27" s="188" t="s">
        <v>433</v>
      </c>
      <c r="I27" s="75" t="s">
        <v>586</v>
      </c>
    </row>
    <row r="28" spans="1:17" ht="16.25" customHeight="1">
      <c r="A28" s="328"/>
      <c r="B28" s="76"/>
      <c r="C28" s="75" t="s">
        <v>210</v>
      </c>
      <c r="D28" s="862" t="s">
        <v>1509</v>
      </c>
      <c r="E28" s="863" t="s">
        <v>1510</v>
      </c>
      <c r="F28"/>
      <c r="G28" s="3"/>
      <c r="H28" s="76"/>
      <c r="I28" s="75" t="s">
        <v>210</v>
      </c>
    </row>
    <row r="29" spans="1:17" ht="19.5" customHeight="1">
      <c r="A29" s="849"/>
      <c r="B29" s="440"/>
      <c r="C29" s="850"/>
      <c r="D29" s="862" t="s">
        <v>1511</v>
      </c>
      <c r="E29" s="863"/>
      <c r="F29"/>
      <c r="G29" s="3"/>
      <c r="H29" s="440"/>
      <c r="I29" s="850"/>
    </row>
    <row r="30" spans="1:17" ht="19.5" customHeight="1">
      <c r="A30" s="329"/>
      <c r="B30" s="82"/>
      <c r="C30" s="654"/>
      <c r="D30" s="864"/>
      <c r="E30" s="865"/>
      <c r="F30"/>
      <c r="G30" s="3"/>
      <c r="H30" s="82"/>
      <c r="I30" s="654"/>
    </row>
    <row r="31" spans="1:17" ht="1.5" customHeight="1" thickBot="1">
      <c r="A31" s="427">
        <v>1996</v>
      </c>
      <c r="B31" s="123">
        <v>4244.395068032557</v>
      </c>
      <c r="C31" s="309">
        <v>8.4154117430895334E-2</v>
      </c>
      <c r="D31" s="131" t="s">
        <v>35</v>
      </c>
      <c r="E31" s="130" t="s">
        <v>35</v>
      </c>
      <c r="F31"/>
      <c r="G31" s="3"/>
      <c r="H31" s="123">
        <v>12459.017248</v>
      </c>
      <c r="I31" s="309">
        <v>0.10184935576083168</v>
      </c>
    </row>
    <row r="32" spans="1:17" ht="19.5" hidden="1" customHeight="1" thickBot="1">
      <c r="A32" s="333">
        <v>1997</v>
      </c>
      <c r="B32" s="133">
        <v>4402.8227450634458</v>
      </c>
      <c r="C32" s="452">
        <v>3.7326326718291628E-2</v>
      </c>
      <c r="D32" s="133" t="s">
        <v>35</v>
      </c>
      <c r="E32" s="132" t="s">
        <v>35</v>
      </c>
      <c r="F32"/>
      <c r="G32" s="3"/>
      <c r="H32" s="133">
        <v>13138.477535</v>
      </c>
      <c r="I32" s="452">
        <v>5.4535624558114414E-2</v>
      </c>
    </row>
    <row r="33" spans="1:9" ht="19.5" hidden="1" customHeight="1" thickBot="1">
      <c r="A33" s="333">
        <v>1998</v>
      </c>
      <c r="B33" s="133">
        <v>4691.4058439999999</v>
      </c>
      <c r="C33" s="452">
        <v>6.5545018649710712E-2</v>
      </c>
      <c r="D33" s="133">
        <v>3570.49</v>
      </c>
      <c r="E33" s="132">
        <v>1091.68</v>
      </c>
      <c r="F33"/>
      <c r="G33" s="3"/>
      <c r="H33" s="133">
        <v>14024.092651999999</v>
      </c>
      <c r="I33" s="452">
        <v>6.7406220746717538E-2</v>
      </c>
    </row>
    <row r="34" spans="1:9" ht="19.25" hidden="1" customHeight="1" thickBot="1">
      <c r="A34" s="333">
        <v>1999</v>
      </c>
      <c r="B34" s="133">
        <v>4793.8029630000001</v>
      </c>
      <c r="C34" s="452">
        <v>2.1826531833940437E-2</v>
      </c>
      <c r="D34" s="133">
        <v>3611.25</v>
      </c>
      <c r="E34" s="132">
        <v>1169.7</v>
      </c>
      <c r="F34"/>
      <c r="G34" s="3"/>
      <c r="H34" s="133">
        <v>14620.510517999999</v>
      </c>
      <c r="I34" s="452">
        <v>4.2528089395854327E-2</v>
      </c>
    </row>
    <row r="35" spans="1:9" ht="19.5" customHeight="1" thickBot="1">
      <c r="A35" s="333">
        <v>2000</v>
      </c>
      <c r="B35" s="133">
        <v>4935.5105860000003</v>
      </c>
      <c r="C35" s="452">
        <v>2.9560585633940716E-2</v>
      </c>
      <c r="D35" s="133">
        <v>3696.49064</v>
      </c>
      <c r="E35" s="132">
        <v>1214.941513</v>
      </c>
      <c r="F35"/>
      <c r="G35" s="3"/>
      <c r="H35" s="133">
        <v>15478.327442</v>
      </c>
      <c r="I35" s="452">
        <v>5.8672159425890213E-2</v>
      </c>
    </row>
    <row r="36" spans="1:9" ht="21.75" customHeight="1" thickBot="1">
      <c r="A36" s="333">
        <v>2001</v>
      </c>
      <c r="B36" s="133">
        <v>5078.4121850000001</v>
      </c>
      <c r="C36" s="452">
        <v>2.8953762029272606E-2</v>
      </c>
      <c r="D36" s="133">
        <v>3798.2139889999999</v>
      </c>
      <c r="E36" s="132">
        <v>1257.8527670000001</v>
      </c>
      <c r="F36"/>
      <c r="G36" s="3"/>
      <c r="H36" s="133">
        <v>16386.460816999999</v>
      </c>
      <c r="I36" s="452">
        <v>5.867128592562304E-2</v>
      </c>
    </row>
    <row r="37" spans="1:9" ht="19.5" customHeight="1" thickBot="1">
      <c r="A37" s="333">
        <v>2002</v>
      </c>
      <c r="B37" s="133">
        <v>5230.8309099999997</v>
      </c>
      <c r="C37" s="452">
        <v>3.0013066968095962E-2</v>
      </c>
      <c r="D37" s="133">
        <v>3783.9358269999998</v>
      </c>
      <c r="E37" s="132">
        <v>1392.356614</v>
      </c>
      <c r="F37"/>
      <c r="G37" s="3"/>
      <c r="H37" s="133">
        <v>17095.587409</v>
      </c>
      <c r="I37" s="452">
        <v>4.3275152573783532E-2</v>
      </c>
    </row>
    <row r="38" spans="1:9" ht="19.5" customHeight="1" thickBot="1">
      <c r="A38" s="333">
        <v>2003</v>
      </c>
      <c r="B38" s="133">
        <v>5636.9482250000001</v>
      </c>
      <c r="C38" s="452">
        <v>7.7639159435188176E-2</v>
      </c>
      <c r="D38" s="133">
        <v>4111.8764270000001</v>
      </c>
      <c r="E38" s="132">
        <v>1477.775099</v>
      </c>
      <c r="F38"/>
      <c r="G38" s="3"/>
      <c r="H38" s="133">
        <v>17924.119354999999</v>
      </c>
      <c r="I38" s="452">
        <v>4.8464666710651728E-2</v>
      </c>
    </row>
    <row r="39" spans="1:9" ht="19.5" customHeight="1" thickBot="1">
      <c r="A39" s="333">
        <v>2004</v>
      </c>
      <c r="B39" s="133">
        <v>6208.8790769999996</v>
      </c>
      <c r="C39" s="452">
        <v>0.10146107950104499</v>
      </c>
      <c r="D39" s="133">
        <v>4569.0303759999997</v>
      </c>
      <c r="E39" s="132">
        <v>1572.8925360000001</v>
      </c>
      <c r="F39"/>
      <c r="G39" s="3"/>
      <c r="H39" s="133">
        <v>19139.820941000002</v>
      </c>
      <c r="I39" s="452">
        <v>6.782489906043157E-2</v>
      </c>
    </row>
    <row r="40" spans="1:9" ht="19.5" customHeight="1" thickBot="1">
      <c r="A40" s="333">
        <v>2005</v>
      </c>
      <c r="B40" s="133">
        <v>6451.1913709999999</v>
      </c>
      <c r="C40" s="452">
        <v>3.902673751492685E-2</v>
      </c>
      <c r="D40" s="133">
        <v>4803.16752</v>
      </c>
      <c r="E40" s="132">
        <v>1587.1501499999999</v>
      </c>
      <c r="F40"/>
      <c r="G40" s="3"/>
      <c r="H40" s="133">
        <v>20347.706644999998</v>
      </c>
      <c r="I40" s="452">
        <v>6.3108516413157623E-2</v>
      </c>
    </row>
    <row r="41" spans="1:9" ht="19.5" customHeight="1" thickBot="1">
      <c r="A41" s="333">
        <v>2006</v>
      </c>
      <c r="B41" s="133">
        <v>6571.8543769999997</v>
      </c>
      <c r="C41" s="452">
        <v>1.8703988001722505E-2</v>
      </c>
      <c r="D41" s="133">
        <v>4893.0853630000001</v>
      </c>
      <c r="E41" s="132">
        <v>1627.1193760000001</v>
      </c>
      <c r="F41"/>
      <c r="G41" s="3"/>
      <c r="H41" s="133">
        <v>20602.626918999998</v>
      </c>
      <c r="I41" s="452">
        <v>1.2528206664638598E-2</v>
      </c>
    </row>
    <row r="42" spans="1:9" ht="19.5" customHeight="1" thickBot="1">
      <c r="A42" s="333">
        <v>2007</v>
      </c>
      <c r="B42" s="133">
        <v>6902.9978209999999</v>
      </c>
      <c r="C42" s="452">
        <v>5.0388128677794075E-2</v>
      </c>
      <c r="D42" s="133">
        <v>5137.1482340000002</v>
      </c>
      <c r="E42" s="132">
        <v>1706.5482260000001</v>
      </c>
      <c r="F42"/>
      <c r="G42" s="3"/>
      <c r="H42" s="133">
        <v>21578.688866</v>
      </c>
      <c r="I42" s="452">
        <v>4.737560655917461E-2</v>
      </c>
    </row>
    <row r="43" spans="1:9" ht="19.5" customHeight="1" thickBot="1">
      <c r="A43" s="333">
        <v>2008</v>
      </c>
      <c r="B43" s="133">
        <v>7106.2454728100001</v>
      </c>
      <c r="C43" s="452">
        <v>2.9443389246290863E-2</v>
      </c>
      <c r="D43" s="133">
        <v>5258.11061599</v>
      </c>
      <c r="E43" s="132">
        <v>1784.3509754700001</v>
      </c>
      <c r="F43"/>
      <c r="G43" s="3"/>
      <c r="H43" s="133">
        <v>22721.911482799998</v>
      </c>
      <c r="I43" s="452">
        <v>5.2979243729738057E-2</v>
      </c>
    </row>
    <row r="44" spans="1:9" ht="19.5" customHeight="1" thickBot="1">
      <c r="A44" s="333">
        <v>2009</v>
      </c>
      <c r="B44" s="133">
        <v>7402.3038488600005</v>
      </c>
      <c r="C44" s="452">
        <v>4.1661715343606076E-2</v>
      </c>
      <c r="D44" s="133">
        <v>5481.4641226399999</v>
      </c>
      <c r="E44" s="132">
        <v>1858.1611509100001</v>
      </c>
      <c r="F44"/>
      <c r="G44" s="3"/>
      <c r="H44" s="133">
        <v>23656.322444729998</v>
      </c>
      <c r="I44" s="452">
        <v>4.1123783209758846E-2</v>
      </c>
    </row>
    <row r="45" spans="1:9" ht="30" customHeight="1" thickBot="1">
      <c r="A45" s="647">
        <v>2010</v>
      </c>
      <c r="B45" s="270">
        <v>7524.0865785100004</v>
      </c>
      <c r="C45" s="314">
        <v>1.6452003610842647E-2</v>
      </c>
      <c r="D45" s="270">
        <v>5592.6431163300003</v>
      </c>
      <c r="E45" s="322">
        <v>1893.93209456</v>
      </c>
      <c r="F45"/>
      <c r="G45" s="3"/>
      <c r="H45" s="270">
        <v>24292.461573610002</v>
      </c>
      <c r="I45" s="314">
        <v>2.6890871578465481E-2</v>
      </c>
    </row>
    <row r="46" spans="1:9" ht="19.5" customHeight="1" thickBot="1">
      <c r="A46" s="96"/>
      <c r="B46" s="856"/>
      <c r="C46" s="857"/>
      <c r="D46" s="856"/>
      <c r="E46" s="857"/>
      <c r="F46" s="856"/>
      <c r="G46" s="857"/>
    </row>
    <row r="47" spans="1:9" ht="51.75" customHeight="1" thickBot="1">
      <c r="A47" s="858" t="s">
        <v>1507</v>
      </c>
      <c r="B47" s="339">
        <v>4.3066913560834363E-2</v>
      </c>
      <c r="C47" s="859" t="s">
        <v>35</v>
      </c>
      <c r="D47" s="339">
        <v>4.227602876163461E-2</v>
      </c>
      <c r="E47" s="860">
        <v>4.5396166529825921E-2</v>
      </c>
      <c r="F47" s="810"/>
      <c r="G47" s="3"/>
      <c r="H47" s="339">
        <v>4.6103727186830534E-2</v>
      </c>
      <c r="I47" s="859" t="s">
        <v>35</v>
      </c>
    </row>
    <row r="48" spans="1:9" ht="17.25" customHeight="1">
      <c r="A48" s="95" t="s">
        <v>678</v>
      </c>
      <c r="B48" s="856"/>
      <c r="C48" s="857"/>
      <c r="D48" s="856"/>
      <c r="E48" s="857"/>
      <c r="F48" s="856"/>
      <c r="G48" s="857"/>
    </row>
    <row r="49" spans="1:7" ht="14">
      <c r="A49" s="324"/>
      <c r="B49" s="856"/>
      <c r="C49" s="857"/>
      <c r="D49" s="856"/>
      <c r="E49" s="857"/>
      <c r="F49" s="856"/>
      <c r="G49" s="857"/>
    </row>
    <row r="50" spans="1:7" ht="14">
      <c r="A50" s="96" t="s">
        <v>1512</v>
      </c>
      <c r="B50" s="856"/>
      <c r="C50" s="857"/>
      <c r="D50" s="856"/>
      <c r="E50" s="857"/>
      <c r="F50" s="856"/>
      <c r="G50" s="857"/>
    </row>
    <row r="51" spans="1:7" ht="14">
      <c r="A51" s="3" t="s">
        <v>1513</v>
      </c>
      <c r="B51" s="856"/>
      <c r="C51" s="857"/>
      <c r="D51" s="856"/>
      <c r="E51" s="857"/>
      <c r="F51" s="856"/>
      <c r="G51" s="857"/>
    </row>
    <row r="52" spans="1:7">
      <c r="A52" s="3" t="s">
        <v>1514</v>
      </c>
      <c r="B52" s="4"/>
      <c r="C52" s="866"/>
      <c r="D52" s="4"/>
      <c r="E52" s="866"/>
      <c r="F52" s="4"/>
      <c r="G52" s="866"/>
    </row>
    <row r="53" spans="1:7">
      <c r="A53" s="96" t="s">
        <v>1515</v>
      </c>
      <c r="B53" s="4"/>
      <c r="C53" s="866"/>
      <c r="D53" s="4"/>
      <c r="E53" s="866"/>
      <c r="F53" s="4"/>
      <c r="G53" s="866"/>
    </row>
    <row r="54" spans="1:7">
      <c r="A54" s="4"/>
      <c r="B54" s="4"/>
      <c r="C54" s="866"/>
      <c r="D54" s="4"/>
      <c r="E54" s="866"/>
      <c r="F54" s="4"/>
      <c r="G54" s="866"/>
    </row>
    <row r="55" spans="1:7">
      <c r="A55" s="4" t="s">
        <v>1516</v>
      </c>
      <c r="B55" s="4"/>
      <c r="C55" s="866"/>
      <c r="D55" s="4"/>
      <c r="E55" s="866"/>
      <c r="F55" s="4"/>
      <c r="G55" s="866"/>
    </row>
    <row r="56" spans="1:7">
      <c r="A56" s="4"/>
      <c r="B56" s="4"/>
      <c r="C56" s="866"/>
      <c r="D56" s="4"/>
      <c r="E56" s="866"/>
      <c r="F56" s="4"/>
      <c r="G56" s="866"/>
    </row>
    <row r="58" spans="1:7">
      <c r="A58" s="3" t="s">
        <v>677</v>
      </c>
    </row>
    <row r="61" spans="1:7">
      <c r="B61"/>
      <c r="C61"/>
      <c r="D61"/>
      <c r="E61"/>
    </row>
    <row r="62" spans="1:7">
      <c r="B62"/>
      <c r="C62"/>
      <c r="D62"/>
      <c r="E62"/>
    </row>
    <row r="63" spans="1:7">
      <c r="B63"/>
      <c r="C63"/>
      <c r="D63"/>
      <c r="E63"/>
    </row>
    <row r="64" spans="1:7">
      <c r="B64"/>
      <c r="C64"/>
      <c r="D64"/>
      <c r="E64"/>
    </row>
    <row r="65" spans="2:5">
      <c r="B65"/>
      <c r="C65"/>
      <c r="D65"/>
      <c r="E65"/>
    </row>
  </sheetData>
  <pageMargins left="0.52" right="0.37" top="0.5" bottom="0.49" header="0.3" footer="0.4921259845"/>
  <pageSetup paperSize="9" scale="54" orientation="landscape"/>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90DE1-2FD0-5A41-9C26-606B5A53A1FA}">
  <sheetPr>
    <pageSetUpPr fitToPage="1"/>
  </sheetPr>
  <dimension ref="A1:H43"/>
  <sheetViews>
    <sheetView zoomScale="75" workbookViewId="0">
      <selection activeCell="G3" sqref="G3:H4"/>
    </sheetView>
  </sheetViews>
  <sheetFormatPr baseColWidth="10" defaultColWidth="11.3984375" defaultRowHeight="13"/>
  <cols>
    <col min="1" max="1" width="41" style="3" customWidth="1"/>
    <col min="2" max="4" width="16" style="3" customWidth="1"/>
    <col min="5" max="5" width="18.3984375" style="3" customWidth="1"/>
    <col min="6" max="6" width="15.19921875" style="3" customWidth="1"/>
    <col min="7" max="7" width="15.3984375" style="3" customWidth="1"/>
    <col min="8" max="8" width="14.796875" style="52" customWidth="1"/>
    <col min="9" max="16384" width="11.3984375" style="3"/>
  </cols>
  <sheetData>
    <row r="1" spans="1:8" s="2" customFormat="1" ht="14" customHeight="1">
      <c r="H1" s="97"/>
    </row>
    <row r="2" spans="1:8" s="2" customFormat="1" ht="28" customHeight="1">
      <c r="A2" s="71" t="s">
        <v>545</v>
      </c>
      <c r="H2" s="71">
        <v>2010</v>
      </c>
    </row>
    <row r="3" spans="1:8" ht="24" customHeight="1">
      <c r="A3" s="72" t="s">
        <v>247</v>
      </c>
      <c r="B3" s="73" t="s">
        <v>237</v>
      </c>
      <c r="C3" s="74" t="s">
        <v>238</v>
      </c>
      <c r="D3" s="73" t="s">
        <v>204</v>
      </c>
      <c r="E3" s="327" t="s">
        <v>190</v>
      </c>
      <c r="F3" s="73" t="s">
        <v>546</v>
      </c>
      <c r="G3" s="74" t="s">
        <v>585</v>
      </c>
      <c r="H3" s="73" t="s">
        <v>585</v>
      </c>
    </row>
    <row r="4" spans="1:8" ht="15" customHeight="1">
      <c r="A4" s="328"/>
      <c r="B4" s="76"/>
      <c r="C4" s="77"/>
      <c r="D4" s="76"/>
      <c r="E4" s="106"/>
      <c r="F4" s="76" t="s">
        <v>547</v>
      </c>
      <c r="G4" s="77" t="s">
        <v>586</v>
      </c>
      <c r="H4" s="76" t="s">
        <v>586</v>
      </c>
    </row>
    <row r="5" spans="1:8" ht="15" customHeight="1">
      <c r="A5" s="328"/>
      <c r="B5" s="76"/>
      <c r="C5" s="77"/>
      <c r="D5" s="76"/>
      <c r="E5" s="106"/>
      <c r="F5" s="76" t="s">
        <v>548</v>
      </c>
      <c r="G5" s="77" t="s">
        <v>210</v>
      </c>
      <c r="H5" s="76" t="s">
        <v>210</v>
      </c>
    </row>
    <row r="6" spans="1:8" ht="24" customHeight="1">
      <c r="A6" s="329"/>
      <c r="B6" s="82"/>
      <c r="C6" s="81"/>
      <c r="D6" s="82"/>
      <c r="E6" s="109"/>
      <c r="F6" s="82"/>
      <c r="G6" s="81" t="s">
        <v>549</v>
      </c>
      <c r="H6" s="82" t="s">
        <v>506</v>
      </c>
    </row>
    <row r="7" spans="1:8" ht="30" customHeight="1" thickBot="1">
      <c r="A7" s="330" t="s">
        <v>550</v>
      </c>
      <c r="B7" s="85">
        <v>1814027561.4000001</v>
      </c>
      <c r="C7" s="130">
        <v>2945746634.1199999</v>
      </c>
      <c r="D7" s="131">
        <v>565476623.76999998</v>
      </c>
      <c r="E7" s="331">
        <v>5325250819.3000002</v>
      </c>
      <c r="F7" s="332">
        <v>0.21921412958351907</v>
      </c>
      <c r="G7" s="130">
        <v>97931.888579999926</v>
      </c>
      <c r="H7" s="332">
        <v>1.8734630482267312E-2</v>
      </c>
    </row>
    <row r="8" spans="1:8" ht="20" customHeight="1" thickBot="1">
      <c r="A8" s="333" t="s">
        <v>551</v>
      </c>
      <c r="B8" s="318">
        <v>2433919073.4099998</v>
      </c>
      <c r="C8" s="132">
        <v>2931582863.9099998</v>
      </c>
      <c r="D8" s="133">
        <v>227141179.08000001</v>
      </c>
      <c r="E8" s="334">
        <v>5592643116.3299999</v>
      </c>
      <c r="F8" s="332">
        <v>0.2302213425092145</v>
      </c>
      <c r="G8" s="132">
        <v>111178.99368999958</v>
      </c>
      <c r="H8" s="335">
        <v>2.0282718485887585E-2</v>
      </c>
    </row>
    <row r="9" spans="1:8" ht="20" customHeight="1" thickBot="1">
      <c r="A9" s="333" t="s">
        <v>552</v>
      </c>
      <c r="B9" s="133">
        <v>1613721220.1800001</v>
      </c>
      <c r="C9" s="132">
        <v>1910205359.4400001</v>
      </c>
      <c r="D9" s="133">
        <v>300854168.85000002</v>
      </c>
      <c r="E9" s="334">
        <v>3824780748.4699998</v>
      </c>
      <c r="F9" s="332">
        <v>0.15744722851079992</v>
      </c>
      <c r="G9" s="132">
        <v>351067.29761999991</v>
      </c>
      <c r="H9" s="335">
        <v>0.10106397737962403</v>
      </c>
    </row>
    <row r="10" spans="1:8" ht="20" customHeight="1" thickBot="1">
      <c r="A10" s="333" t="s">
        <v>553</v>
      </c>
      <c r="B10" s="133">
        <v>672346397.79999995</v>
      </c>
      <c r="C10" s="132">
        <v>870091364.33000004</v>
      </c>
      <c r="D10" s="133">
        <v>77342657.430000007</v>
      </c>
      <c r="E10" s="334">
        <v>1619780419.5599999</v>
      </c>
      <c r="F10" s="332">
        <v>6.6678315602221247E-2</v>
      </c>
      <c r="G10" s="132">
        <v>-77709.710559999949</v>
      </c>
      <c r="H10" s="335">
        <v>-4.5779182559669063E-2</v>
      </c>
    </row>
    <row r="11" spans="1:8" ht="20" customHeight="1" thickBot="1">
      <c r="A11" s="333" t="s">
        <v>554</v>
      </c>
      <c r="B11" s="133">
        <v>1351304712.8499999</v>
      </c>
      <c r="C11" s="132">
        <v>1711447166.47</v>
      </c>
      <c r="D11" s="133">
        <v>101204635.68000001</v>
      </c>
      <c r="E11" s="334">
        <v>3163956515.0100002</v>
      </c>
      <c r="F11" s="332">
        <v>0.13024437665251468</v>
      </c>
      <c r="G11" s="132">
        <v>27694.683000000001</v>
      </c>
      <c r="H11" s="335">
        <v>8.8304754141814712E-3</v>
      </c>
    </row>
    <row r="12" spans="1:8" ht="20" customHeight="1" thickBot="1">
      <c r="A12" s="333" t="s">
        <v>555</v>
      </c>
      <c r="B12" s="133">
        <v>501061412.57999998</v>
      </c>
      <c r="C12" s="132">
        <v>1392436915.6099999</v>
      </c>
      <c r="D12" s="133">
        <v>433766.41</v>
      </c>
      <c r="E12" s="334">
        <v>1893932094.5599999</v>
      </c>
      <c r="F12" s="332">
        <v>7.7963778550028215E-2</v>
      </c>
      <c r="G12" s="132">
        <v>35770.943649999856</v>
      </c>
      <c r="H12" s="335">
        <v>1.925072194759947E-2</v>
      </c>
    </row>
    <row r="13" spans="1:8" ht="20" customHeight="1" thickBot="1">
      <c r="A13" s="333" t="s">
        <v>556</v>
      </c>
      <c r="B13" s="133">
        <v>187174398.31999999</v>
      </c>
      <c r="C13" s="132">
        <v>373024942.43000001</v>
      </c>
      <c r="D13" s="133">
        <v>2558256.13</v>
      </c>
      <c r="E13" s="334">
        <v>562757596.88999999</v>
      </c>
      <c r="F13" s="332">
        <v>2.3165935456345398E-2</v>
      </c>
      <c r="G13" s="132">
        <v>31467.618240000011</v>
      </c>
      <c r="H13" s="335">
        <v>5.9228706552980181E-2</v>
      </c>
    </row>
    <row r="14" spans="1:8" ht="20" customHeight="1" thickBot="1">
      <c r="A14" s="333" t="s">
        <v>557</v>
      </c>
      <c r="B14" s="133">
        <v>208588879.31999999</v>
      </c>
      <c r="C14" s="132">
        <v>384239012.19999999</v>
      </c>
      <c r="D14" s="133">
        <v>29719565.760000002</v>
      </c>
      <c r="E14" s="334">
        <v>622547457.28999996</v>
      </c>
      <c r="F14" s="332">
        <v>2.5627187076269844E-2</v>
      </c>
      <c r="G14" s="132">
        <v>30319.542409999965</v>
      </c>
      <c r="H14" s="335">
        <v>5.1195733345571037E-2</v>
      </c>
    </row>
    <row r="15" spans="1:8" ht="20" customHeight="1" thickBot="1">
      <c r="A15" s="333" t="s">
        <v>558</v>
      </c>
      <c r="B15" s="133">
        <v>228558116.19</v>
      </c>
      <c r="C15" s="132">
        <v>421888205.27999997</v>
      </c>
      <c r="D15" s="133">
        <v>46490020.539999999</v>
      </c>
      <c r="E15" s="334">
        <v>696936342.01999998</v>
      </c>
      <c r="F15" s="332">
        <v>2.8689408025126338E-2</v>
      </c>
      <c r="G15" s="132">
        <v>5121.9648299999235</v>
      </c>
      <c r="H15" s="335">
        <v>7.4036692483960831E-3</v>
      </c>
    </row>
    <row r="16" spans="1:8" ht="20" customHeight="1" thickBot="1">
      <c r="A16" s="333" t="s">
        <v>559</v>
      </c>
      <c r="B16" s="133">
        <v>27258841.050000001</v>
      </c>
      <c r="C16" s="132">
        <v>42212354.57</v>
      </c>
      <c r="D16" s="133">
        <v>3564090.47</v>
      </c>
      <c r="E16" s="334">
        <v>73035286.099999994</v>
      </c>
      <c r="F16" s="332">
        <v>3.006500015599141E-3</v>
      </c>
      <c r="G16" s="132">
        <v>451.72557999999822</v>
      </c>
      <c r="H16" s="335">
        <v>6.2235246764386076E-3</v>
      </c>
    </row>
    <row r="17" spans="1:8" ht="20" customHeight="1" thickBot="1">
      <c r="A17" s="333" t="s">
        <v>560</v>
      </c>
      <c r="B17" s="133">
        <v>198469701.61000001</v>
      </c>
      <c r="C17" s="132">
        <v>191289171.50999999</v>
      </c>
      <c r="D17" s="133">
        <v>28171207.140000001</v>
      </c>
      <c r="E17" s="334">
        <v>417930080.25</v>
      </c>
      <c r="F17" s="332">
        <v>1.7204105849199586E-2</v>
      </c>
      <c r="G17" s="132">
        <v>25768.186339999975</v>
      </c>
      <c r="H17" s="335">
        <v>6.5708032167739683E-2</v>
      </c>
    </row>
    <row r="18" spans="1:8" ht="20" customHeight="1" thickBot="1">
      <c r="A18" s="333" t="s">
        <v>561</v>
      </c>
      <c r="B18" s="133">
        <v>25121882.399999999</v>
      </c>
      <c r="C18" s="132">
        <v>39029760.030000001</v>
      </c>
      <c r="D18" s="133">
        <v>4242385.4800000004</v>
      </c>
      <c r="E18" s="334">
        <v>68394027.909999996</v>
      </c>
      <c r="F18" s="332">
        <v>2.8154424656700711E-3</v>
      </c>
      <c r="G18" s="132">
        <v>6351.9635699999926</v>
      </c>
      <c r="H18" s="335">
        <v>0.1023815638240253</v>
      </c>
    </row>
    <row r="19" spans="1:8" ht="20" customHeight="1" thickBot="1">
      <c r="A19" s="89" t="s">
        <v>562</v>
      </c>
      <c r="B19" s="133">
        <v>1981683.48</v>
      </c>
      <c r="C19" s="132">
        <v>5620349.9000000004</v>
      </c>
      <c r="D19" s="133">
        <v>268693.37</v>
      </c>
      <c r="E19" s="334">
        <v>7870726.75</v>
      </c>
      <c r="F19" s="332">
        <v>3.2399873212315077E-4</v>
      </c>
      <c r="G19" s="132">
        <v>-1749.9940199999996</v>
      </c>
      <c r="H19" s="335">
        <v>-0.18189843171178532</v>
      </c>
    </row>
    <row r="20" spans="1:8" ht="20" customHeight="1" thickBot="1">
      <c r="A20" s="333" t="s">
        <v>563</v>
      </c>
      <c r="B20" s="133">
        <v>137104030.38</v>
      </c>
      <c r="C20" s="132">
        <v>189129481.31</v>
      </c>
      <c r="D20" s="133">
        <v>58901463.899999999</v>
      </c>
      <c r="E20" s="334">
        <v>385134975.52999997</v>
      </c>
      <c r="F20" s="332">
        <v>1.5854094257306123E-2</v>
      </c>
      <c r="G20" s="132">
        <v>17641.233579999982</v>
      </c>
      <c r="H20" s="335">
        <v>4.800417412931135E-2</v>
      </c>
    </row>
    <row r="21" spans="1:8" ht="20" customHeight="1" thickBot="1">
      <c r="A21" s="333" t="s">
        <v>564</v>
      </c>
      <c r="B21" s="133">
        <v>19427667.280000001</v>
      </c>
      <c r="C21" s="132">
        <v>16634251.15</v>
      </c>
      <c r="D21" s="133">
        <v>1449449.18</v>
      </c>
      <c r="E21" s="334">
        <v>37511367.619999997</v>
      </c>
      <c r="F21" s="332">
        <v>1.5441567132393982E-3</v>
      </c>
      <c r="G21" s="132">
        <v>-25167.207690000007</v>
      </c>
      <c r="H21" s="335">
        <v>-0.40152807503243815</v>
      </c>
    </row>
    <row r="22" spans="1:8" ht="30" customHeight="1" thickBot="1">
      <c r="A22" s="336" t="s">
        <v>565</v>
      </c>
      <c r="B22" s="337">
        <v>9420065578.2600002</v>
      </c>
      <c r="C22" s="338">
        <v>13424577832.280001</v>
      </c>
      <c r="D22" s="337">
        <v>1447818163.1099999</v>
      </c>
      <c r="E22" s="134">
        <v>24292461573.610001</v>
      </c>
      <c r="F22" s="339">
        <v>1</v>
      </c>
      <c r="G22" s="338">
        <v>636139.12888000102</v>
      </c>
      <c r="H22" s="339">
        <v>2.6890871578465259E-2</v>
      </c>
    </row>
    <row r="23" spans="1:8" ht="14.25" customHeight="1">
      <c r="A23" s="340"/>
      <c r="B23" s="285"/>
      <c r="C23" s="285"/>
      <c r="D23" s="285"/>
      <c r="E23" s="286"/>
      <c r="F23" s="341"/>
      <c r="G23" s="285"/>
      <c r="H23" s="341"/>
    </row>
    <row r="24" spans="1:8" ht="30" customHeight="1" thickBot="1">
      <c r="A24" s="342" t="s">
        <v>566</v>
      </c>
      <c r="B24" s="343" t="s">
        <v>35</v>
      </c>
      <c r="C24" s="344">
        <v>604591558.45000005</v>
      </c>
      <c r="D24" s="343">
        <v>2605736.08</v>
      </c>
      <c r="E24" s="345">
        <v>607197294.52999997</v>
      </c>
      <c r="F24" s="346">
        <v>2.4995297108532873E-2</v>
      </c>
      <c r="G24" s="344">
        <v>45283.580220000025</v>
      </c>
      <c r="H24" s="346">
        <v>8.0588138475327753E-2</v>
      </c>
    </row>
    <row r="25" spans="1:8" ht="33" customHeight="1" thickBot="1">
      <c r="A25" s="347" t="s">
        <v>567</v>
      </c>
      <c r="B25" s="348">
        <v>291161717.19</v>
      </c>
      <c r="C25" s="349">
        <v>308098479.32999998</v>
      </c>
      <c r="D25" s="348">
        <v>11793906.039999999</v>
      </c>
      <c r="E25" s="350">
        <v>611054102.57000005</v>
      </c>
      <c r="F25" s="351">
        <v>2.5154062741579705E-2</v>
      </c>
      <c r="G25" s="349">
        <v>56367.613260000107</v>
      </c>
      <c r="H25" s="351">
        <v>0.10162067103909167</v>
      </c>
    </row>
    <row r="26" spans="1:8" ht="14.25" customHeight="1">
      <c r="A26" s="340"/>
      <c r="B26" s="285"/>
      <c r="C26" s="285"/>
      <c r="D26" s="285"/>
      <c r="E26" s="286"/>
      <c r="F26" s="341"/>
      <c r="G26" s="285"/>
      <c r="H26" s="341"/>
    </row>
    <row r="27" spans="1:8" ht="30" customHeight="1" thickBot="1">
      <c r="A27" s="342" t="s">
        <v>568</v>
      </c>
      <c r="B27" s="343">
        <v>17688178.210000001</v>
      </c>
      <c r="C27" s="344">
        <v>19533049.350000001</v>
      </c>
      <c r="D27" s="343">
        <v>17422035.620000001</v>
      </c>
      <c r="E27" s="345">
        <v>54643263.189999998</v>
      </c>
      <c r="F27" s="346">
        <v>2.2493917721932901E-3</v>
      </c>
      <c r="G27" s="344" t="s">
        <v>35</v>
      </c>
      <c r="H27" s="346" t="s">
        <v>35</v>
      </c>
    </row>
    <row r="28" spans="1:8" ht="33" customHeight="1" thickBot="1">
      <c r="A28" s="347" t="s">
        <v>569</v>
      </c>
      <c r="B28" s="348">
        <v>21908931.440000001</v>
      </c>
      <c r="C28" s="349">
        <v>23825901.52</v>
      </c>
      <c r="D28" s="348">
        <v>4768146.1399999997</v>
      </c>
      <c r="E28" s="350">
        <v>50502979.079999998</v>
      </c>
      <c r="F28" s="351">
        <v>2.0789568371639895E-3</v>
      </c>
      <c r="G28" s="349" t="s">
        <v>35</v>
      </c>
      <c r="H28" s="351" t="s">
        <v>35</v>
      </c>
    </row>
    <row r="29" spans="1:8" ht="20" customHeight="1">
      <c r="A29" s="95" t="s">
        <v>678</v>
      </c>
      <c r="B29" s="135"/>
      <c r="C29" s="135"/>
      <c r="D29" s="135"/>
      <c r="E29" s="135"/>
      <c r="F29" s="135"/>
    </row>
    <row r="30" spans="1:8" ht="12" customHeight="1">
      <c r="A30" s="96"/>
      <c r="B30" s="136"/>
      <c r="C30" s="136"/>
      <c r="D30" s="136"/>
      <c r="E30" s="136"/>
      <c r="F30" s="136"/>
    </row>
    <row r="31" spans="1:8">
      <c r="A31" s="96" t="s">
        <v>570</v>
      </c>
    </row>
    <row r="32" spans="1:8">
      <c r="A32" s="96" t="s">
        <v>571</v>
      </c>
    </row>
    <row r="33" spans="1:2">
      <c r="A33" s="352" t="s">
        <v>572</v>
      </c>
    </row>
    <row r="34" spans="1:2">
      <c r="A34" s="352" t="s">
        <v>573</v>
      </c>
    </row>
    <row r="35" spans="1:2">
      <c r="A35" s="352" t="s">
        <v>574</v>
      </c>
    </row>
    <row r="36" spans="1:2">
      <c r="A36" s="352" t="s">
        <v>575</v>
      </c>
    </row>
    <row r="38" spans="1:2">
      <c r="A38" s="96" t="s">
        <v>576</v>
      </c>
      <c r="B38" s="96"/>
    </row>
    <row r="39" spans="1:2" ht="14">
      <c r="A39" s="353"/>
      <c r="B39" s="96"/>
    </row>
    <row r="40" spans="1:2">
      <c r="A40" s="96"/>
      <c r="B40" s="96"/>
    </row>
    <row r="41" spans="1:2">
      <c r="A41" s="96" t="s">
        <v>677</v>
      </c>
      <c r="B41" s="96"/>
    </row>
    <row r="42" spans="1:2">
      <c r="A42" s="96"/>
      <c r="B42" s="96"/>
    </row>
    <row r="43" spans="1:2">
      <c r="A43" s="96"/>
      <c r="B43" s="96"/>
    </row>
  </sheetData>
  <pageMargins left="0.47244094488188981" right="0.51181102362204722" top="0.39370078740157483" bottom="0.35433070866141736" header="0.35433070866141736" footer="0.19685039370078741"/>
  <pageSetup paperSize="9" scale="72" orientation="landscape"/>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5F66-5C80-EC49-B4BD-C3753FB4376D}">
  <sheetPr>
    <pageSetUpPr fitToPage="1"/>
  </sheetPr>
  <dimension ref="A1:V64"/>
  <sheetViews>
    <sheetView topLeftCell="A38" zoomScaleNormal="100" workbookViewId="0">
      <selection activeCell="A52" sqref="A52"/>
    </sheetView>
  </sheetViews>
  <sheetFormatPr baseColWidth="10" defaultColWidth="11.3984375" defaultRowHeight="13"/>
  <cols>
    <col min="1" max="1" width="11.796875" style="3" customWidth="1"/>
    <col min="2" max="2" width="17" style="3" customWidth="1"/>
    <col min="3" max="3" width="13" style="414" customWidth="1"/>
    <col min="4" max="4" width="13" style="3" customWidth="1"/>
    <col min="5" max="5" width="14" style="414" customWidth="1"/>
    <col min="6" max="6" width="13" style="3" customWidth="1"/>
    <col min="7" max="7" width="13" style="414" customWidth="1"/>
    <col min="8" max="8" width="13" style="3" customWidth="1"/>
    <col min="9" max="9" width="15.3984375" style="3" customWidth="1"/>
    <col min="10" max="12" width="13" style="3" customWidth="1"/>
    <col min="13" max="13" width="14.59765625" style="3" customWidth="1"/>
    <col min="14" max="14" width="14.19921875" style="3" customWidth="1"/>
    <col min="15" max="15" width="14.59765625" style="3" customWidth="1"/>
    <col min="16" max="16" width="13" style="3" customWidth="1"/>
    <col min="17" max="16384" width="11.3984375" style="3"/>
  </cols>
  <sheetData>
    <row r="1" spans="1:22" s="2" customFormat="1" ht="14" customHeight="1">
      <c r="A1" s="242"/>
      <c r="B1" s="242"/>
      <c r="C1" s="845"/>
      <c r="D1" s="242"/>
      <c r="E1" s="845"/>
      <c r="F1" s="242"/>
      <c r="G1" s="846"/>
      <c r="H1" s="846"/>
      <c r="I1" s="846"/>
      <c r="J1" s="846"/>
      <c r="K1" s="846"/>
      <c r="L1" s="846"/>
      <c r="M1" s="846"/>
      <c r="N1" s="846"/>
      <c r="O1" s="846"/>
      <c r="P1" s="846"/>
      <c r="Q1" s="846"/>
      <c r="R1" s="846"/>
      <c r="S1" s="846"/>
      <c r="T1" s="846"/>
      <c r="U1" s="846"/>
    </row>
    <row r="2" spans="1:22" s="2" customFormat="1" ht="25.75" customHeight="1">
      <c r="A2" s="71" t="s">
        <v>1517</v>
      </c>
      <c r="B2" s="242"/>
      <c r="C2" s="845"/>
      <c r="D2" s="242"/>
      <c r="E2" s="845"/>
      <c r="F2" s="242"/>
      <c r="G2" s="845"/>
      <c r="N2" s="371"/>
    </row>
    <row r="3" spans="1:22" ht="24" customHeight="1">
      <c r="A3" s="72" t="s">
        <v>680</v>
      </c>
      <c r="B3" s="651" t="s">
        <v>1492</v>
      </c>
      <c r="C3" s="277" t="s">
        <v>585</v>
      </c>
      <c r="D3" s="73"/>
      <c r="E3" s="455"/>
      <c r="F3" s="73"/>
      <c r="G3" s="455"/>
      <c r="H3" s="73"/>
      <c r="I3" s="455"/>
      <c r="J3" s="73"/>
      <c r="K3" s="455"/>
      <c r="L3" s="73"/>
      <c r="M3" s="455"/>
      <c r="N3" s="73"/>
      <c r="O3"/>
    </row>
    <row r="4" spans="1:22" ht="15" customHeight="1">
      <c r="A4" s="328"/>
      <c r="B4" s="188" t="s">
        <v>1518</v>
      </c>
      <c r="C4" s="75" t="s">
        <v>586</v>
      </c>
      <c r="D4" s="847" t="s">
        <v>1494</v>
      </c>
      <c r="E4" s="848" t="s">
        <v>1494</v>
      </c>
      <c r="F4" s="847" t="s">
        <v>1494</v>
      </c>
      <c r="G4" s="848" t="s">
        <v>1494</v>
      </c>
      <c r="H4" s="847" t="s">
        <v>1494</v>
      </c>
      <c r="I4" s="848" t="s">
        <v>1494</v>
      </c>
      <c r="J4" s="847" t="s">
        <v>1494</v>
      </c>
      <c r="K4" s="848" t="s">
        <v>1494</v>
      </c>
      <c r="L4" s="847" t="s">
        <v>1494</v>
      </c>
      <c r="M4" s="848" t="s">
        <v>1494</v>
      </c>
      <c r="N4" s="847" t="s">
        <v>1494</v>
      </c>
      <c r="O4"/>
    </row>
    <row r="5" spans="1:22" ht="15" customHeight="1">
      <c r="A5" s="328"/>
      <c r="B5" s="76"/>
      <c r="C5" s="75" t="s">
        <v>210</v>
      </c>
      <c r="D5" s="847" t="s">
        <v>1495</v>
      </c>
      <c r="E5" s="848" t="s">
        <v>1496</v>
      </c>
      <c r="F5" s="847" t="s">
        <v>1497</v>
      </c>
      <c r="G5" s="848" t="s">
        <v>1497</v>
      </c>
      <c r="H5" s="847" t="s">
        <v>556</v>
      </c>
      <c r="I5" s="848" t="s">
        <v>557</v>
      </c>
      <c r="J5" s="847" t="s">
        <v>558</v>
      </c>
      <c r="K5" s="848" t="s">
        <v>559</v>
      </c>
      <c r="L5" s="847" t="s">
        <v>1498</v>
      </c>
      <c r="M5" s="848" t="s">
        <v>1499</v>
      </c>
      <c r="N5" s="847" t="s">
        <v>1500</v>
      </c>
      <c r="O5"/>
    </row>
    <row r="6" spans="1:22" s="96" customFormat="1" ht="19.5" customHeight="1">
      <c r="A6" s="849"/>
      <c r="B6" s="440"/>
      <c r="C6" s="850"/>
      <c r="D6" s="851" t="s">
        <v>1501</v>
      </c>
      <c r="E6" s="852" t="s">
        <v>1501</v>
      </c>
      <c r="F6" s="851" t="s">
        <v>1502</v>
      </c>
      <c r="G6" s="852" t="s">
        <v>1503</v>
      </c>
      <c r="H6" s="851"/>
      <c r="I6" s="852"/>
      <c r="J6" s="851"/>
      <c r="K6" s="852"/>
      <c r="L6" s="851" t="s">
        <v>1504</v>
      </c>
      <c r="M6" s="852" t="s">
        <v>1505</v>
      </c>
      <c r="N6" s="851" t="s">
        <v>1506</v>
      </c>
      <c r="O6"/>
    </row>
    <row r="7" spans="1:22" ht="19.5" customHeight="1">
      <c r="A7" s="329"/>
      <c r="B7" s="82"/>
      <c r="C7" s="654"/>
      <c r="D7" s="440"/>
      <c r="E7" s="853"/>
      <c r="F7" s="440"/>
      <c r="G7" s="853"/>
      <c r="H7" s="440"/>
      <c r="I7" s="853"/>
      <c r="J7" s="440"/>
      <c r="K7" s="808"/>
      <c r="L7" s="440"/>
      <c r="M7" s="853"/>
      <c r="N7" s="440"/>
      <c r="O7"/>
    </row>
    <row r="8" spans="1:22" ht="1.75" customHeight="1" thickBot="1">
      <c r="A8" s="427">
        <v>1996</v>
      </c>
      <c r="B8" s="123">
        <v>1135.7666791471866</v>
      </c>
      <c r="C8" s="309">
        <v>0.10634844182252187</v>
      </c>
      <c r="D8" s="131" t="s">
        <v>35</v>
      </c>
      <c r="E8" s="130" t="s">
        <v>35</v>
      </c>
      <c r="F8" s="131" t="s">
        <v>35</v>
      </c>
      <c r="G8" s="130" t="s">
        <v>35</v>
      </c>
      <c r="H8" s="131" t="s">
        <v>35</v>
      </c>
      <c r="I8" s="130" t="s">
        <v>35</v>
      </c>
      <c r="J8" s="131" t="s">
        <v>35</v>
      </c>
      <c r="K8" s="124">
        <v>7.8643189296562399</v>
      </c>
      <c r="L8" s="131" t="s">
        <v>35</v>
      </c>
      <c r="M8" s="130" t="s">
        <v>35</v>
      </c>
      <c r="N8" s="131" t="s">
        <v>35</v>
      </c>
      <c r="O8"/>
    </row>
    <row r="9" spans="1:22" ht="0.75" hidden="1" customHeight="1" thickBot="1">
      <c r="A9" s="333">
        <v>1997</v>
      </c>
      <c r="B9" s="133">
        <v>1207.1705655887454</v>
      </c>
      <c r="C9" s="452">
        <v>6.2868446268536313E-2</v>
      </c>
      <c r="D9" s="131" t="s">
        <v>35</v>
      </c>
      <c r="E9" s="130" t="s">
        <v>35</v>
      </c>
      <c r="F9" s="131" t="s">
        <v>35</v>
      </c>
      <c r="G9" s="130" t="s">
        <v>35</v>
      </c>
      <c r="H9" s="131" t="s">
        <v>35</v>
      </c>
      <c r="I9" s="130" t="s">
        <v>35</v>
      </c>
      <c r="J9" s="131" t="s">
        <v>35</v>
      </c>
      <c r="K9" s="132">
        <v>7.7745077676674157</v>
      </c>
      <c r="L9" s="131" t="s">
        <v>35</v>
      </c>
      <c r="M9" s="130" t="s">
        <v>35</v>
      </c>
      <c r="N9" s="131" t="s">
        <v>35</v>
      </c>
      <c r="O9"/>
      <c r="T9" s="9"/>
      <c r="U9" s="9"/>
      <c r="V9" s="9"/>
    </row>
    <row r="10" spans="1:22" ht="19.5" hidden="1" customHeight="1" thickBot="1">
      <c r="A10" s="333">
        <v>1998</v>
      </c>
      <c r="B10" s="133">
        <v>1287.8682695481587</v>
      </c>
      <c r="C10" s="452">
        <v>6.6848634534140125E-2</v>
      </c>
      <c r="D10" s="133">
        <v>517.22900730492677</v>
      </c>
      <c r="E10" s="132">
        <v>179.78046580638465</v>
      </c>
      <c r="F10" s="133">
        <v>128.85876662983108</v>
      </c>
      <c r="G10" s="132">
        <v>246.67237783815233</v>
      </c>
      <c r="H10" s="133">
        <v>30.906839827030989</v>
      </c>
      <c r="I10" s="132">
        <v>57.642077350310821</v>
      </c>
      <c r="J10" s="133">
        <v>54.853189405924091</v>
      </c>
      <c r="K10" s="132">
        <v>7.7691435561095004</v>
      </c>
      <c r="L10" s="133">
        <v>14.403964553938003</v>
      </c>
      <c r="M10" s="132">
        <v>12.033202808041713</v>
      </c>
      <c r="N10" s="131" t="s">
        <v>35</v>
      </c>
      <c r="O10"/>
    </row>
    <row r="11" spans="1:22" ht="0.5" customHeight="1" thickBot="1">
      <c r="A11" s="333">
        <v>1999</v>
      </c>
      <c r="B11" s="133">
        <v>1351.582122301535</v>
      </c>
      <c r="C11" s="452">
        <v>4.9472336775352059E-2</v>
      </c>
      <c r="D11" s="133">
        <v>517.77987880375031</v>
      </c>
      <c r="E11" s="132">
        <v>204.19029060086746</v>
      </c>
      <c r="F11" s="133">
        <v>141.91140608611047</v>
      </c>
      <c r="G11" s="132">
        <v>257.61974174619098</v>
      </c>
      <c r="H11" s="133">
        <v>32.359437190342035</v>
      </c>
      <c r="I11" s="132">
        <v>60.131858482788445</v>
      </c>
      <c r="J11" s="133">
        <v>56.924385896913591</v>
      </c>
      <c r="K11" s="132">
        <v>8.3350273886799329</v>
      </c>
      <c r="L11" s="133">
        <v>17.198214928721761</v>
      </c>
      <c r="M11" s="132">
        <v>12.089915964768418</v>
      </c>
      <c r="N11" s="131" t="s">
        <v>35</v>
      </c>
      <c r="O11"/>
    </row>
    <row r="12" spans="1:22" ht="20" customHeight="1" thickBot="1">
      <c r="A12" s="333">
        <v>2000</v>
      </c>
      <c r="B12" s="133">
        <v>1451.1566242672343</v>
      </c>
      <c r="C12" s="452">
        <v>7.3672550356125827E-2</v>
      </c>
      <c r="D12" s="133">
        <v>529.43047713091312</v>
      </c>
      <c r="E12" s="132">
        <v>229.29973959111166</v>
      </c>
      <c r="F12" s="133">
        <v>157.35584856009811</v>
      </c>
      <c r="G12" s="132">
        <v>288.745232868367</v>
      </c>
      <c r="H12" s="133">
        <v>34.840696214910899</v>
      </c>
      <c r="I12" s="132">
        <v>61.491416169301154</v>
      </c>
      <c r="J12" s="133">
        <v>60.94101454443998</v>
      </c>
      <c r="K12" s="132">
        <v>8.5739707007998369</v>
      </c>
      <c r="L12" s="133">
        <v>24.758128744866045</v>
      </c>
      <c r="M12" s="132">
        <v>15.766473005994538</v>
      </c>
      <c r="N12" s="131" t="s">
        <v>35</v>
      </c>
      <c r="O12"/>
    </row>
    <row r="13" spans="1:22" ht="20" customHeight="1" thickBot="1">
      <c r="A13" s="333">
        <v>2001</v>
      </c>
      <c r="B13" s="133">
        <v>1548.8249816122338</v>
      </c>
      <c r="C13" s="452">
        <v>6.7303801472372055E-2</v>
      </c>
      <c r="D13" s="133">
        <v>549.44923949294969</v>
      </c>
      <c r="E13" s="132">
        <v>263.7323584963807</v>
      </c>
      <c r="F13" s="133">
        <v>174.14628347977344</v>
      </c>
      <c r="G13" s="132">
        <v>307.1393643380062</v>
      </c>
      <c r="H13" s="133">
        <v>37.025033111675718</v>
      </c>
      <c r="I13" s="132">
        <v>65.76167578635949</v>
      </c>
      <c r="J13" s="133">
        <v>63.375782250498219</v>
      </c>
      <c r="K13" s="132">
        <v>8.9352628731483819</v>
      </c>
      <c r="L13" s="133">
        <v>23.698466932838429</v>
      </c>
      <c r="M13" s="132">
        <v>14.563635915382035</v>
      </c>
      <c r="N13" s="133">
        <v>2.7620899733599962</v>
      </c>
      <c r="O13"/>
    </row>
    <row r="14" spans="1:22" ht="20" customHeight="1" thickBot="1">
      <c r="A14" s="333">
        <v>2002</v>
      </c>
      <c r="B14" s="133">
        <v>1615.432400016774</v>
      </c>
      <c r="C14" s="452">
        <v>4.3005129175541695E-2</v>
      </c>
      <c r="D14" s="133">
        <v>559.43217658828928</v>
      </c>
      <c r="E14" s="132">
        <v>268.50345190882268</v>
      </c>
      <c r="F14" s="133">
        <v>171.66132067610738</v>
      </c>
      <c r="G14" s="132">
        <v>343.7455082841455</v>
      </c>
      <c r="H14" s="133">
        <v>39.493547804709614</v>
      </c>
      <c r="I14" s="132">
        <v>68.92734993393816</v>
      </c>
      <c r="J14" s="133">
        <v>66.109744640711739</v>
      </c>
      <c r="K14" s="132">
        <v>8.8787656073170158</v>
      </c>
      <c r="L14" s="133">
        <v>27.622294486640037</v>
      </c>
      <c r="M14" s="132">
        <v>15.361832696314805</v>
      </c>
      <c r="N14" s="133">
        <v>3.033957453552472</v>
      </c>
      <c r="O14"/>
    </row>
    <row r="15" spans="1:22" ht="20" customHeight="1" thickBot="1">
      <c r="A15" s="333">
        <v>2003</v>
      </c>
      <c r="B15" s="133">
        <v>1666.6209287074066</v>
      </c>
      <c r="C15" s="452">
        <v>3.1687199470619223E-2</v>
      </c>
      <c r="D15" s="133">
        <v>565.89080672037517</v>
      </c>
      <c r="E15" s="132">
        <v>290.45423380519912</v>
      </c>
      <c r="F15" s="133">
        <v>182.83129248471178</v>
      </c>
      <c r="G15" s="132">
        <v>352.94069193578031</v>
      </c>
      <c r="H15" s="133">
        <v>43.42085098619804</v>
      </c>
      <c r="I15" s="132">
        <v>66.649239980169568</v>
      </c>
      <c r="J15" s="133">
        <v>65.17295098477382</v>
      </c>
      <c r="K15" s="132">
        <v>8.8175191471555454</v>
      </c>
      <c r="L15" s="133">
        <v>29.097237370473131</v>
      </c>
      <c r="M15" s="132">
        <v>15.292816213756383</v>
      </c>
      <c r="N15" s="133">
        <v>4.1140870029928776</v>
      </c>
      <c r="O15"/>
    </row>
    <row r="16" spans="1:22" ht="20" customHeight="1" thickBot="1">
      <c r="A16" s="333">
        <v>2004</v>
      </c>
      <c r="B16" s="133">
        <v>1751.312015563195</v>
      </c>
      <c r="C16" s="452">
        <v>5.0816046646835811E-2</v>
      </c>
      <c r="D16" s="133">
        <v>592.89763778354495</v>
      </c>
      <c r="E16" s="132">
        <v>296.91590007765888</v>
      </c>
      <c r="F16" s="133">
        <v>189.43742407132373</v>
      </c>
      <c r="G16" s="132">
        <v>372.47504406402646</v>
      </c>
      <c r="H16" s="133">
        <v>49.454875646942796</v>
      </c>
      <c r="I16" s="132">
        <v>68.449757529348247</v>
      </c>
      <c r="J16" s="133">
        <v>80.079219765387336</v>
      </c>
      <c r="K16" s="132">
        <v>9.2427076643370807</v>
      </c>
      <c r="L16" s="133">
        <v>35.206929733486795</v>
      </c>
      <c r="M16" s="132">
        <v>10.766673971168975</v>
      </c>
      <c r="N16" s="133">
        <v>3.4775317481750707</v>
      </c>
      <c r="O16"/>
    </row>
    <row r="17" spans="1:17" ht="20" customHeight="1" thickBot="1">
      <c r="A17" s="333">
        <v>2005</v>
      </c>
      <c r="B17" s="133">
        <v>1868.8453126166223</v>
      </c>
      <c r="C17" s="452">
        <v>6.7111568931724833E-2</v>
      </c>
      <c r="D17" s="133">
        <v>608.74538167382002</v>
      </c>
      <c r="E17" s="132">
        <v>359.22898499367591</v>
      </c>
      <c r="F17" s="133">
        <v>198.02028876263893</v>
      </c>
      <c r="G17" s="132">
        <v>379.34998080250244</v>
      </c>
      <c r="H17" s="133">
        <v>52.228327605463519</v>
      </c>
      <c r="I17" s="132">
        <v>71.506769252803821</v>
      </c>
      <c r="J17" s="133">
        <v>89.431105997755466</v>
      </c>
      <c r="K17" s="132">
        <v>9.3082174030862586</v>
      </c>
      <c r="L17" s="133">
        <v>40.071474704018968</v>
      </c>
      <c r="M17" s="132">
        <v>7.0814671191582956</v>
      </c>
      <c r="N17" s="133">
        <v>3.2498517657327022</v>
      </c>
      <c r="O17"/>
    </row>
    <row r="18" spans="1:17" ht="20" customHeight="1" thickBot="1">
      <c r="A18" s="333">
        <v>2006</v>
      </c>
      <c r="B18" s="133">
        <v>1876.16</v>
      </c>
      <c r="C18" s="452">
        <v>3.9140143563494156E-3</v>
      </c>
      <c r="D18" s="133">
        <v>619.30999999999995</v>
      </c>
      <c r="E18" s="132">
        <v>353.68</v>
      </c>
      <c r="F18" s="133">
        <v>196.88</v>
      </c>
      <c r="G18" s="132">
        <v>378.01</v>
      </c>
      <c r="H18" s="133">
        <v>55.74</v>
      </c>
      <c r="I18" s="132">
        <v>72.13</v>
      </c>
      <c r="J18" s="133">
        <v>83.65</v>
      </c>
      <c r="K18" s="132">
        <v>9.15</v>
      </c>
      <c r="L18" s="133">
        <v>44.98</v>
      </c>
      <c r="M18" s="132">
        <v>8.26</v>
      </c>
      <c r="N18" s="133">
        <v>1.57</v>
      </c>
      <c r="O18"/>
    </row>
    <row r="19" spans="1:17" ht="20" customHeight="1" thickBot="1">
      <c r="A19" s="333">
        <v>2007</v>
      </c>
      <c r="B19" s="133">
        <v>1946.99</v>
      </c>
      <c r="C19" s="452">
        <v>3.7752643697765542E-2</v>
      </c>
      <c r="D19" s="133">
        <v>641.54999999999995</v>
      </c>
      <c r="E19" s="132">
        <v>374.75</v>
      </c>
      <c r="F19" s="133">
        <v>201.51</v>
      </c>
      <c r="G19" s="132">
        <v>383.11</v>
      </c>
      <c r="H19" s="133">
        <v>60.51</v>
      </c>
      <c r="I19" s="132">
        <v>73.489999999999995</v>
      </c>
      <c r="J19" s="133">
        <v>83.98</v>
      </c>
      <c r="K19" s="132">
        <v>9.4499999999999993</v>
      </c>
      <c r="L19" s="133">
        <v>49.59</v>
      </c>
      <c r="M19" s="132">
        <v>8.51</v>
      </c>
      <c r="N19" s="133">
        <v>1.3</v>
      </c>
      <c r="O19"/>
    </row>
    <row r="20" spans="1:17" ht="20" customHeight="1" thickBot="1">
      <c r="A20" s="333">
        <v>2008</v>
      </c>
      <c r="B20" s="133">
        <v>2050.5</v>
      </c>
      <c r="C20" s="452">
        <v>5.3164114864483025E-2</v>
      </c>
      <c r="D20" s="133">
        <v>670.19</v>
      </c>
      <c r="E20" s="132">
        <v>427.46</v>
      </c>
      <c r="F20" s="133">
        <v>212.65</v>
      </c>
      <c r="G20" s="132">
        <v>396.5</v>
      </c>
      <c r="H20" s="133">
        <v>65.150000000000006</v>
      </c>
      <c r="I20" s="132">
        <v>75.2</v>
      </c>
      <c r="J20" s="133">
        <v>90.16</v>
      </c>
      <c r="K20" s="132">
        <v>9.41</v>
      </c>
      <c r="L20" s="133">
        <v>49.18</v>
      </c>
      <c r="M20" s="132">
        <v>7.29</v>
      </c>
      <c r="N20" s="133">
        <v>1.42</v>
      </c>
      <c r="O20"/>
    </row>
    <row r="21" spans="1:17" ht="20" customHeight="1" thickBot="1">
      <c r="A21" s="333">
        <v>2009</v>
      </c>
      <c r="B21" s="133">
        <v>2108.4899999999998</v>
      </c>
      <c r="C21" s="452">
        <v>2.8280907095830088E-2</v>
      </c>
      <c r="D21" s="133">
        <v>678.09</v>
      </c>
      <c r="E21" s="132">
        <v>450.61</v>
      </c>
      <c r="F21" s="133">
        <v>220.2</v>
      </c>
      <c r="G21" s="132">
        <v>406.84</v>
      </c>
      <c r="H21" s="133">
        <v>68.92</v>
      </c>
      <c r="I21" s="132">
        <v>76.819999999999993</v>
      </c>
      <c r="J21" s="133">
        <v>89.74</v>
      </c>
      <c r="K21" s="132">
        <v>9.42</v>
      </c>
      <c r="L21" s="133">
        <v>50.87</v>
      </c>
      <c r="M21" s="132">
        <v>8.0500000000000007</v>
      </c>
      <c r="N21" s="133">
        <v>1.25</v>
      </c>
      <c r="O21"/>
    </row>
    <row r="22" spans="1:17" s="115" customFormat="1" ht="27" customHeight="1">
      <c r="A22" s="431">
        <v>2010</v>
      </c>
      <c r="B22" s="435">
        <v>2155.41</v>
      </c>
      <c r="C22" s="867">
        <v>2.2252891879970926E-2</v>
      </c>
      <c r="D22" s="435">
        <v>684.51</v>
      </c>
      <c r="E22" s="868">
        <v>491.64</v>
      </c>
      <c r="F22" s="435">
        <v>208.21</v>
      </c>
      <c r="G22" s="868">
        <v>406.7</v>
      </c>
      <c r="H22" s="869">
        <v>72.34</v>
      </c>
      <c r="I22" s="868">
        <v>80.02</v>
      </c>
      <c r="J22" s="869">
        <v>89.58</v>
      </c>
      <c r="K22" s="868">
        <v>9.39</v>
      </c>
      <c r="L22" s="869">
        <v>53.72</v>
      </c>
      <c r="M22" s="868">
        <v>8.7899999999999991</v>
      </c>
      <c r="N22" s="869">
        <v>1.01</v>
      </c>
      <c r="O22"/>
      <c r="P22" s="854"/>
      <c r="Q22" s="855"/>
    </row>
    <row r="23" spans="1:17" ht="19.5" customHeight="1" thickBot="1">
      <c r="A23" s="324"/>
      <c r="B23" s="856"/>
      <c r="C23" s="870"/>
      <c r="D23" s="856"/>
      <c r="E23" s="857"/>
      <c r="F23" s="856"/>
      <c r="G23" s="857"/>
      <c r="P23" s="4"/>
      <c r="Q23" s="4"/>
    </row>
    <row r="24" spans="1:17" ht="54" customHeight="1" thickBot="1">
      <c r="A24" s="858" t="s">
        <v>1507</v>
      </c>
      <c r="B24" s="871">
        <v>4.0355004129408734E-2</v>
      </c>
      <c r="C24" s="859" t="s">
        <v>35</v>
      </c>
      <c r="D24" s="871">
        <v>2.6022975373728219E-2</v>
      </c>
      <c r="E24" s="860">
        <v>7.9255734353032681E-2</v>
      </c>
      <c r="F24" s="871">
        <v>2.8399529994301842E-2</v>
      </c>
      <c r="G24" s="860">
        <v>3.4846499520172047E-2</v>
      </c>
      <c r="H24" s="339">
        <v>7.5794124315190281E-2</v>
      </c>
      <c r="I24" s="860">
        <v>2.6687808996858298E-2</v>
      </c>
      <c r="J24" s="339">
        <v>3.9274180261905656E-2</v>
      </c>
      <c r="K24" s="860">
        <v>9.1328868406630459E-3</v>
      </c>
      <c r="L24" s="339">
        <v>8.0542413999207918E-2</v>
      </c>
      <c r="M24" s="860">
        <v>-5.6753000545371135E-2</v>
      </c>
      <c r="N24" s="339" t="s">
        <v>35</v>
      </c>
    </row>
    <row r="25" spans="1:17" ht="39.75" customHeight="1">
      <c r="A25" s="324"/>
      <c r="B25" s="861"/>
      <c r="C25" s="857"/>
      <c r="D25" s="856"/>
      <c r="E25" s="857"/>
      <c r="F25" s="856"/>
      <c r="G25" s="857"/>
      <c r="P25" s="4"/>
      <c r="Q25" s="4"/>
    </row>
    <row r="26" spans="1:17" ht="19.5" customHeight="1">
      <c r="A26" s="72" t="s">
        <v>695</v>
      </c>
      <c r="B26" s="188" t="s">
        <v>1508</v>
      </c>
      <c r="C26" s="277" t="s">
        <v>585</v>
      </c>
      <c r="D26" s="73"/>
      <c r="E26" s="455"/>
      <c r="F26"/>
      <c r="G26" s="3"/>
      <c r="H26" s="651" t="s">
        <v>190</v>
      </c>
      <c r="I26" s="277" t="s">
        <v>585</v>
      </c>
    </row>
    <row r="27" spans="1:17" ht="16.5" customHeight="1">
      <c r="A27" s="328"/>
      <c r="B27" s="188" t="s">
        <v>1518</v>
      </c>
      <c r="C27" s="75" t="s">
        <v>586</v>
      </c>
      <c r="D27" s="862" t="s">
        <v>1494</v>
      </c>
      <c r="E27" s="863" t="s">
        <v>1494</v>
      </c>
      <c r="F27"/>
      <c r="G27" s="3"/>
      <c r="H27" s="188" t="s">
        <v>433</v>
      </c>
      <c r="I27" s="75" t="s">
        <v>586</v>
      </c>
    </row>
    <row r="28" spans="1:17" ht="16.5" customHeight="1">
      <c r="A28" s="328"/>
      <c r="B28" s="76"/>
      <c r="C28" s="75" t="s">
        <v>210</v>
      </c>
      <c r="D28" s="862" t="s">
        <v>1509</v>
      </c>
      <c r="E28" s="863" t="s">
        <v>1510</v>
      </c>
      <c r="F28"/>
      <c r="G28" s="3"/>
      <c r="H28" s="76"/>
      <c r="I28" s="75" t="s">
        <v>210</v>
      </c>
    </row>
    <row r="29" spans="1:17" ht="15.75" customHeight="1">
      <c r="A29" s="849"/>
      <c r="B29" s="440"/>
      <c r="C29" s="850"/>
      <c r="D29" s="862" t="s">
        <v>1511</v>
      </c>
      <c r="E29" s="863"/>
      <c r="F29"/>
      <c r="G29" s="3"/>
      <c r="H29" s="440"/>
      <c r="I29" s="850"/>
    </row>
    <row r="30" spans="1:17" ht="12" customHeight="1">
      <c r="A30" s="329"/>
      <c r="B30" s="82"/>
      <c r="C30" s="654"/>
      <c r="D30" s="864"/>
      <c r="E30" s="865"/>
      <c r="F30"/>
      <c r="G30" s="3"/>
      <c r="H30" s="82"/>
      <c r="I30" s="654"/>
    </row>
    <row r="31" spans="1:17" ht="1.5" customHeight="1" thickBot="1">
      <c r="A31" s="427">
        <v>1996</v>
      </c>
      <c r="B31" s="123">
        <v>586.83678759613247</v>
      </c>
      <c r="C31" s="309">
        <v>7.9400703813924001E-2</v>
      </c>
      <c r="D31" s="131" t="s">
        <v>35</v>
      </c>
      <c r="E31" s="130" t="s">
        <v>35</v>
      </c>
      <c r="F31"/>
      <c r="G31" s="3"/>
      <c r="H31" s="123">
        <v>1722.6034667433191</v>
      </c>
      <c r="I31" s="309">
        <v>9.7018358352515099E-2</v>
      </c>
    </row>
    <row r="32" spans="1:17" ht="0.75" hidden="1" customHeight="1" thickBot="1">
      <c r="A32" s="333">
        <v>1997</v>
      </c>
      <c r="B32" s="133">
        <v>608.42125188692751</v>
      </c>
      <c r="C32" s="452">
        <v>3.678103477324892E-2</v>
      </c>
      <c r="D32" s="133" t="s">
        <v>35</v>
      </c>
      <c r="E32" s="132" t="s">
        <v>35</v>
      </c>
      <c r="F32"/>
      <c r="G32" s="3"/>
      <c r="H32" s="133">
        <v>1815.5918174756728</v>
      </c>
      <c r="I32" s="452">
        <v>5.3981286191275034E-2</v>
      </c>
    </row>
    <row r="33" spans="1:9" ht="19.5" hidden="1" customHeight="1" thickBot="1">
      <c r="A33" s="333">
        <v>1998</v>
      </c>
      <c r="B33" s="133">
        <v>647.39263733582663</v>
      </c>
      <c r="C33" s="452">
        <v>6.4053294206990977E-2</v>
      </c>
      <c r="D33" s="133">
        <v>492.71135658354189</v>
      </c>
      <c r="E33" s="132">
        <v>150.64686744819926</v>
      </c>
      <c r="F33"/>
      <c r="G33" s="3"/>
      <c r="H33" s="133">
        <v>1935.2609068839854</v>
      </c>
      <c r="I33" s="452">
        <v>6.5911890688456515E-2</v>
      </c>
    </row>
    <row r="34" spans="1:9" ht="19.25" hidden="1" customHeight="1" thickBot="1">
      <c r="A34" s="333">
        <v>1999</v>
      </c>
      <c r="B34" s="133">
        <v>659.34783816072627</v>
      </c>
      <c r="C34" s="452">
        <v>1.8466692599560762E-2</v>
      </c>
      <c r="D34" s="133">
        <v>496.69748609522117</v>
      </c>
      <c r="E34" s="132">
        <v>160.88253360625276</v>
      </c>
      <c r="F34"/>
      <c r="G34" s="3"/>
      <c r="H34" s="133">
        <v>2010.9299604622606</v>
      </c>
      <c r="I34" s="452">
        <v>3.9100181949167756E-2</v>
      </c>
    </row>
    <row r="35" spans="1:9" ht="19.5" customHeight="1" thickBot="1">
      <c r="A35" s="333">
        <v>2000</v>
      </c>
      <c r="B35" s="133">
        <v>679.34395321862166</v>
      </c>
      <c r="C35" s="452">
        <v>3.0327110973284228E-2</v>
      </c>
      <c r="D35" s="133">
        <v>508.80015768509037</v>
      </c>
      <c r="E35" s="132">
        <v>167.22954109591964</v>
      </c>
      <c r="F35"/>
      <c r="G35" s="3"/>
      <c r="H35" s="133">
        <v>2130.500577485856</v>
      </c>
      <c r="I35" s="452">
        <v>5.946035882627615E-2</v>
      </c>
    </row>
    <row r="36" spans="1:9" ht="19.5" customHeight="1" thickBot="1">
      <c r="A36" s="333">
        <v>2001</v>
      </c>
      <c r="B36" s="133">
        <v>695.57285390457537</v>
      </c>
      <c r="C36" s="452">
        <v>2.388907799806534E-2</v>
      </c>
      <c r="D36" s="133">
        <v>520.22845878332566</v>
      </c>
      <c r="E36" s="132">
        <v>172.28381767006115</v>
      </c>
      <c r="F36"/>
      <c r="G36" s="3"/>
      <c r="H36" s="133">
        <v>2244.3978355168092</v>
      </c>
      <c r="I36" s="452">
        <v>5.3460327227585272E-2</v>
      </c>
    </row>
    <row r="37" spans="1:9" ht="19.5" customHeight="1" thickBot="1">
      <c r="A37" s="333">
        <v>2002</v>
      </c>
      <c r="B37" s="133">
        <v>712.19782148377215</v>
      </c>
      <c r="C37" s="452">
        <v>2.3901116160403715E-2</v>
      </c>
      <c r="D37" s="133">
        <v>515.19747034296608</v>
      </c>
      <c r="E37" s="132">
        <v>189.57472804627923</v>
      </c>
      <c r="F37"/>
      <c r="G37" s="3"/>
      <c r="H37" s="133">
        <v>2327.6302215005462</v>
      </c>
      <c r="I37" s="452">
        <v>3.7084506439372583E-2</v>
      </c>
    </row>
    <row r="38" spans="1:9" ht="19.5" customHeight="1" thickBot="1">
      <c r="A38" s="333">
        <v>2003</v>
      </c>
      <c r="B38" s="133">
        <v>764.59062760893357</v>
      </c>
      <c r="C38" s="452">
        <v>7.3564962633566877E-2</v>
      </c>
      <c r="D38" s="133">
        <v>557.73124969057335</v>
      </c>
      <c r="E38" s="132">
        <v>200.44409586700854</v>
      </c>
      <c r="F38"/>
      <c r="G38" s="3"/>
      <c r="H38" s="133">
        <v>2431.2115563163402</v>
      </c>
      <c r="I38" s="452">
        <v>4.4500769004888807E-2</v>
      </c>
    </row>
    <row r="39" spans="1:9" ht="19.5" customHeight="1" thickBot="1">
      <c r="A39" s="333">
        <v>2004</v>
      </c>
      <c r="B39" s="133">
        <v>840.90429336795432</v>
      </c>
      <c r="C39" s="452">
        <v>9.9809836798121235E-2</v>
      </c>
      <c r="D39" s="133">
        <v>618.810128536668</v>
      </c>
      <c r="E39" s="132">
        <v>213.02590534069273</v>
      </c>
      <c r="F39"/>
      <c r="G39" s="3"/>
      <c r="H39" s="133">
        <v>2592.2163089311489</v>
      </c>
      <c r="I39" s="452">
        <v>6.622408165036682E-2</v>
      </c>
    </row>
    <row r="40" spans="1:9" ht="19.5" customHeight="1" thickBot="1">
      <c r="A40" s="333">
        <v>2005</v>
      </c>
      <c r="B40" s="133">
        <v>867.58002616373483</v>
      </c>
      <c r="C40" s="452">
        <v>3.1722674038135765E-2</v>
      </c>
      <c r="D40" s="133">
        <v>645.948160066112</v>
      </c>
      <c r="E40" s="132">
        <v>213.44705424318488</v>
      </c>
      <c r="F40"/>
      <c r="G40" s="3"/>
      <c r="H40" s="133">
        <v>2736.4253387803569</v>
      </c>
      <c r="I40" s="452">
        <v>5.5631557193878578E-2</v>
      </c>
    </row>
    <row r="41" spans="1:9" ht="19.5" customHeight="1" thickBot="1">
      <c r="A41" s="333">
        <v>2006</v>
      </c>
      <c r="B41" s="133">
        <v>878.78</v>
      </c>
      <c r="C41" s="452">
        <v>1.2909441778862885E-2</v>
      </c>
      <c r="D41" s="133">
        <v>654.29</v>
      </c>
      <c r="E41" s="132">
        <v>217.58</v>
      </c>
      <c r="F41"/>
      <c r="G41" s="3"/>
      <c r="H41" s="133">
        <v>2754.94</v>
      </c>
      <c r="I41" s="452">
        <v>6.7660026960192354E-3</v>
      </c>
    </row>
    <row r="42" spans="1:9" ht="19.5" customHeight="1" thickBot="1">
      <c r="A42" s="333">
        <v>2007</v>
      </c>
      <c r="B42" s="133">
        <v>915.82</v>
      </c>
      <c r="C42" s="452">
        <v>4.2149343407906548E-2</v>
      </c>
      <c r="D42" s="133">
        <v>681.54</v>
      </c>
      <c r="E42" s="132">
        <v>226.41</v>
      </c>
      <c r="F42"/>
      <c r="G42" s="3"/>
      <c r="H42" s="133">
        <v>2862.81</v>
      </c>
      <c r="I42" s="452">
        <v>3.915511771581226E-2</v>
      </c>
    </row>
    <row r="43" spans="1:9" ht="19.5" customHeight="1" thickBot="1">
      <c r="A43" s="333">
        <v>2008</v>
      </c>
      <c r="B43" s="133">
        <v>933.12</v>
      </c>
      <c r="C43" s="452">
        <v>1.8890174925203507E-2</v>
      </c>
      <c r="D43" s="133">
        <v>690.44</v>
      </c>
      <c r="E43" s="132">
        <v>234.3</v>
      </c>
      <c r="F43"/>
      <c r="G43" s="3"/>
      <c r="H43" s="133">
        <v>2983.62</v>
      </c>
      <c r="I43" s="452">
        <v>4.2199796703239034E-2</v>
      </c>
    </row>
    <row r="44" spans="1:9" ht="19.5" customHeight="1" thickBot="1">
      <c r="A44" s="333">
        <v>2009</v>
      </c>
      <c r="B44" s="133">
        <v>960.23</v>
      </c>
      <c r="C44" s="452">
        <v>2.9053069272976684E-2</v>
      </c>
      <c r="D44" s="133">
        <v>711.06</v>
      </c>
      <c r="E44" s="132">
        <v>241.04</v>
      </c>
      <c r="F44"/>
      <c r="G44" s="3"/>
      <c r="H44" s="133">
        <v>3068.72</v>
      </c>
      <c r="I44" s="452">
        <v>2.8522398965015627E-2</v>
      </c>
    </row>
    <row r="45" spans="1:9" ht="27" customHeight="1">
      <c r="A45" s="431">
        <v>2010</v>
      </c>
      <c r="B45" s="869">
        <v>967.15000000000009</v>
      </c>
      <c r="C45" s="867">
        <v>7.206606750466138E-3</v>
      </c>
      <c r="D45" s="869">
        <v>718.88</v>
      </c>
      <c r="E45" s="868">
        <v>243.45</v>
      </c>
      <c r="F45" s="323"/>
      <c r="G45" s="96"/>
      <c r="H45" s="869">
        <v>3122.56</v>
      </c>
      <c r="I45" s="867">
        <v>1.7544774368466465E-2</v>
      </c>
    </row>
    <row r="46" spans="1:9" ht="19.5" customHeight="1" thickBot="1">
      <c r="A46" s="96"/>
      <c r="B46" s="856"/>
      <c r="C46" s="870"/>
      <c r="D46" s="856"/>
      <c r="E46" s="857"/>
      <c r="F46" s="856"/>
      <c r="G46" s="857"/>
      <c r="I46" s="49"/>
    </row>
    <row r="47" spans="1:9" ht="51" customHeight="1" thickBot="1">
      <c r="A47" s="858" t="s">
        <v>1507</v>
      </c>
      <c r="B47" s="339">
        <v>3.5953858227630198E-2</v>
      </c>
      <c r="C47" s="859" t="s">
        <v>35</v>
      </c>
      <c r="D47" s="339">
        <v>3.5168186280980285E-2</v>
      </c>
      <c r="E47" s="860">
        <v>3.8268499817672774E-2</v>
      </c>
      <c r="F47" s="810"/>
      <c r="G47" s="3"/>
      <c r="H47" s="339">
        <v>3.8969775100522908E-2</v>
      </c>
      <c r="I47" s="859" t="s">
        <v>35</v>
      </c>
    </row>
    <row r="48" spans="1:9" ht="17.25" customHeight="1">
      <c r="A48" s="95" t="s">
        <v>678</v>
      </c>
      <c r="B48" s="856"/>
      <c r="C48" s="857"/>
      <c r="D48" s="856"/>
      <c r="E48" s="857"/>
      <c r="F48" s="856"/>
      <c r="G48" s="857"/>
    </row>
    <row r="49" spans="1:7" ht="14">
      <c r="A49" s="324"/>
      <c r="B49" s="856"/>
      <c r="C49" s="857"/>
      <c r="D49" s="856"/>
      <c r="E49" s="857"/>
      <c r="F49" s="856"/>
      <c r="G49" s="857"/>
    </row>
    <row r="50" spans="1:7" ht="14">
      <c r="A50" s="96" t="s">
        <v>1519</v>
      </c>
      <c r="B50" s="856"/>
      <c r="C50" s="857"/>
      <c r="D50" s="856"/>
      <c r="E50" s="857"/>
      <c r="F50" s="856"/>
      <c r="G50" s="857"/>
    </row>
    <row r="51" spans="1:7" ht="14">
      <c r="A51" s="96" t="s">
        <v>1602</v>
      </c>
      <c r="B51" s="856"/>
      <c r="C51" s="857"/>
      <c r="D51" s="856"/>
      <c r="E51" s="857"/>
      <c r="F51" s="856"/>
      <c r="G51" s="857"/>
    </row>
    <row r="52" spans="1:7" ht="14">
      <c r="A52" s="96" t="s">
        <v>1515</v>
      </c>
      <c r="B52" s="856"/>
      <c r="C52" s="857"/>
      <c r="D52" s="856"/>
      <c r="E52" s="857"/>
      <c r="F52" s="856"/>
      <c r="G52" s="857"/>
    </row>
    <row r="53" spans="1:7" ht="14">
      <c r="B53" s="856"/>
      <c r="C53" s="857"/>
      <c r="D53" s="856"/>
      <c r="E53" s="857"/>
      <c r="F53" s="856"/>
      <c r="G53" s="857"/>
    </row>
    <row r="54" spans="1:7">
      <c r="A54" s="3" t="s">
        <v>1520</v>
      </c>
      <c r="B54" s="4"/>
      <c r="C54" s="866"/>
      <c r="D54" s="4"/>
      <c r="E54" s="866"/>
      <c r="F54" s="4"/>
      <c r="G54" s="866"/>
    </row>
    <row r="55" spans="1:7">
      <c r="A55" s="4"/>
      <c r="B55" s="4"/>
      <c r="C55" s="866"/>
      <c r="D55" s="4"/>
      <c r="E55" s="866"/>
      <c r="F55" s="4"/>
      <c r="G55" s="866"/>
    </row>
    <row r="57" spans="1:7">
      <c r="A57" s="3" t="s">
        <v>677</v>
      </c>
    </row>
    <row r="60" spans="1:7">
      <c r="B60"/>
      <c r="C60"/>
      <c r="D60"/>
      <c r="E60"/>
    </row>
    <row r="61" spans="1:7">
      <c r="B61"/>
      <c r="C61"/>
      <c r="D61"/>
      <c r="E61"/>
    </row>
    <row r="62" spans="1:7">
      <c r="B62"/>
      <c r="C62"/>
      <c r="D62"/>
      <c r="E62"/>
    </row>
    <row r="63" spans="1:7">
      <c r="B63"/>
      <c r="C63"/>
      <c r="D63"/>
      <c r="E63"/>
    </row>
    <row r="64" spans="1:7">
      <c r="B64"/>
      <c r="C64"/>
      <c r="D64"/>
      <c r="E64"/>
    </row>
  </sheetData>
  <pageMargins left="0.52" right="0.37" top="0.55000000000000004" bottom="0.49" header="0.42" footer="0.4921259845"/>
  <pageSetup paperSize="9" scale="55" orientation="landscape" horizontalDpi="4294967292" verticalDpi="4294967292"/>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05C9E-0CE2-4D46-B013-92FA9F3526B9}">
  <sheetPr>
    <pageSetUpPr fitToPage="1"/>
  </sheetPr>
  <dimension ref="A1:H41"/>
  <sheetViews>
    <sheetView zoomScale="75" workbookViewId="0">
      <selection activeCell="K12" sqref="K12"/>
    </sheetView>
  </sheetViews>
  <sheetFormatPr baseColWidth="10" defaultColWidth="11.3984375" defaultRowHeight="13"/>
  <cols>
    <col min="1" max="1" width="41.3984375" style="3" customWidth="1"/>
    <col min="2" max="4" width="15.19921875" style="3" customWidth="1"/>
    <col min="5" max="5" width="15.19921875" style="248" customWidth="1"/>
    <col min="6" max="6" width="15.19921875" style="3" customWidth="1"/>
    <col min="7" max="7" width="15.3984375" style="3" customWidth="1"/>
    <col min="8" max="8" width="15.59765625" style="3" customWidth="1"/>
    <col min="9" max="16384" width="11.3984375" style="3"/>
  </cols>
  <sheetData>
    <row r="1" spans="1:8" s="2" customFormat="1" ht="14" customHeight="1">
      <c r="E1" s="17"/>
    </row>
    <row r="2" spans="1:8" s="2" customFormat="1" ht="30.75" customHeight="1">
      <c r="A2" s="129" t="s">
        <v>577</v>
      </c>
      <c r="B2" s="306"/>
      <c r="C2" s="306"/>
      <c r="D2" s="306"/>
      <c r="E2" s="306"/>
      <c r="H2" s="71">
        <v>2010</v>
      </c>
    </row>
    <row r="3" spans="1:8" ht="24" customHeight="1">
      <c r="A3" s="72" t="s">
        <v>247</v>
      </c>
      <c r="B3" s="73" t="s">
        <v>237</v>
      </c>
      <c r="C3" s="74" t="s">
        <v>238</v>
      </c>
      <c r="D3" s="73" t="s">
        <v>204</v>
      </c>
      <c r="E3" s="327" t="s">
        <v>190</v>
      </c>
      <c r="F3" s="73" t="s">
        <v>546</v>
      </c>
      <c r="G3" s="74" t="s">
        <v>585</v>
      </c>
      <c r="H3" s="73" t="s">
        <v>585</v>
      </c>
    </row>
    <row r="4" spans="1:8" ht="15" customHeight="1">
      <c r="A4" s="328"/>
      <c r="B4" s="76"/>
      <c r="C4" s="77"/>
      <c r="D4" s="76"/>
      <c r="E4" s="354"/>
      <c r="F4" s="76" t="s">
        <v>547</v>
      </c>
      <c r="G4" s="77" t="s">
        <v>586</v>
      </c>
      <c r="H4" s="76" t="s">
        <v>586</v>
      </c>
    </row>
    <row r="5" spans="1:8" ht="15" customHeight="1">
      <c r="A5" s="328"/>
      <c r="B5" s="76"/>
      <c r="C5" s="77"/>
      <c r="D5" s="76"/>
      <c r="E5" s="354"/>
      <c r="F5" s="76" t="s">
        <v>548</v>
      </c>
      <c r="G5" s="77" t="s">
        <v>210</v>
      </c>
      <c r="H5" s="76" t="s">
        <v>210</v>
      </c>
    </row>
    <row r="6" spans="1:8" ht="24" customHeight="1">
      <c r="A6" s="329"/>
      <c r="B6" s="82"/>
      <c r="C6" s="81"/>
      <c r="D6" s="82"/>
      <c r="E6" s="355"/>
      <c r="F6" s="82"/>
      <c r="G6" s="81" t="s">
        <v>420</v>
      </c>
      <c r="H6" s="82" t="s">
        <v>506</v>
      </c>
    </row>
    <row r="7" spans="1:8" ht="30" customHeight="1" thickBot="1">
      <c r="A7" s="330" t="s">
        <v>550</v>
      </c>
      <c r="B7" s="85">
        <v>593.51</v>
      </c>
      <c r="C7" s="130">
        <v>915.24</v>
      </c>
      <c r="D7" s="131">
        <v>375.82</v>
      </c>
      <c r="E7" s="331">
        <v>684.51</v>
      </c>
      <c r="F7" s="332">
        <v>0.21921436257429802</v>
      </c>
      <c r="G7" s="130">
        <v>6.4199999999999591</v>
      </c>
      <c r="H7" s="332">
        <v>9.4677697650753512E-3</v>
      </c>
    </row>
    <row r="8" spans="1:8" ht="20" customHeight="1" thickBot="1">
      <c r="A8" s="333" t="s">
        <v>551</v>
      </c>
      <c r="B8" s="318">
        <v>796.32</v>
      </c>
      <c r="C8" s="132">
        <v>910.84</v>
      </c>
      <c r="D8" s="133">
        <v>150.96</v>
      </c>
      <c r="E8" s="334">
        <v>718.88</v>
      </c>
      <c r="F8" s="332">
        <v>0.23022135683541708</v>
      </c>
      <c r="G8" s="132">
        <v>7.82000000000005</v>
      </c>
      <c r="H8" s="332">
        <v>1.0997665457204819E-2</v>
      </c>
    </row>
    <row r="9" spans="1:8" ht="20" customHeight="1" thickBot="1">
      <c r="A9" s="333" t="s">
        <v>552</v>
      </c>
      <c r="B9" s="133">
        <v>527.97</v>
      </c>
      <c r="C9" s="132">
        <v>593.5</v>
      </c>
      <c r="D9" s="133">
        <v>199.95</v>
      </c>
      <c r="E9" s="334">
        <v>491.64</v>
      </c>
      <c r="F9" s="332">
        <v>0.15744773519163763</v>
      </c>
      <c r="G9" s="132">
        <v>41.029999999999973</v>
      </c>
      <c r="H9" s="332">
        <v>9.1054348549743702E-2</v>
      </c>
    </row>
    <row r="10" spans="1:8" ht="20" customHeight="1" thickBot="1">
      <c r="A10" s="333" t="s">
        <v>553</v>
      </c>
      <c r="B10" s="133">
        <v>219.98</v>
      </c>
      <c r="C10" s="132">
        <v>270.33999999999997</v>
      </c>
      <c r="D10" s="133">
        <v>51.4</v>
      </c>
      <c r="E10" s="334">
        <v>208.21</v>
      </c>
      <c r="F10" s="332">
        <v>6.6679263168682112E-2</v>
      </c>
      <c r="G10" s="132">
        <v>-11.989999999999981</v>
      </c>
      <c r="H10" s="332">
        <v>-5.4450499545867337E-2</v>
      </c>
    </row>
    <row r="11" spans="1:8" ht="20" customHeight="1" thickBot="1">
      <c r="A11" s="333" t="s">
        <v>554</v>
      </c>
      <c r="B11" s="133">
        <v>442.11</v>
      </c>
      <c r="C11" s="132">
        <v>531.74</v>
      </c>
      <c r="D11" s="133">
        <v>67.260000000000005</v>
      </c>
      <c r="E11" s="334">
        <v>406.7</v>
      </c>
      <c r="F11" s="332">
        <v>0.13024569583931134</v>
      </c>
      <c r="G11" s="132">
        <v>-0.13999999999998636</v>
      </c>
      <c r="H11" s="332">
        <v>-3.4411562284919484E-4</v>
      </c>
    </row>
    <row r="12" spans="1:8" ht="20" customHeight="1" thickBot="1">
      <c r="A12" s="333" t="s">
        <v>555</v>
      </c>
      <c r="B12" s="133">
        <v>163.94</v>
      </c>
      <c r="C12" s="132">
        <v>432.63</v>
      </c>
      <c r="D12" s="133">
        <v>0.28999999999999998</v>
      </c>
      <c r="E12" s="334">
        <v>243.45</v>
      </c>
      <c r="F12" s="332">
        <v>7.7964874974379997E-2</v>
      </c>
      <c r="G12" s="132">
        <v>2.4099999999999966</v>
      </c>
      <c r="H12" s="332">
        <v>9.9983405243941892E-3</v>
      </c>
    </row>
    <row r="13" spans="1:8" ht="20" customHeight="1" thickBot="1">
      <c r="A13" s="333" t="s">
        <v>556</v>
      </c>
      <c r="B13" s="133">
        <v>61.24</v>
      </c>
      <c r="C13" s="132">
        <v>115.9</v>
      </c>
      <c r="D13" s="133">
        <v>1.7</v>
      </c>
      <c r="E13" s="334">
        <v>72.34</v>
      </c>
      <c r="F13" s="332">
        <v>2.3166888706702193E-2</v>
      </c>
      <c r="G13" s="132">
        <v>3.4200000000000017</v>
      </c>
      <c r="H13" s="332">
        <v>4.9622751015670374E-2</v>
      </c>
    </row>
    <row r="14" spans="1:8" ht="20" customHeight="1" thickBot="1">
      <c r="A14" s="333" t="s">
        <v>557</v>
      </c>
      <c r="B14" s="133">
        <v>68.25</v>
      </c>
      <c r="C14" s="132">
        <v>119.38</v>
      </c>
      <c r="D14" s="133">
        <v>19.75</v>
      </c>
      <c r="E14" s="334">
        <v>80.02</v>
      </c>
      <c r="F14" s="332">
        <v>2.5626409100225456E-2</v>
      </c>
      <c r="G14" s="132">
        <v>3.2000000000000028</v>
      </c>
      <c r="H14" s="332">
        <v>4.1655818797188271E-2</v>
      </c>
    </row>
    <row r="15" spans="1:8" ht="20" customHeight="1" thickBot="1">
      <c r="A15" s="333" t="s">
        <v>558</v>
      </c>
      <c r="B15" s="133">
        <v>74.78</v>
      </c>
      <c r="C15" s="132">
        <v>131.08000000000001</v>
      </c>
      <c r="D15" s="133">
        <v>30.9</v>
      </c>
      <c r="E15" s="334">
        <v>89.58</v>
      </c>
      <c r="F15" s="332">
        <v>2.8687999590079935E-2</v>
      </c>
      <c r="G15" s="132">
        <v>-0.15999999999999659</v>
      </c>
      <c r="H15" s="332">
        <v>-1.7829284599955031E-3</v>
      </c>
    </row>
    <row r="16" spans="1:8" ht="20" customHeight="1" thickBot="1">
      <c r="A16" s="333" t="s">
        <v>559</v>
      </c>
      <c r="B16" s="133">
        <v>8.92</v>
      </c>
      <c r="C16" s="132">
        <v>13.12</v>
      </c>
      <c r="D16" s="133">
        <v>2.37</v>
      </c>
      <c r="E16" s="334">
        <v>9.39</v>
      </c>
      <c r="F16" s="332">
        <v>3.0071479811436771E-3</v>
      </c>
      <c r="G16" s="132">
        <v>-2.9999999999999361E-2</v>
      </c>
      <c r="H16" s="332">
        <v>-3.1847133757960666E-3</v>
      </c>
    </row>
    <row r="17" spans="1:8" ht="20" customHeight="1" thickBot="1">
      <c r="A17" s="333" t="s">
        <v>560</v>
      </c>
      <c r="B17" s="133">
        <v>64.930000000000007</v>
      </c>
      <c r="C17" s="132">
        <v>59.43</v>
      </c>
      <c r="D17" s="133">
        <v>18.72</v>
      </c>
      <c r="E17" s="334">
        <v>53.72</v>
      </c>
      <c r="F17" s="332">
        <v>1.7203832752613241E-2</v>
      </c>
      <c r="G17" s="132">
        <v>2.8500000000000014</v>
      </c>
      <c r="H17" s="332">
        <v>5.6025162178101162E-2</v>
      </c>
    </row>
    <row r="18" spans="1:8" ht="20" customHeight="1" thickBot="1">
      <c r="A18" s="333" t="s">
        <v>561</v>
      </c>
      <c r="B18" s="133">
        <v>8.2200000000000006</v>
      </c>
      <c r="C18" s="132">
        <v>12.13</v>
      </c>
      <c r="D18" s="133">
        <v>2.82</v>
      </c>
      <c r="E18" s="334">
        <v>8.7899999999999991</v>
      </c>
      <c r="F18" s="332">
        <v>2.8149979503996718E-3</v>
      </c>
      <c r="G18" s="132">
        <v>0.73999999999999844</v>
      </c>
      <c r="H18" s="332">
        <v>9.1925465838509135E-2</v>
      </c>
    </row>
    <row r="19" spans="1:8" ht="20" customHeight="1" thickBot="1">
      <c r="A19" s="89" t="s">
        <v>562</v>
      </c>
      <c r="B19" s="133">
        <v>0.65</v>
      </c>
      <c r="C19" s="132">
        <v>1.75</v>
      </c>
      <c r="D19" s="133">
        <v>0.18</v>
      </c>
      <c r="E19" s="334">
        <v>1.01</v>
      </c>
      <c r="F19" s="332">
        <v>3.2345255175240831E-4</v>
      </c>
      <c r="G19" s="132">
        <v>-0.24</v>
      </c>
      <c r="H19" s="332">
        <v>-0.19199999999999995</v>
      </c>
    </row>
    <row r="20" spans="1:8" ht="20" customHeight="1" thickBot="1">
      <c r="A20" s="333" t="s">
        <v>578</v>
      </c>
      <c r="B20" s="133">
        <v>44.86</v>
      </c>
      <c r="C20" s="132">
        <v>58.76</v>
      </c>
      <c r="D20" s="133">
        <v>39.15</v>
      </c>
      <c r="E20" s="334">
        <v>49.51</v>
      </c>
      <c r="F20" s="332">
        <v>1.5855580036892806E-2</v>
      </c>
      <c r="G20" s="132">
        <v>1.8399999999999963</v>
      </c>
      <c r="H20" s="332">
        <v>3.8598699391650948E-2</v>
      </c>
    </row>
    <row r="21" spans="1:8" ht="20" customHeight="1" thickBot="1">
      <c r="A21" s="333" t="s">
        <v>564</v>
      </c>
      <c r="B21" s="133">
        <v>6.36</v>
      </c>
      <c r="C21" s="132">
        <v>5.17</v>
      </c>
      <c r="D21" s="133">
        <v>0.96</v>
      </c>
      <c r="E21" s="334">
        <v>4.82</v>
      </c>
      <c r="F21" s="332">
        <v>1.5436052469768396E-3</v>
      </c>
      <c r="G21" s="132">
        <v>-3.3100000000000005</v>
      </c>
      <c r="H21" s="332">
        <v>-0.40713407134071344</v>
      </c>
    </row>
    <row r="22" spans="1:8" ht="30" customHeight="1" thickBot="1">
      <c r="A22" s="336" t="s">
        <v>565</v>
      </c>
      <c r="B22" s="337">
        <v>3082.02</v>
      </c>
      <c r="C22" s="338">
        <v>4171</v>
      </c>
      <c r="D22" s="337">
        <v>962.23</v>
      </c>
      <c r="E22" s="134">
        <v>3122.56</v>
      </c>
      <c r="F22" s="339">
        <v>1</v>
      </c>
      <c r="G22" s="338">
        <v>53.840000000000146</v>
      </c>
      <c r="H22" s="339">
        <v>1.7544774368466465E-2</v>
      </c>
    </row>
    <row r="23" spans="1:8" ht="15" customHeight="1">
      <c r="A23" s="340"/>
      <c r="B23" s="285"/>
      <c r="C23" s="285"/>
      <c r="D23" s="285"/>
      <c r="E23" s="286"/>
      <c r="F23" s="341"/>
      <c r="G23" s="285"/>
      <c r="H23" s="341"/>
    </row>
    <row r="24" spans="1:8" ht="30" customHeight="1" thickBot="1">
      <c r="A24" s="342" t="s">
        <v>566</v>
      </c>
      <c r="B24" s="343" t="s">
        <v>35</v>
      </c>
      <c r="C24" s="344">
        <v>187.85</v>
      </c>
      <c r="D24" s="343">
        <v>1.73</v>
      </c>
      <c r="E24" s="345" t="s">
        <v>35</v>
      </c>
      <c r="F24" s="346" t="s">
        <v>35</v>
      </c>
      <c r="G24" s="344" t="s">
        <v>35</v>
      </c>
      <c r="H24" s="346" t="s">
        <v>35</v>
      </c>
    </row>
    <row r="25" spans="1:8" ht="30.75" customHeight="1" thickBot="1">
      <c r="A25" s="347" t="s">
        <v>567</v>
      </c>
      <c r="B25" s="348">
        <v>95.26</v>
      </c>
      <c r="C25" s="349">
        <v>95.73</v>
      </c>
      <c r="D25" s="348">
        <v>7.84</v>
      </c>
      <c r="E25" s="350">
        <v>78.55</v>
      </c>
      <c r="F25" s="351">
        <v>2.5155641524902645E-2</v>
      </c>
      <c r="G25" s="349">
        <v>6.5999999999999943</v>
      </c>
      <c r="H25" s="351">
        <v>9.1730368311327304E-2</v>
      </c>
    </row>
    <row r="26" spans="1:8" ht="15" customHeight="1">
      <c r="A26" s="340"/>
      <c r="B26" s="285"/>
      <c r="C26" s="285"/>
      <c r="D26" s="285"/>
      <c r="E26" s="286"/>
      <c r="F26" s="341"/>
      <c r="G26" s="285"/>
      <c r="H26" s="341"/>
    </row>
    <row r="27" spans="1:8" ht="30" customHeight="1" thickBot="1">
      <c r="A27" s="342" t="s">
        <v>579</v>
      </c>
      <c r="B27" s="343">
        <v>5.79</v>
      </c>
      <c r="C27" s="344">
        <v>6.07</v>
      </c>
      <c r="D27" s="343">
        <v>11.58</v>
      </c>
      <c r="E27" s="345">
        <v>7.02</v>
      </c>
      <c r="F27" s="346">
        <v>2.2481553597048574E-3</v>
      </c>
      <c r="G27" s="344">
        <v>0.27999999999999936</v>
      </c>
      <c r="H27" s="346">
        <v>4.1543026706231334E-2</v>
      </c>
    </row>
    <row r="28" spans="1:8" ht="30.75" customHeight="1" thickBot="1">
      <c r="A28" s="347" t="s">
        <v>580</v>
      </c>
      <c r="B28" s="348">
        <v>7.17</v>
      </c>
      <c r="C28" s="349">
        <v>7.4</v>
      </c>
      <c r="D28" s="348">
        <v>3.17</v>
      </c>
      <c r="E28" s="350">
        <v>6.49</v>
      </c>
      <c r="F28" s="351">
        <v>2.0784228325476531E-3</v>
      </c>
      <c r="G28" s="349">
        <v>0.12000000000000011</v>
      </c>
      <c r="H28" s="351">
        <v>1.883830455259039E-2</v>
      </c>
    </row>
    <row r="29" spans="1:8" ht="20" customHeight="1">
      <c r="A29" s="95" t="s">
        <v>678</v>
      </c>
      <c r="B29" s="135"/>
      <c r="C29" s="135"/>
      <c r="D29" s="135"/>
      <c r="E29" s="356"/>
      <c r="F29" s="135"/>
    </row>
    <row r="30" spans="1:8" ht="12.75" customHeight="1">
      <c r="A30" s="96"/>
      <c r="B30" s="136"/>
      <c r="C30" s="136"/>
      <c r="D30" s="136"/>
      <c r="E30" s="357"/>
      <c r="F30" s="136"/>
    </row>
    <row r="31" spans="1:8">
      <c r="A31" s="96" t="s">
        <v>570</v>
      </c>
    </row>
    <row r="32" spans="1:8">
      <c r="A32" s="96" t="s">
        <v>571</v>
      </c>
    </row>
    <row r="33" spans="1:1">
      <c r="A33" s="352" t="s">
        <v>572</v>
      </c>
    </row>
    <row r="34" spans="1:1">
      <c r="A34" s="352" t="s">
        <v>573</v>
      </c>
    </row>
    <row r="35" spans="1:1">
      <c r="A35" s="352" t="s">
        <v>574</v>
      </c>
    </row>
    <row r="36" spans="1:1">
      <c r="A36" s="352" t="s">
        <v>581</v>
      </c>
    </row>
    <row r="38" spans="1:1">
      <c r="A38" s="3" t="s">
        <v>582</v>
      </c>
    </row>
    <row r="41" spans="1:1">
      <c r="A41" s="3" t="s">
        <v>677</v>
      </c>
    </row>
  </sheetData>
  <pageMargins left="0.59055118110236227" right="0.51181102362204722" top="0.47244094488188981" bottom="0.37" header="0.31496062992125984" footer="0.25"/>
  <pageSetup paperSize="9" scale="71" orientation="landscape" horizontalDpi="1200" verticalDpi="1200"/>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7179B-21DD-E548-9343-8A8EE10B0101}">
  <sheetPr>
    <pageSetUpPr fitToPage="1"/>
  </sheetPr>
  <dimension ref="A1:J32"/>
  <sheetViews>
    <sheetView zoomScaleNormal="100" workbookViewId="0">
      <selection activeCell="E6" sqref="E6"/>
    </sheetView>
  </sheetViews>
  <sheetFormatPr baseColWidth="10" defaultColWidth="11.3984375" defaultRowHeight="13"/>
  <cols>
    <col min="1" max="1" width="19.3984375" style="3" customWidth="1"/>
    <col min="2" max="2" width="16.59765625" style="3" customWidth="1"/>
    <col min="3" max="3" width="17.3984375" style="3" customWidth="1"/>
    <col min="4" max="5" width="15.3984375" style="3" customWidth="1"/>
    <col min="6" max="6" width="16.796875" style="3" customWidth="1"/>
    <col min="7" max="7" width="15.59765625" style="3" customWidth="1"/>
    <col min="8" max="16384" width="11.3984375" style="3"/>
  </cols>
  <sheetData>
    <row r="1" spans="1:10" s="2" customFormat="1" ht="14" customHeight="1"/>
    <row r="2" spans="1:10" s="2" customFormat="1" ht="28" customHeight="1">
      <c r="A2" s="71" t="s">
        <v>745</v>
      </c>
      <c r="G2" s="358"/>
    </row>
    <row r="3" spans="1:10" ht="24" customHeight="1">
      <c r="A3" s="72" t="s">
        <v>695</v>
      </c>
      <c r="B3" s="73" t="s">
        <v>681</v>
      </c>
      <c r="C3" s="74" t="s">
        <v>682</v>
      </c>
      <c r="D3" s="73" t="s">
        <v>683</v>
      </c>
      <c r="E3" s="74" t="s">
        <v>684</v>
      </c>
      <c r="F3" s="73" t="s">
        <v>190</v>
      </c>
      <c r="G3" s="277" t="s">
        <v>585</v>
      </c>
    </row>
    <row r="4" spans="1:10" ht="15" customHeight="1">
      <c r="A4" s="328"/>
      <c r="B4" s="76" t="s">
        <v>685</v>
      </c>
      <c r="C4" s="77" t="s">
        <v>686</v>
      </c>
      <c r="D4" s="76" t="s">
        <v>696</v>
      </c>
      <c r="E4" s="106" t="s">
        <v>688</v>
      </c>
      <c r="F4" s="76"/>
      <c r="G4" s="75" t="s">
        <v>586</v>
      </c>
    </row>
    <row r="5" spans="1:10" ht="15" customHeight="1">
      <c r="A5" s="328"/>
      <c r="B5" s="76" t="s">
        <v>689</v>
      </c>
      <c r="C5" s="77" t="s">
        <v>690</v>
      </c>
      <c r="D5" s="76" t="s">
        <v>698</v>
      </c>
      <c r="E5" s="106" t="s">
        <v>691</v>
      </c>
      <c r="F5" s="76"/>
      <c r="G5" s="75" t="s">
        <v>210</v>
      </c>
    </row>
    <row r="6" spans="1:10" ht="24" customHeight="1">
      <c r="A6" s="329"/>
      <c r="B6" s="82"/>
      <c r="C6" s="81"/>
      <c r="D6" s="82"/>
      <c r="E6" s="109" t="s">
        <v>692</v>
      </c>
      <c r="F6" s="82"/>
      <c r="G6" s="79"/>
    </row>
    <row r="7" spans="1:10" ht="1.5" customHeight="1" thickBot="1">
      <c r="A7" s="427">
        <v>1996</v>
      </c>
      <c r="B7" s="308">
        <v>8068.747832</v>
      </c>
      <c r="C7" s="428">
        <v>2578.7974989999998</v>
      </c>
      <c r="D7" s="308">
        <v>25.416930000000001</v>
      </c>
      <c r="E7" s="428">
        <v>107.523248</v>
      </c>
      <c r="F7" s="308">
        <v>10780.485509</v>
      </c>
      <c r="G7" s="309" t="s">
        <v>35</v>
      </c>
    </row>
    <row r="8" spans="1:10" ht="0.75" hidden="1" customHeight="1" thickBot="1">
      <c r="A8" s="333">
        <v>1997</v>
      </c>
      <c r="B8" s="429">
        <v>7130.3436650000003</v>
      </c>
      <c r="C8" s="430">
        <v>3864.390214</v>
      </c>
      <c r="D8" s="429">
        <v>13.596114</v>
      </c>
      <c r="E8" s="430">
        <v>352.16520000000003</v>
      </c>
      <c r="F8" s="429">
        <v>11360.495192</v>
      </c>
      <c r="G8" s="452">
        <v>5.3801814632168828E-2</v>
      </c>
      <c r="H8" s="9"/>
      <c r="I8" s="9"/>
      <c r="J8" s="9"/>
    </row>
    <row r="9" spans="1:10" ht="19.5" hidden="1" customHeight="1" thickBot="1">
      <c r="A9" s="333">
        <v>1998</v>
      </c>
      <c r="B9" s="429">
        <v>7021.0225700000001</v>
      </c>
      <c r="C9" s="430">
        <v>4312.7338319999999</v>
      </c>
      <c r="D9" s="429">
        <v>6.4190870000000002</v>
      </c>
      <c r="E9" s="430">
        <v>586.68436299999996</v>
      </c>
      <c r="F9" s="429">
        <v>11926.859852</v>
      </c>
      <c r="G9" s="452">
        <v>4.9853870841724421E-2</v>
      </c>
    </row>
    <row r="10" spans="1:10" ht="19.75" hidden="1" customHeight="1" thickBot="1">
      <c r="A10" s="333">
        <v>1999</v>
      </c>
      <c r="B10" s="429">
        <v>7777.7143260000003</v>
      </c>
      <c r="C10" s="430">
        <v>3929.1822109999998</v>
      </c>
      <c r="D10" s="429">
        <v>6.4800399999999998</v>
      </c>
      <c r="E10" s="430">
        <v>717.23275599999999</v>
      </c>
      <c r="F10" s="429">
        <v>12430.609334000001</v>
      </c>
      <c r="G10" s="452">
        <v>4.2236555828693498E-2</v>
      </c>
    </row>
    <row r="11" spans="1:10" ht="20" customHeight="1" thickBot="1">
      <c r="A11" s="333">
        <v>2000</v>
      </c>
      <c r="B11" s="429">
        <v>8082.7115553000003</v>
      </c>
      <c r="C11" s="430">
        <v>4300.2223146999995</v>
      </c>
      <c r="D11" s="429">
        <v>6.28484658</v>
      </c>
      <c r="E11" s="430">
        <v>801.09118021000006</v>
      </c>
      <c r="F11" s="429">
        <v>13190.30989679</v>
      </c>
      <c r="G11" s="452">
        <v>6.111531159716195E-2</v>
      </c>
    </row>
    <row r="12" spans="1:10" ht="20" customHeight="1" thickBot="1">
      <c r="A12" s="333">
        <v>2001</v>
      </c>
      <c r="B12" s="429">
        <v>8576.2604756000001</v>
      </c>
      <c r="C12" s="430">
        <v>4525.6886304</v>
      </c>
      <c r="D12" s="429">
        <v>7.0934559400000001</v>
      </c>
      <c r="E12" s="430">
        <v>877.22872129999996</v>
      </c>
      <c r="F12" s="429">
        <v>13986.271283239999</v>
      </c>
      <c r="G12" s="452">
        <v>6.0344403784152512E-2</v>
      </c>
    </row>
    <row r="13" spans="1:10" ht="20" customHeight="1" thickBot="1">
      <c r="A13" s="333">
        <v>2002</v>
      </c>
      <c r="B13" s="429">
        <v>8890.6642347999987</v>
      </c>
      <c r="C13" s="430">
        <v>4785.7639721999994</v>
      </c>
      <c r="D13" s="429">
        <v>6.6999405400000001</v>
      </c>
      <c r="E13" s="430">
        <v>909.62889640999992</v>
      </c>
      <c r="F13" s="429">
        <v>14592.757043950001</v>
      </c>
      <c r="G13" s="452">
        <v>4.3362934153634278E-2</v>
      </c>
    </row>
    <row r="14" spans="1:10" ht="20" customHeight="1" thickBot="1">
      <c r="A14" s="333">
        <v>2003</v>
      </c>
      <c r="B14" s="429">
        <v>9320.4810839999991</v>
      </c>
      <c r="C14" s="430">
        <v>5132.6037123000006</v>
      </c>
      <c r="D14" s="429">
        <v>7.0683550799999999</v>
      </c>
      <c r="E14" s="430">
        <v>875.46655299999998</v>
      </c>
      <c r="F14" s="429">
        <v>15335.619704379998</v>
      </c>
      <c r="G14" s="452">
        <v>5.0906258371373338E-2</v>
      </c>
    </row>
    <row r="15" spans="1:10" ht="20" customHeight="1" thickBot="1">
      <c r="A15" s="333">
        <v>2004</v>
      </c>
      <c r="B15" s="429">
        <v>9988.6658920000009</v>
      </c>
      <c r="C15" s="430">
        <v>5289.8342951999994</v>
      </c>
      <c r="D15" s="429">
        <v>7.2944575399999998</v>
      </c>
      <c r="E15" s="430">
        <v>1021.7139006</v>
      </c>
      <c r="F15" s="429">
        <v>16307.508545340002</v>
      </c>
      <c r="G15" s="452">
        <v>6.3374604984656954E-2</v>
      </c>
    </row>
    <row r="16" spans="1:10" ht="20" customHeight="1" thickBot="1">
      <c r="A16" s="333">
        <v>2005</v>
      </c>
      <c r="B16" s="429">
        <v>10948.37887789</v>
      </c>
      <c r="C16" s="430">
        <v>5106.1971250400002</v>
      </c>
      <c r="D16" s="429">
        <v>7.7069186199999997</v>
      </c>
      <c r="E16" s="430">
        <v>1290.43711553</v>
      </c>
      <c r="F16" s="429">
        <v>17352.720037080002</v>
      </c>
      <c r="G16" s="452">
        <v>6.4093879750789812E-2</v>
      </c>
    </row>
    <row r="17" spans="1:7" ht="20" customHeight="1" thickBot="1">
      <c r="A17" s="333">
        <v>2006</v>
      </c>
      <c r="B17" s="429">
        <v>10882.30509285</v>
      </c>
      <c r="C17" s="430">
        <v>4819.3397623999999</v>
      </c>
      <c r="D17" s="429">
        <v>7.6050231300000002</v>
      </c>
      <c r="E17" s="430">
        <v>1854.6657244100002</v>
      </c>
      <c r="F17" s="429">
        <v>17563.915602789999</v>
      </c>
      <c r="G17" s="452">
        <v>1.2170747021717962E-2</v>
      </c>
    </row>
    <row r="18" spans="1:7" ht="20" customHeight="1" thickBot="1">
      <c r="A18" s="333">
        <v>2007</v>
      </c>
      <c r="B18" s="429">
        <v>10974.96309465</v>
      </c>
      <c r="C18" s="430">
        <v>4774.9719946599998</v>
      </c>
      <c r="D18" s="429">
        <v>7.66488031</v>
      </c>
      <c r="E18" s="430">
        <v>2666.0220249899999</v>
      </c>
      <c r="F18" s="429">
        <v>18423.621994609999</v>
      </c>
      <c r="G18" s="452">
        <v>4.8947308291747725E-2</v>
      </c>
    </row>
    <row r="19" spans="1:7" ht="20" customHeight="1" thickBot="1">
      <c r="A19" s="333">
        <v>2008</v>
      </c>
      <c r="B19" s="429">
        <v>11138.471106950001</v>
      </c>
      <c r="C19" s="430">
        <v>4743.4199530100004</v>
      </c>
      <c r="D19" s="429">
        <v>8.7684434000000007</v>
      </c>
      <c r="E19" s="430">
        <v>3540.7977514200002</v>
      </c>
      <c r="F19" s="429">
        <v>19431.457254780002</v>
      </c>
      <c r="G19" s="452">
        <v>5.470342696267072E-2</v>
      </c>
    </row>
    <row r="20" spans="1:7" ht="20" customHeight="1" thickBot="1">
      <c r="A20" s="333">
        <v>2009</v>
      </c>
      <c r="B20" s="429">
        <v>11053.462400930001</v>
      </c>
      <c r="C20" s="430">
        <v>4569.8885413900007</v>
      </c>
      <c r="D20" s="429">
        <v>8.6721991899999988</v>
      </c>
      <c r="E20" s="430">
        <v>4641.8274524099998</v>
      </c>
      <c r="F20" s="429">
        <v>20273.85059392</v>
      </c>
      <c r="G20" s="452">
        <v>4.3352041388083462E-2</v>
      </c>
    </row>
    <row r="21" spans="1:7" ht="30" customHeight="1" thickBot="1">
      <c r="A21" s="431">
        <v>2010</v>
      </c>
      <c r="B21" s="432">
        <v>10500.479477049999</v>
      </c>
      <c r="C21" s="433">
        <v>4179.16763292</v>
      </c>
      <c r="D21" s="432">
        <v>7.3919347100000001</v>
      </c>
      <c r="E21" s="433">
        <v>6196.7078858500008</v>
      </c>
      <c r="F21" s="432">
        <v>20883.74693053</v>
      </c>
      <c r="G21" s="314">
        <v>3.0082905750173694E-2</v>
      </c>
    </row>
    <row r="22" spans="1:7" ht="20" customHeight="1">
      <c r="A22" s="95" t="s">
        <v>678</v>
      </c>
      <c r="B22" s="95"/>
      <c r="C22" s="95"/>
      <c r="D22" s="95"/>
      <c r="E22" s="95"/>
      <c r="F22" s="95"/>
      <c r="G22" s="95"/>
    </row>
    <row r="23" spans="1:7" ht="16.5" customHeight="1">
      <c r="A23" s="96"/>
      <c r="B23" s="96"/>
      <c r="C23" s="96"/>
      <c r="D23" s="96"/>
      <c r="E23" s="96"/>
      <c r="F23" s="96"/>
      <c r="G23" s="96"/>
    </row>
    <row r="24" spans="1:7">
      <c r="A24" s="96" t="s">
        <v>746</v>
      </c>
    </row>
    <row r="26" spans="1:7">
      <c r="A26" s="3" t="s">
        <v>747</v>
      </c>
    </row>
    <row r="29" spans="1:7">
      <c r="A29" s="3" t="s">
        <v>677</v>
      </c>
    </row>
    <row r="31" spans="1:7" ht="14">
      <c r="F31" s="471"/>
    </row>
    <row r="32" spans="1:7" ht="14">
      <c r="F32" s="472"/>
    </row>
  </sheetData>
  <pageMargins left="0.57999999999999996" right="0.61" top="1.01" bottom="0.49" header="0.57999999999999996" footer="0.4921259845"/>
  <pageSetup paperSize="9" scale="77" orientation="portrait" horizontalDpi="4294967292" verticalDpi="4294967292"/>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955C5-18ED-0A43-9D15-8F9DC9B5D916}">
  <sheetPr>
    <pageSetUpPr fitToPage="1"/>
  </sheetPr>
  <dimension ref="A1:J57"/>
  <sheetViews>
    <sheetView zoomScaleNormal="100" workbookViewId="0">
      <selection activeCell="I47" sqref="I47"/>
    </sheetView>
  </sheetViews>
  <sheetFormatPr baseColWidth="10" defaultColWidth="11.3984375" defaultRowHeight="13"/>
  <cols>
    <col min="1" max="1" width="23.3984375" style="3" customWidth="1"/>
    <col min="2" max="3" width="15.796875" style="3" customWidth="1"/>
    <col min="4" max="4" width="19.19921875" style="3" customWidth="1"/>
    <col min="5" max="5" width="15.796875" style="3" customWidth="1"/>
    <col min="6" max="6" width="20" style="3" customWidth="1"/>
    <col min="7" max="7" width="16.3984375" style="3" customWidth="1"/>
    <col min="8" max="8" width="14.19921875" style="3" customWidth="1"/>
    <col min="9" max="10" width="13.3984375" style="3" customWidth="1"/>
    <col min="11" max="16384" width="11.3984375" style="3"/>
  </cols>
  <sheetData>
    <row r="1" spans="1:10" s="2" customFormat="1" ht="14" customHeight="1"/>
    <row r="2" spans="1:10" s="2" customFormat="1" ht="28.75" customHeight="1">
      <c r="A2" s="1807" t="s">
        <v>1521</v>
      </c>
      <c r="B2" s="1811"/>
      <c r="C2" s="1811"/>
      <c r="D2" s="1811"/>
      <c r="E2" s="1811"/>
      <c r="F2" s="1811"/>
      <c r="G2" s="71"/>
    </row>
    <row r="3" spans="1:10" ht="24" customHeight="1">
      <c r="A3" s="72" t="s">
        <v>1476</v>
      </c>
      <c r="B3" s="73" t="s">
        <v>681</v>
      </c>
      <c r="C3" s="74" t="s">
        <v>682</v>
      </c>
      <c r="D3" s="73" t="s">
        <v>683</v>
      </c>
      <c r="E3" s="74" t="s">
        <v>684</v>
      </c>
      <c r="F3" s="73" t="s">
        <v>644</v>
      </c>
      <c r="G3" s="277" t="s">
        <v>585</v>
      </c>
    </row>
    <row r="4" spans="1:10" ht="15" customHeight="1">
      <c r="A4" s="328"/>
      <c r="B4" s="76" t="s">
        <v>685</v>
      </c>
      <c r="C4" s="77" t="s">
        <v>686</v>
      </c>
      <c r="D4" s="76" t="s">
        <v>696</v>
      </c>
      <c r="E4" s="106" t="s">
        <v>1477</v>
      </c>
      <c r="F4" s="76"/>
      <c r="G4" s="75" t="s">
        <v>586</v>
      </c>
    </row>
    <row r="5" spans="1:10" ht="15" customHeight="1">
      <c r="A5" s="328"/>
      <c r="B5" s="76" t="s">
        <v>689</v>
      </c>
      <c r="C5" s="77" t="s">
        <v>690</v>
      </c>
      <c r="D5" s="76" t="s">
        <v>698</v>
      </c>
      <c r="E5" s="106" t="s">
        <v>1478</v>
      </c>
      <c r="F5" s="76"/>
      <c r="G5" s="75" t="s">
        <v>210</v>
      </c>
    </row>
    <row r="6" spans="1:10" ht="24" customHeight="1">
      <c r="A6" s="263" t="s">
        <v>1365</v>
      </c>
      <c r="B6" s="82"/>
      <c r="C6" s="81"/>
      <c r="D6" s="82"/>
      <c r="E6" s="109" t="s">
        <v>692</v>
      </c>
      <c r="F6" s="82"/>
      <c r="G6" s="108"/>
    </row>
    <row r="7" spans="1:10" ht="1.25" customHeight="1" thickBot="1">
      <c r="A7" s="427">
        <v>1996</v>
      </c>
      <c r="B7" s="123">
        <v>1693.472957927004</v>
      </c>
      <c r="C7" s="124">
        <v>1112.5875100399426</v>
      </c>
      <c r="D7" s="123">
        <v>908.57038606702895</v>
      </c>
      <c r="E7" s="124">
        <v>879.61661091952851</v>
      </c>
      <c r="F7" s="123">
        <v>1490.5270087783663</v>
      </c>
      <c r="G7" s="309" t="s">
        <v>35</v>
      </c>
    </row>
    <row r="8" spans="1:10" ht="0.75" hidden="1" customHeight="1" thickBot="1">
      <c r="A8" s="333">
        <v>1997</v>
      </c>
      <c r="B8" s="133">
        <v>1740.7565036180117</v>
      </c>
      <c r="C8" s="132">
        <v>1408.0072046657929</v>
      </c>
      <c r="D8" s="133">
        <v>1179.3463740854293</v>
      </c>
      <c r="E8" s="132">
        <v>916.51587762677957</v>
      </c>
      <c r="F8" s="133">
        <v>1569.8943852604398</v>
      </c>
      <c r="G8" s="452">
        <v>5.3247862007628349E-2</v>
      </c>
      <c r="H8" s="9"/>
      <c r="I8" s="9"/>
      <c r="J8" s="9"/>
    </row>
    <row r="9" spans="1:10" ht="19.5" hidden="1" customHeight="1" thickBot="1">
      <c r="A9" s="333">
        <v>1998</v>
      </c>
      <c r="B9" s="133">
        <v>1748.6257046580097</v>
      </c>
      <c r="C9" s="132">
        <v>1582.236200997007</v>
      </c>
      <c r="D9" s="133">
        <v>542.85146212992356</v>
      </c>
      <c r="E9" s="132">
        <v>1187.8496276871122</v>
      </c>
      <c r="F9" s="133">
        <v>1645.8523332821831</v>
      </c>
      <c r="G9" s="452">
        <v>4.8384113437759779E-2</v>
      </c>
    </row>
    <row r="10" spans="1:10" ht="22.25" hidden="1" customHeight="1" thickBot="1">
      <c r="A10" s="333">
        <v>1999</v>
      </c>
      <c r="B10" s="133">
        <v>1943.9724380280036</v>
      </c>
      <c r="C10" s="132">
        <v>1446.076835760324</v>
      </c>
      <c r="D10" s="133">
        <v>631.35948452726836</v>
      </c>
      <c r="E10" s="132">
        <v>1322.850287189882</v>
      </c>
      <c r="F10" s="133">
        <v>1709.7272154599079</v>
      </c>
      <c r="G10" s="452">
        <v>3.880960696537377E-2</v>
      </c>
    </row>
    <row r="11" spans="1:10" ht="22.5" customHeight="1" thickBot="1">
      <c r="A11" s="333">
        <v>2000</v>
      </c>
      <c r="B11" s="133">
        <v>2061.7572370412531</v>
      </c>
      <c r="C11" s="132">
        <v>1559.5200327769257</v>
      </c>
      <c r="D11" s="133">
        <v>640.85618858059308</v>
      </c>
      <c r="E11" s="132">
        <v>1386.9243548352326</v>
      </c>
      <c r="F11" s="133">
        <v>1815.5684428845086</v>
      </c>
      <c r="G11" s="452">
        <v>6.1905329965827281E-2</v>
      </c>
    </row>
    <row r="12" spans="1:10" ht="22.5" customHeight="1" thickBot="1">
      <c r="A12" s="333">
        <v>2001</v>
      </c>
      <c r="B12" s="133">
        <v>2215.2521849633595</v>
      </c>
      <c r="C12" s="132">
        <v>1601.456447034876</v>
      </c>
      <c r="D12" s="133">
        <v>761.4942224833801</v>
      </c>
      <c r="E12" s="132">
        <v>1476.0910392091953</v>
      </c>
      <c r="F12" s="133">
        <v>1915.6520340553755</v>
      </c>
      <c r="G12" s="452">
        <v>5.5125209717711163E-2</v>
      </c>
    </row>
    <row r="13" spans="1:10" ht="22.5" customHeight="1" thickBot="1">
      <c r="A13" s="333">
        <v>2002</v>
      </c>
      <c r="B13" s="133">
        <v>2336.5480943488155</v>
      </c>
      <c r="C13" s="132">
        <v>1608.7398764542932</v>
      </c>
      <c r="D13" s="133">
        <v>759.86194884606937</v>
      </c>
      <c r="E13" s="132">
        <v>1636.2590696884934</v>
      </c>
      <c r="F13" s="133">
        <v>1986.8602053785678</v>
      </c>
      <c r="G13" s="452">
        <v>3.7171767135833575E-2</v>
      </c>
    </row>
    <row r="14" spans="1:10" ht="22.5" customHeight="1" thickBot="1">
      <c r="A14" s="333">
        <v>2003</v>
      </c>
      <c r="B14" s="133">
        <v>2543.8057035018146</v>
      </c>
      <c r="C14" s="132">
        <v>1656.5311093343439</v>
      </c>
      <c r="D14" s="133">
        <v>852.25259235500948</v>
      </c>
      <c r="E14" s="132">
        <v>1454.7088463142236</v>
      </c>
      <c r="F14" s="133">
        <v>2080.1097733239922</v>
      </c>
      <c r="G14" s="452">
        <v>4.6933129816074295E-2</v>
      </c>
    </row>
    <row r="15" spans="1:10" ht="22.5" customHeight="1" thickBot="1">
      <c r="A15" s="333">
        <v>2004</v>
      </c>
      <c r="B15" s="133">
        <v>2758.2074827327442</v>
      </c>
      <c r="C15" s="132">
        <v>1757.4292603708973</v>
      </c>
      <c r="D15" s="133">
        <v>905.21341172647249</v>
      </c>
      <c r="E15" s="132">
        <v>1373.0910592494565</v>
      </c>
      <c r="F15" s="133">
        <v>2208.6199102683881</v>
      </c>
      <c r="G15" s="452">
        <v>6.1780459181747037E-2</v>
      </c>
    </row>
    <row r="16" spans="1:10" ht="22.5" customHeight="1" thickBot="1">
      <c r="A16" s="333">
        <v>2005</v>
      </c>
      <c r="B16" s="133">
        <v>3045.7444736931438</v>
      </c>
      <c r="C16" s="132">
        <v>1742.6322440668202</v>
      </c>
      <c r="D16" s="133">
        <v>1002.5097658133579</v>
      </c>
      <c r="E16" s="132">
        <v>1428.4762573055013</v>
      </c>
      <c r="F16" s="133">
        <v>2333.6518397093009</v>
      </c>
      <c r="G16" s="452">
        <v>5.6610885766088748E-2</v>
      </c>
    </row>
    <row r="17" spans="1:7" ht="22.5" customHeight="1" thickBot="1">
      <c r="A17" s="333">
        <v>2006</v>
      </c>
      <c r="B17" s="133">
        <v>3255.1789461574645</v>
      </c>
      <c r="C17" s="132">
        <v>1735.686558346925</v>
      </c>
      <c r="D17" s="133">
        <v>1057.4282552437587</v>
      </c>
      <c r="E17" s="132">
        <v>1372.2570154496282</v>
      </c>
      <c r="F17" s="133">
        <v>2348.6103301629255</v>
      </c>
      <c r="G17" s="452">
        <v>6.409906653208397E-3</v>
      </c>
    </row>
    <row r="18" spans="1:7" ht="22.5" customHeight="1" thickBot="1">
      <c r="A18" s="333">
        <v>2007</v>
      </c>
      <c r="B18" s="133">
        <v>3503.0279381745177</v>
      </c>
      <c r="C18" s="132">
        <v>1860.6542092302925</v>
      </c>
      <c r="D18" s="133">
        <v>1116.1951590251049</v>
      </c>
      <c r="E18" s="132">
        <v>1455.6986782891856</v>
      </c>
      <c r="F18" s="133">
        <v>2444.2340609903572</v>
      </c>
      <c r="G18" s="452">
        <v>4.071502607280042E-2</v>
      </c>
    </row>
    <row r="19" spans="1:7" ht="22.5" customHeight="1" thickBot="1">
      <c r="A19" s="333">
        <v>2008</v>
      </c>
      <c r="B19" s="133">
        <v>3779.2804890017851</v>
      </c>
      <c r="C19" s="132">
        <v>1995.0917014086594</v>
      </c>
      <c r="D19" s="133">
        <v>1346.7554924819322</v>
      </c>
      <c r="E19" s="132">
        <v>1550.0860006459327</v>
      </c>
      <c r="F19" s="133">
        <v>2551.5464001640853</v>
      </c>
      <c r="G19" s="452">
        <v>4.3904281053283034E-2</v>
      </c>
    </row>
    <row r="20" spans="1:7" ht="22.5" customHeight="1" thickBot="1">
      <c r="A20" s="333">
        <v>2009</v>
      </c>
      <c r="B20" s="133">
        <v>4022.2406746329993</v>
      </c>
      <c r="C20" s="132">
        <v>2093.8863767697767</v>
      </c>
      <c r="D20" s="133">
        <v>1408.5627057694212</v>
      </c>
      <c r="E20" s="132">
        <v>1674.5944131607669</v>
      </c>
      <c r="F20" s="133">
        <v>2629.9453520972111</v>
      </c>
      <c r="G20" s="452">
        <v>3.0726053787649699E-2</v>
      </c>
    </row>
    <row r="21" spans="1:7" ht="22.5" customHeight="1" thickBot="1">
      <c r="A21" s="431">
        <v>2010</v>
      </c>
      <c r="B21" s="435">
        <v>4355.9418749750675</v>
      </c>
      <c r="C21" s="436">
        <v>2365.6789656687006</v>
      </c>
      <c r="D21" s="435">
        <v>1299.9711091531651</v>
      </c>
      <c r="E21" s="436">
        <v>1721.2284164085715</v>
      </c>
      <c r="F21" s="435">
        <v>2684.4029573344997</v>
      </c>
      <c r="G21" s="837">
        <v>2.0706744037043201E-2</v>
      </c>
    </row>
    <row r="22" spans="1:7" ht="20" customHeight="1">
      <c r="A22" s="95" t="s">
        <v>678</v>
      </c>
      <c r="B22" s="95"/>
      <c r="C22" s="95"/>
      <c r="D22" s="95"/>
      <c r="E22" s="95"/>
      <c r="F22" s="95"/>
      <c r="G22" s="666"/>
    </row>
    <row r="23" spans="1:7">
      <c r="G23" s="667"/>
    </row>
    <row r="24" spans="1:7">
      <c r="A24" s="3" t="s">
        <v>1522</v>
      </c>
      <c r="G24" s="667"/>
    </row>
    <row r="25" spans="1:7">
      <c r="G25" s="667"/>
    </row>
    <row r="26" spans="1:7">
      <c r="G26" s="667"/>
    </row>
    <row r="27" spans="1:7" ht="18">
      <c r="A27" s="838" t="s">
        <v>1480</v>
      </c>
      <c r="G27" s="667"/>
    </row>
    <row r="28" spans="1:7">
      <c r="G28" s="667"/>
    </row>
    <row r="29" spans="1:7" ht="18" customHeight="1">
      <c r="A29" s="72" t="s">
        <v>695</v>
      </c>
      <c r="B29" s="73" t="s">
        <v>204</v>
      </c>
      <c r="C29" s="277" t="s">
        <v>585</v>
      </c>
      <c r="D29" s="73" t="s">
        <v>1362</v>
      </c>
      <c r="E29" s="277" t="s">
        <v>585</v>
      </c>
      <c r="F29" s="73" t="s">
        <v>1481</v>
      </c>
      <c r="G29" s="277" t="s">
        <v>585</v>
      </c>
    </row>
    <row r="30" spans="1:7" ht="18" customHeight="1">
      <c r="A30" s="839"/>
      <c r="B30" s="76" t="s">
        <v>207</v>
      </c>
      <c r="C30" s="75" t="s">
        <v>586</v>
      </c>
      <c r="D30" s="76" t="s">
        <v>208</v>
      </c>
      <c r="E30" s="75" t="s">
        <v>586</v>
      </c>
      <c r="F30" s="76" t="s">
        <v>1482</v>
      </c>
      <c r="G30" s="75" t="s">
        <v>586</v>
      </c>
    </row>
    <row r="31" spans="1:7" ht="18" customHeight="1">
      <c r="A31" s="328"/>
      <c r="B31" s="76"/>
      <c r="C31" s="653" t="s">
        <v>210</v>
      </c>
      <c r="D31" s="76"/>
      <c r="E31" s="653" t="s">
        <v>210</v>
      </c>
      <c r="F31" s="76"/>
      <c r="G31" s="653" t="s">
        <v>210</v>
      </c>
    </row>
    <row r="32" spans="1:7" ht="18" customHeight="1">
      <c r="A32" s="329"/>
      <c r="B32" s="82"/>
      <c r="C32" s="81"/>
      <c r="D32" s="82"/>
      <c r="E32" s="109"/>
      <c r="F32" s="82"/>
      <c r="G32" s="654"/>
    </row>
    <row r="33" spans="1:7" ht="1.5" customHeight="1" thickBot="1">
      <c r="A33" s="427">
        <v>1996</v>
      </c>
      <c r="B33" s="123" t="s">
        <v>35</v>
      </c>
      <c r="C33" s="840" t="s">
        <v>35</v>
      </c>
      <c r="D33" s="123" t="s">
        <v>35</v>
      </c>
      <c r="E33" s="840" t="s">
        <v>35</v>
      </c>
      <c r="F33" s="123" t="s">
        <v>35</v>
      </c>
      <c r="G33" s="309" t="s">
        <v>35</v>
      </c>
    </row>
    <row r="34" spans="1:7" ht="0.75" hidden="1" customHeight="1" thickBot="1">
      <c r="A34" s="333">
        <v>1997</v>
      </c>
      <c r="B34" s="133">
        <v>514.44000000000005</v>
      </c>
      <c r="C34" s="452" t="s">
        <v>35</v>
      </c>
      <c r="D34" s="133">
        <v>710.67</v>
      </c>
      <c r="E34" s="452" t="s">
        <v>35</v>
      </c>
      <c r="F34" s="133">
        <v>1974.25</v>
      </c>
      <c r="G34" s="452" t="s">
        <v>35</v>
      </c>
    </row>
    <row r="35" spans="1:7" ht="18" hidden="1" customHeight="1" thickBot="1">
      <c r="A35" s="333">
        <v>1998</v>
      </c>
      <c r="B35" s="133">
        <v>551.9</v>
      </c>
      <c r="C35" s="452">
        <v>7.2817043775756041E-2</v>
      </c>
      <c r="D35" s="133">
        <v>720.82</v>
      </c>
      <c r="E35" s="452">
        <v>1.4282296987350174E-2</v>
      </c>
      <c r="F35" s="133">
        <v>2092.48</v>
      </c>
      <c r="G35" s="452">
        <v>5.9886032670634526E-2</v>
      </c>
    </row>
    <row r="36" spans="1:7" ht="21.5" hidden="1" customHeight="1" thickBot="1">
      <c r="A36" s="333">
        <v>1999</v>
      </c>
      <c r="B36" s="133">
        <v>566.42999999999995</v>
      </c>
      <c r="C36" s="452">
        <v>2.6327233194419319E-2</v>
      </c>
      <c r="D36" s="133">
        <v>737.62</v>
      </c>
      <c r="E36" s="452">
        <v>2.3306789489747626E-2</v>
      </c>
      <c r="F36" s="133">
        <v>2185.0300000000002</v>
      </c>
      <c r="G36" s="452">
        <v>4.4229813427129727E-2</v>
      </c>
    </row>
    <row r="37" spans="1:7" ht="21.75" customHeight="1" thickBot="1">
      <c r="A37" s="333">
        <v>2000</v>
      </c>
      <c r="B37" s="133">
        <v>597.91</v>
      </c>
      <c r="C37" s="452">
        <v>5.5576152393058242E-2</v>
      </c>
      <c r="D37" s="133">
        <v>787.29</v>
      </c>
      <c r="E37" s="452">
        <v>6.7338195818985369E-2</v>
      </c>
      <c r="F37" s="133">
        <v>2348.13</v>
      </c>
      <c r="G37" s="452">
        <v>7.4644284060173094E-2</v>
      </c>
    </row>
    <row r="38" spans="1:7" ht="21.75" customHeight="1" thickBot="1">
      <c r="A38" s="333">
        <v>2001</v>
      </c>
      <c r="B38" s="133">
        <v>627.16</v>
      </c>
      <c r="C38" s="452">
        <v>4.8920406081182755E-2</v>
      </c>
      <c r="D38" s="133">
        <v>820.79</v>
      </c>
      <c r="E38" s="452">
        <v>4.2551029480877522E-2</v>
      </c>
      <c r="F38" s="133">
        <v>2475.4499999999998</v>
      </c>
      <c r="G38" s="452">
        <v>5.4221870169028019E-2</v>
      </c>
    </row>
    <row r="39" spans="1:7" ht="21.75" customHeight="1" thickBot="1">
      <c r="A39" s="333">
        <v>2002</v>
      </c>
      <c r="B39" s="133">
        <v>640.42999999999995</v>
      </c>
      <c r="C39" s="452">
        <v>2.1158874928247862E-2</v>
      </c>
      <c r="D39" s="133">
        <v>831.97</v>
      </c>
      <c r="E39" s="452">
        <v>1.3621023647949038E-2</v>
      </c>
      <c r="F39" s="133">
        <v>2560.0700000000002</v>
      </c>
      <c r="G39" s="452">
        <v>3.4183683774667406E-2</v>
      </c>
    </row>
    <row r="40" spans="1:7" ht="21.75" customHeight="1" thickBot="1">
      <c r="A40" s="333">
        <v>2003</v>
      </c>
      <c r="B40" s="133">
        <v>664.36</v>
      </c>
      <c r="C40" s="452">
        <v>3.73655200412224E-2</v>
      </c>
      <c r="D40" s="133">
        <v>853.64</v>
      </c>
      <c r="E40" s="452">
        <v>2.6046612257653479E-2</v>
      </c>
      <c r="F40" s="133">
        <v>2673.16</v>
      </c>
      <c r="G40" s="452">
        <v>4.417457335150976E-2</v>
      </c>
    </row>
    <row r="41" spans="1:7" ht="21.75" customHeight="1" thickBot="1">
      <c r="A41" s="333">
        <v>2004</v>
      </c>
      <c r="B41" s="133">
        <v>701.54</v>
      </c>
      <c r="C41" s="452">
        <v>5.5963634174242882E-2</v>
      </c>
      <c r="D41" s="133">
        <v>876.55</v>
      </c>
      <c r="E41" s="452">
        <v>2.6838011339674672E-2</v>
      </c>
      <c r="F41" s="133">
        <v>2810.53</v>
      </c>
      <c r="G41" s="452">
        <v>5.1388618713432921E-2</v>
      </c>
    </row>
    <row r="42" spans="1:7" ht="21.75" customHeight="1" thickBot="1">
      <c r="A42" s="333">
        <v>2005</v>
      </c>
      <c r="B42" s="133">
        <v>754.24</v>
      </c>
      <c r="C42" s="452">
        <v>7.5120449297260361E-2</v>
      </c>
      <c r="D42" s="133">
        <v>890.22</v>
      </c>
      <c r="E42" s="452">
        <v>1.5595231304546209E-2</v>
      </c>
      <c r="F42" s="133">
        <v>2951.91</v>
      </c>
      <c r="G42" s="452">
        <v>5.0303679377199151E-2</v>
      </c>
    </row>
    <row r="43" spans="1:7" ht="21.75" customHeight="1" thickBot="1">
      <c r="A43" s="333">
        <v>2006</v>
      </c>
      <c r="B43" s="133">
        <v>763.04</v>
      </c>
      <c r="C43" s="452">
        <v>1.1667373780229084E-2</v>
      </c>
      <c r="D43" s="133">
        <v>867.53</v>
      </c>
      <c r="E43" s="452">
        <v>-2.5488081597807355E-2</v>
      </c>
      <c r="F43" s="133">
        <v>2973.8</v>
      </c>
      <c r="G43" s="452">
        <v>7.4155377365843211E-3</v>
      </c>
    </row>
    <row r="44" spans="1:7" ht="21.75" customHeight="1" thickBot="1">
      <c r="A44" s="333">
        <v>2007</v>
      </c>
      <c r="B44" s="133">
        <v>810.32</v>
      </c>
      <c r="C44" s="452">
        <v>6.1962675613336238E-2</v>
      </c>
      <c r="D44" s="133">
        <v>881.08</v>
      </c>
      <c r="E44" s="452">
        <v>1.5619056401507736E-2</v>
      </c>
      <c r="F44" s="133">
        <v>3078.72</v>
      </c>
      <c r="G44" s="452">
        <v>3.5281458067119464E-2</v>
      </c>
    </row>
    <row r="45" spans="1:7" ht="21.75" customHeight="1" thickBot="1">
      <c r="A45" s="333">
        <v>2008</v>
      </c>
      <c r="B45" s="133">
        <v>832.01939676998109</v>
      </c>
      <c r="C45" s="452">
        <v>2.6778799449576729E-2</v>
      </c>
      <c r="D45" s="133">
        <v>911.28491306252249</v>
      </c>
      <c r="E45" s="452">
        <v>3.428169185831309E-2</v>
      </c>
      <c r="F45" s="133">
        <v>3207.8085629331267</v>
      </c>
      <c r="G45" s="452">
        <v>4.1929296244259673E-2</v>
      </c>
    </row>
    <row r="46" spans="1:7" ht="21.75" customHeight="1" thickBot="1">
      <c r="A46" s="333">
        <v>2009</v>
      </c>
      <c r="B46" s="133">
        <v>865.61555000898773</v>
      </c>
      <c r="C46" s="452">
        <v>4.0379050499822267E-2</v>
      </c>
      <c r="D46" s="133">
        <v>949.75755898656007</v>
      </c>
      <c r="E46" s="452">
        <v>4.2218021359251789E-2</v>
      </c>
      <c r="F46" s="133">
        <v>3306.4958915508864</v>
      </c>
      <c r="G46" s="452">
        <v>3.0764718866989726E-2</v>
      </c>
    </row>
    <row r="47" spans="1:7" ht="21.75" customHeight="1" thickBot="1">
      <c r="A47" s="841">
        <v>2010</v>
      </c>
      <c r="B47" s="843">
        <v>868.29367891662014</v>
      </c>
      <c r="C47" s="944">
        <v>3.0939011061026367E-3</v>
      </c>
      <c r="D47" s="843">
        <v>1007.5237667050255</v>
      </c>
      <c r="E47" s="944">
        <v>6.0822056294139948E-2</v>
      </c>
      <c r="F47" s="843">
        <v>3366.6352662663126</v>
      </c>
      <c r="G47" s="944">
        <v>1.8188250246764515E-2</v>
      </c>
    </row>
    <row r="48" spans="1:7" ht="15" customHeight="1">
      <c r="A48" s="95" t="s">
        <v>678</v>
      </c>
    </row>
    <row r="50" spans="1:1">
      <c r="A50" s="96" t="s">
        <v>1523</v>
      </c>
    </row>
    <row r="52" spans="1:1">
      <c r="A52" s="96" t="s">
        <v>746</v>
      </c>
    </row>
    <row r="53" spans="1:1">
      <c r="A53" s="3" t="s">
        <v>1485</v>
      </c>
    </row>
    <row r="54" spans="1:1">
      <c r="A54" s="3" t="s">
        <v>1524</v>
      </c>
    </row>
    <row r="57" spans="1:1">
      <c r="A57" s="3" t="s">
        <v>677</v>
      </c>
    </row>
  </sheetData>
  <mergeCells count="1">
    <mergeCell ref="A2:F2"/>
  </mergeCells>
  <pageMargins left="0.37" right="0.31" top="0.47244094488188981" bottom="0.47244094488188981" header="0.35433070866141736" footer="0.51181102362204722"/>
  <pageSetup paperSize="9" scale="69" orientation="portrait" horizontalDpi="1200" verticalDpi="1200"/>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40E8D-8C53-2446-B6B9-DA7E091DCE6A}">
  <sheetPr>
    <pageSetUpPr fitToPage="1"/>
  </sheetPr>
  <dimension ref="A1:I19"/>
  <sheetViews>
    <sheetView zoomScale="75" workbookViewId="0">
      <selection activeCell="H18" sqref="H18"/>
    </sheetView>
  </sheetViews>
  <sheetFormatPr baseColWidth="10" defaultColWidth="11.3984375" defaultRowHeight="13"/>
  <cols>
    <col min="1" max="1" width="20.3984375" style="3" customWidth="1"/>
    <col min="2" max="2" width="16.3984375" style="3" customWidth="1"/>
    <col min="3" max="3" width="17.3984375" style="3" customWidth="1"/>
    <col min="4" max="4" width="17.19921875" style="3" customWidth="1"/>
    <col min="5" max="5" width="18.19921875" style="3" customWidth="1"/>
    <col min="6" max="7" width="13.3984375" style="3" customWidth="1"/>
    <col min="8" max="8" width="11.3984375" style="3"/>
    <col min="9" max="9" width="15.796875" style="3" hidden="1" customWidth="1"/>
    <col min="10" max="16384" width="11.3984375" style="3"/>
  </cols>
  <sheetData>
    <row r="1" spans="1:9" ht="14" customHeight="1">
      <c r="A1" s="246"/>
      <c r="B1" s="96"/>
      <c r="C1" s="96"/>
      <c r="D1" s="96"/>
      <c r="E1" s="96"/>
      <c r="F1" s="96"/>
      <c r="G1" s="96"/>
      <c r="I1" s="96"/>
    </row>
    <row r="2" spans="1:9" ht="27.75" customHeight="1">
      <c r="A2" s="129" t="s">
        <v>583</v>
      </c>
      <c r="B2" s="306"/>
      <c r="C2" s="306"/>
      <c r="D2" s="306"/>
      <c r="E2" s="306"/>
      <c r="F2" s="306"/>
      <c r="G2" s="358">
        <v>2010</v>
      </c>
      <c r="I2" s="96"/>
    </row>
    <row r="3" spans="1:9" ht="24" customHeight="1">
      <c r="A3" s="72" t="s">
        <v>584</v>
      </c>
      <c r="B3" s="73" t="s">
        <v>237</v>
      </c>
      <c r="C3" s="74" t="s">
        <v>238</v>
      </c>
      <c r="D3" s="73" t="s">
        <v>204</v>
      </c>
      <c r="E3" s="74" t="s">
        <v>190</v>
      </c>
      <c r="F3" s="73" t="s">
        <v>546</v>
      </c>
      <c r="G3" s="74" t="s">
        <v>585</v>
      </c>
      <c r="I3" s="74" t="s">
        <v>190</v>
      </c>
    </row>
    <row r="4" spans="1:9" ht="15" customHeight="1">
      <c r="A4" s="328"/>
      <c r="B4" s="76"/>
      <c r="C4" s="77"/>
      <c r="D4" s="76"/>
      <c r="E4" s="106"/>
      <c r="F4" s="76" t="s">
        <v>547</v>
      </c>
      <c r="G4" s="77" t="s">
        <v>586</v>
      </c>
      <c r="I4" s="106">
        <v>1999</v>
      </c>
    </row>
    <row r="5" spans="1:9" ht="15" customHeight="1">
      <c r="A5" s="75"/>
      <c r="B5" s="76"/>
      <c r="C5" s="77"/>
      <c r="D5" s="76"/>
      <c r="E5" s="77"/>
      <c r="F5" s="76" t="s">
        <v>548</v>
      </c>
      <c r="G5" s="77" t="s">
        <v>210</v>
      </c>
      <c r="I5" s="77"/>
    </row>
    <row r="6" spans="1:9" ht="24" customHeight="1">
      <c r="A6" s="264"/>
      <c r="B6" s="359"/>
      <c r="C6" s="360"/>
      <c r="D6" s="359"/>
      <c r="E6" s="360"/>
      <c r="F6" s="82"/>
      <c r="G6" s="81"/>
      <c r="I6" s="360"/>
    </row>
    <row r="7" spans="1:9" ht="36" customHeight="1" thickBot="1">
      <c r="A7" s="361" t="s">
        <v>587</v>
      </c>
      <c r="B7" s="111">
        <v>4366435210.1899996</v>
      </c>
      <c r="C7" s="112">
        <v>6428770526.3400002</v>
      </c>
      <c r="D7" s="111">
        <v>756425692.88</v>
      </c>
      <c r="E7" s="112">
        <v>11551631429.409998</v>
      </c>
      <c r="F7" s="362">
        <v>0.47552329739774241</v>
      </c>
      <c r="G7" s="363">
        <v>-5.369470101598682E-2</v>
      </c>
      <c r="I7" s="364">
        <v>6794064715</v>
      </c>
    </row>
    <row r="8" spans="1:9" ht="31.5" customHeight="1" thickBot="1">
      <c r="A8" s="361" t="s">
        <v>588</v>
      </c>
      <c r="B8" s="111">
        <v>2218617860.2800002</v>
      </c>
      <c r="C8" s="112">
        <v>2902109353.2399998</v>
      </c>
      <c r="D8" s="111">
        <v>70341735.019999996</v>
      </c>
      <c r="E8" s="112">
        <v>5191068948.5400009</v>
      </c>
      <c r="F8" s="362">
        <v>0.21369052834772195</v>
      </c>
      <c r="G8" s="363">
        <v>-9.8432414513203809E-2</v>
      </c>
      <c r="I8" s="364">
        <v>5396193285</v>
      </c>
    </row>
    <row r="9" spans="1:9" ht="33" customHeight="1" thickBot="1">
      <c r="A9" s="361" t="s">
        <v>589</v>
      </c>
      <c r="B9" s="111">
        <v>4988463.2300000004</v>
      </c>
      <c r="C9" s="112">
        <v>3628447.74</v>
      </c>
      <c r="D9" s="111">
        <v>22193.11</v>
      </c>
      <c r="E9" s="112">
        <v>8639104.0800000001</v>
      </c>
      <c r="F9" s="362">
        <v>3.5562901082740933E-4</v>
      </c>
      <c r="G9" s="363">
        <v>-0.14024012663641622</v>
      </c>
      <c r="I9" s="364">
        <v>15330070</v>
      </c>
    </row>
    <row r="10" spans="1:9" ht="34.5" customHeight="1" thickBot="1">
      <c r="A10" s="361" t="s">
        <v>590</v>
      </c>
      <c r="B10" s="111">
        <v>2830024045.25</v>
      </c>
      <c r="C10" s="112">
        <v>4090069504.1199999</v>
      </c>
      <c r="D10" s="111">
        <v>621028542.28999996</v>
      </c>
      <c r="E10" s="112">
        <v>7541122091.6599998</v>
      </c>
      <c r="F10" s="362">
        <v>0.31043054524535485</v>
      </c>
      <c r="G10" s="363">
        <v>0.32734424270624074</v>
      </c>
      <c r="I10" s="364">
        <v>828254703</v>
      </c>
    </row>
    <row r="11" spans="1:9" s="236" customFormat="1" ht="38.25" customHeight="1" thickBot="1">
      <c r="A11" s="365" t="s">
        <v>190</v>
      </c>
      <c r="B11" s="366">
        <v>9420065578.9300003</v>
      </c>
      <c r="C11" s="367">
        <v>13424577831.459999</v>
      </c>
      <c r="D11" s="366">
        <v>1447818163.26</v>
      </c>
      <c r="E11" s="367">
        <v>24292461573.649998</v>
      </c>
      <c r="F11" s="368">
        <v>1</v>
      </c>
      <c r="G11" s="369">
        <v>2.6890871523290578E-2</v>
      </c>
      <c r="I11" s="370">
        <v>13033842773</v>
      </c>
    </row>
    <row r="12" spans="1:9" ht="19.5" customHeight="1">
      <c r="A12" s="95" t="s">
        <v>678</v>
      </c>
      <c r="B12" s="95"/>
      <c r="C12" s="95"/>
      <c r="D12" s="95"/>
      <c r="E12" s="95"/>
      <c r="F12" s="95"/>
      <c r="G12" s="95"/>
      <c r="I12" s="95"/>
    </row>
    <row r="14" spans="1:9">
      <c r="A14" s="3" t="s">
        <v>591</v>
      </c>
    </row>
    <row r="16" spans="1:9">
      <c r="A16" s="96" t="s">
        <v>533</v>
      </c>
    </row>
    <row r="19" spans="1:1">
      <c r="A19" s="3" t="s">
        <v>677</v>
      </c>
    </row>
  </sheetData>
  <pageMargins left="0.59055118110236227" right="0.62992125984251968" top="1.0236220472440944" bottom="0.47244094488188981" header="0.59055118110236227" footer="0.51181102362204722"/>
  <pageSetup paperSize="9" scale="77" orientation="portrait" horizontalDpi="4294967292" verticalDpi="4294967292"/>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D0D6D-B69F-3B44-82E9-CB5F46E6594A}">
  <sheetPr>
    <pageSetUpPr fitToPage="1"/>
  </sheetPr>
  <dimension ref="A1:G52"/>
  <sheetViews>
    <sheetView zoomScale="75" workbookViewId="0">
      <selection activeCell="F4" sqref="F4"/>
    </sheetView>
  </sheetViews>
  <sheetFormatPr baseColWidth="10" defaultColWidth="11.3984375" defaultRowHeight="13"/>
  <cols>
    <col min="1" max="1" width="25.796875" style="3" customWidth="1"/>
    <col min="2" max="2" width="25.59765625" style="3" customWidth="1"/>
    <col min="3" max="6" width="17.59765625" style="3" customWidth="1"/>
    <col min="7" max="7" width="14.59765625" style="3" customWidth="1"/>
    <col min="8" max="16384" width="11.3984375" style="3"/>
  </cols>
  <sheetData>
    <row r="1" spans="1:7" s="2" customFormat="1" ht="14" customHeight="1">
      <c r="A1" s="242"/>
      <c r="B1" s="242"/>
      <c r="C1" s="242"/>
      <c r="D1" s="242"/>
      <c r="E1" s="242"/>
      <c r="F1" s="242"/>
    </row>
    <row r="2" spans="1:7" s="2" customFormat="1" ht="20.25" customHeight="1">
      <c r="A2" s="371" t="s">
        <v>592</v>
      </c>
      <c r="B2" s="371"/>
      <c r="C2" s="242"/>
      <c r="D2" s="242"/>
      <c r="E2" s="242"/>
      <c r="F2" s="307">
        <v>2010</v>
      </c>
      <c r="G2" s="307"/>
    </row>
    <row r="3" spans="1:7" s="2" customFormat="1" ht="10.5" customHeight="1">
      <c r="A3" s="372"/>
      <c r="B3" s="372"/>
      <c r="C3" s="373"/>
      <c r="D3" s="373"/>
      <c r="E3" s="373"/>
      <c r="F3" s="373"/>
      <c r="G3" s="246"/>
    </row>
    <row r="4" spans="1:7" s="2" customFormat="1" ht="81.75" customHeight="1">
      <c r="A4" s="374" t="s">
        <v>593</v>
      </c>
      <c r="B4" s="375"/>
      <c r="C4" s="376" t="s">
        <v>594</v>
      </c>
      <c r="D4" s="377" t="s">
        <v>595</v>
      </c>
      <c r="E4" s="376" t="s">
        <v>596</v>
      </c>
      <c r="F4" s="378" t="s">
        <v>644</v>
      </c>
    </row>
    <row r="5" spans="1:7" ht="8.25" customHeight="1">
      <c r="A5" s="379"/>
      <c r="B5" s="380"/>
      <c r="C5" s="360"/>
      <c r="D5" s="359"/>
      <c r="E5" s="360"/>
      <c r="F5" s="359"/>
    </row>
    <row r="6" spans="1:7" ht="47.25" customHeight="1" thickBot="1">
      <c r="A6" s="381" t="s">
        <v>597</v>
      </c>
      <c r="B6" s="382" t="s">
        <v>598</v>
      </c>
      <c r="C6" s="291">
        <v>87.66704288396673</v>
      </c>
      <c r="D6" s="290">
        <v>331.85649844004178</v>
      </c>
      <c r="E6" s="291">
        <v>602.64733916007037</v>
      </c>
      <c r="F6" s="290">
        <v>435.70361068231057</v>
      </c>
    </row>
    <row r="7" spans="1:7" ht="19.5" customHeight="1" thickBot="1">
      <c r="A7" s="90"/>
      <c r="B7" s="383"/>
      <c r="C7" s="384"/>
      <c r="D7" s="385"/>
      <c r="E7" s="384"/>
      <c r="F7" s="385"/>
    </row>
    <row r="8" spans="1:7" ht="21" customHeight="1" thickBot="1">
      <c r="A8" s="386" t="s">
        <v>599</v>
      </c>
      <c r="B8" s="387" t="s">
        <v>600</v>
      </c>
      <c r="C8" s="384">
        <v>163.46253293909515</v>
      </c>
      <c r="D8" s="385">
        <v>391.02052255494561</v>
      </c>
      <c r="E8" s="384">
        <v>664.15209246028155</v>
      </c>
      <c r="F8" s="385">
        <v>652.63846764399182</v>
      </c>
    </row>
    <row r="9" spans="1:7" ht="20" customHeight="1" thickBot="1">
      <c r="A9" s="388" t="s">
        <v>601</v>
      </c>
      <c r="B9" s="387" t="s">
        <v>602</v>
      </c>
      <c r="C9" s="384">
        <v>215.72219324339119</v>
      </c>
      <c r="D9" s="385">
        <v>402.12645674421174</v>
      </c>
      <c r="E9" s="384">
        <v>635.59775313308933</v>
      </c>
      <c r="F9" s="385">
        <v>544.70007825863831</v>
      </c>
    </row>
    <row r="10" spans="1:7" ht="20" customHeight="1" thickBot="1">
      <c r="A10" s="388" t="s">
        <v>603</v>
      </c>
      <c r="B10" s="387" t="s">
        <v>604</v>
      </c>
      <c r="C10" s="384">
        <v>239.77534646665958</v>
      </c>
      <c r="D10" s="385">
        <v>381.81880107194127</v>
      </c>
      <c r="E10" s="384">
        <v>592.30275189773363</v>
      </c>
      <c r="F10" s="385">
        <v>567.60165888819358</v>
      </c>
    </row>
    <row r="11" spans="1:7" ht="20" customHeight="1" thickBot="1">
      <c r="A11" s="388"/>
      <c r="B11" s="387" t="s">
        <v>605</v>
      </c>
      <c r="C11" s="384">
        <v>243.14061388880143</v>
      </c>
      <c r="D11" s="385">
        <v>380.12577815327342</v>
      </c>
      <c r="E11" s="384">
        <v>507.571960473638</v>
      </c>
      <c r="F11" s="385">
        <v>428.91437989000713</v>
      </c>
    </row>
    <row r="12" spans="1:7" ht="20" customHeight="1" thickBot="1">
      <c r="A12" s="388"/>
      <c r="B12" s="387" t="s">
        <v>606</v>
      </c>
      <c r="C12" s="384">
        <v>241.75009841782776</v>
      </c>
      <c r="D12" s="385">
        <v>396.92180527787411</v>
      </c>
      <c r="E12" s="384">
        <v>498.50797373608071</v>
      </c>
      <c r="F12" s="385">
        <v>480.98848629903245</v>
      </c>
    </row>
    <row r="13" spans="1:7" ht="20" customHeight="1" thickBot="1">
      <c r="A13" s="388"/>
      <c r="B13" s="387" t="s">
        <v>607</v>
      </c>
      <c r="C13" s="384">
        <v>240.09228462464105</v>
      </c>
      <c r="D13" s="268" t="s">
        <v>35</v>
      </c>
      <c r="E13" s="269" t="s">
        <v>35</v>
      </c>
      <c r="F13" s="385">
        <v>240.09228462464105</v>
      </c>
    </row>
    <row r="14" spans="1:7" ht="20" customHeight="1" thickBot="1">
      <c r="A14" s="389"/>
      <c r="B14" s="387" t="s">
        <v>190</v>
      </c>
      <c r="C14" s="384">
        <v>230.67475900495668</v>
      </c>
      <c r="D14" s="385">
        <v>391.06501640609156</v>
      </c>
      <c r="E14" s="384">
        <v>603.21629494259378</v>
      </c>
      <c r="F14" s="385">
        <v>572.69650597987197</v>
      </c>
    </row>
    <row r="15" spans="1:7" ht="18.75" customHeight="1" thickBot="1">
      <c r="A15" s="390"/>
      <c r="B15" s="391"/>
      <c r="C15" s="384"/>
      <c r="D15" s="385"/>
      <c r="E15" s="384"/>
      <c r="F15" s="385"/>
    </row>
    <row r="16" spans="1:7" ht="20" customHeight="1" thickBot="1">
      <c r="A16" s="390" t="s">
        <v>589</v>
      </c>
      <c r="B16" s="391"/>
      <c r="C16" s="384">
        <v>35.768632707774806</v>
      </c>
      <c r="D16" s="385">
        <v>181.91228260869565</v>
      </c>
      <c r="E16" s="384">
        <v>221.84425052104967</v>
      </c>
      <c r="F16" s="385">
        <v>219.33149556032734</v>
      </c>
    </row>
    <row r="17" spans="1:6" ht="20.25" customHeight="1" thickBot="1">
      <c r="A17" s="390"/>
      <c r="B17" s="391"/>
      <c r="C17" s="384"/>
      <c r="D17" s="385"/>
      <c r="E17" s="384"/>
      <c r="F17" s="385"/>
    </row>
    <row r="18" spans="1:6" ht="58.5" customHeight="1" thickBot="1">
      <c r="A18" s="386" t="s">
        <v>608</v>
      </c>
      <c r="B18" s="387" t="s">
        <v>598</v>
      </c>
      <c r="C18" s="384">
        <v>72.061567014337328</v>
      </c>
      <c r="D18" s="385">
        <v>302.78778158824423</v>
      </c>
      <c r="E18" s="384">
        <v>506.44373411002221</v>
      </c>
      <c r="F18" s="385">
        <v>320.83680295262087</v>
      </c>
    </row>
    <row r="19" spans="1:6" ht="20" customHeight="1" thickBot="1">
      <c r="A19" s="91"/>
      <c r="B19" s="387" t="s">
        <v>600</v>
      </c>
      <c r="C19" s="384">
        <v>544.55983003841936</v>
      </c>
      <c r="D19" s="385">
        <v>352.77326232903692</v>
      </c>
      <c r="E19" s="384">
        <v>533.33900002271503</v>
      </c>
      <c r="F19" s="385">
        <v>517.44430685733141</v>
      </c>
    </row>
    <row r="20" spans="1:6" ht="20" customHeight="1" thickBot="1">
      <c r="A20" s="91"/>
      <c r="B20" s="387" t="s">
        <v>602</v>
      </c>
      <c r="C20" s="384">
        <v>176.28725768534105</v>
      </c>
      <c r="D20" s="385">
        <v>335.51267368534235</v>
      </c>
      <c r="E20" s="384">
        <v>487.59174457094809</v>
      </c>
      <c r="F20" s="385">
        <v>442.6836689285019</v>
      </c>
    </row>
    <row r="21" spans="1:6" ht="20" customHeight="1" thickBot="1">
      <c r="A21" s="91"/>
      <c r="B21" s="387" t="s">
        <v>604</v>
      </c>
      <c r="C21" s="384">
        <v>177.32488733488094</v>
      </c>
      <c r="D21" s="385">
        <v>321.91570410123541</v>
      </c>
      <c r="E21" s="384">
        <v>450.50339961616595</v>
      </c>
      <c r="F21" s="385">
        <v>426.80879026826801</v>
      </c>
    </row>
    <row r="22" spans="1:6" ht="20" customHeight="1" thickBot="1">
      <c r="A22" s="91"/>
      <c r="B22" s="387" t="s">
        <v>605</v>
      </c>
      <c r="C22" s="384">
        <v>183.54121723084617</v>
      </c>
      <c r="D22" s="385">
        <v>269.95927608523681</v>
      </c>
      <c r="E22" s="384">
        <v>338.66393102482817</v>
      </c>
      <c r="F22" s="385">
        <v>314.801052136333</v>
      </c>
    </row>
    <row r="23" spans="1:6" ht="20" customHeight="1" thickBot="1">
      <c r="A23" s="91"/>
      <c r="B23" s="387" t="s">
        <v>606</v>
      </c>
      <c r="C23" s="384">
        <v>212.41604299306914</v>
      </c>
      <c r="D23" s="385">
        <v>292.12369026417929</v>
      </c>
      <c r="E23" s="384">
        <v>371.93253349935981</v>
      </c>
      <c r="F23" s="385">
        <v>360.20962376703642</v>
      </c>
    </row>
    <row r="24" spans="1:6" ht="20" customHeight="1" thickBot="1">
      <c r="A24" s="91"/>
      <c r="B24" s="387" t="s">
        <v>607</v>
      </c>
      <c r="C24" s="384">
        <v>216.29958923605011</v>
      </c>
      <c r="D24" s="268" t="s">
        <v>35</v>
      </c>
      <c r="E24" s="269" t="s">
        <v>35</v>
      </c>
      <c r="F24" s="385">
        <v>216.29958923605011</v>
      </c>
    </row>
    <row r="25" spans="1:6" ht="20" customHeight="1" thickBot="1">
      <c r="A25" s="91"/>
      <c r="B25" s="387" t="s">
        <v>609</v>
      </c>
      <c r="C25" s="384">
        <v>85.010650472063077</v>
      </c>
      <c r="D25" s="385">
        <v>312.94756733439249</v>
      </c>
      <c r="E25" s="384">
        <v>468.25165965954295</v>
      </c>
      <c r="F25" s="385">
        <v>374.02084561196324</v>
      </c>
    </row>
    <row r="26" spans="1:6" ht="39.75" customHeight="1" thickBot="1">
      <c r="A26" s="392"/>
      <c r="B26" s="393" t="s">
        <v>610</v>
      </c>
      <c r="C26" s="394">
        <v>81.017527684448169</v>
      </c>
      <c r="D26" s="395">
        <v>288.93766588083469</v>
      </c>
      <c r="E26" s="394">
        <v>405.00908830457212</v>
      </c>
      <c r="F26" s="395">
        <v>332.44699897231391</v>
      </c>
    </row>
    <row r="27" spans="1:6" ht="45" customHeight="1" thickBot="1">
      <c r="A27" s="392"/>
      <c r="B27" s="396" t="s">
        <v>611</v>
      </c>
      <c r="C27" s="394">
        <v>76.783727272054975</v>
      </c>
      <c r="D27" s="395">
        <v>281.68357393304541</v>
      </c>
      <c r="E27" s="394">
        <v>433.39273038960249</v>
      </c>
      <c r="F27" s="395">
        <v>344.89226191750265</v>
      </c>
    </row>
    <row r="28" spans="1:6" ht="45" customHeight="1" thickBot="1">
      <c r="A28" s="397"/>
      <c r="B28" s="396" t="s">
        <v>612</v>
      </c>
      <c r="C28" s="394">
        <v>203.05444813391594</v>
      </c>
      <c r="D28" s="395">
        <v>319.61062643804195</v>
      </c>
      <c r="E28" s="394">
        <v>446.56731127663539</v>
      </c>
      <c r="F28" s="395">
        <v>422.3289037808272</v>
      </c>
    </row>
    <row r="29" spans="1:6" ht="15.75" customHeight="1" thickBot="1">
      <c r="A29" s="398"/>
      <c r="B29" s="399"/>
      <c r="C29" s="384"/>
      <c r="D29" s="385"/>
      <c r="E29" s="384"/>
      <c r="F29" s="385"/>
    </row>
    <row r="30" spans="1:6" ht="27.75" customHeight="1" thickBot="1">
      <c r="A30" s="400" t="s">
        <v>613</v>
      </c>
      <c r="B30" s="401"/>
      <c r="C30" s="402">
        <v>93.937040041013276</v>
      </c>
      <c r="D30" s="403">
        <v>331.6280007608085</v>
      </c>
      <c r="E30" s="402">
        <v>542.78194350637</v>
      </c>
      <c r="F30" s="403">
        <v>438.15718058625299</v>
      </c>
    </row>
    <row r="31" spans="1:6" ht="15.75" customHeight="1">
      <c r="A31" s="352" t="s">
        <v>678</v>
      </c>
      <c r="B31" s="352"/>
      <c r="C31" s="352"/>
      <c r="D31" s="352"/>
      <c r="E31" s="352"/>
      <c r="F31" s="352"/>
    </row>
    <row r="32" spans="1:6" ht="13.5" customHeight="1">
      <c r="A32" s="324"/>
      <c r="B32" s="324"/>
      <c r="C32" s="352"/>
      <c r="D32" s="352"/>
      <c r="E32" s="352"/>
      <c r="F32" s="352"/>
    </row>
    <row r="33" spans="1:6" ht="13.5" customHeight="1">
      <c r="A33" s="352" t="s">
        <v>614</v>
      </c>
      <c r="B33" s="352"/>
      <c r="C33" s="352"/>
      <c r="D33" s="352"/>
      <c r="E33" s="352"/>
      <c r="F33" s="352"/>
    </row>
    <row r="34" spans="1:6" ht="16.5" customHeight="1">
      <c r="A34" s="352"/>
      <c r="B34" s="352"/>
      <c r="C34" s="352"/>
      <c r="D34" s="352"/>
      <c r="E34" s="352"/>
      <c r="F34" s="352"/>
    </row>
    <row r="35" spans="1:6" ht="12" customHeight="1">
      <c r="A35" s="352" t="s">
        <v>615</v>
      </c>
      <c r="B35" s="352"/>
      <c r="C35" s="138"/>
      <c r="D35" s="138"/>
      <c r="E35" s="138"/>
      <c r="F35" s="138"/>
    </row>
    <row r="36" spans="1:6" ht="12" customHeight="1">
      <c r="A36" s="96" t="s">
        <v>616</v>
      </c>
      <c r="B36" s="96"/>
    </row>
    <row r="37" spans="1:6" ht="12" customHeight="1">
      <c r="A37" s="96" t="s">
        <v>617</v>
      </c>
      <c r="B37" s="96"/>
    </row>
    <row r="38" spans="1:6" ht="12" customHeight="1">
      <c r="A38" s="96" t="s">
        <v>618</v>
      </c>
      <c r="B38" s="96"/>
    </row>
    <row r="39" spans="1:6" ht="12" customHeight="1">
      <c r="A39" s="96" t="s">
        <v>619</v>
      </c>
      <c r="B39" s="96"/>
    </row>
    <row r="40" spans="1:6" ht="12" customHeight="1">
      <c r="A40" s="96" t="s">
        <v>620</v>
      </c>
      <c r="B40" s="96"/>
    </row>
    <row r="41" spans="1:6" ht="12" customHeight="1">
      <c r="A41" s="3" t="s">
        <v>621</v>
      </c>
    </row>
    <row r="42" spans="1:6" ht="12" customHeight="1">
      <c r="A42" s="326" t="s">
        <v>622</v>
      </c>
    </row>
    <row r="43" spans="1:6" ht="12" customHeight="1"/>
    <row r="44" spans="1:6" ht="12" customHeight="1"/>
    <row r="45" spans="1:6" ht="12" customHeight="1">
      <c r="A45" s="352" t="s">
        <v>677</v>
      </c>
      <c r="B45" s="352"/>
      <c r="C45" s="96"/>
      <c r="D45" s="96"/>
      <c r="E45" s="96"/>
      <c r="F45" s="96"/>
    </row>
    <row r="50" spans="1:7">
      <c r="A50" s="57"/>
      <c r="B50" s="57"/>
      <c r="C50" s="404"/>
      <c r="D50" s="405"/>
      <c r="E50" s="404"/>
      <c r="F50" s="405"/>
      <c r="G50" s="405"/>
    </row>
    <row r="51" spans="1:7">
      <c r="A51" s="406"/>
      <c r="B51" s="406"/>
      <c r="C51" s="406"/>
      <c r="D51" s="407"/>
      <c r="E51" s="406"/>
      <c r="F51" s="48"/>
      <c r="G51" s="4"/>
    </row>
    <row r="52" spans="1:7">
      <c r="A52" s="4"/>
      <c r="B52" s="4"/>
      <c r="C52" s="4"/>
      <c r="D52" s="4"/>
      <c r="E52" s="4"/>
      <c r="F52" s="4"/>
      <c r="G52" s="4"/>
    </row>
  </sheetData>
  <pageMargins left="0.55118110236220474" right="0.45" top="0.59055118110236227" bottom="0.47244094488188981" header="0.43307086614173229" footer="0.31496062992125984"/>
  <pageSetup paperSize="9" scale="67" orientation="portrait"/>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9798B-E479-2540-A055-1CB8FBA23318}">
  <sheetPr>
    <pageSetUpPr fitToPage="1"/>
  </sheetPr>
  <dimension ref="A1:G52"/>
  <sheetViews>
    <sheetView zoomScale="75" workbookViewId="0">
      <selection activeCell="F4" sqref="F4"/>
    </sheetView>
  </sheetViews>
  <sheetFormatPr baseColWidth="10" defaultColWidth="11.3984375" defaultRowHeight="13"/>
  <cols>
    <col min="1" max="1" width="25.796875" style="3" customWidth="1"/>
    <col min="2" max="2" width="25.59765625" style="3" customWidth="1"/>
    <col min="3" max="6" width="17.59765625" style="3" customWidth="1"/>
    <col min="7" max="7" width="14.59765625" style="3" customWidth="1"/>
    <col min="8" max="16384" width="11.3984375" style="3"/>
  </cols>
  <sheetData>
    <row r="1" spans="1:7" s="2" customFormat="1" ht="14" customHeight="1">
      <c r="A1" s="242"/>
      <c r="B1" s="242"/>
      <c r="C1" s="242"/>
      <c r="D1" s="242"/>
      <c r="E1" s="242"/>
      <c r="F1" s="242"/>
    </row>
    <row r="2" spans="1:7" s="2" customFormat="1" ht="20.25" customHeight="1">
      <c r="A2" s="371" t="s">
        <v>623</v>
      </c>
      <c r="B2" s="371"/>
      <c r="C2" s="242"/>
      <c r="D2" s="242"/>
      <c r="E2" s="242"/>
      <c r="F2" s="307">
        <v>2010</v>
      </c>
      <c r="G2" s="307"/>
    </row>
    <row r="3" spans="1:7" s="2" customFormat="1" ht="10.5" customHeight="1">
      <c r="A3" s="372"/>
      <c r="B3" s="372"/>
      <c r="C3" s="373"/>
      <c r="D3" s="373"/>
      <c r="E3" s="373"/>
      <c r="F3" s="373"/>
      <c r="G3" s="246"/>
    </row>
    <row r="4" spans="1:7" s="2" customFormat="1" ht="81.75" customHeight="1">
      <c r="A4" s="374" t="s">
        <v>593</v>
      </c>
      <c r="B4" s="375"/>
      <c r="C4" s="376" t="s">
        <v>594</v>
      </c>
      <c r="D4" s="377" t="s">
        <v>595</v>
      </c>
      <c r="E4" s="376" t="s">
        <v>596</v>
      </c>
      <c r="F4" s="378" t="s">
        <v>644</v>
      </c>
    </row>
    <row r="5" spans="1:7" ht="8.25" customHeight="1">
      <c r="A5" s="379"/>
      <c r="B5" s="380"/>
      <c r="C5" s="360"/>
      <c r="D5" s="359"/>
      <c r="E5" s="360"/>
      <c r="F5" s="359"/>
    </row>
    <row r="6" spans="1:7" ht="47.25" customHeight="1" thickBot="1">
      <c r="A6" s="381" t="s">
        <v>597</v>
      </c>
      <c r="B6" s="382" t="s">
        <v>598</v>
      </c>
      <c r="C6" s="291">
        <v>1095.4831935600487</v>
      </c>
      <c r="D6" s="290">
        <v>2181.6043115194502</v>
      </c>
      <c r="E6" s="291">
        <v>6737.6514213997361</v>
      </c>
      <c r="F6" s="290">
        <v>4791.6454856573782</v>
      </c>
    </row>
    <row r="7" spans="1:7" ht="19.5" customHeight="1" thickBot="1">
      <c r="A7" s="90"/>
      <c r="B7" s="383"/>
      <c r="C7" s="384"/>
      <c r="D7" s="385"/>
      <c r="E7" s="384"/>
      <c r="F7" s="385"/>
    </row>
    <row r="8" spans="1:7" ht="23.25" customHeight="1" thickBot="1">
      <c r="A8" s="386" t="s">
        <v>599</v>
      </c>
      <c r="B8" s="387" t="s">
        <v>600</v>
      </c>
      <c r="C8" s="384">
        <v>1216.7506866177582</v>
      </c>
      <c r="D8" s="385">
        <v>1695.4875542246243</v>
      </c>
      <c r="E8" s="384">
        <v>5246.2068155420766</v>
      </c>
      <c r="F8" s="385">
        <v>5107.5213687942487</v>
      </c>
    </row>
    <row r="9" spans="1:7" ht="20" customHeight="1" thickBot="1">
      <c r="A9" s="388" t="s">
        <v>601</v>
      </c>
      <c r="B9" s="387" t="s">
        <v>602</v>
      </c>
      <c r="C9" s="384">
        <v>1014.8463149600989</v>
      </c>
      <c r="D9" s="385">
        <v>961.46612046522034</v>
      </c>
      <c r="E9" s="384">
        <v>2606.6830933792708</v>
      </c>
      <c r="F9" s="385">
        <v>2197.377409054624</v>
      </c>
    </row>
    <row r="10" spans="1:7" ht="20" customHeight="1" thickBot="1">
      <c r="A10" s="388" t="s">
        <v>603</v>
      </c>
      <c r="B10" s="387" t="s">
        <v>604</v>
      </c>
      <c r="C10" s="384">
        <v>905.61359833144763</v>
      </c>
      <c r="D10" s="385">
        <v>727.01620155635828</v>
      </c>
      <c r="E10" s="384">
        <v>1732.1604029400712</v>
      </c>
      <c r="F10" s="385">
        <v>1632.6588521519129</v>
      </c>
    </row>
    <row r="11" spans="1:7" ht="20" customHeight="1" thickBot="1">
      <c r="A11" s="388"/>
      <c r="B11" s="387" t="s">
        <v>605</v>
      </c>
      <c r="C11" s="384">
        <v>789.38784546322256</v>
      </c>
      <c r="D11" s="385">
        <v>606.48497605612658</v>
      </c>
      <c r="E11" s="384">
        <v>1205.4732343241601</v>
      </c>
      <c r="F11" s="385">
        <v>1051.5594766783208</v>
      </c>
    </row>
    <row r="12" spans="1:7" ht="20" customHeight="1" thickBot="1">
      <c r="A12" s="388"/>
      <c r="B12" s="387" t="s">
        <v>606</v>
      </c>
      <c r="C12" s="384">
        <v>647.55308082015665</v>
      </c>
      <c r="D12" s="385">
        <v>655.8173574495155</v>
      </c>
      <c r="E12" s="384">
        <v>1074.410913023745</v>
      </c>
      <c r="F12" s="385">
        <v>1021.3157342132382</v>
      </c>
    </row>
    <row r="13" spans="1:7" ht="20" customHeight="1" thickBot="1">
      <c r="A13" s="388"/>
      <c r="B13" s="387" t="s">
        <v>607</v>
      </c>
      <c r="C13" s="384">
        <v>574.29604521752412</v>
      </c>
      <c r="D13" s="268" t="s">
        <v>35</v>
      </c>
      <c r="E13" s="269" t="s">
        <v>35</v>
      </c>
      <c r="F13" s="385">
        <v>574.29604521752412</v>
      </c>
    </row>
    <row r="14" spans="1:7" ht="20" customHeight="1" thickBot="1">
      <c r="A14" s="389"/>
      <c r="B14" s="387" t="s">
        <v>190</v>
      </c>
      <c r="C14" s="384">
        <v>830.46287933149597</v>
      </c>
      <c r="D14" s="385">
        <v>931.44789763235883</v>
      </c>
      <c r="E14" s="384">
        <v>3190.9603511651403</v>
      </c>
      <c r="F14" s="385">
        <v>2938.3754716485723</v>
      </c>
    </row>
    <row r="15" spans="1:7" ht="18.75" customHeight="1" thickBot="1">
      <c r="A15" s="390"/>
      <c r="B15" s="391"/>
      <c r="C15" s="384"/>
      <c r="D15" s="385"/>
      <c r="E15" s="384"/>
      <c r="F15" s="385"/>
    </row>
    <row r="16" spans="1:7" ht="20" customHeight="1" thickBot="1">
      <c r="A16" s="390" t="s">
        <v>589</v>
      </c>
      <c r="B16" s="391"/>
      <c r="C16" s="384">
        <v>594.989544235925</v>
      </c>
      <c r="D16" s="385">
        <v>529.47755434782607</v>
      </c>
      <c r="E16" s="384">
        <v>1558.9380028655441</v>
      </c>
      <c r="F16" s="385">
        <v>1519.3026047134924</v>
      </c>
    </row>
    <row r="17" spans="1:6" ht="20.25" customHeight="1" thickBot="1">
      <c r="A17" s="390"/>
      <c r="B17" s="391"/>
      <c r="C17" s="384"/>
      <c r="D17" s="385"/>
      <c r="E17" s="384"/>
      <c r="F17" s="385"/>
    </row>
    <row r="18" spans="1:6" ht="58.5" customHeight="1" thickBot="1">
      <c r="A18" s="386" t="s">
        <v>608</v>
      </c>
      <c r="B18" s="387" t="s">
        <v>598</v>
      </c>
      <c r="C18" s="384">
        <v>861.65178793234202</v>
      </c>
      <c r="D18" s="385">
        <v>1601.0160356527717</v>
      </c>
      <c r="E18" s="384">
        <v>4494.6418860915119</v>
      </c>
      <c r="F18" s="385">
        <v>2841.9085417289662</v>
      </c>
    </row>
    <row r="19" spans="1:6" ht="20" customHeight="1" thickBot="1">
      <c r="A19" s="91"/>
      <c r="B19" s="387" t="s">
        <v>600</v>
      </c>
      <c r="C19" s="384">
        <v>5573.8318158192233</v>
      </c>
      <c r="D19" s="385">
        <v>1342.277470555659</v>
      </c>
      <c r="E19" s="384">
        <v>3098.3166969090548</v>
      </c>
      <c r="F19" s="385">
        <v>2958.1210613734229</v>
      </c>
    </row>
    <row r="20" spans="1:6" ht="20" customHeight="1" thickBot="1">
      <c r="A20" s="91"/>
      <c r="B20" s="387" t="s">
        <v>602</v>
      </c>
      <c r="C20" s="384">
        <v>768.92251145027228</v>
      </c>
      <c r="D20" s="385">
        <v>717.72361544708349</v>
      </c>
      <c r="E20" s="384">
        <v>1504.7611595873923</v>
      </c>
      <c r="F20" s="385">
        <v>1326.1710659704352</v>
      </c>
    </row>
    <row r="21" spans="1:6" ht="20" customHeight="1" thickBot="1">
      <c r="A21" s="91"/>
      <c r="B21" s="387" t="s">
        <v>604</v>
      </c>
      <c r="C21" s="384">
        <v>565.62666563237303</v>
      </c>
      <c r="D21" s="385">
        <v>569.25004598487544</v>
      </c>
      <c r="E21" s="384">
        <v>1108.2818538823353</v>
      </c>
      <c r="F21" s="385">
        <v>1021.1603891633623</v>
      </c>
    </row>
    <row r="22" spans="1:6" ht="20" customHeight="1" thickBot="1">
      <c r="A22" s="91"/>
      <c r="B22" s="387" t="s">
        <v>605</v>
      </c>
      <c r="C22" s="384">
        <v>534.5587804783645</v>
      </c>
      <c r="D22" s="385">
        <v>431.98240567380611</v>
      </c>
      <c r="E22" s="384">
        <v>737.68649858219646</v>
      </c>
      <c r="F22" s="385">
        <v>685.9129807375233</v>
      </c>
    </row>
    <row r="23" spans="1:6" ht="20" customHeight="1" thickBot="1">
      <c r="A23" s="91"/>
      <c r="B23" s="387" t="s">
        <v>606</v>
      </c>
      <c r="C23" s="384">
        <v>512.04911246519112</v>
      </c>
      <c r="D23" s="385">
        <v>446.06504556773933</v>
      </c>
      <c r="E23" s="384">
        <v>754.87013028190017</v>
      </c>
      <c r="F23" s="385">
        <v>718.57574291688672</v>
      </c>
    </row>
    <row r="24" spans="1:6" ht="20" customHeight="1" thickBot="1">
      <c r="A24" s="91"/>
      <c r="B24" s="387" t="s">
        <v>607</v>
      </c>
      <c r="C24" s="384">
        <v>478.97020431608115</v>
      </c>
      <c r="D24" s="268" t="s">
        <v>35</v>
      </c>
      <c r="E24" s="269" t="s">
        <v>35</v>
      </c>
      <c r="F24" s="385">
        <v>478.97020431608115</v>
      </c>
    </row>
    <row r="25" spans="1:6" ht="20" customHeight="1" thickBot="1">
      <c r="A25" s="91"/>
      <c r="B25" s="387" t="s">
        <v>609</v>
      </c>
      <c r="C25" s="384">
        <v>851.8280747836219</v>
      </c>
      <c r="D25" s="385">
        <v>1056.8609650766562</v>
      </c>
      <c r="E25" s="384">
        <v>2613.9688019996879</v>
      </c>
      <c r="F25" s="385">
        <v>2095.2492620205348</v>
      </c>
    </row>
    <row r="26" spans="1:6" ht="39.75" customHeight="1" thickBot="1">
      <c r="A26" s="392"/>
      <c r="B26" s="393" t="s">
        <v>610</v>
      </c>
      <c r="C26" s="394">
        <v>914.71037890758339</v>
      </c>
      <c r="D26" s="395">
        <v>1068.5267393254674</v>
      </c>
      <c r="E26" s="394">
        <v>2340.7616605760018</v>
      </c>
      <c r="F26" s="395">
        <v>1939.9778627342644</v>
      </c>
    </row>
    <row r="27" spans="1:6" ht="45" customHeight="1" thickBot="1">
      <c r="A27" s="392"/>
      <c r="B27" s="396" t="s">
        <v>611</v>
      </c>
      <c r="C27" s="394">
        <v>769.87087242930681</v>
      </c>
      <c r="D27" s="395">
        <v>974.80371620244102</v>
      </c>
      <c r="E27" s="394">
        <v>2700.5410683557338</v>
      </c>
      <c r="F27" s="395">
        <v>2137.6431647377362</v>
      </c>
    </row>
    <row r="28" spans="1:6" ht="45" customHeight="1" thickBot="1">
      <c r="A28" s="397"/>
      <c r="B28" s="396" t="s">
        <v>612</v>
      </c>
      <c r="C28" s="394">
        <v>762.27438656047889</v>
      </c>
      <c r="D28" s="395">
        <v>699.99033454038909</v>
      </c>
      <c r="E28" s="394">
        <v>1546.1768427019567</v>
      </c>
      <c r="F28" s="395">
        <v>1417.0446303089288</v>
      </c>
    </row>
    <row r="29" spans="1:6" ht="15.75" customHeight="1" thickBot="1">
      <c r="A29" s="398"/>
      <c r="B29" s="399"/>
      <c r="C29" s="384"/>
      <c r="D29" s="385"/>
      <c r="E29" s="384"/>
      <c r="F29" s="385"/>
    </row>
    <row r="30" spans="1:6" ht="27.75" customHeight="1" thickBot="1">
      <c r="A30" s="400" t="s">
        <v>613</v>
      </c>
      <c r="B30" s="401"/>
      <c r="C30" s="402">
        <v>962.23064360565922</v>
      </c>
      <c r="D30" s="403">
        <v>1339.1513837235304</v>
      </c>
      <c r="E30" s="402">
        <v>3909.4173595323878</v>
      </c>
      <c r="F30" s="403">
        <v>3122.5601379207528</v>
      </c>
    </row>
    <row r="31" spans="1:6" ht="15.75" customHeight="1">
      <c r="A31" s="352" t="s">
        <v>678</v>
      </c>
      <c r="B31" s="352"/>
      <c r="C31" s="352"/>
      <c r="D31" s="352"/>
      <c r="E31" s="352"/>
      <c r="F31" s="352"/>
    </row>
    <row r="32" spans="1:6" ht="13.5" customHeight="1">
      <c r="A32" s="324"/>
      <c r="B32" s="324"/>
      <c r="C32" s="352"/>
      <c r="D32" s="352"/>
      <c r="E32" s="352"/>
      <c r="F32" s="352"/>
    </row>
    <row r="33" spans="1:6" ht="13.5" customHeight="1">
      <c r="A33" s="352" t="s">
        <v>624</v>
      </c>
      <c r="B33" s="352"/>
      <c r="C33" s="352"/>
      <c r="D33" s="352"/>
      <c r="E33" s="352"/>
      <c r="F33" s="352"/>
    </row>
    <row r="34" spans="1:6" ht="16.5" customHeight="1">
      <c r="A34" s="352"/>
      <c r="B34" s="352"/>
      <c r="C34" s="352"/>
      <c r="D34" s="352"/>
      <c r="E34" s="352"/>
      <c r="F34" s="352"/>
    </row>
    <row r="35" spans="1:6" ht="12" customHeight="1">
      <c r="A35" s="352" t="s">
        <v>615</v>
      </c>
      <c r="B35" s="352"/>
      <c r="C35" s="138"/>
      <c r="D35" s="138"/>
      <c r="E35" s="138"/>
      <c r="F35" s="138"/>
    </row>
    <row r="36" spans="1:6" ht="12" customHeight="1">
      <c r="A36" s="96" t="s">
        <v>616</v>
      </c>
      <c r="B36" s="96"/>
    </row>
    <row r="37" spans="1:6" ht="12" customHeight="1">
      <c r="A37" s="96" t="s">
        <v>617</v>
      </c>
      <c r="B37" s="96"/>
    </row>
    <row r="38" spans="1:6" ht="12" customHeight="1">
      <c r="A38" s="96" t="s">
        <v>618</v>
      </c>
      <c r="B38" s="96"/>
    </row>
    <row r="39" spans="1:6" ht="12" customHeight="1">
      <c r="A39" s="96" t="s">
        <v>619</v>
      </c>
      <c r="B39" s="96"/>
    </row>
    <row r="40" spans="1:6" ht="12" customHeight="1">
      <c r="A40" s="96" t="s">
        <v>620</v>
      </c>
      <c r="B40" s="96"/>
    </row>
    <row r="41" spans="1:6" ht="12" customHeight="1">
      <c r="A41" s="3" t="s">
        <v>621</v>
      </c>
    </row>
    <row r="42" spans="1:6" ht="12" customHeight="1">
      <c r="A42" s="96" t="s">
        <v>625</v>
      </c>
    </row>
    <row r="43" spans="1:6" ht="12" customHeight="1"/>
    <row r="44" spans="1:6" ht="12" customHeight="1"/>
    <row r="45" spans="1:6" ht="12" customHeight="1">
      <c r="A45" s="352" t="s">
        <v>677</v>
      </c>
      <c r="B45" s="352"/>
      <c r="C45" s="96"/>
      <c r="D45" s="96"/>
      <c r="E45" s="96"/>
      <c r="F45" s="96"/>
    </row>
    <row r="50" spans="1:7">
      <c r="A50" s="57"/>
      <c r="B50" s="57"/>
      <c r="C50" s="404"/>
      <c r="D50" s="405"/>
      <c r="E50" s="404"/>
      <c r="F50" s="405"/>
      <c r="G50" s="405"/>
    </row>
    <row r="51" spans="1:7">
      <c r="A51" s="406"/>
      <c r="B51" s="406"/>
      <c r="C51" s="406"/>
      <c r="D51" s="407"/>
      <c r="E51" s="406"/>
      <c r="F51" s="48"/>
      <c r="G51" s="4"/>
    </row>
    <row r="52" spans="1:7">
      <c r="A52" s="4"/>
      <c r="B52" s="4"/>
      <c r="C52" s="4"/>
      <c r="D52" s="4"/>
      <c r="E52" s="4"/>
      <c r="F52" s="4"/>
      <c r="G52" s="4"/>
    </row>
  </sheetData>
  <pageMargins left="0.55118110236220474" right="0.45" top="0.59055118110236227" bottom="0.47244094488188981" header="0.43307086614173229" footer="0.31496062992125984"/>
  <pageSetup paperSize="9" scale="67" orientation="portrait"/>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5E17B-8F6B-E947-8AC4-BF4075DB337D}">
  <sheetPr>
    <pageSetUpPr fitToPage="1"/>
  </sheetPr>
  <dimension ref="A1:P42"/>
  <sheetViews>
    <sheetView zoomScaleNormal="100" workbookViewId="0">
      <selection activeCell="A3" sqref="A3"/>
    </sheetView>
  </sheetViews>
  <sheetFormatPr baseColWidth="10" defaultColWidth="11.3984375" defaultRowHeight="13"/>
  <cols>
    <col min="1" max="1" width="15.796875" style="3" customWidth="1"/>
    <col min="2" max="2" width="10.3984375" style="3" customWidth="1"/>
    <col min="3" max="3" width="10.19921875" style="3" customWidth="1"/>
    <col min="4" max="4" width="10.59765625" style="3" customWidth="1"/>
    <col min="5" max="11" width="10.3984375" style="3" customWidth="1"/>
    <col min="12" max="13" width="11.3984375" style="3"/>
    <col min="14" max="14" width="11.59765625" style="3" customWidth="1"/>
    <col min="15" max="16384" width="11.3984375" style="3"/>
  </cols>
  <sheetData>
    <row r="1" spans="1:16" s="2" customFormat="1" ht="14" customHeight="1"/>
    <row r="2" spans="1:16" s="2" customFormat="1" ht="33" customHeight="1">
      <c r="A2" s="129" t="s">
        <v>2466</v>
      </c>
      <c r="B2" s="306"/>
      <c r="C2" s="306"/>
      <c r="D2" s="306"/>
      <c r="E2" s="306"/>
      <c r="F2" s="306"/>
      <c r="G2" s="306"/>
      <c r="H2" s="306"/>
      <c r="I2" s="129"/>
      <c r="J2" s="129"/>
      <c r="K2" s="129"/>
      <c r="L2" s="129"/>
      <c r="M2" s="129"/>
      <c r="N2" s="129"/>
      <c r="O2" s="129"/>
      <c r="P2" s="129"/>
    </row>
    <row r="3" spans="1:16" ht="24" customHeight="1">
      <c r="A3" s="692" t="s">
        <v>203</v>
      </c>
      <c r="B3" s="77">
        <v>1996</v>
      </c>
      <c r="C3" s="76">
        <v>1997</v>
      </c>
      <c r="D3" s="77">
        <v>1998</v>
      </c>
      <c r="E3" s="1643">
        <v>1999</v>
      </c>
      <c r="F3" s="1644">
        <v>2000</v>
      </c>
      <c r="G3" s="76">
        <v>2001</v>
      </c>
      <c r="H3" s="77">
        <v>2002</v>
      </c>
      <c r="I3" s="76">
        <v>2003</v>
      </c>
      <c r="J3" s="77">
        <v>2004</v>
      </c>
      <c r="K3" s="76">
        <v>2005</v>
      </c>
      <c r="L3" s="77">
        <v>2006</v>
      </c>
      <c r="M3" s="76">
        <v>2007</v>
      </c>
      <c r="N3" s="77">
        <v>2008</v>
      </c>
      <c r="O3" s="76">
        <v>2009</v>
      </c>
      <c r="P3" s="77">
        <v>2010</v>
      </c>
    </row>
    <row r="4" spans="1:16" ht="15" customHeight="1">
      <c r="A4" s="693"/>
      <c r="B4" s="77"/>
      <c r="C4" s="76"/>
      <c r="D4" s="77"/>
      <c r="E4" s="105"/>
      <c r="F4" s="106"/>
      <c r="G4" s="76"/>
      <c r="H4" s="77"/>
      <c r="I4" s="76"/>
      <c r="J4" s="77"/>
      <c r="K4" s="76"/>
      <c r="L4" s="77"/>
      <c r="M4" s="76"/>
      <c r="N4" s="77"/>
      <c r="O4" s="76"/>
      <c r="P4" s="77"/>
    </row>
    <row r="5" spans="1:16" ht="16" customHeight="1">
      <c r="A5" s="694"/>
      <c r="B5" s="81"/>
      <c r="C5" s="82"/>
      <c r="D5" s="81"/>
      <c r="E5" s="110"/>
      <c r="F5" s="109"/>
      <c r="G5" s="82"/>
      <c r="H5" s="81"/>
      <c r="I5" s="82"/>
      <c r="J5" s="81"/>
      <c r="K5" s="82"/>
      <c r="L5" s="81"/>
      <c r="M5" s="82"/>
      <c r="N5" s="81"/>
      <c r="O5" s="82"/>
      <c r="P5" s="81"/>
    </row>
    <row r="6" spans="1:16" ht="30" customHeight="1" thickBot="1">
      <c r="A6" s="1645" t="s">
        <v>211</v>
      </c>
      <c r="B6" s="130">
        <v>1764.7891593009206</v>
      </c>
      <c r="C6" s="131">
        <v>1833.2666140835515</v>
      </c>
      <c r="D6" s="130">
        <v>2004.0536087867604</v>
      </c>
      <c r="E6" s="131">
        <v>2071.8255537815062</v>
      </c>
      <c r="F6" s="130">
        <v>2147.6958422845059</v>
      </c>
      <c r="G6" s="131">
        <v>2257.0911041054319</v>
      </c>
      <c r="H6" s="124">
        <v>2336.8675136098163</v>
      </c>
      <c r="I6" s="123">
        <v>2384.1286100622524</v>
      </c>
      <c r="J6" s="124">
        <v>2585.8685115983717</v>
      </c>
      <c r="K6" s="123">
        <v>2682.8669516214177</v>
      </c>
      <c r="L6" s="124">
        <v>2685.9971326628015</v>
      </c>
      <c r="M6" s="123">
        <v>2804.6840157324332</v>
      </c>
      <c r="N6" s="124">
        <v>2933.3671790687717</v>
      </c>
      <c r="O6" s="123">
        <v>3046.8018739153263</v>
      </c>
      <c r="P6" s="124">
        <v>3105.1162817873551</v>
      </c>
    </row>
    <row r="7" spans="1:16" ht="20" customHeight="1" thickBot="1">
      <c r="A7" s="1646" t="s">
        <v>212</v>
      </c>
      <c r="B7" s="132">
        <v>1667.1256409042089</v>
      </c>
      <c r="C7" s="133">
        <v>1815.2747869586308</v>
      </c>
      <c r="D7" s="132">
        <v>1839.7260174575008</v>
      </c>
      <c r="E7" s="133">
        <v>1935.3573535232781</v>
      </c>
      <c r="F7" s="132">
        <v>2103.3250055370208</v>
      </c>
      <c r="G7" s="133">
        <v>2175.5125309022833</v>
      </c>
      <c r="H7" s="124">
        <v>2260.0641819083248</v>
      </c>
      <c r="I7" s="123">
        <v>2409.9035236479958</v>
      </c>
      <c r="J7" s="124">
        <v>2729.9312091019838</v>
      </c>
      <c r="K7" s="123">
        <v>2891.5575879145185</v>
      </c>
      <c r="L7" s="124">
        <v>2959.0491349857143</v>
      </c>
      <c r="M7" s="123">
        <v>3106.5378674967187</v>
      </c>
      <c r="N7" s="124">
        <v>3241.0945015719262</v>
      </c>
      <c r="O7" s="123">
        <v>3300.4971014282719</v>
      </c>
      <c r="P7" s="124">
        <v>3341.560866737178</v>
      </c>
    </row>
    <row r="8" spans="1:16" ht="20" customHeight="1" thickBot="1">
      <c r="A8" s="1646" t="s">
        <v>213</v>
      </c>
      <c r="B8" s="132">
        <v>1313.0777938742947</v>
      </c>
      <c r="C8" s="133">
        <v>1349.6077744679262</v>
      </c>
      <c r="D8" s="132">
        <v>1478.8539933073373</v>
      </c>
      <c r="E8" s="133">
        <v>1550.0308937947714</v>
      </c>
      <c r="F8" s="132">
        <v>1662.1694480450008</v>
      </c>
      <c r="G8" s="133">
        <v>1783.2815978377855</v>
      </c>
      <c r="H8" s="124">
        <v>1837.2939614239938</v>
      </c>
      <c r="I8" s="123">
        <v>1946.4094699967836</v>
      </c>
      <c r="J8" s="124">
        <v>2120.2163432752677</v>
      </c>
      <c r="K8" s="123">
        <v>2280.5558878801321</v>
      </c>
      <c r="L8" s="124">
        <v>2267.5402295653716</v>
      </c>
      <c r="M8" s="123">
        <v>2373.7104855953066</v>
      </c>
      <c r="N8" s="124">
        <v>2479.7994255544868</v>
      </c>
      <c r="O8" s="123">
        <v>2612.4136778482543</v>
      </c>
      <c r="P8" s="124">
        <v>2672.2238768692082</v>
      </c>
    </row>
    <row r="9" spans="1:16" ht="20" customHeight="1" thickBot="1">
      <c r="A9" s="1646" t="s">
        <v>214</v>
      </c>
      <c r="B9" s="132">
        <v>1360.164764767984</v>
      </c>
      <c r="C9" s="133">
        <v>1388.4535112380079</v>
      </c>
      <c r="D9" s="132">
        <v>1415.8049440959276</v>
      </c>
      <c r="E9" s="133">
        <v>1523.7132765014937</v>
      </c>
      <c r="F9" s="132">
        <v>1629.5395510727981</v>
      </c>
      <c r="G9" s="133">
        <v>1797.5126486685865</v>
      </c>
      <c r="H9" s="124">
        <v>1720.5769299215417</v>
      </c>
      <c r="I9" s="123">
        <v>1856.3827644953262</v>
      </c>
      <c r="J9" s="124">
        <v>1985.8355082717899</v>
      </c>
      <c r="K9" s="123">
        <v>2200.9559775431248</v>
      </c>
      <c r="L9" s="124">
        <v>2215.1758351301783</v>
      </c>
      <c r="M9" s="123">
        <v>2384.9353436420333</v>
      </c>
      <c r="N9" s="124">
        <v>2446.5913350274182</v>
      </c>
      <c r="O9" s="123">
        <v>2553.06042756323</v>
      </c>
      <c r="P9" s="124">
        <v>2582.5624653117247</v>
      </c>
    </row>
    <row r="10" spans="1:16" ht="20" customHeight="1" thickBot="1">
      <c r="A10" s="1646" t="s">
        <v>215</v>
      </c>
      <c r="B10" s="132">
        <v>1371.9253611913928</v>
      </c>
      <c r="C10" s="133">
        <v>1372.5298987047629</v>
      </c>
      <c r="D10" s="132">
        <v>1441.35635512423</v>
      </c>
      <c r="E10" s="133">
        <v>1578.1459662769164</v>
      </c>
      <c r="F10" s="132">
        <v>1658.2974792333002</v>
      </c>
      <c r="G10" s="133">
        <v>1842.9405140981062</v>
      </c>
      <c r="H10" s="124">
        <v>1833.0429076328351</v>
      </c>
      <c r="I10" s="123">
        <v>1968.0201058778482</v>
      </c>
      <c r="J10" s="124">
        <v>2116.3513353801436</v>
      </c>
      <c r="K10" s="123">
        <v>2245.1730891404022</v>
      </c>
      <c r="L10" s="124">
        <v>2294.7011656127092</v>
      </c>
      <c r="M10" s="123">
        <v>2397.6143591771793</v>
      </c>
      <c r="N10" s="124">
        <v>2482.2071821133236</v>
      </c>
      <c r="O10" s="123">
        <v>2643.0734277269235</v>
      </c>
      <c r="P10" s="124">
        <v>2637.4815442137851</v>
      </c>
    </row>
    <row r="11" spans="1:16" ht="20" customHeight="1" thickBot="1">
      <c r="A11" s="1646" t="s">
        <v>216</v>
      </c>
      <c r="B11" s="132">
        <v>1312.3038680409452</v>
      </c>
      <c r="C11" s="133">
        <v>1326.6794346179558</v>
      </c>
      <c r="D11" s="132">
        <v>1433.0014611234565</v>
      </c>
      <c r="E11" s="133">
        <v>1521.8418623800551</v>
      </c>
      <c r="F11" s="132">
        <v>1622.8558718243928</v>
      </c>
      <c r="G11" s="133">
        <v>1669.4763841666706</v>
      </c>
      <c r="H11" s="124">
        <v>1688.9872385529304</v>
      </c>
      <c r="I11" s="123">
        <v>1806.181925764178</v>
      </c>
      <c r="J11" s="124">
        <v>1928.9374265271724</v>
      </c>
      <c r="K11" s="123">
        <v>2103.2486917912147</v>
      </c>
      <c r="L11" s="124">
        <v>2160.6136255664719</v>
      </c>
      <c r="M11" s="123">
        <v>2331.9220258634741</v>
      </c>
      <c r="N11" s="124">
        <v>2399.6177246476059</v>
      </c>
      <c r="O11" s="123">
        <v>2462.4760602617575</v>
      </c>
      <c r="P11" s="124">
        <v>2426.232797147286</v>
      </c>
    </row>
    <row r="12" spans="1:16" ht="20" customHeight="1" thickBot="1">
      <c r="A12" s="1646" t="s">
        <v>217</v>
      </c>
      <c r="B12" s="132">
        <v>1261.9811209846498</v>
      </c>
      <c r="C12" s="133">
        <v>1231.4186602765733</v>
      </c>
      <c r="D12" s="132">
        <v>1303.547456755462</v>
      </c>
      <c r="E12" s="133">
        <v>1389.5288833492557</v>
      </c>
      <c r="F12" s="132">
        <v>1528.9877266481972</v>
      </c>
      <c r="G12" s="133">
        <v>1583.7096707217024</v>
      </c>
      <c r="H12" s="124">
        <v>1652.9221015298683</v>
      </c>
      <c r="I12" s="123">
        <v>1743.8144735938365</v>
      </c>
      <c r="J12" s="124">
        <v>1790.6657322854433</v>
      </c>
      <c r="K12" s="123">
        <v>1904.4938524951672</v>
      </c>
      <c r="L12" s="124">
        <v>2030.8040560395414</v>
      </c>
      <c r="M12" s="123">
        <v>2197.0468754026911</v>
      </c>
      <c r="N12" s="124">
        <v>2280.5079428344202</v>
      </c>
      <c r="O12" s="123">
        <v>2360.9095334465687</v>
      </c>
      <c r="P12" s="124">
        <v>2404.2257322113096</v>
      </c>
    </row>
    <row r="13" spans="1:16" ht="20" customHeight="1" thickBot="1">
      <c r="A13" s="1646" t="s">
        <v>218</v>
      </c>
      <c r="B13" s="132">
        <v>1405.9161429425933</v>
      </c>
      <c r="C13" s="133">
        <v>1469.7801018893024</v>
      </c>
      <c r="D13" s="132">
        <v>1539.5855804433099</v>
      </c>
      <c r="E13" s="133">
        <v>1681.6095306418788</v>
      </c>
      <c r="F13" s="132">
        <v>1791.2462754467747</v>
      </c>
      <c r="G13" s="133">
        <v>1935.0699658593126</v>
      </c>
      <c r="H13" s="124">
        <v>1978.5395888807245</v>
      </c>
      <c r="I13" s="123">
        <v>2028.2984890121379</v>
      </c>
      <c r="J13" s="124">
        <v>2196.5620293145362</v>
      </c>
      <c r="K13" s="123">
        <v>2352.9092514919353</v>
      </c>
      <c r="L13" s="124">
        <v>2347.3104587598168</v>
      </c>
      <c r="M13" s="123">
        <v>2411.1177277226166</v>
      </c>
      <c r="N13" s="124">
        <v>2580.595347071333</v>
      </c>
      <c r="O13" s="123">
        <v>2673.5548664214757</v>
      </c>
      <c r="P13" s="124">
        <v>2752.5398481168463</v>
      </c>
    </row>
    <row r="14" spans="1:16" ht="20" customHeight="1" thickBot="1">
      <c r="A14" s="1646" t="s">
        <v>219</v>
      </c>
      <c r="B14" s="132">
        <v>1280.8423321391788</v>
      </c>
      <c r="C14" s="133">
        <v>1369.8501053345833</v>
      </c>
      <c r="D14" s="132">
        <v>1488.9130137116751</v>
      </c>
      <c r="E14" s="133">
        <v>1580.5480949563857</v>
      </c>
      <c r="F14" s="132">
        <v>1681.441178411276</v>
      </c>
      <c r="G14" s="133">
        <v>1847.2978584832631</v>
      </c>
      <c r="H14" s="124">
        <v>1949.4358904576882</v>
      </c>
      <c r="I14" s="123">
        <v>1999.7701238511841</v>
      </c>
      <c r="J14" s="124">
        <v>2102.8485982237198</v>
      </c>
      <c r="K14" s="123">
        <v>2218.4072786491465</v>
      </c>
      <c r="L14" s="124">
        <v>2237.8223918859167</v>
      </c>
      <c r="M14" s="123">
        <v>2359.354258274011</v>
      </c>
      <c r="N14" s="124">
        <v>2451.1938794280691</v>
      </c>
      <c r="O14" s="123">
        <v>2585.4154392154037</v>
      </c>
      <c r="P14" s="124">
        <v>2620.7546302986038</v>
      </c>
    </row>
    <row r="15" spans="1:16" ht="20" customHeight="1" thickBot="1">
      <c r="A15" s="1646" t="s">
        <v>220</v>
      </c>
      <c r="B15" s="132">
        <v>1664.3130318147939</v>
      </c>
      <c r="C15" s="133">
        <v>1693.899908744108</v>
      </c>
      <c r="D15" s="132">
        <v>1877.0189711724497</v>
      </c>
      <c r="E15" s="133">
        <v>1952.8897952725201</v>
      </c>
      <c r="F15" s="132">
        <v>1992.2699090467606</v>
      </c>
      <c r="G15" s="133">
        <v>2131.0799457829739</v>
      </c>
      <c r="H15" s="124">
        <v>2212.4037106510764</v>
      </c>
      <c r="I15" s="123">
        <v>2267.2994025292651</v>
      </c>
      <c r="J15" s="124">
        <v>2374.2489163222604</v>
      </c>
      <c r="K15" s="123">
        <v>2524.8419768627564</v>
      </c>
      <c r="L15" s="124">
        <v>2591.1503244074711</v>
      </c>
      <c r="M15" s="123">
        <v>2693.257124369673</v>
      </c>
      <c r="N15" s="124">
        <v>2774.2239381555355</v>
      </c>
      <c r="O15" s="123">
        <v>2865.1135681024634</v>
      </c>
      <c r="P15" s="124">
        <v>2902.9331697944999</v>
      </c>
    </row>
    <row r="16" spans="1:16" ht="20" customHeight="1" thickBot="1">
      <c r="A16" s="1646" t="s">
        <v>221</v>
      </c>
      <c r="B16" s="132">
        <v>1653.9292986944772</v>
      </c>
      <c r="C16" s="133">
        <v>1692.3675087298018</v>
      </c>
      <c r="D16" s="132">
        <v>1788.5928147900208</v>
      </c>
      <c r="E16" s="133">
        <v>1876.5639473157041</v>
      </c>
      <c r="F16" s="132">
        <v>1979.8511175193896</v>
      </c>
      <c r="G16" s="133">
        <v>2032.3474440058872</v>
      </c>
      <c r="H16" s="124">
        <v>2132.690423641202</v>
      </c>
      <c r="I16" s="123">
        <v>2293.9363324416036</v>
      </c>
      <c r="J16" s="124">
        <v>2430.3377921315732</v>
      </c>
      <c r="K16" s="123">
        <v>2566.5748700876543</v>
      </c>
      <c r="L16" s="124">
        <v>2643.8060660034976</v>
      </c>
      <c r="M16" s="123">
        <v>2774.1482872850943</v>
      </c>
      <c r="N16" s="124">
        <v>2910.9267774027958</v>
      </c>
      <c r="O16" s="123">
        <v>2957.4007826331435</v>
      </c>
      <c r="P16" s="124">
        <v>2966.7614158627234</v>
      </c>
    </row>
    <row r="17" spans="1:16" ht="20" customHeight="1" thickBot="1">
      <c r="A17" s="1646" t="s">
        <v>222</v>
      </c>
      <c r="B17" s="132">
        <v>2453.4506123995247</v>
      </c>
      <c r="C17" s="133">
        <v>2574.7041070457108</v>
      </c>
      <c r="D17" s="132">
        <v>2778.6511176028916</v>
      </c>
      <c r="E17" s="133">
        <v>2900.5480006344451</v>
      </c>
      <c r="F17" s="132">
        <v>3035.7989165036206</v>
      </c>
      <c r="G17" s="133">
        <v>3205.7849330937206</v>
      </c>
      <c r="H17" s="124">
        <v>3293.0214389051375</v>
      </c>
      <c r="I17" s="123">
        <v>3423.1951887932514</v>
      </c>
      <c r="J17" s="124">
        <v>3534.9303970671813</v>
      </c>
      <c r="K17" s="123">
        <v>3836.6418283741455</v>
      </c>
      <c r="L17" s="124">
        <v>3888.2941731247565</v>
      </c>
      <c r="M17" s="123">
        <v>4037.5299003821051</v>
      </c>
      <c r="N17" s="124">
        <v>4224.4735389574053</v>
      </c>
      <c r="O17" s="123">
        <v>4264.2457587352592</v>
      </c>
      <c r="P17" s="124">
        <v>4260.7340994343349</v>
      </c>
    </row>
    <row r="18" spans="1:16" ht="20" customHeight="1" thickBot="1">
      <c r="A18" s="1646" t="s">
        <v>223</v>
      </c>
      <c r="B18" s="132">
        <v>1820.6049206738633</v>
      </c>
      <c r="C18" s="133">
        <v>1894.9830698054327</v>
      </c>
      <c r="D18" s="132">
        <v>1977.9553975094373</v>
      </c>
      <c r="E18" s="133">
        <v>2121.6154554590025</v>
      </c>
      <c r="F18" s="132">
        <v>2251.2901118120703</v>
      </c>
      <c r="G18" s="133">
        <v>2373.2617036964507</v>
      </c>
      <c r="H18" s="124">
        <v>2451.0871621504775</v>
      </c>
      <c r="I18" s="123">
        <v>2536.6270497192859</v>
      </c>
      <c r="J18" s="124">
        <v>2646.6476572497613</v>
      </c>
      <c r="K18" s="123">
        <v>2852.930138987821</v>
      </c>
      <c r="L18" s="124">
        <v>2866.2823454195332</v>
      </c>
      <c r="M18" s="123">
        <v>3026.4431526829344</v>
      </c>
      <c r="N18" s="124">
        <v>3232.6222472961954</v>
      </c>
      <c r="O18" s="123">
        <v>3342.2257627081567</v>
      </c>
      <c r="P18" s="124">
        <v>3394.0744830284352</v>
      </c>
    </row>
    <row r="19" spans="1:16" ht="20" customHeight="1" thickBot="1">
      <c r="A19" s="1646" t="s">
        <v>224</v>
      </c>
      <c r="B19" s="132">
        <v>1603.1985072621362</v>
      </c>
      <c r="C19" s="133">
        <v>1702.6493257056502</v>
      </c>
      <c r="D19" s="132">
        <v>1744.8438983588499</v>
      </c>
      <c r="E19" s="133">
        <v>1985.2077609053488</v>
      </c>
      <c r="F19" s="132">
        <v>2094.5287804389732</v>
      </c>
      <c r="G19" s="133">
        <v>2212.8602151266746</v>
      </c>
      <c r="H19" s="124">
        <v>2225.2582168236499</v>
      </c>
      <c r="I19" s="123">
        <v>2269.723821545294</v>
      </c>
      <c r="J19" s="124">
        <v>2502.998869501324</v>
      </c>
      <c r="K19" s="123">
        <v>2596.3526252028255</v>
      </c>
      <c r="L19" s="124">
        <v>2630.3877064360317</v>
      </c>
      <c r="M19" s="123">
        <v>2739.9827637896874</v>
      </c>
      <c r="N19" s="124">
        <v>2845.0252565039837</v>
      </c>
      <c r="O19" s="123">
        <v>2930.8300135912746</v>
      </c>
      <c r="P19" s="124">
        <v>3038.1625052148493</v>
      </c>
    </row>
    <row r="20" spans="1:16" ht="20" customHeight="1" thickBot="1">
      <c r="A20" s="1646" t="s">
        <v>225</v>
      </c>
      <c r="B20" s="132">
        <v>1266.229321216058</v>
      </c>
      <c r="C20" s="133">
        <v>1369.2490486542663</v>
      </c>
      <c r="D20" s="132">
        <v>1366.920355151437</v>
      </c>
      <c r="E20" s="133">
        <v>1502.9802164667458</v>
      </c>
      <c r="F20" s="132">
        <v>1583.6306546590849</v>
      </c>
      <c r="G20" s="133">
        <v>1647.3283385086513</v>
      </c>
      <c r="H20" s="124">
        <v>1699.3836587528899</v>
      </c>
      <c r="I20" s="123">
        <v>1862.6412259161218</v>
      </c>
      <c r="J20" s="124">
        <v>1990.6417878831089</v>
      </c>
      <c r="K20" s="123">
        <v>2102.1692180072532</v>
      </c>
      <c r="L20" s="124">
        <v>2094.9507881415475</v>
      </c>
      <c r="M20" s="123">
        <v>2204.1055945303278</v>
      </c>
      <c r="N20" s="124">
        <v>2315.161685335368</v>
      </c>
      <c r="O20" s="123">
        <v>2442.4814549790062</v>
      </c>
      <c r="P20" s="124">
        <v>2522.3260390107089</v>
      </c>
    </row>
    <row r="21" spans="1:16" ht="20" customHeight="1" thickBot="1">
      <c r="A21" s="1646" t="s">
        <v>226</v>
      </c>
      <c r="B21" s="132">
        <v>1111.970246486788</v>
      </c>
      <c r="C21" s="133">
        <v>1128.6982842819168</v>
      </c>
      <c r="D21" s="132">
        <v>1162.7389791379435</v>
      </c>
      <c r="E21" s="133">
        <v>1314.686475045437</v>
      </c>
      <c r="F21" s="132">
        <v>1394.0297272461971</v>
      </c>
      <c r="G21" s="133">
        <v>1456.6556209568064</v>
      </c>
      <c r="H21" s="124">
        <v>1595.9069827050362</v>
      </c>
      <c r="I21" s="123">
        <v>1655.1191680478576</v>
      </c>
      <c r="J21" s="124">
        <v>1736.2287203020521</v>
      </c>
      <c r="K21" s="123">
        <v>1857.9295026229306</v>
      </c>
      <c r="L21" s="124">
        <v>1836.737234845046</v>
      </c>
      <c r="M21" s="123">
        <v>1868.7722481712538</v>
      </c>
      <c r="N21" s="124">
        <v>2121.9410134076425</v>
      </c>
      <c r="O21" s="123">
        <v>2098.4610120647276</v>
      </c>
      <c r="P21" s="124">
        <v>2150.3556517168563</v>
      </c>
    </row>
    <row r="22" spans="1:16" ht="20" customHeight="1" thickBot="1">
      <c r="A22" s="1646" t="s">
        <v>227</v>
      </c>
      <c r="B22" s="132">
        <v>1328.3629652911261</v>
      </c>
      <c r="C22" s="133">
        <v>1426.6549273536687</v>
      </c>
      <c r="D22" s="132">
        <v>1491.8733384007237</v>
      </c>
      <c r="E22" s="133">
        <v>1604.5114328167786</v>
      </c>
      <c r="F22" s="132">
        <v>1668.380920804668</v>
      </c>
      <c r="G22" s="133">
        <v>1747.9960351192121</v>
      </c>
      <c r="H22" s="124">
        <v>1852.6583525780329</v>
      </c>
      <c r="I22" s="123">
        <v>2017.040453297921</v>
      </c>
      <c r="J22" s="124">
        <v>2156.34277241769</v>
      </c>
      <c r="K22" s="123">
        <v>2250.3442807519109</v>
      </c>
      <c r="L22" s="124">
        <v>2259.4908722455143</v>
      </c>
      <c r="M22" s="123">
        <v>2347.4638183876004</v>
      </c>
      <c r="N22" s="124">
        <v>2460.9344112946401</v>
      </c>
      <c r="O22" s="123">
        <v>2588.8900456408364</v>
      </c>
      <c r="P22" s="124">
        <v>2648.8100475702108</v>
      </c>
    </row>
    <row r="23" spans="1:16" ht="20" customHeight="1" thickBot="1">
      <c r="A23" s="1646" t="s">
        <v>228</v>
      </c>
      <c r="B23" s="132">
        <v>1287.3048973703474</v>
      </c>
      <c r="C23" s="133">
        <v>1235.1705388748824</v>
      </c>
      <c r="D23" s="132">
        <v>1374.9634451894976</v>
      </c>
      <c r="E23" s="133">
        <v>1592.7811073384662</v>
      </c>
      <c r="F23" s="132">
        <v>1744.802621453694</v>
      </c>
      <c r="G23" s="133">
        <v>1820.1531532136034</v>
      </c>
      <c r="H23" s="124">
        <v>1892.8087524284656</v>
      </c>
      <c r="I23" s="123">
        <v>2012.6622941161957</v>
      </c>
      <c r="J23" s="124">
        <v>2188.6912303034992</v>
      </c>
      <c r="K23" s="123">
        <v>2280.6123080226821</v>
      </c>
      <c r="L23" s="124">
        <v>2322.2671522768032</v>
      </c>
      <c r="M23" s="123">
        <v>2493.7151956347811</v>
      </c>
      <c r="N23" s="124">
        <v>2579.2236164170772</v>
      </c>
      <c r="O23" s="123">
        <v>2687.4299907425798</v>
      </c>
      <c r="P23" s="124">
        <v>2711.8467238692633</v>
      </c>
    </row>
    <row r="24" spans="1:16" ht="20" customHeight="1" thickBot="1">
      <c r="A24" s="1646" t="s">
        <v>229</v>
      </c>
      <c r="B24" s="132">
        <v>1429.4682702806792</v>
      </c>
      <c r="C24" s="133">
        <v>1485.8653554058658</v>
      </c>
      <c r="D24" s="132">
        <v>1639.933354457901</v>
      </c>
      <c r="E24" s="133">
        <v>1738.1777471817395</v>
      </c>
      <c r="F24" s="132">
        <v>1852.0108004551998</v>
      </c>
      <c r="G24" s="133">
        <v>1922.2732444785506</v>
      </c>
      <c r="H24" s="124">
        <v>2012.6510667334403</v>
      </c>
      <c r="I24" s="123">
        <v>2114.4542305938699</v>
      </c>
      <c r="J24" s="124">
        <v>2237.9775523220655</v>
      </c>
      <c r="K24" s="123">
        <v>2393.148719176334</v>
      </c>
      <c r="L24" s="124">
        <v>2460.3605422599139</v>
      </c>
      <c r="M24" s="123">
        <v>2545.4850890291586</v>
      </c>
      <c r="N24" s="124">
        <v>2686.1960767776472</v>
      </c>
      <c r="O24" s="123">
        <v>2770.6436120190019</v>
      </c>
      <c r="P24" s="124">
        <v>2840.7292951121085</v>
      </c>
    </row>
    <row r="25" spans="1:16" ht="20" customHeight="1" thickBot="1">
      <c r="A25" s="1646" t="s">
        <v>230</v>
      </c>
      <c r="B25" s="132">
        <v>1342.7065202674826</v>
      </c>
      <c r="C25" s="133">
        <v>1570.3374919877879</v>
      </c>
      <c r="D25" s="132">
        <v>1652.8766113199713</v>
      </c>
      <c r="E25" s="133">
        <v>1750.8887056472636</v>
      </c>
      <c r="F25" s="132">
        <v>1855.7014022051633</v>
      </c>
      <c r="G25" s="133">
        <v>1940.1143816253782</v>
      </c>
      <c r="H25" s="124">
        <v>2057.2066579469329</v>
      </c>
      <c r="I25" s="123">
        <v>2180.743431865571</v>
      </c>
      <c r="J25" s="124">
        <v>2223.0911545620074</v>
      </c>
      <c r="K25" s="123">
        <v>2312.0825959535628</v>
      </c>
      <c r="L25" s="124">
        <v>2311.7021270214186</v>
      </c>
      <c r="M25" s="123">
        <v>2427.3283603554028</v>
      </c>
      <c r="N25" s="124">
        <v>2562.013551141245</v>
      </c>
      <c r="O25" s="123">
        <v>2632.2536979719862</v>
      </c>
      <c r="P25" s="124">
        <v>2672.8888973418875</v>
      </c>
    </row>
    <row r="26" spans="1:16" ht="20" customHeight="1" thickBot="1">
      <c r="A26" s="1646" t="s">
        <v>231</v>
      </c>
      <c r="B26" s="132">
        <v>2171.4885093364283</v>
      </c>
      <c r="C26" s="133">
        <v>2199.3910586957236</v>
      </c>
      <c r="D26" s="132">
        <v>2327.1740152251377</v>
      </c>
      <c r="E26" s="133">
        <v>2390.0451126756438</v>
      </c>
      <c r="F26" s="132">
        <v>2550.9286155601239</v>
      </c>
      <c r="G26" s="133">
        <v>2710.2819571003133</v>
      </c>
      <c r="H26" s="124">
        <v>2882.1202091901027</v>
      </c>
      <c r="I26" s="123">
        <v>3020.8162217619511</v>
      </c>
      <c r="J26" s="124">
        <v>3050.2880576765479</v>
      </c>
      <c r="K26" s="123">
        <v>3276.4763876393613</v>
      </c>
      <c r="L26" s="124">
        <v>3245.9822850833443</v>
      </c>
      <c r="M26" s="123">
        <v>3336.369455109575</v>
      </c>
      <c r="N26" s="124">
        <v>3340.0329329967103</v>
      </c>
      <c r="O26" s="123">
        <v>3477.2111258161954</v>
      </c>
      <c r="P26" s="124">
        <v>3545.460109774614</v>
      </c>
    </row>
    <row r="27" spans="1:16" ht="20" customHeight="1" thickBot="1">
      <c r="A27" s="1646" t="s">
        <v>232</v>
      </c>
      <c r="B27" s="132">
        <v>2196.0001181427256</v>
      </c>
      <c r="C27" s="133">
        <v>2312.9153985116523</v>
      </c>
      <c r="D27" s="132">
        <v>2379.5547012687334</v>
      </c>
      <c r="E27" s="133">
        <v>2437.7819765844547</v>
      </c>
      <c r="F27" s="132">
        <v>2594.6791528273025</v>
      </c>
      <c r="G27" s="133">
        <v>2747.8435999827625</v>
      </c>
      <c r="H27" s="124">
        <v>2831.9989479288188</v>
      </c>
      <c r="I27" s="123">
        <v>2935.9248909263811</v>
      </c>
      <c r="J27" s="124">
        <v>3069.0220677756661</v>
      </c>
      <c r="K27" s="123">
        <v>3208.854431950394</v>
      </c>
      <c r="L27" s="124">
        <v>3190.9622853292644</v>
      </c>
      <c r="M27" s="123">
        <v>3249.9276698724689</v>
      </c>
      <c r="N27" s="124">
        <v>3349.0148696133601</v>
      </c>
      <c r="O27" s="123">
        <v>3399.4617964424519</v>
      </c>
      <c r="P27" s="124">
        <v>3473.400812699404</v>
      </c>
    </row>
    <row r="28" spans="1:16" ht="20" customHeight="1" thickBot="1">
      <c r="A28" s="1646" t="s">
        <v>233</v>
      </c>
      <c r="B28" s="132">
        <v>1529.2997069405549</v>
      </c>
      <c r="C28" s="133">
        <v>1598.9573470309633</v>
      </c>
      <c r="D28" s="132">
        <v>1649.5762930398494</v>
      </c>
      <c r="E28" s="133">
        <v>1710.1863281875196</v>
      </c>
      <c r="F28" s="132">
        <v>1852.5767623993836</v>
      </c>
      <c r="G28" s="133">
        <v>1962.6067804986258</v>
      </c>
      <c r="H28" s="124">
        <v>2056.3896568427044</v>
      </c>
      <c r="I28" s="123">
        <v>2174.3919070359843</v>
      </c>
      <c r="J28" s="124">
        <v>2221.4019009546096</v>
      </c>
      <c r="K28" s="123">
        <v>2384.5717452383997</v>
      </c>
      <c r="L28" s="124">
        <v>2506.3494831859234</v>
      </c>
      <c r="M28" s="123">
        <v>2601.183630094059</v>
      </c>
      <c r="N28" s="124">
        <v>2685.0130994253459</v>
      </c>
      <c r="O28" s="123">
        <v>2772.6803746341357</v>
      </c>
      <c r="P28" s="124">
        <v>2857.2402468470991</v>
      </c>
    </row>
    <row r="29" spans="1:16" ht="20" customHeight="1" thickBot="1">
      <c r="A29" s="1646" t="s">
        <v>234</v>
      </c>
      <c r="B29" s="132">
        <v>2076.9407549335065</v>
      </c>
      <c r="C29" s="133">
        <v>2239.5702695784876</v>
      </c>
      <c r="D29" s="132">
        <v>2352.8812450395053</v>
      </c>
      <c r="E29" s="133">
        <v>2208.6202351022771</v>
      </c>
      <c r="F29" s="132">
        <v>2582.3656434851941</v>
      </c>
      <c r="G29" s="133">
        <v>2681.6386618188403</v>
      </c>
      <c r="H29" s="124">
        <v>2768.6498386638364</v>
      </c>
      <c r="I29" s="123">
        <v>2947.4871467642047</v>
      </c>
      <c r="J29" s="124">
        <v>3089.0427829699011</v>
      </c>
      <c r="K29" s="123">
        <v>3090.594905291804</v>
      </c>
      <c r="L29" s="124">
        <v>2969.3815428561275</v>
      </c>
      <c r="M29" s="123">
        <v>3005.1200689069051</v>
      </c>
      <c r="N29" s="124">
        <v>3133.1891093413942</v>
      </c>
      <c r="O29" s="123">
        <v>3124.3192345399266</v>
      </c>
      <c r="P29" s="124">
        <v>3183.8834861973864</v>
      </c>
    </row>
    <row r="30" spans="1:16" ht="20" customHeight="1" thickBot="1">
      <c r="A30" s="1646" t="s">
        <v>235</v>
      </c>
      <c r="B30" s="132">
        <v>2367.8867616486314</v>
      </c>
      <c r="C30" s="133">
        <v>2588.4460852643429</v>
      </c>
      <c r="D30" s="132">
        <v>2916.0616485222708</v>
      </c>
      <c r="E30" s="133">
        <v>2922.7889453391044</v>
      </c>
      <c r="F30" s="132">
        <v>3007.6568963366376</v>
      </c>
      <c r="G30" s="133">
        <v>3241.8734679181912</v>
      </c>
      <c r="H30" s="124">
        <v>3312.0719892329316</v>
      </c>
      <c r="I30" s="123">
        <v>3345.0817824763403</v>
      </c>
      <c r="J30" s="124">
        <v>3489.8691106706706</v>
      </c>
      <c r="K30" s="123">
        <v>3736.5440264802141</v>
      </c>
      <c r="L30" s="124">
        <v>3656.1251890050253</v>
      </c>
      <c r="M30" s="123">
        <v>3713.3158063285728</v>
      </c>
      <c r="N30" s="124">
        <v>3908.4760970527641</v>
      </c>
      <c r="O30" s="123">
        <v>3903.8897362927628</v>
      </c>
      <c r="P30" s="124">
        <v>3969.8319747555565</v>
      </c>
    </row>
    <row r="31" spans="1:16" ht="20" customHeight="1" thickBot="1">
      <c r="A31" s="1646" t="s">
        <v>236</v>
      </c>
      <c r="B31" s="132">
        <v>1956.0836898079381</v>
      </c>
      <c r="C31" s="133">
        <v>2103.4193264962059</v>
      </c>
      <c r="D31" s="132">
        <v>2148.2711078745106</v>
      </c>
      <c r="E31" s="133">
        <v>2397.5427637320863</v>
      </c>
      <c r="F31" s="132">
        <v>2415.5255599055658</v>
      </c>
      <c r="G31" s="133">
        <v>2508.1569315714173</v>
      </c>
      <c r="H31" s="124">
        <v>2589.3093434875859</v>
      </c>
      <c r="I31" s="123">
        <v>2494.2878799690366</v>
      </c>
      <c r="J31" s="124">
        <v>2694.2839102553153</v>
      </c>
      <c r="K31" s="123">
        <v>2916.9959025146595</v>
      </c>
      <c r="L31" s="124">
        <v>2819.9830079575136</v>
      </c>
      <c r="M31" s="123">
        <v>2971.4432956011915</v>
      </c>
      <c r="N31" s="124">
        <v>3094.6149252458663</v>
      </c>
      <c r="O31" s="123">
        <v>3159.7885826584602</v>
      </c>
      <c r="P31" s="124">
        <v>3281.9554548860724</v>
      </c>
    </row>
    <row r="32" spans="1:16" ht="30" customHeight="1" thickBot="1">
      <c r="A32" s="701" t="s">
        <v>0</v>
      </c>
      <c r="B32" s="436">
        <v>1722.6034666050571</v>
      </c>
      <c r="C32" s="435">
        <v>1815.591817475673</v>
      </c>
      <c r="D32" s="436">
        <v>1935.2609068839854</v>
      </c>
      <c r="E32" s="435">
        <v>2010.9299604622613</v>
      </c>
      <c r="F32" s="436">
        <v>2130.500577485856</v>
      </c>
      <c r="G32" s="435">
        <v>2244.3977236150963</v>
      </c>
      <c r="H32" s="681">
        <v>2327.6302215005462</v>
      </c>
      <c r="I32" s="843">
        <v>2431.2115563163397</v>
      </c>
      <c r="J32" s="134">
        <v>2592.2163089311493</v>
      </c>
      <c r="K32" s="843">
        <v>2736.4276577385417</v>
      </c>
      <c r="L32" s="134">
        <v>2754.9413018779796</v>
      </c>
      <c r="M32" s="843">
        <v>2862.8111062906178</v>
      </c>
      <c r="N32" s="134">
        <v>2983.6153319253076</v>
      </c>
      <c r="O32" s="843">
        <v>3068.7220287020409</v>
      </c>
      <c r="P32" s="134">
        <v>3122.5601098540819</v>
      </c>
    </row>
    <row r="33" spans="1:8" ht="20" customHeight="1">
      <c r="A33" s="95" t="s">
        <v>678</v>
      </c>
      <c r="B33" s="135"/>
      <c r="C33" s="135"/>
      <c r="D33" s="135"/>
      <c r="E33" s="135"/>
      <c r="F33" s="1647"/>
      <c r="G33" s="135"/>
      <c r="H33" s="731"/>
    </row>
    <row r="34" spans="1:8" ht="15.75" customHeight="1">
      <c r="A34" s="96"/>
      <c r="B34" s="136"/>
      <c r="C34" s="136"/>
      <c r="D34" s="136"/>
      <c r="E34" s="136"/>
      <c r="F34" s="136"/>
      <c r="G34" s="136"/>
      <c r="H34" s="732"/>
    </row>
    <row r="35" spans="1:8" ht="14.25" customHeight="1">
      <c r="A35" s="352" t="s">
        <v>2467</v>
      </c>
      <c r="B35" s="136"/>
      <c r="C35" s="136"/>
      <c r="D35" s="136"/>
      <c r="E35" s="136"/>
      <c r="F35" s="136"/>
      <c r="G35" s="136"/>
      <c r="H35" s="732"/>
    </row>
    <row r="36" spans="1:8" ht="14.25" customHeight="1">
      <c r="A36" s="352" t="s">
        <v>2468</v>
      </c>
      <c r="B36" s="136"/>
      <c r="C36" s="136"/>
      <c r="D36" s="136"/>
      <c r="E36" s="136"/>
      <c r="F36" s="136"/>
      <c r="G36" s="136"/>
      <c r="H36" s="732"/>
    </row>
    <row r="37" spans="1:8" ht="13.5" customHeight="1">
      <c r="A37" s="96"/>
      <c r="B37" s="136"/>
      <c r="C37" s="136"/>
      <c r="D37" s="136"/>
      <c r="E37" s="136"/>
      <c r="F37" s="136"/>
      <c r="G37" s="136"/>
      <c r="H37" s="732"/>
    </row>
    <row r="38" spans="1:8" ht="12.75" customHeight="1">
      <c r="A38" s="96" t="s">
        <v>2462</v>
      </c>
      <c r="B38" s="136"/>
      <c r="C38" s="136"/>
      <c r="D38" s="136"/>
      <c r="E38" s="136"/>
      <c r="F38" s="136"/>
      <c r="G38" s="136"/>
      <c r="H38" s="732"/>
    </row>
    <row r="39" spans="1:8" ht="12.75" customHeight="1">
      <c r="A39" s="3" t="s">
        <v>2464</v>
      </c>
      <c r="B39" s="136"/>
      <c r="C39" s="136"/>
      <c r="D39" s="136"/>
      <c r="E39" s="136"/>
      <c r="F39" s="136"/>
      <c r="G39" s="136"/>
      <c r="H39" s="732"/>
    </row>
    <row r="41" spans="1:8">
      <c r="A41" s="96"/>
    </row>
    <row r="42" spans="1:8">
      <c r="A42" s="96" t="s">
        <v>677</v>
      </c>
    </row>
  </sheetData>
  <pageMargins left="0.43307086614173229" right="0.47244094488188981" top="0.56000000000000005" bottom="0.47244094488188981" header="0.42" footer="0.51181102362204722"/>
  <pageSetup paperSize="9" scale="66" orientation="landscape"/>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C3B3B-F512-6D4F-9996-AFE7A56B6B9A}">
  <sheetPr>
    <pageSetUpPr fitToPage="1"/>
  </sheetPr>
  <dimension ref="A1:P41"/>
  <sheetViews>
    <sheetView zoomScaleNormal="100" workbookViewId="0">
      <selection activeCell="A3" sqref="A3"/>
    </sheetView>
  </sheetViews>
  <sheetFormatPr baseColWidth="10" defaultColWidth="11.3984375" defaultRowHeight="13"/>
  <cols>
    <col min="1" max="1" width="15.796875" style="3" customWidth="1"/>
    <col min="2" max="2" width="10.3984375" style="3" customWidth="1"/>
    <col min="3" max="3" width="10.19921875" style="3" customWidth="1"/>
    <col min="4" max="4" width="10.59765625" style="3" customWidth="1"/>
    <col min="5" max="11" width="10.3984375" style="3" customWidth="1"/>
    <col min="12" max="13" width="11.3984375" style="3"/>
    <col min="14" max="14" width="11.59765625" style="3" customWidth="1"/>
    <col min="15" max="16384" width="11.3984375" style="3"/>
  </cols>
  <sheetData>
    <row r="1" spans="1:16" s="2" customFormat="1" ht="14" customHeight="1"/>
    <row r="2" spans="1:16" s="2" customFormat="1" ht="33" customHeight="1">
      <c r="A2" s="129" t="s">
        <v>2469</v>
      </c>
      <c r="B2" s="306"/>
      <c r="C2" s="306"/>
      <c r="D2" s="306"/>
      <c r="E2" s="306"/>
      <c r="F2" s="306"/>
      <c r="G2" s="306"/>
      <c r="H2" s="306"/>
      <c r="I2" s="129"/>
      <c r="J2" s="129"/>
      <c r="K2" s="129"/>
      <c r="L2" s="129"/>
      <c r="M2" s="129"/>
      <c r="N2" s="129"/>
      <c r="O2" s="129"/>
      <c r="P2" s="129"/>
    </row>
    <row r="3" spans="1:16" ht="24" customHeight="1">
      <c r="A3" s="692" t="s">
        <v>203</v>
      </c>
      <c r="B3" s="77">
        <v>1996</v>
      </c>
      <c r="C3" s="76">
        <v>1997</v>
      </c>
      <c r="D3" s="77">
        <v>1998</v>
      </c>
      <c r="E3" s="1643">
        <v>1999</v>
      </c>
      <c r="F3" s="1644">
        <v>2000</v>
      </c>
      <c r="G3" s="76">
        <v>2001</v>
      </c>
      <c r="H3" s="77">
        <v>2002</v>
      </c>
      <c r="I3" s="76">
        <v>2003</v>
      </c>
      <c r="J3" s="77">
        <v>2004</v>
      </c>
      <c r="K3" s="76">
        <v>2005</v>
      </c>
      <c r="L3" s="77">
        <v>2006</v>
      </c>
      <c r="M3" s="76">
        <v>2007</v>
      </c>
      <c r="N3" s="77">
        <v>2008</v>
      </c>
      <c r="O3" s="76">
        <v>2009</v>
      </c>
      <c r="P3" s="77">
        <v>2010</v>
      </c>
    </row>
    <row r="4" spans="1:16" ht="15" customHeight="1">
      <c r="A4" s="693"/>
      <c r="B4" s="77"/>
      <c r="C4" s="76"/>
      <c r="D4" s="77"/>
      <c r="E4" s="105"/>
      <c r="F4" s="106"/>
      <c r="G4" s="76"/>
      <c r="H4" s="77"/>
      <c r="I4" s="76"/>
      <c r="J4" s="77"/>
      <c r="K4" s="76"/>
      <c r="L4" s="77"/>
      <c r="M4" s="76"/>
      <c r="N4" s="77"/>
      <c r="O4" s="76"/>
      <c r="P4" s="77"/>
    </row>
    <row r="5" spans="1:16" ht="16" customHeight="1">
      <c r="A5" s="694"/>
      <c r="B5" s="81"/>
      <c r="C5" s="82"/>
      <c r="D5" s="81"/>
      <c r="E5" s="110"/>
      <c r="F5" s="109"/>
      <c r="G5" s="82"/>
      <c r="H5" s="81"/>
      <c r="I5" s="82"/>
      <c r="J5" s="81"/>
      <c r="K5" s="82"/>
      <c r="L5" s="81"/>
      <c r="M5" s="82"/>
      <c r="N5" s="81"/>
      <c r="O5" s="82"/>
      <c r="P5" s="81"/>
    </row>
    <row r="6" spans="1:16" ht="30" customHeight="1" thickBot="1">
      <c r="A6" s="1645" t="s">
        <v>211</v>
      </c>
      <c r="B6" s="130">
        <v>233.35235496236601</v>
      </c>
      <c r="C6" s="131">
        <v>241.12615278522208</v>
      </c>
      <c r="D6" s="130">
        <v>288.02905364226785</v>
      </c>
      <c r="E6" s="131">
        <v>298.65160195944532</v>
      </c>
      <c r="F6" s="130">
        <v>312.9842329100602</v>
      </c>
      <c r="G6" s="131">
        <v>324.62998357200581</v>
      </c>
      <c r="H6" s="124">
        <v>336.36283542835167</v>
      </c>
      <c r="I6" s="123">
        <v>349.20490600771882</v>
      </c>
      <c r="J6" s="124">
        <v>389.260493927075</v>
      </c>
      <c r="K6" s="123">
        <v>406.53365759860662</v>
      </c>
      <c r="L6" s="124">
        <v>410.94161685251174</v>
      </c>
      <c r="M6" s="123">
        <v>426.9588857994363</v>
      </c>
      <c r="N6" s="124">
        <v>442.66141955891999</v>
      </c>
      <c r="O6" s="123">
        <v>450.51595207203582</v>
      </c>
      <c r="P6" s="124">
        <v>450.08688048681188</v>
      </c>
    </row>
    <row r="7" spans="1:16" ht="20" customHeight="1" thickBot="1">
      <c r="A7" s="1646" t="s">
        <v>212</v>
      </c>
      <c r="B7" s="132">
        <v>237.6077132116302</v>
      </c>
      <c r="C7" s="133">
        <v>254.29196483611372</v>
      </c>
      <c r="D7" s="132">
        <v>290.23031121517556</v>
      </c>
      <c r="E7" s="133">
        <v>305.20165981480295</v>
      </c>
      <c r="F7" s="132">
        <v>321.67071389780745</v>
      </c>
      <c r="G7" s="133">
        <v>327.5433148690322</v>
      </c>
      <c r="H7" s="124">
        <v>337.12449180637987</v>
      </c>
      <c r="I7" s="123">
        <v>353.20712208069472</v>
      </c>
      <c r="J7" s="124">
        <v>388.04958315794829</v>
      </c>
      <c r="K7" s="123">
        <v>406.41314713126121</v>
      </c>
      <c r="L7" s="124">
        <v>411.94314916193935</v>
      </c>
      <c r="M7" s="123">
        <v>428.12210531071014</v>
      </c>
      <c r="N7" s="124">
        <v>442.20792301242318</v>
      </c>
      <c r="O7" s="123">
        <v>448.87438233297325</v>
      </c>
      <c r="P7" s="124">
        <v>441.792342530935</v>
      </c>
    </row>
    <row r="8" spans="1:16" ht="20" customHeight="1" thickBot="1">
      <c r="A8" s="1646" t="s">
        <v>213</v>
      </c>
      <c r="B8" s="132">
        <v>179.58188015983001</v>
      </c>
      <c r="C8" s="133">
        <v>185.37108979831305</v>
      </c>
      <c r="D8" s="132">
        <v>223.46252715353921</v>
      </c>
      <c r="E8" s="133">
        <v>231.83313402359317</v>
      </c>
      <c r="F8" s="132">
        <v>242.07565128594979</v>
      </c>
      <c r="G8" s="133">
        <v>253.79626568388267</v>
      </c>
      <c r="H8" s="124">
        <v>261.14130835872152</v>
      </c>
      <c r="I8" s="123">
        <v>272.02762715132553</v>
      </c>
      <c r="J8" s="124">
        <v>314.8156455265314</v>
      </c>
      <c r="K8" s="123">
        <v>332.80849069109854</v>
      </c>
      <c r="L8" s="124">
        <v>333.45356513572938</v>
      </c>
      <c r="M8" s="123">
        <v>349.49195040990344</v>
      </c>
      <c r="N8" s="124">
        <v>362.63087179782042</v>
      </c>
      <c r="O8" s="123">
        <v>373.99902367675031</v>
      </c>
      <c r="P8" s="124">
        <v>379.87019714343432</v>
      </c>
    </row>
    <row r="9" spans="1:16" ht="20" customHeight="1" thickBot="1">
      <c r="A9" s="1646" t="s">
        <v>214</v>
      </c>
      <c r="B9" s="132">
        <v>189.59337489112431</v>
      </c>
      <c r="C9" s="133">
        <v>199.6587939094577</v>
      </c>
      <c r="D9" s="132">
        <v>231.04149489699967</v>
      </c>
      <c r="E9" s="133">
        <v>247.66979927619195</v>
      </c>
      <c r="F9" s="132">
        <v>257.20746139396988</v>
      </c>
      <c r="G9" s="133">
        <v>273.27696231366895</v>
      </c>
      <c r="H9" s="124">
        <v>273.39404246303752</v>
      </c>
      <c r="I9" s="123">
        <v>285.63528903150814</v>
      </c>
      <c r="J9" s="124">
        <v>319.18624012833834</v>
      </c>
      <c r="K9" s="123">
        <v>340.94681606129916</v>
      </c>
      <c r="L9" s="124">
        <v>345.66780687385381</v>
      </c>
      <c r="M9" s="123">
        <v>375.44264100406508</v>
      </c>
      <c r="N9" s="124">
        <v>377.7500809772564</v>
      </c>
      <c r="O9" s="123">
        <v>383.73173683185132</v>
      </c>
      <c r="P9" s="124">
        <v>386.42642646622971</v>
      </c>
    </row>
    <row r="10" spans="1:16" ht="20" customHeight="1" thickBot="1">
      <c r="A10" s="1646" t="s">
        <v>215</v>
      </c>
      <c r="B10" s="132">
        <v>188.02085864401874</v>
      </c>
      <c r="C10" s="133">
        <v>195.19080343355449</v>
      </c>
      <c r="D10" s="132">
        <v>231.07689134369252</v>
      </c>
      <c r="E10" s="133">
        <v>249.54171604600674</v>
      </c>
      <c r="F10" s="132">
        <v>256.80376828818021</v>
      </c>
      <c r="G10" s="133">
        <v>280.35701774313293</v>
      </c>
      <c r="H10" s="124">
        <v>286.45054334520023</v>
      </c>
      <c r="I10" s="123">
        <v>306.68619909340146</v>
      </c>
      <c r="J10" s="124">
        <v>337.15627769081289</v>
      </c>
      <c r="K10" s="123">
        <v>361.59632200614965</v>
      </c>
      <c r="L10" s="124">
        <v>370.41582299334982</v>
      </c>
      <c r="M10" s="123">
        <v>385.24276817589748</v>
      </c>
      <c r="N10" s="124">
        <v>401.06924226144611</v>
      </c>
      <c r="O10" s="123">
        <v>419.43124787342049</v>
      </c>
      <c r="P10" s="124">
        <v>417.76350066581199</v>
      </c>
    </row>
    <row r="11" spans="1:16" ht="20" customHeight="1" thickBot="1">
      <c r="A11" s="1646" t="s">
        <v>216</v>
      </c>
      <c r="B11" s="132">
        <v>178.51445208136647</v>
      </c>
      <c r="C11" s="133">
        <v>189.64128645372716</v>
      </c>
      <c r="D11" s="132">
        <v>228.0300155206462</v>
      </c>
      <c r="E11" s="133">
        <v>243.86399097037565</v>
      </c>
      <c r="F11" s="132">
        <v>253.47438550439165</v>
      </c>
      <c r="G11" s="133">
        <v>258.85314232185783</v>
      </c>
      <c r="H11" s="124">
        <v>267.3999382203092</v>
      </c>
      <c r="I11" s="123">
        <v>275.17617507846808</v>
      </c>
      <c r="J11" s="124">
        <v>310.87344221905232</v>
      </c>
      <c r="K11" s="123">
        <v>333.9060218883842</v>
      </c>
      <c r="L11" s="124">
        <v>335.96305749964631</v>
      </c>
      <c r="M11" s="123">
        <v>355.98020170099699</v>
      </c>
      <c r="N11" s="124">
        <v>371.31082792927918</v>
      </c>
      <c r="O11" s="123">
        <v>376.32553235799469</v>
      </c>
      <c r="P11" s="124">
        <v>374.8804186781565</v>
      </c>
    </row>
    <row r="12" spans="1:16" ht="20" customHeight="1" thickBot="1">
      <c r="A12" s="1646" t="s">
        <v>217</v>
      </c>
      <c r="B12" s="132">
        <v>177.92915606091447</v>
      </c>
      <c r="C12" s="133">
        <v>182.790763053099</v>
      </c>
      <c r="D12" s="132">
        <v>213.52836442886678</v>
      </c>
      <c r="E12" s="133">
        <v>227.25407330511803</v>
      </c>
      <c r="F12" s="132">
        <v>243.36842434049117</v>
      </c>
      <c r="G12" s="133">
        <v>249.754000725369</v>
      </c>
      <c r="H12" s="124">
        <v>264.52697997760174</v>
      </c>
      <c r="I12" s="123">
        <v>273.60031904227685</v>
      </c>
      <c r="J12" s="124">
        <v>301.3052953791971</v>
      </c>
      <c r="K12" s="123">
        <v>317.90270985290749</v>
      </c>
      <c r="L12" s="124">
        <v>334.55339690649794</v>
      </c>
      <c r="M12" s="123">
        <v>349.2970571527012</v>
      </c>
      <c r="N12" s="124">
        <v>367.87176441720248</v>
      </c>
      <c r="O12" s="123">
        <v>378.36458346712379</v>
      </c>
      <c r="P12" s="124">
        <v>383.50721454307291</v>
      </c>
    </row>
    <row r="13" spans="1:16" ht="20" customHeight="1" thickBot="1">
      <c r="A13" s="1646" t="s">
        <v>218</v>
      </c>
      <c r="B13" s="132">
        <v>202.44912420656647</v>
      </c>
      <c r="C13" s="133">
        <v>207.59861680664721</v>
      </c>
      <c r="D13" s="132">
        <v>243.63195342533959</v>
      </c>
      <c r="E13" s="133">
        <v>263.86720716437958</v>
      </c>
      <c r="F13" s="132">
        <v>271.99305546167852</v>
      </c>
      <c r="G13" s="133">
        <v>288.56309152093741</v>
      </c>
      <c r="H13" s="124">
        <v>295.12606460770166</v>
      </c>
      <c r="I13" s="123">
        <v>309.65214527230773</v>
      </c>
      <c r="J13" s="124">
        <v>351.93899902510861</v>
      </c>
      <c r="K13" s="123">
        <v>378.28984618651111</v>
      </c>
      <c r="L13" s="124">
        <v>384.38664599749586</v>
      </c>
      <c r="M13" s="123">
        <v>380.51833358133649</v>
      </c>
      <c r="N13" s="124">
        <v>399.89770699623432</v>
      </c>
      <c r="O13" s="123">
        <v>409.22404812160858</v>
      </c>
      <c r="P13" s="124">
        <v>415.89317790064797</v>
      </c>
    </row>
    <row r="14" spans="1:16" ht="20" customHeight="1" thickBot="1">
      <c r="A14" s="1646" t="s">
        <v>219</v>
      </c>
      <c r="B14" s="132">
        <v>186.77842057375869</v>
      </c>
      <c r="C14" s="133">
        <v>208.67020291070639</v>
      </c>
      <c r="D14" s="132">
        <v>246.11438702257215</v>
      </c>
      <c r="E14" s="133">
        <v>259.17815791736621</v>
      </c>
      <c r="F14" s="132">
        <v>271.15526670975078</v>
      </c>
      <c r="G14" s="133">
        <v>282.57219148644072</v>
      </c>
      <c r="H14" s="124">
        <v>293.31429498906846</v>
      </c>
      <c r="I14" s="123">
        <v>302.96829654711496</v>
      </c>
      <c r="J14" s="124">
        <v>331.49187870019614</v>
      </c>
      <c r="K14" s="123">
        <v>349.57643835558292</v>
      </c>
      <c r="L14" s="124">
        <v>355.47894546396446</v>
      </c>
      <c r="M14" s="123">
        <v>369.7225911365681</v>
      </c>
      <c r="N14" s="124">
        <v>384.07581337563897</v>
      </c>
      <c r="O14" s="123">
        <v>399.66443353648992</v>
      </c>
      <c r="P14" s="124">
        <v>398.36630919634536</v>
      </c>
    </row>
    <row r="15" spans="1:16" ht="20" customHeight="1" thickBot="1">
      <c r="A15" s="1646" t="s">
        <v>220</v>
      </c>
      <c r="B15" s="132">
        <v>236.41111931924934</v>
      </c>
      <c r="C15" s="133">
        <v>250.32683485975099</v>
      </c>
      <c r="D15" s="132">
        <v>295.5563547540869</v>
      </c>
      <c r="E15" s="133">
        <v>308.53341422500898</v>
      </c>
      <c r="F15" s="132">
        <v>311.86589912896557</v>
      </c>
      <c r="G15" s="133">
        <v>328.42898245840456</v>
      </c>
      <c r="H15" s="124">
        <v>340.34822486756639</v>
      </c>
      <c r="I15" s="123">
        <v>346.50692394962357</v>
      </c>
      <c r="J15" s="124">
        <v>370.59988068369989</v>
      </c>
      <c r="K15" s="123">
        <v>388.16630227150836</v>
      </c>
      <c r="L15" s="124">
        <v>391.96475376295848</v>
      </c>
      <c r="M15" s="123">
        <v>406.10705466921991</v>
      </c>
      <c r="N15" s="124">
        <v>413.02910980457409</v>
      </c>
      <c r="O15" s="123">
        <v>423.07649463467123</v>
      </c>
      <c r="P15" s="124">
        <v>420.37141213536597</v>
      </c>
    </row>
    <row r="16" spans="1:16" ht="20" customHeight="1" thickBot="1">
      <c r="A16" s="1646" t="s">
        <v>221</v>
      </c>
      <c r="B16" s="132">
        <v>222.03730834172188</v>
      </c>
      <c r="C16" s="133">
        <v>234.51924006812987</v>
      </c>
      <c r="D16" s="132">
        <v>273.19762237178929</v>
      </c>
      <c r="E16" s="133">
        <v>286.54799681487748</v>
      </c>
      <c r="F16" s="132">
        <v>302.13721717341218</v>
      </c>
      <c r="G16" s="133">
        <v>311.51283491587697</v>
      </c>
      <c r="H16" s="124">
        <v>324.00898462665532</v>
      </c>
      <c r="I16" s="123">
        <v>337.23386810636634</v>
      </c>
      <c r="J16" s="124">
        <v>365.90723821575921</v>
      </c>
      <c r="K16" s="123">
        <v>389.21286319664887</v>
      </c>
      <c r="L16" s="124">
        <v>396.50644375843922</v>
      </c>
      <c r="M16" s="123">
        <v>411.41761610787898</v>
      </c>
      <c r="N16" s="124">
        <v>431.20492121828511</v>
      </c>
      <c r="O16" s="123">
        <v>433.56137010910197</v>
      </c>
      <c r="P16" s="124">
        <v>432.83516394968956</v>
      </c>
    </row>
    <row r="17" spans="1:16" ht="20" customHeight="1" thickBot="1">
      <c r="A17" s="1646" t="s">
        <v>222</v>
      </c>
      <c r="B17" s="132">
        <v>272.8488325513008</v>
      </c>
      <c r="C17" s="133">
        <v>294.22515233484864</v>
      </c>
      <c r="D17" s="132">
        <v>351.21798398738792</v>
      </c>
      <c r="E17" s="133">
        <v>364.42760172274484</v>
      </c>
      <c r="F17" s="132">
        <v>370.39134274356957</v>
      </c>
      <c r="G17" s="133">
        <v>392.37582957068526</v>
      </c>
      <c r="H17" s="124">
        <v>396.18449151435743</v>
      </c>
      <c r="I17" s="123">
        <v>418.3832474602541</v>
      </c>
      <c r="J17" s="124">
        <v>446.98786250878084</v>
      </c>
      <c r="K17" s="123">
        <v>469.00007995425813</v>
      </c>
      <c r="L17" s="124">
        <v>468.00178609834074</v>
      </c>
      <c r="M17" s="123">
        <v>474.37828727358328</v>
      </c>
      <c r="N17" s="124">
        <v>488.22264214640381</v>
      </c>
      <c r="O17" s="123">
        <v>486.58326690914828</v>
      </c>
      <c r="P17" s="124">
        <v>486.53748843341646</v>
      </c>
    </row>
    <row r="18" spans="1:16" ht="20" customHeight="1" thickBot="1">
      <c r="A18" s="1646" t="s">
        <v>223</v>
      </c>
      <c r="B18" s="132">
        <v>244.00898768079105</v>
      </c>
      <c r="C18" s="133">
        <v>263.59866478576328</v>
      </c>
      <c r="D18" s="132">
        <v>305.67107758536281</v>
      </c>
      <c r="E18" s="133">
        <v>322.66615301145885</v>
      </c>
      <c r="F18" s="132">
        <v>334.74259361880286</v>
      </c>
      <c r="G18" s="133">
        <v>351.03465657829429</v>
      </c>
      <c r="H18" s="124">
        <v>365.52851672511406</v>
      </c>
      <c r="I18" s="123">
        <v>383.48774622409474</v>
      </c>
      <c r="J18" s="124">
        <v>415.44185689878486</v>
      </c>
      <c r="K18" s="123">
        <v>443.01200779340797</v>
      </c>
      <c r="L18" s="124">
        <v>451.53305346928482</v>
      </c>
      <c r="M18" s="123">
        <v>473.29031085911447</v>
      </c>
      <c r="N18" s="124">
        <v>491.00712171621171</v>
      </c>
      <c r="O18" s="123">
        <v>496.92906664060547</v>
      </c>
      <c r="P18" s="124">
        <v>491.99580639889427</v>
      </c>
    </row>
    <row r="19" spans="1:16" ht="20" customHeight="1" thickBot="1">
      <c r="A19" s="1646" t="s">
        <v>224</v>
      </c>
      <c r="B19" s="132">
        <v>222.64829733491706</v>
      </c>
      <c r="C19" s="133">
        <v>234.17222487940489</v>
      </c>
      <c r="D19" s="132">
        <v>267.83543445046939</v>
      </c>
      <c r="E19" s="133">
        <v>291.65075431647347</v>
      </c>
      <c r="F19" s="132">
        <v>304.42752625478488</v>
      </c>
      <c r="G19" s="133">
        <v>320.58970750917047</v>
      </c>
      <c r="H19" s="124">
        <v>324.78125799661234</v>
      </c>
      <c r="I19" s="123">
        <v>332.4739578155959</v>
      </c>
      <c r="J19" s="124">
        <v>374.20785181571046</v>
      </c>
      <c r="K19" s="123">
        <v>394.49213534015098</v>
      </c>
      <c r="L19" s="124">
        <v>407.21727133935156</v>
      </c>
      <c r="M19" s="123">
        <v>421.00835772791334</v>
      </c>
      <c r="N19" s="124">
        <v>430.15016565176074</v>
      </c>
      <c r="O19" s="123">
        <v>436.48673225009907</v>
      </c>
      <c r="P19" s="124">
        <v>437.94792943029097</v>
      </c>
    </row>
    <row r="20" spans="1:16" ht="20" customHeight="1" thickBot="1">
      <c r="A20" s="1646" t="s">
        <v>225</v>
      </c>
      <c r="B20" s="132">
        <v>182.14749716421738</v>
      </c>
      <c r="C20" s="133">
        <v>188.79514196149626</v>
      </c>
      <c r="D20" s="132">
        <v>216.44350034098602</v>
      </c>
      <c r="E20" s="133">
        <v>229.62698042307284</v>
      </c>
      <c r="F20" s="132">
        <v>241.98349547653311</v>
      </c>
      <c r="G20" s="133">
        <v>254.95271426425484</v>
      </c>
      <c r="H20" s="124">
        <v>264.76605423019578</v>
      </c>
      <c r="I20" s="123">
        <v>283.29617470802941</v>
      </c>
      <c r="J20" s="124">
        <v>319.51328079608584</v>
      </c>
      <c r="K20" s="123">
        <v>338.04503402853993</v>
      </c>
      <c r="L20" s="124">
        <v>342.03791626091311</v>
      </c>
      <c r="M20" s="123">
        <v>353.15659648063411</v>
      </c>
      <c r="N20" s="124">
        <v>367.09197170155244</v>
      </c>
      <c r="O20" s="123">
        <v>377.34542488670513</v>
      </c>
      <c r="P20" s="124">
        <v>380.90846329446413</v>
      </c>
    </row>
    <row r="21" spans="1:16" ht="20" customHeight="1" thickBot="1">
      <c r="A21" s="1646" t="s">
        <v>226</v>
      </c>
      <c r="B21" s="132">
        <v>157.39716198436213</v>
      </c>
      <c r="C21" s="133">
        <v>153.21501816150158</v>
      </c>
      <c r="D21" s="132">
        <v>176.19673363609945</v>
      </c>
      <c r="E21" s="133">
        <v>193.02690675696454</v>
      </c>
      <c r="F21" s="132">
        <v>209.41757247183909</v>
      </c>
      <c r="G21" s="133">
        <v>224.87005774466866</v>
      </c>
      <c r="H21" s="124">
        <v>239.03084633068306</v>
      </c>
      <c r="I21" s="123">
        <v>245.9792033171293</v>
      </c>
      <c r="J21" s="124">
        <v>274.7106335211231</v>
      </c>
      <c r="K21" s="123">
        <v>293.11371686665984</v>
      </c>
      <c r="L21" s="124">
        <v>295.92433225573495</v>
      </c>
      <c r="M21" s="123">
        <v>308.42929598410979</v>
      </c>
      <c r="N21" s="124">
        <v>340.31431596128891</v>
      </c>
      <c r="O21" s="123">
        <v>342.42358695596681</v>
      </c>
      <c r="P21" s="124">
        <v>348.09662618392349</v>
      </c>
    </row>
    <row r="22" spans="1:16" ht="20" customHeight="1" thickBot="1">
      <c r="A22" s="1646" t="s">
        <v>227</v>
      </c>
      <c r="B22" s="132">
        <v>189.85490562184896</v>
      </c>
      <c r="C22" s="133">
        <v>201.74454467196119</v>
      </c>
      <c r="D22" s="132">
        <v>235.52252887290842</v>
      </c>
      <c r="E22" s="133">
        <v>252.2707487750472</v>
      </c>
      <c r="F22" s="132">
        <v>261.3854633196936</v>
      </c>
      <c r="G22" s="133">
        <v>274.86573038734196</v>
      </c>
      <c r="H22" s="124">
        <v>287.88528097620951</v>
      </c>
      <c r="I22" s="123">
        <v>304.60188537958857</v>
      </c>
      <c r="J22" s="124">
        <v>343.30152619425371</v>
      </c>
      <c r="K22" s="123">
        <v>362.09876670688323</v>
      </c>
      <c r="L22" s="124">
        <v>371.26240171984045</v>
      </c>
      <c r="M22" s="123">
        <v>371.28536395652509</v>
      </c>
      <c r="N22" s="124">
        <v>387.93251706008141</v>
      </c>
      <c r="O22" s="123">
        <v>400.85100322578364</v>
      </c>
      <c r="P22" s="124">
        <v>405.43029900858028</v>
      </c>
    </row>
    <row r="23" spans="1:16" ht="20" customHeight="1" thickBot="1">
      <c r="A23" s="1646" t="s">
        <v>228</v>
      </c>
      <c r="B23" s="132">
        <v>182.81328847222653</v>
      </c>
      <c r="C23" s="133">
        <v>173.66858262166511</v>
      </c>
      <c r="D23" s="132">
        <v>216.2915030518875</v>
      </c>
      <c r="E23" s="133">
        <v>238.90713217656003</v>
      </c>
      <c r="F23" s="132">
        <v>255.53328134115009</v>
      </c>
      <c r="G23" s="133">
        <v>268.91773678022491</v>
      </c>
      <c r="H23" s="124">
        <v>284.02544197576526</v>
      </c>
      <c r="I23" s="123">
        <v>294.28046670179197</v>
      </c>
      <c r="J23" s="124">
        <v>344.92066653901338</v>
      </c>
      <c r="K23" s="123">
        <v>359.41517796564017</v>
      </c>
      <c r="L23" s="124">
        <v>364.74597406984253</v>
      </c>
      <c r="M23" s="123">
        <v>367.69609212743808</v>
      </c>
      <c r="N23" s="124">
        <v>380.33362416821592</v>
      </c>
      <c r="O23" s="123">
        <v>392.31713740851865</v>
      </c>
      <c r="P23" s="124">
        <v>393.07080980562023</v>
      </c>
    </row>
    <row r="24" spans="1:16" ht="20" customHeight="1" thickBot="1">
      <c r="A24" s="1646" t="s">
        <v>229</v>
      </c>
      <c r="B24" s="132">
        <v>200.87186324123422</v>
      </c>
      <c r="C24" s="133">
        <v>206.93301112714244</v>
      </c>
      <c r="D24" s="132">
        <v>246.20994355120661</v>
      </c>
      <c r="E24" s="133">
        <v>260.43510706738448</v>
      </c>
      <c r="F24" s="132">
        <v>274.33485885573441</v>
      </c>
      <c r="G24" s="133">
        <v>286.10750661734505</v>
      </c>
      <c r="H24" s="124">
        <v>299.92768220867697</v>
      </c>
      <c r="I24" s="123">
        <v>309.93435854180279</v>
      </c>
      <c r="J24" s="124">
        <v>345.18784655107629</v>
      </c>
      <c r="K24" s="123">
        <v>367.24479202465523</v>
      </c>
      <c r="L24" s="124">
        <v>374.55378500482584</v>
      </c>
      <c r="M24" s="123">
        <v>386.30527919272117</v>
      </c>
      <c r="N24" s="124">
        <v>402.61815271893693</v>
      </c>
      <c r="O24" s="123">
        <v>411.36913635652763</v>
      </c>
      <c r="P24" s="124">
        <v>414.80628449684991</v>
      </c>
    </row>
    <row r="25" spans="1:16" ht="20" customHeight="1" thickBot="1">
      <c r="A25" s="1646" t="s">
        <v>230</v>
      </c>
      <c r="B25" s="132">
        <v>177.92178571585623</v>
      </c>
      <c r="C25" s="133">
        <v>202.07640346015182</v>
      </c>
      <c r="D25" s="132">
        <v>234.78927831962437</v>
      </c>
      <c r="E25" s="133">
        <v>249.15240587320409</v>
      </c>
      <c r="F25" s="132">
        <v>261.86199082286089</v>
      </c>
      <c r="G25" s="133">
        <v>275.48017608434634</v>
      </c>
      <c r="H25" s="124">
        <v>288.09521673651739</v>
      </c>
      <c r="I25" s="123">
        <v>307.91738634208173</v>
      </c>
      <c r="J25" s="124">
        <v>335.804604806719</v>
      </c>
      <c r="K25" s="123">
        <v>352.70547782392464</v>
      </c>
      <c r="L25" s="124">
        <v>362.16557234624338</v>
      </c>
      <c r="M25" s="123">
        <v>377.10589457551396</v>
      </c>
      <c r="N25" s="124">
        <v>391.7979561776915</v>
      </c>
      <c r="O25" s="123">
        <v>400.59955829122237</v>
      </c>
      <c r="P25" s="124">
        <v>401.88218001412952</v>
      </c>
    </row>
    <row r="26" spans="1:16" ht="20" customHeight="1" thickBot="1">
      <c r="A26" s="1646" t="s">
        <v>231</v>
      </c>
      <c r="B26" s="132">
        <v>274.685846405451</v>
      </c>
      <c r="C26" s="133">
        <v>288.86326680580942</v>
      </c>
      <c r="D26" s="132">
        <v>350.59222592715628</v>
      </c>
      <c r="E26" s="133">
        <v>371.1793743774972</v>
      </c>
      <c r="F26" s="132">
        <v>384.82426358125031</v>
      </c>
      <c r="G26" s="133">
        <v>401.86707367914369</v>
      </c>
      <c r="H26" s="124">
        <v>418.66660167433292</v>
      </c>
      <c r="I26" s="123">
        <v>423.27563970057872</v>
      </c>
      <c r="J26" s="124">
        <v>445.75338787702094</v>
      </c>
      <c r="K26" s="123">
        <v>477.87272906901626</v>
      </c>
      <c r="L26" s="124">
        <v>469.75283360733874</v>
      </c>
      <c r="M26" s="123">
        <v>474.52145046912983</v>
      </c>
      <c r="N26" s="124">
        <v>474.56797687566586</v>
      </c>
      <c r="O26" s="123">
        <v>485.04982740636706</v>
      </c>
      <c r="P26" s="124">
        <v>486.43955680505178</v>
      </c>
    </row>
    <row r="27" spans="1:16" ht="20" customHeight="1" thickBot="1">
      <c r="A27" s="1646" t="s">
        <v>232</v>
      </c>
      <c r="B27" s="132">
        <v>297.92578868154919</v>
      </c>
      <c r="C27" s="133">
        <v>315.21305480329238</v>
      </c>
      <c r="D27" s="132">
        <v>360.49080935832012</v>
      </c>
      <c r="E27" s="133">
        <v>370.87566666329349</v>
      </c>
      <c r="F27" s="132">
        <v>392.85442097156647</v>
      </c>
      <c r="G27" s="133">
        <v>413.64298778568673</v>
      </c>
      <c r="H27" s="124">
        <v>421.60291558296649</v>
      </c>
      <c r="I27" s="123">
        <v>421.58948730521797</v>
      </c>
      <c r="J27" s="124">
        <v>440.37474568421067</v>
      </c>
      <c r="K27" s="123">
        <v>452.94939064697701</v>
      </c>
      <c r="L27" s="124">
        <v>457.97141570633721</v>
      </c>
      <c r="M27" s="123">
        <v>468.97399530498024</v>
      </c>
      <c r="N27" s="124">
        <v>478.35789930379451</v>
      </c>
      <c r="O27" s="123">
        <v>474.52889136233489</v>
      </c>
      <c r="P27" s="124">
        <v>471.26917591697656</v>
      </c>
    </row>
    <row r="28" spans="1:16" ht="20" customHeight="1" thickBot="1">
      <c r="A28" s="1646" t="s">
        <v>233</v>
      </c>
      <c r="B28" s="132">
        <v>222.65932497994868</v>
      </c>
      <c r="C28" s="133">
        <v>237.11203720033882</v>
      </c>
      <c r="D28" s="132">
        <v>273.06383742196681</v>
      </c>
      <c r="E28" s="133">
        <v>276.59700419576598</v>
      </c>
      <c r="F28" s="132">
        <v>296.22330278323102</v>
      </c>
      <c r="G28" s="133">
        <v>307.08772204781963</v>
      </c>
      <c r="H28" s="124">
        <v>317.23299596450192</v>
      </c>
      <c r="I28" s="123">
        <v>322.78017100526881</v>
      </c>
      <c r="J28" s="124">
        <v>347.965868451804</v>
      </c>
      <c r="K28" s="123">
        <v>365.71522982610782</v>
      </c>
      <c r="L28" s="124">
        <v>373.61976618289145</v>
      </c>
      <c r="M28" s="123">
        <v>383.34347766057817</v>
      </c>
      <c r="N28" s="124">
        <v>392.30936706911098</v>
      </c>
      <c r="O28" s="123">
        <v>397.79263488074866</v>
      </c>
      <c r="P28" s="124">
        <v>402.82987469265618</v>
      </c>
    </row>
    <row r="29" spans="1:16" ht="20" customHeight="1" thickBot="1">
      <c r="A29" s="1646" t="s">
        <v>234</v>
      </c>
      <c r="B29" s="132">
        <v>258.01694682038283</v>
      </c>
      <c r="C29" s="133">
        <v>278.24133695950013</v>
      </c>
      <c r="D29" s="132">
        <v>331.12048728808713</v>
      </c>
      <c r="E29" s="133">
        <v>326.87490511353712</v>
      </c>
      <c r="F29" s="132">
        <v>355.25336161642372</v>
      </c>
      <c r="G29" s="133">
        <v>365.77496638861567</v>
      </c>
      <c r="H29" s="124">
        <v>381.28454593334482</v>
      </c>
      <c r="I29" s="123">
        <v>387.44095610783324</v>
      </c>
      <c r="J29" s="124">
        <v>408.183570011337</v>
      </c>
      <c r="K29" s="123">
        <v>415.17506897250178</v>
      </c>
      <c r="L29" s="124">
        <v>404.55241842062469</v>
      </c>
      <c r="M29" s="123">
        <v>405.89087932730945</v>
      </c>
      <c r="N29" s="124">
        <v>426.3751871590166</v>
      </c>
      <c r="O29" s="123">
        <v>423.66678533300365</v>
      </c>
      <c r="P29" s="124">
        <v>418.25054453111716</v>
      </c>
    </row>
    <row r="30" spans="1:16" ht="20" customHeight="1" thickBot="1">
      <c r="A30" s="1646" t="s">
        <v>235</v>
      </c>
      <c r="B30" s="132">
        <v>297.18116917660109</v>
      </c>
      <c r="C30" s="133">
        <v>329.12460372797113</v>
      </c>
      <c r="D30" s="132">
        <v>393.38859336059659</v>
      </c>
      <c r="E30" s="133">
        <v>405.57356456628122</v>
      </c>
      <c r="F30" s="132">
        <v>409.31447251490636</v>
      </c>
      <c r="G30" s="133">
        <v>436.78852685410175</v>
      </c>
      <c r="H30" s="124">
        <v>464.72184639424086</v>
      </c>
      <c r="I30" s="123">
        <v>452.32329732259041</v>
      </c>
      <c r="J30" s="124">
        <v>479.4898603693855</v>
      </c>
      <c r="K30" s="123">
        <v>503.20564072566685</v>
      </c>
      <c r="L30" s="124">
        <v>488.6066162416746</v>
      </c>
      <c r="M30" s="123">
        <v>497.44387507258716</v>
      </c>
      <c r="N30" s="124">
        <v>510.401474562781</v>
      </c>
      <c r="O30" s="123">
        <v>508.4046224559338</v>
      </c>
      <c r="P30" s="124">
        <v>507.53758391856809</v>
      </c>
    </row>
    <row r="31" spans="1:16" ht="20" customHeight="1" thickBot="1">
      <c r="A31" s="1646" t="s">
        <v>236</v>
      </c>
      <c r="B31" s="132">
        <v>239.03400533198146</v>
      </c>
      <c r="C31" s="133">
        <v>258.36344588864176</v>
      </c>
      <c r="D31" s="132">
        <v>299.93685925166142</v>
      </c>
      <c r="E31" s="133">
        <v>323.48129708966235</v>
      </c>
      <c r="F31" s="132">
        <v>327.82938166562008</v>
      </c>
      <c r="G31" s="133">
        <v>340.57416926268752</v>
      </c>
      <c r="H31" s="124">
        <v>360.22427370980677</v>
      </c>
      <c r="I31" s="123">
        <v>361.84466792373314</v>
      </c>
      <c r="J31" s="124">
        <v>384.82629965994056</v>
      </c>
      <c r="K31" s="123">
        <v>419.74898313957601</v>
      </c>
      <c r="L31" s="124">
        <v>410.8356598087089</v>
      </c>
      <c r="M31" s="123">
        <v>424.04746018637525</v>
      </c>
      <c r="N31" s="124">
        <v>432.06132431516517</v>
      </c>
      <c r="O31" s="123">
        <v>434.79945679784441</v>
      </c>
      <c r="P31" s="124">
        <v>429.5224291542504</v>
      </c>
    </row>
    <row r="32" spans="1:16" ht="30" customHeight="1" thickBot="1">
      <c r="A32" s="701" t="s">
        <v>0</v>
      </c>
      <c r="B32" s="436">
        <v>232.07645782669101</v>
      </c>
      <c r="C32" s="435">
        <v>245.69743221523299</v>
      </c>
      <c r="D32" s="436">
        <v>289.40857360180235</v>
      </c>
      <c r="E32" s="435">
        <v>301.20274500235337</v>
      </c>
      <c r="F32" s="436">
        <v>314.93213457244246</v>
      </c>
      <c r="G32" s="435">
        <v>328.74586532074136</v>
      </c>
      <c r="H32" s="681">
        <v>340.77001638747834</v>
      </c>
      <c r="I32" s="843">
        <v>351.10178317952932</v>
      </c>
      <c r="J32" s="134">
        <v>383.59639857337424</v>
      </c>
      <c r="K32" s="843">
        <v>402.775818236345</v>
      </c>
      <c r="L32" s="134">
        <v>406.3302873531361</v>
      </c>
      <c r="M32" s="843">
        <v>418.57781696455777</v>
      </c>
      <c r="N32" s="134">
        <v>432.06970918600427</v>
      </c>
      <c r="O32" s="843">
        <v>438.77662885550035</v>
      </c>
      <c r="P32" s="134">
        <v>438.157107571305</v>
      </c>
    </row>
    <row r="33" spans="1:8" ht="20" customHeight="1">
      <c r="A33" s="95" t="s">
        <v>678</v>
      </c>
      <c r="B33" s="135"/>
      <c r="C33" s="135"/>
      <c r="D33" s="135"/>
      <c r="E33" s="135"/>
      <c r="F33" s="1647"/>
      <c r="G33" s="135"/>
      <c r="H33" s="731"/>
    </row>
    <row r="34" spans="1:8" ht="15.75" customHeight="1">
      <c r="A34" s="96"/>
      <c r="B34" s="136"/>
      <c r="C34" s="136"/>
      <c r="D34" s="136"/>
      <c r="E34" s="136"/>
      <c r="F34" s="136"/>
      <c r="G34" s="136"/>
      <c r="H34" s="732"/>
    </row>
    <row r="35" spans="1:8" ht="14.25" customHeight="1">
      <c r="A35" s="352" t="s">
        <v>2470</v>
      </c>
      <c r="B35" s="136"/>
      <c r="C35" s="136"/>
      <c r="D35" s="136"/>
      <c r="E35" s="136"/>
      <c r="F35" s="136"/>
      <c r="G35" s="136"/>
      <c r="H35" s="732"/>
    </row>
    <row r="36" spans="1:8" ht="13.5" customHeight="1">
      <c r="A36" s="96"/>
      <c r="B36" s="136"/>
      <c r="C36" s="136"/>
      <c r="D36" s="136"/>
      <c r="E36" s="136"/>
      <c r="F36" s="136"/>
      <c r="G36" s="136"/>
      <c r="H36" s="732"/>
    </row>
    <row r="37" spans="1:8" ht="12.75" customHeight="1">
      <c r="A37" s="96" t="s">
        <v>2462</v>
      </c>
      <c r="B37" s="136"/>
      <c r="C37" s="136"/>
      <c r="D37" s="136"/>
      <c r="E37" s="136"/>
      <c r="F37" s="136"/>
      <c r="G37" s="136"/>
      <c r="H37" s="732"/>
    </row>
    <row r="38" spans="1:8" ht="12.75" customHeight="1">
      <c r="A38" s="3" t="s">
        <v>2464</v>
      </c>
      <c r="B38" s="136"/>
      <c r="C38" s="136"/>
      <c r="D38" s="136"/>
      <c r="E38" s="136"/>
      <c r="F38" s="136"/>
      <c r="G38" s="136"/>
      <c r="H38" s="732"/>
    </row>
    <row r="40" spans="1:8">
      <c r="A40" s="96"/>
    </row>
    <row r="41" spans="1:8">
      <c r="A41" s="96" t="s">
        <v>677</v>
      </c>
    </row>
  </sheetData>
  <pageMargins left="0.43307086614173229" right="0.47244094488188981" top="0.56000000000000005" bottom="0.47244094488188981" header="0.42" footer="0.51181102362204722"/>
  <pageSetup paperSize="9" scale="68" orientation="landscape"/>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ACE2B-1AE0-634C-A70A-A9BFEFC8E251}">
  <sheetPr>
    <pageSetUpPr fitToPage="1"/>
  </sheetPr>
  <dimension ref="A1:B20"/>
  <sheetViews>
    <sheetView workbookViewId="0">
      <selection activeCell="C25" sqref="C25"/>
    </sheetView>
  </sheetViews>
  <sheetFormatPr baseColWidth="10" defaultColWidth="11.59765625" defaultRowHeight="13"/>
  <cols>
    <col min="1" max="1" width="5.59765625" style="169" customWidth="1"/>
    <col min="2" max="16384" width="11.59765625" style="169"/>
  </cols>
  <sheetData>
    <row r="1" spans="1:2" ht="16">
      <c r="A1" s="168" t="s">
        <v>629</v>
      </c>
    </row>
    <row r="2" spans="1:2" ht="16">
      <c r="A2" s="168"/>
    </row>
    <row r="3" spans="1:2">
      <c r="A3" s="297">
        <v>3.01</v>
      </c>
      <c r="B3" s="296" t="s">
        <v>1925</v>
      </c>
    </row>
    <row r="4" spans="1:2">
      <c r="A4" s="297">
        <v>3.02</v>
      </c>
      <c r="B4" s="296" t="s">
        <v>630</v>
      </c>
    </row>
    <row r="5" spans="1:2">
      <c r="A5" s="297">
        <v>3.03</v>
      </c>
      <c r="B5" s="296" t="s">
        <v>631</v>
      </c>
    </row>
    <row r="6" spans="1:2">
      <c r="A6" s="297">
        <v>3.04</v>
      </c>
      <c r="B6" s="296" t="s">
        <v>632</v>
      </c>
    </row>
    <row r="7" spans="1:2">
      <c r="A7" s="297">
        <v>3.05</v>
      </c>
      <c r="B7" s="297" t="s">
        <v>1922</v>
      </c>
    </row>
    <row r="8" spans="1:2">
      <c r="A8" s="297">
        <v>3.06</v>
      </c>
      <c r="B8" s="297" t="s">
        <v>1923</v>
      </c>
    </row>
    <row r="9" spans="1:2">
      <c r="A9" s="297">
        <v>3.07</v>
      </c>
      <c r="B9" s="297" t="s">
        <v>1924</v>
      </c>
    </row>
    <row r="10" spans="1:2">
      <c r="A10" s="297">
        <v>3.08</v>
      </c>
      <c r="B10" s="297" t="s">
        <v>2473</v>
      </c>
    </row>
    <row r="11" spans="1:2">
      <c r="A11" s="297">
        <v>3.09</v>
      </c>
      <c r="B11" s="297" t="s">
        <v>633</v>
      </c>
    </row>
    <row r="12" spans="1:2">
      <c r="A12" s="298" t="s">
        <v>101</v>
      </c>
      <c r="B12" s="297" t="s">
        <v>634</v>
      </c>
    </row>
    <row r="13" spans="1:2">
      <c r="A13" s="297">
        <v>3.11</v>
      </c>
      <c r="B13" s="297" t="s">
        <v>635</v>
      </c>
    </row>
    <row r="14" spans="1:2">
      <c r="A14" s="297">
        <v>3.12</v>
      </c>
      <c r="B14" s="297" t="s">
        <v>636</v>
      </c>
    </row>
    <row r="15" spans="1:2">
      <c r="A15" s="297">
        <v>3.13</v>
      </c>
      <c r="B15" s="297" t="s">
        <v>2474</v>
      </c>
    </row>
    <row r="16" spans="1:2">
      <c r="A16" s="297">
        <v>3.14</v>
      </c>
      <c r="B16" s="297" t="s">
        <v>637</v>
      </c>
    </row>
    <row r="17" spans="1:2">
      <c r="A17" s="297">
        <v>3.15</v>
      </c>
      <c r="B17" s="297" t="s">
        <v>638</v>
      </c>
    </row>
    <row r="18" spans="1:2">
      <c r="A18" s="297"/>
      <c r="B18" s="297"/>
    </row>
    <row r="19" spans="1:2">
      <c r="A19" s="297"/>
      <c r="B19" s="297"/>
    </row>
    <row r="20" spans="1:2">
      <c r="A20" s="175" t="s">
        <v>677</v>
      </c>
    </row>
  </sheetData>
  <pageMargins left="0.57999999999999996" right="0.6" top="0.65" bottom="0.984251969" header="0.34" footer="0.4921259845"/>
  <pageSetup paperSize="9" orientation="portrait"/>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13542-A167-464F-BA65-E22DA8A8564C}">
  <sheetPr>
    <pageSetUpPr fitToPage="1"/>
  </sheetPr>
  <dimension ref="A1:L43"/>
  <sheetViews>
    <sheetView topLeftCell="A19" zoomScaleNormal="100" workbookViewId="0">
      <selection activeCell="A36" sqref="A36"/>
    </sheetView>
  </sheetViews>
  <sheetFormatPr baseColWidth="10" defaultColWidth="11.3984375" defaultRowHeight="13"/>
  <cols>
    <col min="1" max="1" width="14.3984375" style="3" customWidth="1"/>
    <col min="2" max="2" width="16.796875" style="3" customWidth="1"/>
    <col min="3" max="5" width="15.3984375" style="3" customWidth="1"/>
    <col min="6" max="6" width="15.3984375" style="414" customWidth="1"/>
    <col min="7" max="7" width="15.3984375" style="3" customWidth="1"/>
    <col min="8" max="16384" width="11.3984375" style="3"/>
  </cols>
  <sheetData>
    <row r="1" spans="1:11" s="2" customFormat="1" ht="14" customHeight="1">
      <c r="F1" s="453"/>
    </row>
    <row r="2" spans="1:11" s="2" customFormat="1" ht="30" customHeight="1">
      <c r="A2" s="71" t="s">
        <v>1552</v>
      </c>
      <c r="F2" s="453"/>
      <c r="G2" s="358"/>
    </row>
    <row r="3" spans="1:11" ht="24" customHeight="1">
      <c r="A3" s="72" t="s">
        <v>695</v>
      </c>
      <c r="B3" s="73" t="s">
        <v>206</v>
      </c>
      <c r="C3" s="277" t="s">
        <v>585</v>
      </c>
      <c r="D3" s="73" t="s">
        <v>205</v>
      </c>
      <c r="E3" s="277" t="s">
        <v>585</v>
      </c>
      <c r="F3" s="73" t="s">
        <v>204</v>
      </c>
      <c r="G3" s="277" t="s">
        <v>585</v>
      </c>
    </row>
    <row r="4" spans="1:11" ht="15" customHeight="1">
      <c r="A4" s="328"/>
      <c r="B4" s="105" t="s">
        <v>1553</v>
      </c>
      <c r="C4" s="75" t="s">
        <v>586</v>
      </c>
      <c r="D4" s="105" t="s">
        <v>206</v>
      </c>
      <c r="E4" s="75" t="s">
        <v>586</v>
      </c>
      <c r="F4" s="105" t="s">
        <v>1554</v>
      </c>
      <c r="G4" s="75" t="s">
        <v>586</v>
      </c>
    </row>
    <row r="5" spans="1:11" ht="15" customHeight="1">
      <c r="A5" s="328"/>
      <c r="B5" s="76"/>
      <c r="C5" s="75" t="s">
        <v>210</v>
      </c>
      <c r="D5" s="105" t="s">
        <v>1555</v>
      </c>
      <c r="E5" s="75" t="s">
        <v>210</v>
      </c>
      <c r="F5" s="459"/>
      <c r="G5" s="75" t="s">
        <v>210</v>
      </c>
    </row>
    <row r="6" spans="1:11" ht="24" customHeight="1">
      <c r="A6" s="329"/>
      <c r="B6" s="82"/>
      <c r="C6" s="79"/>
      <c r="D6" s="82"/>
      <c r="E6" s="79"/>
      <c r="F6" s="460"/>
      <c r="G6" s="79"/>
    </row>
    <row r="7" spans="1:11" ht="23.25" customHeight="1" thickBot="1">
      <c r="A7" s="427">
        <v>1996</v>
      </c>
      <c r="B7" s="896">
        <v>173.08</v>
      </c>
      <c r="C7" s="309" t="s">
        <v>1222</v>
      </c>
      <c r="D7" s="896">
        <v>114.73041951160255</v>
      </c>
      <c r="E7" s="309" t="s">
        <v>1222</v>
      </c>
      <c r="F7" s="896">
        <v>47.723529089864961</v>
      </c>
      <c r="G7" s="309" t="s">
        <v>1222</v>
      </c>
    </row>
    <row r="8" spans="1:11" ht="20" customHeight="1" thickBot="1">
      <c r="A8" s="333">
        <v>1997</v>
      </c>
      <c r="B8" s="897">
        <v>188.06152293360134</v>
      </c>
      <c r="C8" s="452">
        <v>8.6558371467537087E-2</v>
      </c>
      <c r="D8" s="897">
        <v>124.66129778231421</v>
      </c>
      <c r="E8" s="452">
        <v>8.6558371467537087E-2</v>
      </c>
      <c r="F8" s="897">
        <v>51.854400048567307</v>
      </c>
      <c r="G8" s="452">
        <v>8.6558371467537087E-2</v>
      </c>
      <c r="I8" s="9"/>
      <c r="J8" s="9"/>
      <c r="K8" s="9"/>
    </row>
    <row r="9" spans="1:11" ht="20" customHeight="1" thickBot="1">
      <c r="A9" s="333">
        <v>1998</v>
      </c>
      <c r="B9" s="897">
        <v>197.28646689698576</v>
      </c>
      <c r="C9" s="452">
        <v>4.9052798358128147E-2</v>
      </c>
      <c r="D9" s="897">
        <v>125.29607374124997</v>
      </c>
      <c r="E9" s="452">
        <v>5.0920050587330845E-3</v>
      </c>
      <c r="F9" s="897">
        <v>51.799576777497641</v>
      </c>
      <c r="G9" s="452">
        <v>-1.0572539845860041E-3</v>
      </c>
    </row>
    <row r="10" spans="1:11" ht="20" customHeight="1" thickBot="1">
      <c r="A10" s="333">
        <v>1999</v>
      </c>
      <c r="B10" s="897">
        <v>203.88952141156713</v>
      </c>
      <c r="C10" s="452">
        <v>3.3469373842196726E-2</v>
      </c>
      <c r="D10" s="897">
        <v>130.21886901362492</v>
      </c>
      <c r="E10" s="452">
        <v>3.9289301934081866E-2</v>
      </c>
      <c r="F10" s="897">
        <v>53.348085764350309</v>
      </c>
      <c r="G10" s="452">
        <v>2.9894240130652117E-2</v>
      </c>
    </row>
    <row r="11" spans="1:11" ht="20" customHeight="1" thickBot="1">
      <c r="A11" s="333">
        <v>2000</v>
      </c>
      <c r="B11" s="897">
        <v>211.67614847185897</v>
      </c>
      <c r="C11" s="452">
        <v>3.8190422962315562E-2</v>
      </c>
      <c r="D11" s="897">
        <v>134.7191420153035</v>
      </c>
      <c r="E11" s="452">
        <v>3.4559300320813779E-2</v>
      </c>
      <c r="F11" s="897">
        <v>55.173206027906794</v>
      </c>
      <c r="G11" s="452">
        <v>3.4211541752752428E-2</v>
      </c>
    </row>
    <row r="12" spans="1:11" ht="20" customHeight="1" thickBot="1">
      <c r="A12" s="333">
        <v>2001</v>
      </c>
      <c r="B12" s="897">
        <v>223.27</v>
      </c>
      <c r="C12" s="452">
        <v>5.4771648160833575E-2</v>
      </c>
      <c r="D12" s="897">
        <v>149.77000000000001</v>
      </c>
      <c r="E12" s="452">
        <v>0.11172026305650617</v>
      </c>
      <c r="F12" s="897">
        <v>57.65</v>
      </c>
      <c r="G12" s="452">
        <v>4.4891246139302288E-2</v>
      </c>
    </row>
    <row r="13" spans="1:11" ht="20" customHeight="1" thickBot="1">
      <c r="A13" s="333">
        <v>2002</v>
      </c>
      <c r="B13" s="897">
        <v>245.01247000000001</v>
      </c>
      <c r="C13" s="452">
        <v>9.7381959063017831E-2</v>
      </c>
      <c r="D13" s="897">
        <v>172.20867000000001</v>
      </c>
      <c r="E13" s="452">
        <v>0.14982085864992989</v>
      </c>
      <c r="F13" s="897">
        <v>63.127989999999997</v>
      </c>
      <c r="G13" s="452">
        <v>9.502150910667817E-2</v>
      </c>
    </row>
    <row r="14" spans="1:11" ht="20" customHeight="1" thickBot="1">
      <c r="A14" s="333">
        <v>2003</v>
      </c>
      <c r="B14" s="897">
        <v>268.54743999999999</v>
      </c>
      <c r="C14" s="452">
        <v>9.6056212975608846E-2</v>
      </c>
      <c r="D14" s="897">
        <v>198.72591</v>
      </c>
      <c r="E14" s="452">
        <v>0.15398318795447397</v>
      </c>
      <c r="F14" s="897">
        <v>68.990499999999997</v>
      </c>
      <c r="G14" s="452">
        <v>9.2867046772754813E-2</v>
      </c>
    </row>
    <row r="15" spans="1:11" ht="20" customHeight="1" thickBot="1">
      <c r="A15" s="333">
        <v>2004</v>
      </c>
      <c r="B15" s="897">
        <v>279.98</v>
      </c>
      <c r="C15" s="452">
        <v>4.2571845034158562E-2</v>
      </c>
      <c r="D15" s="897">
        <v>213.29</v>
      </c>
      <c r="E15" s="452">
        <v>7.3287323228259371E-2</v>
      </c>
      <c r="F15" s="897">
        <v>71.84</v>
      </c>
      <c r="G15" s="452">
        <v>4.1302788065023632E-2</v>
      </c>
    </row>
    <row r="16" spans="1:11" ht="20" customHeight="1" thickBot="1">
      <c r="A16" s="333">
        <v>2005</v>
      </c>
      <c r="B16" s="897">
        <v>290.21806622890591</v>
      </c>
      <c r="C16" s="452">
        <v>3.6567134184248395E-2</v>
      </c>
      <c r="D16" s="897">
        <v>225.09346768269774</v>
      </c>
      <c r="E16" s="452">
        <v>5.5339995699272171E-2</v>
      </c>
      <c r="F16" s="897">
        <v>71.95510451056029</v>
      </c>
      <c r="G16" s="452">
        <v>1.6022342784003385E-3</v>
      </c>
    </row>
    <row r="17" spans="1:12" ht="20" customHeight="1" thickBot="1">
      <c r="A17" s="333">
        <v>2006</v>
      </c>
      <c r="B17" s="897">
        <v>306.40836181971781</v>
      </c>
      <c r="C17" s="452">
        <v>5.5786656568933335E-2</v>
      </c>
      <c r="D17" s="897">
        <v>241.17388660184943</v>
      </c>
      <c r="E17" s="452">
        <v>7.1438851978678608E-2</v>
      </c>
      <c r="F17" s="897">
        <v>74.466353915536445</v>
      </c>
      <c r="G17" s="452">
        <v>3.4900225940295959E-2</v>
      </c>
    </row>
    <row r="18" spans="1:12" ht="20" customHeight="1" thickBot="1">
      <c r="A18" s="333">
        <v>2007</v>
      </c>
      <c r="B18" s="897">
        <v>313.01044236889447</v>
      </c>
      <c r="C18" s="452">
        <v>2.1546672257792832E-2</v>
      </c>
      <c r="D18" s="897">
        <v>246.30400307180668</v>
      </c>
      <c r="E18" s="452">
        <v>2.1271442535677476E-2</v>
      </c>
      <c r="F18" s="897">
        <v>75.718485025980357</v>
      </c>
      <c r="G18" s="452">
        <v>1.6814722953458094E-2</v>
      </c>
    </row>
    <row r="19" spans="1:12" ht="20" customHeight="1" thickBot="1">
      <c r="A19" s="333">
        <v>2008</v>
      </c>
      <c r="B19" s="897">
        <v>314.60604194243149</v>
      </c>
      <c r="C19" s="452">
        <v>5.097592148879615E-3</v>
      </c>
      <c r="D19" s="897">
        <v>248.01478980217522</v>
      </c>
      <c r="E19" s="452">
        <v>6.9458340466752588E-3</v>
      </c>
      <c r="F19" s="897">
        <v>75.260357578802569</v>
      </c>
      <c r="G19" s="452">
        <v>-6.0504042971883942E-3</v>
      </c>
    </row>
    <row r="20" spans="1:12" ht="20" customHeight="1" thickBot="1">
      <c r="A20" s="333">
        <v>2009</v>
      </c>
      <c r="B20" s="897">
        <v>322.86486279268746</v>
      </c>
      <c r="C20" s="452">
        <v>2.6251310366655956E-2</v>
      </c>
      <c r="D20" s="897">
        <v>258.51834876494348</v>
      </c>
      <c r="E20" s="452">
        <v>4.2350534704588494E-2</v>
      </c>
      <c r="F20" s="897">
        <v>76.359591370012836</v>
      </c>
      <c r="G20" s="452">
        <v>1.4605747654856671E-2</v>
      </c>
    </row>
    <row r="21" spans="1:12" ht="20" customHeight="1" thickBot="1">
      <c r="A21" s="333">
        <v>2010</v>
      </c>
      <c r="B21" s="897">
        <v>351.05082991253505</v>
      </c>
      <c r="C21" s="452">
        <v>8.7299580623444673E-2</v>
      </c>
      <c r="D21" s="897">
        <v>293.85185032818998</v>
      </c>
      <c r="E21" s="452">
        <v>0.13667695825867021</v>
      </c>
      <c r="F21" s="897">
        <v>84.027090196386368</v>
      </c>
      <c r="G21" s="452">
        <v>0.10041304162065789</v>
      </c>
    </row>
    <row r="22" spans="1:12" ht="20" customHeight="1" thickBot="1">
      <c r="A22" s="333">
        <v>2011</v>
      </c>
      <c r="B22" s="897">
        <v>373.81789265832555</v>
      </c>
      <c r="C22" s="452">
        <v>6.4854034817302564E-2</v>
      </c>
      <c r="D22" s="897">
        <v>328.49835406580917</v>
      </c>
      <c r="E22" s="452">
        <v>0.11790466420042645</v>
      </c>
      <c r="F22" s="897">
        <v>89.330984822405611</v>
      </c>
      <c r="G22" s="452">
        <v>6.3121245941315962E-2</v>
      </c>
    </row>
    <row r="23" spans="1:12" ht="30" customHeight="1" thickBot="1">
      <c r="A23" s="431">
        <v>2012</v>
      </c>
      <c r="B23" s="898">
        <v>382.00328757086839</v>
      </c>
      <c r="C23" s="314">
        <v>2.189674457349855E-2</v>
      </c>
      <c r="D23" s="898">
        <v>343.05838678587634</v>
      </c>
      <c r="E23" s="314">
        <v>4.4323000526055312E-2</v>
      </c>
      <c r="F23" s="898">
        <v>90.589348150346225</v>
      </c>
      <c r="G23" s="314">
        <v>1.4086526981005543E-2</v>
      </c>
    </row>
    <row r="24" spans="1:12" ht="20" customHeight="1">
      <c r="A24" s="95" t="s">
        <v>1572</v>
      </c>
      <c r="B24" s="95"/>
      <c r="C24" s="95"/>
      <c r="D24" s="95"/>
      <c r="E24" s="95"/>
      <c r="F24" s="468"/>
      <c r="G24" s="95"/>
    </row>
    <row r="25" spans="1:12" ht="14.25" customHeight="1">
      <c r="A25" s="96"/>
      <c r="B25" s="96"/>
      <c r="C25" s="96"/>
      <c r="D25" s="96"/>
      <c r="E25" s="96"/>
      <c r="F25" s="469"/>
      <c r="G25" s="96"/>
    </row>
    <row r="26" spans="1:12" ht="14.25" customHeight="1">
      <c r="A26" s="96" t="s">
        <v>1556</v>
      </c>
      <c r="B26" s="136"/>
      <c r="C26" s="136"/>
      <c r="D26" s="136"/>
      <c r="E26" s="136"/>
      <c r="F26" s="136"/>
      <c r="G26" s="136"/>
      <c r="H26" s="136"/>
      <c r="I26" s="732"/>
    </row>
    <row r="27" spans="1:12" ht="20" customHeight="1">
      <c r="A27" s="96"/>
      <c r="B27" s="136"/>
      <c r="C27" s="136"/>
      <c r="D27" s="136"/>
      <c r="E27" s="136"/>
      <c r="F27" s="136"/>
      <c r="G27" s="136"/>
      <c r="H27" s="136"/>
      <c r="I27" s="732"/>
    </row>
    <row r="28" spans="1:12" ht="20" customHeight="1">
      <c r="A28" s="3" t="s">
        <v>1557</v>
      </c>
      <c r="B28" s="136"/>
      <c r="C28" s="136"/>
      <c r="D28" s="136"/>
      <c r="E28" s="136"/>
      <c r="F28" s="136"/>
      <c r="G28" s="136"/>
      <c r="H28" s="136"/>
      <c r="I28" s="732"/>
      <c r="J28" s="4"/>
      <c r="K28" s="4"/>
      <c r="L28" s="4"/>
    </row>
    <row r="29" spans="1:12" ht="12.75" customHeight="1">
      <c r="A29" s="96" t="s">
        <v>1558</v>
      </c>
      <c r="B29" s="136"/>
      <c r="C29" s="136"/>
      <c r="D29" s="136"/>
      <c r="E29" s="136"/>
      <c r="F29" s="136"/>
      <c r="G29" s="136"/>
      <c r="H29" s="136"/>
      <c r="I29" s="732"/>
    </row>
    <row r="30" spans="1:12">
      <c r="A30" s="3" t="s">
        <v>1559</v>
      </c>
      <c r="F30" s="3"/>
    </row>
    <row r="31" spans="1:12">
      <c r="A31" s="3" t="s">
        <v>1560</v>
      </c>
      <c r="F31" s="3"/>
    </row>
    <row r="32" spans="1:12">
      <c r="A32" s="3" t="s">
        <v>1561</v>
      </c>
      <c r="F32" s="3"/>
    </row>
    <row r="33" spans="1:6">
      <c r="A33" s="3" t="s">
        <v>1562</v>
      </c>
      <c r="F33" s="3"/>
    </row>
    <row r="34" spans="1:6">
      <c r="A34" s="96" t="s">
        <v>1563</v>
      </c>
      <c r="F34" s="3"/>
    </row>
    <row r="35" spans="1:6">
      <c r="A35" s="96" t="s">
        <v>1564</v>
      </c>
      <c r="F35" s="3"/>
    </row>
    <row r="36" spans="1:6">
      <c r="A36" s="899" t="s">
        <v>1565</v>
      </c>
      <c r="F36" s="3"/>
    </row>
    <row r="37" spans="1:6">
      <c r="A37" s="3" t="s">
        <v>1566</v>
      </c>
      <c r="F37" s="3"/>
    </row>
    <row r="38" spans="1:6">
      <c r="A38" s="3" t="s">
        <v>1567</v>
      </c>
      <c r="F38" s="3"/>
    </row>
    <row r="39" spans="1:6">
      <c r="A39" s="3" t="s">
        <v>1568</v>
      </c>
      <c r="F39" s="3"/>
    </row>
    <row r="40" spans="1:6">
      <c r="A40" s="900" t="s">
        <v>1569</v>
      </c>
      <c r="F40" s="3"/>
    </row>
    <row r="43" spans="1:6">
      <c r="A43" s="3" t="s">
        <v>677</v>
      </c>
    </row>
  </sheetData>
  <pageMargins left="0.43307086614173229" right="0.27559055118110237" top="0.87" bottom="0.47244094488188981" header="0.51181102362204722" footer="0.51181102362204722"/>
  <pageSetup paperSize="9" scale="80" orientation="portrait" horizontalDpi="4294967292" verticalDpi="4294967292"/>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AC35F-D58B-EC4E-B925-F33063F842D2}">
  <sheetPr>
    <pageSetUpPr fitToPage="1"/>
  </sheetPr>
  <dimension ref="A1:L45"/>
  <sheetViews>
    <sheetView zoomScaleNormal="100" workbookViewId="0">
      <selection activeCell="I10" sqref="I10"/>
    </sheetView>
  </sheetViews>
  <sheetFormatPr baseColWidth="10" defaultColWidth="11.3984375" defaultRowHeight="13"/>
  <cols>
    <col min="1" max="1" width="15.19921875" style="3" customWidth="1"/>
    <col min="2" max="6" width="15.796875" style="3" customWidth="1"/>
    <col min="7" max="8" width="14.3984375" style="3" customWidth="1"/>
    <col min="9" max="16384" width="11.3984375" style="3"/>
  </cols>
  <sheetData>
    <row r="1" spans="1:8" s="2" customFormat="1" ht="14" customHeight="1">
      <c r="A1" s="242"/>
      <c r="B1" s="242"/>
      <c r="C1" s="242"/>
      <c r="D1" s="242"/>
      <c r="E1" s="242"/>
      <c r="F1" s="242"/>
    </row>
    <row r="2" spans="1:8" s="2" customFormat="1" ht="23.25" customHeight="1">
      <c r="A2" s="371" t="s">
        <v>1551</v>
      </c>
      <c r="B2" s="242"/>
      <c r="C2" s="242"/>
      <c r="D2" s="242"/>
      <c r="E2" s="242"/>
      <c r="F2" s="242"/>
    </row>
    <row r="3" spans="1:8" s="2" customFormat="1" ht="27.75" customHeight="1">
      <c r="A3" s="371" t="s">
        <v>1574</v>
      </c>
      <c r="B3" s="242"/>
      <c r="C3" s="242"/>
      <c r="D3" s="242"/>
      <c r="E3" s="242"/>
      <c r="F3" s="242"/>
    </row>
    <row r="4" spans="1:8" ht="20.5" customHeight="1">
      <c r="A4" s="72" t="s">
        <v>203</v>
      </c>
      <c r="B4" s="877" t="s">
        <v>1535</v>
      </c>
      <c r="C4" s="878" t="s">
        <v>1536</v>
      </c>
      <c r="D4" s="877" t="s">
        <v>1537</v>
      </c>
      <c r="E4" s="878" t="s">
        <v>1538</v>
      </c>
      <c r="F4" s="877" t="s">
        <v>1548</v>
      </c>
      <c r="G4" s="879" t="s">
        <v>585</v>
      </c>
      <c r="H4" s="880" t="s">
        <v>1539</v>
      </c>
    </row>
    <row r="5" spans="1:8" ht="16.75" customHeight="1">
      <c r="A5" s="328"/>
      <c r="B5" s="881"/>
      <c r="C5" s="882"/>
      <c r="D5" s="881"/>
      <c r="E5" s="882"/>
      <c r="F5" s="883" t="s">
        <v>1550</v>
      </c>
      <c r="G5" s="884" t="s">
        <v>586</v>
      </c>
      <c r="H5" s="885" t="s">
        <v>1541</v>
      </c>
    </row>
    <row r="6" spans="1:8" ht="19.75" customHeight="1">
      <c r="A6" s="849"/>
      <c r="B6" s="440"/>
      <c r="C6" s="894"/>
      <c r="D6" s="440"/>
      <c r="E6" s="894"/>
      <c r="F6" s="895"/>
      <c r="G6" s="886" t="s">
        <v>210</v>
      </c>
      <c r="H6" s="887" t="s">
        <v>585</v>
      </c>
    </row>
    <row r="7" spans="1:8" ht="18.5" customHeight="1">
      <c r="A7" s="329"/>
      <c r="B7" s="82"/>
      <c r="C7" s="81"/>
      <c r="D7" s="82"/>
      <c r="E7" s="81"/>
      <c r="F7" s="110"/>
      <c r="G7" s="888"/>
      <c r="H7" s="889" t="s">
        <v>1575</v>
      </c>
    </row>
    <row r="8" spans="1:8" ht="30" customHeight="1" thickBot="1">
      <c r="A8" s="821" t="s">
        <v>211</v>
      </c>
      <c r="B8" s="308">
        <v>417.67923999999999</v>
      </c>
      <c r="C8" s="428">
        <v>373.84915699999999</v>
      </c>
      <c r="D8" s="308">
        <v>347.98561999999998</v>
      </c>
      <c r="E8" s="428" t="s">
        <v>1442</v>
      </c>
      <c r="F8" s="890">
        <v>377.61918084331967</v>
      </c>
      <c r="G8" s="309">
        <v>4.0934457670210644E-2</v>
      </c>
      <c r="H8" s="300">
        <v>5.4565572079209979E-2</v>
      </c>
    </row>
    <row r="9" spans="1:8" ht="20" customHeight="1" thickBot="1">
      <c r="A9" s="825" t="s">
        <v>212</v>
      </c>
      <c r="B9" s="429">
        <v>456.762968</v>
      </c>
      <c r="C9" s="430">
        <v>405.97130399999998</v>
      </c>
      <c r="D9" s="429">
        <v>383.47569399999998</v>
      </c>
      <c r="E9" s="430" t="s">
        <v>1442</v>
      </c>
      <c r="F9" s="891">
        <v>416.2671021851217</v>
      </c>
      <c r="G9" s="452">
        <v>-6.4508779029118779E-3</v>
      </c>
      <c r="H9" s="301">
        <v>5.9565676186361438E-2</v>
      </c>
    </row>
    <row r="10" spans="1:8" ht="20" customHeight="1" thickBot="1">
      <c r="A10" s="825" t="s">
        <v>213</v>
      </c>
      <c r="B10" s="429">
        <v>357.19531799999999</v>
      </c>
      <c r="C10" s="430">
        <v>333.59673099999998</v>
      </c>
      <c r="D10" s="429">
        <v>318.95687299999997</v>
      </c>
      <c r="E10" s="430" t="s">
        <v>1442</v>
      </c>
      <c r="F10" s="891">
        <v>338.86695366726627</v>
      </c>
      <c r="G10" s="452">
        <v>2.1623610414059691E-2</v>
      </c>
      <c r="H10" s="301">
        <v>5.7228545075399317E-2</v>
      </c>
    </row>
    <row r="11" spans="1:8" ht="20" customHeight="1" thickBot="1">
      <c r="A11" s="825" t="s">
        <v>214</v>
      </c>
      <c r="B11" s="429" t="s">
        <v>1442</v>
      </c>
      <c r="C11" s="430" t="s">
        <v>1442</v>
      </c>
      <c r="D11" s="429" t="s">
        <v>1442</v>
      </c>
      <c r="E11" s="430">
        <v>318.944277</v>
      </c>
      <c r="F11" s="891">
        <v>318.94427699388808</v>
      </c>
      <c r="G11" s="452">
        <v>3.402986527071139E-2</v>
      </c>
      <c r="H11" s="301">
        <v>5.2265175511138739E-2</v>
      </c>
    </row>
    <row r="12" spans="1:8" ht="20" customHeight="1" thickBot="1">
      <c r="A12" s="825" t="s">
        <v>215</v>
      </c>
      <c r="B12" s="429" t="s">
        <v>1442</v>
      </c>
      <c r="C12" s="430" t="s">
        <v>1442</v>
      </c>
      <c r="D12" s="429" t="s">
        <v>1442</v>
      </c>
      <c r="E12" s="430">
        <v>328.67390599999999</v>
      </c>
      <c r="F12" s="891">
        <v>328.67390548522229</v>
      </c>
      <c r="G12" s="452">
        <v>2.5696721396853972E-2</v>
      </c>
      <c r="H12" s="301">
        <v>5.4669525232173832E-2</v>
      </c>
    </row>
    <row r="13" spans="1:8" ht="20" customHeight="1" thickBot="1">
      <c r="A13" s="825" t="s">
        <v>216</v>
      </c>
      <c r="B13" s="429" t="s">
        <v>1442</v>
      </c>
      <c r="C13" s="430" t="s">
        <v>1442</v>
      </c>
      <c r="D13" s="429" t="s">
        <v>1442</v>
      </c>
      <c r="E13" s="430">
        <v>310.36735299999998</v>
      </c>
      <c r="F13" s="891">
        <v>310.3673534975465</v>
      </c>
      <c r="G13" s="452">
        <v>1.0165052462613122E-2</v>
      </c>
      <c r="H13" s="301">
        <v>5.0130693516078573E-2</v>
      </c>
    </row>
    <row r="14" spans="1:8" ht="20" customHeight="1" thickBot="1">
      <c r="A14" s="825" t="s">
        <v>217</v>
      </c>
      <c r="B14" s="429" t="s">
        <v>1442</v>
      </c>
      <c r="C14" s="430" t="s">
        <v>1442</v>
      </c>
      <c r="D14" s="429" t="s">
        <v>1442</v>
      </c>
      <c r="E14" s="430">
        <v>292.27189299999998</v>
      </c>
      <c r="F14" s="891">
        <v>292.27189294977222</v>
      </c>
      <c r="G14" s="452">
        <v>3.5681358401181251E-2</v>
      </c>
      <c r="H14" s="301">
        <v>4.9217401439490827E-2</v>
      </c>
    </row>
    <row r="15" spans="1:8" ht="20" customHeight="1" thickBot="1">
      <c r="A15" s="825" t="s">
        <v>218</v>
      </c>
      <c r="B15" s="429" t="s">
        <v>1442</v>
      </c>
      <c r="C15" s="430" t="s">
        <v>1442</v>
      </c>
      <c r="D15" s="429" t="s">
        <v>1442</v>
      </c>
      <c r="E15" s="430">
        <v>330.88971700000002</v>
      </c>
      <c r="F15" s="891">
        <v>330.88971682048674</v>
      </c>
      <c r="G15" s="452">
        <v>3.60656023116257E-2</v>
      </c>
      <c r="H15" s="301">
        <v>6.0174961147791972E-2</v>
      </c>
    </row>
    <row r="16" spans="1:8" ht="20" customHeight="1" thickBot="1">
      <c r="A16" s="825" t="s">
        <v>219</v>
      </c>
      <c r="B16" s="429" t="s">
        <v>1442</v>
      </c>
      <c r="C16" s="430" t="s">
        <v>1442</v>
      </c>
      <c r="D16" s="429" t="s">
        <v>1442</v>
      </c>
      <c r="E16" s="430">
        <v>326.94476700000001</v>
      </c>
      <c r="F16" s="891">
        <v>326.9447660548422</v>
      </c>
      <c r="G16" s="452">
        <v>3.2644655008142287E-2</v>
      </c>
      <c r="H16" s="301">
        <v>5.3361487064392366E-2</v>
      </c>
    </row>
    <row r="17" spans="1:8" ht="20" customHeight="1" thickBot="1">
      <c r="A17" s="825" t="s">
        <v>220</v>
      </c>
      <c r="B17" s="429">
        <v>381.71252500000003</v>
      </c>
      <c r="C17" s="430">
        <v>347.03391199999999</v>
      </c>
      <c r="D17" s="429" t="s">
        <v>1442</v>
      </c>
      <c r="E17" s="430" t="s">
        <v>1442</v>
      </c>
      <c r="F17" s="891">
        <v>358.9694303161827</v>
      </c>
      <c r="G17" s="452">
        <v>4.4338181400650045E-2</v>
      </c>
      <c r="H17" s="301">
        <v>4.4625593043412515E-2</v>
      </c>
    </row>
    <row r="18" spans="1:8" ht="20" customHeight="1" thickBot="1">
      <c r="A18" s="825" t="s">
        <v>221</v>
      </c>
      <c r="B18" s="429" t="s">
        <v>1442</v>
      </c>
      <c r="C18" s="430" t="s">
        <v>1442</v>
      </c>
      <c r="D18" s="429" t="s">
        <v>1442</v>
      </c>
      <c r="E18" s="430">
        <v>360.99922299999997</v>
      </c>
      <c r="F18" s="891">
        <v>360.99922250952449</v>
      </c>
      <c r="G18" s="452">
        <v>2.8492639215490723E-2</v>
      </c>
      <c r="H18" s="301">
        <v>5.4906907969468843E-2</v>
      </c>
    </row>
    <row r="19" spans="1:8" ht="20" customHeight="1" thickBot="1">
      <c r="A19" s="825" t="s">
        <v>222</v>
      </c>
      <c r="B19" s="429" t="s">
        <v>1442</v>
      </c>
      <c r="C19" s="430" t="s">
        <v>1442</v>
      </c>
      <c r="D19" s="429" t="s">
        <v>1442</v>
      </c>
      <c r="E19" s="430">
        <v>500.43803700000001</v>
      </c>
      <c r="F19" s="891">
        <v>500.43803737628451</v>
      </c>
      <c r="G19" s="452">
        <v>3.3623187017745693E-2</v>
      </c>
      <c r="H19" s="301">
        <v>5.9840653273764532E-2</v>
      </c>
    </row>
    <row r="20" spans="1:8" ht="20" customHeight="1" thickBot="1">
      <c r="A20" s="825" t="s">
        <v>223</v>
      </c>
      <c r="B20" s="429">
        <v>417.05747000000002</v>
      </c>
      <c r="C20" s="430">
        <v>386.45733799999999</v>
      </c>
      <c r="D20" s="429" t="s">
        <v>1442</v>
      </c>
      <c r="E20" s="430" t="s">
        <v>1442</v>
      </c>
      <c r="F20" s="891">
        <v>408.51352404857448</v>
      </c>
      <c r="G20" s="452">
        <v>2.44253544426698E-2</v>
      </c>
      <c r="H20" s="301">
        <v>5.6382761191296815E-2</v>
      </c>
    </row>
    <row r="21" spans="1:8" ht="20" customHeight="1" thickBot="1">
      <c r="A21" s="825" t="s">
        <v>224</v>
      </c>
      <c r="B21" s="429">
        <v>373.823916</v>
      </c>
      <c r="C21" s="430">
        <v>349.37076500000001</v>
      </c>
      <c r="D21" s="429" t="s">
        <v>1442</v>
      </c>
      <c r="E21" s="430" t="s">
        <v>1442</v>
      </c>
      <c r="F21" s="891">
        <v>363.85780291767867</v>
      </c>
      <c r="G21" s="452">
        <v>2.6266854916634053E-2</v>
      </c>
      <c r="H21" s="301">
        <v>5.9755921204247775E-2</v>
      </c>
    </row>
    <row r="22" spans="1:8" ht="20" customHeight="1" thickBot="1">
      <c r="A22" s="825" t="s">
        <v>225</v>
      </c>
      <c r="B22" s="429" t="s">
        <v>1442</v>
      </c>
      <c r="C22" s="430" t="s">
        <v>1442</v>
      </c>
      <c r="D22" s="429" t="s">
        <v>1442</v>
      </c>
      <c r="E22" s="430">
        <v>307.313579</v>
      </c>
      <c r="F22" s="891">
        <v>307.31357992016581</v>
      </c>
      <c r="G22" s="452">
        <v>4.0981286277525841E-2</v>
      </c>
      <c r="H22" s="301">
        <v>6.0171565359210533E-2</v>
      </c>
    </row>
    <row r="23" spans="1:8" ht="20" customHeight="1" thickBot="1">
      <c r="A23" s="825" t="s">
        <v>226</v>
      </c>
      <c r="B23" s="429" t="s">
        <v>1442</v>
      </c>
      <c r="C23" s="430" t="s">
        <v>1442</v>
      </c>
      <c r="D23" s="429" t="s">
        <v>1442</v>
      </c>
      <c r="E23" s="430">
        <v>292.46963099999999</v>
      </c>
      <c r="F23" s="891">
        <v>292.4696308810577</v>
      </c>
      <c r="G23" s="452">
        <v>5.5056522160260135E-2</v>
      </c>
      <c r="H23" s="301">
        <v>5.8656314028259215E-2</v>
      </c>
    </row>
    <row r="24" spans="1:8" ht="20" customHeight="1" thickBot="1">
      <c r="A24" s="825" t="s">
        <v>227</v>
      </c>
      <c r="B24" s="429">
        <v>368.89890800000001</v>
      </c>
      <c r="C24" s="430">
        <v>338.01393100000001</v>
      </c>
      <c r="D24" s="429">
        <v>325.77882799999998</v>
      </c>
      <c r="E24" s="430" t="s">
        <v>1442</v>
      </c>
      <c r="F24" s="891">
        <v>344.00368479354808</v>
      </c>
      <c r="G24" s="452">
        <v>3.8063764232788788E-2</v>
      </c>
      <c r="H24" s="301">
        <v>6.2753470801659939E-2</v>
      </c>
    </row>
    <row r="25" spans="1:8" ht="20" customHeight="1" thickBot="1">
      <c r="A25" s="825" t="s">
        <v>228</v>
      </c>
      <c r="B25" s="429">
        <v>341.96587299999999</v>
      </c>
      <c r="C25" s="430">
        <v>314.48668300000003</v>
      </c>
      <c r="D25" s="429">
        <v>303.05393800000002</v>
      </c>
      <c r="E25" s="430" t="s">
        <v>1442</v>
      </c>
      <c r="F25" s="891">
        <v>318.90078507549208</v>
      </c>
      <c r="G25" s="452">
        <v>1.9920224760267669E-2</v>
      </c>
      <c r="H25" s="301">
        <v>6.1551769919691246E-2</v>
      </c>
    </row>
    <row r="26" spans="1:8" ht="20" customHeight="1" thickBot="1">
      <c r="A26" s="825" t="s">
        <v>229</v>
      </c>
      <c r="B26" s="429" t="s">
        <v>1442</v>
      </c>
      <c r="C26" s="430" t="s">
        <v>1442</v>
      </c>
      <c r="D26" s="429" t="s">
        <v>1442</v>
      </c>
      <c r="E26" s="430">
        <v>360.41037899999998</v>
      </c>
      <c r="F26" s="891">
        <v>360.41037804498535</v>
      </c>
      <c r="G26" s="452">
        <v>2.6637480797936153E-2</v>
      </c>
      <c r="H26" s="301">
        <v>6.4578599334856879E-2</v>
      </c>
    </row>
    <row r="27" spans="1:8" ht="20" customHeight="1" thickBot="1">
      <c r="A27" s="825" t="s">
        <v>230</v>
      </c>
      <c r="B27" s="429" t="s">
        <v>1442</v>
      </c>
      <c r="C27" s="430" t="s">
        <v>1442</v>
      </c>
      <c r="D27" s="429" t="s">
        <v>1442</v>
      </c>
      <c r="E27" s="430">
        <v>344.333191</v>
      </c>
      <c r="F27" s="891">
        <v>344.333191251036</v>
      </c>
      <c r="G27" s="452">
        <v>2.0012583177305032E-2</v>
      </c>
      <c r="H27" s="301">
        <v>6.23890220806953E-2</v>
      </c>
    </row>
    <row r="28" spans="1:8" ht="20" customHeight="1" thickBot="1">
      <c r="A28" s="825" t="s">
        <v>231</v>
      </c>
      <c r="B28" s="429">
        <v>411.36721999999997</v>
      </c>
      <c r="C28" s="430">
        <v>383.00869499999999</v>
      </c>
      <c r="D28" s="429" t="s">
        <v>1442</v>
      </c>
      <c r="E28" s="430" t="s">
        <v>1442</v>
      </c>
      <c r="F28" s="891">
        <v>407.09087715537589</v>
      </c>
      <c r="G28" s="452">
        <v>-1.0244280943132456E-2</v>
      </c>
      <c r="H28" s="301">
        <v>4.475517784956029E-2</v>
      </c>
    </row>
    <row r="29" spans="1:8" ht="20" customHeight="1" thickBot="1">
      <c r="A29" s="825" t="s">
        <v>232</v>
      </c>
      <c r="B29" s="429">
        <v>427.35419899999999</v>
      </c>
      <c r="C29" s="430">
        <v>400.09993200000002</v>
      </c>
      <c r="D29" s="429" t="s">
        <v>1442</v>
      </c>
      <c r="E29" s="430" t="s">
        <v>1442</v>
      </c>
      <c r="F29" s="891">
        <v>418.8273087706998</v>
      </c>
      <c r="G29" s="452">
        <v>1.451508959077108E-2</v>
      </c>
      <c r="H29" s="301">
        <v>3.169560343308464E-2</v>
      </c>
    </row>
    <row r="30" spans="1:8" ht="20" customHeight="1" thickBot="1">
      <c r="A30" s="825" t="s">
        <v>233</v>
      </c>
      <c r="B30" s="429">
        <v>336.42442</v>
      </c>
      <c r="C30" s="430">
        <v>313.713596</v>
      </c>
      <c r="D30" s="429" t="s">
        <v>1442</v>
      </c>
      <c r="E30" s="430" t="s">
        <v>1442</v>
      </c>
      <c r="F30" s="891">
        <v>329.54237235326474</v>
      </c>
      <c r="G30" s="452">
        <v>2.3119502419846727E-2</v>
      </c>
      <c r="H30" s="301">
        <v>4.1641925398960389E-2</v>
      </c>
    </row>
    <row r="31" spans="1:8" ht="20" customHeight="1" thickBot="1">
      <c r="A31" s="825" t="s">
        <v>234</v>
      </c>
      <c r="B31" s="429" t="s">
        <v>1442</v>
      </c>
      <c r="C31" s="430" t="s">
        <v>1442</v>
      </c>
      <c r="D31" s="429" t="s">
        <v>1442</v>
      </c>
      <c r="E31" s="430">
        <v>395.39444700000001</v>
      </c>
      <c r="F31" s="891">
        <v>395.3944468528702</v>
      </c>
      <c r="G31" s="452">
        <v>1.3835637321920835E-2</v>
      </c>
      <c r="H31" s="301">
        <v>4.7984378412731621E-2</v>
      </c>
    </row>
    <row r="32" spans="1:8" ht="20" customHeight="1" thickBot="1">
      <c r="A32" s="825" t="s">
        <v>235</v>
      </c>
      <c r="B32" s="429" t="s">
        <v>1442</v>
      </c>
      <c r="C32" s="430" t="s">
        <v>1442</v>
      </c>
      <c r="D32" s="429" t="s">
        <v>1442</v>
      </c>
      <c r="E32" s="430">
        <v>462.69534900000002</v>
      </c>
      <c r="F32" s="891">
        <v>462.69534969312565</v>
      </c>
      <c r="G32" s="452">
        <v>2.9358668729571491E-2</v>
      </c>
      <c r="H32" s="301">
        <v>3.6112916052658539E-2</v>
      </c>
    </row>
    <row r="33" spans="1:12" ht="20" customHeight="1" thickBot="1">
      <c r="A33" s="825" t="s">
        <v>236</v>
      </c>
      <c r="B33" s="429" t="s">
        <v>1442</v>
      </c>
      <c r="C33" s="430" t="s">
        <v>1442</v>
      </c>
      <c r="D33" s="429" t="s">
        <v>1442</v>
      </c>
      <c r="E33" s="430">
        <v>391.460847</v>
      </c>
      <c r="F33" s="891">
        <v>391.46084801633936</v>
      </c>
      <c r="G33" s="452">
        <v>3.0600021637248398E-2</v>
      </c>
      <c r="H33" s="301">
        <v>4.699071076967809E-2</v>
      </c>
    </row>
    <row r="34" spans="1:12" s="115" customFormat="1" ht="30" customHeight="1" thickBot="1">
      <c r="A34" s="91" t="s">
        <v>0</v>
      </c>
      <c r="B34" s="313" t="s">
        <v>1442</v>
      </c>
      <c r="C34" s="768" t="s">
        <v>1442</v>
      </c>
      <c r="D34" s="313" t="s">
        <v>1442</v>
      </c>
      <c r="E34" s="768" t="s">
        <v>1442</v>
      </c>
      <c r="F34" s="313">
        <v>382.00328757086839</v>
      </c>
      <c r="G34" s="837">
        <v>2.189674457349855E-2</v>
      </c>
      <c r="H34" s="772">
        <v>5.072426882469494E-2</v>
      </c>
    </row>
    <row r="35" spans="1:12" ht="20" customHeight="1">
      <c r="A35" s="95" t="s">
        <v>1572</v>
      </c>
      <c r="B35" s="892"/>
      <c r="C35" s="892"/>
      <c r="D35" s="892"/>
      <c r="E35" s="892"/>
      <c r="F35" s="892"/>
    </row>
    <row r="36" spans="1:12" ht="12.75" customHeight="1">
      <c r="A36" s="96"/>
      <c r="B36" s="893"/>
      <c r="C36" s="893"/>
      <c r="D36" s="893"/>
      <c r="E36" s="893"/>
      <c r="F36" s="893"/>
    </row>
    <row r="37" spans="1:12" ht="15.75" customHeight="1">
      <c r="A37" s="96" t="s">
        <v>1542</v>
      </c>
      <c r="B37" s="893"/>
      <c r="C37" s="893"/>
      <c r="D37" s="893"/>
      <c r="E37" s="893"/>
      <c r="F37" s="893"/>
    </row>
    <row r="38" spans="1:12" ht="13.5" customHeight="1">
      <c r="A38" s="96"/>
      <c r="B38" s="893"/>
      <c r="C38" s="893"/>
      <c r="D38" s="893"/>
      <c r="E38" s="893"/>
      <c r="F38" s="893"/>
    </row>
    <row r="39" spans="1:12" ht="12.75" customHeight="1">
      <c r="A39" s="96" t="s">
        <v>1543</v>
      </c>
      <c r="B39" s="893"/>
      <c r="C39" s="893"/>
      <c r="D39" s="893"/>
      <c r="E39" s="893"/>
      <c r="F39" s="893"/>
    </row>
    <row r="40" spans="1:12">
      <c r="A40" s="3" t="s">
        <v>1544</v>
      </c>
      <c r="B40" s="138"/>
      <c r="C40" s="138"/>
      <c r="D40" s="138"/>
      <c r="E40" s="138"/>
      <c r="F40" s="138"/>
    </row>
    <row r="41" spans="1:12">
      <c r="A41" s="3" t="s">
        <v>1545</v>
      </c>
      <c r="B41" s="138"/>
      <c r="C41" s="138"/>
      <c r="D41" s="138"/>
      <c r="E41" s="138"/>
      <c r="F41" s="138"/>
    </row>
    <row r="42" spans="1:12">
      <c r="A42" s="3" t="s">
        <v>1546</v>
      </c>
      <c r="B42" s="138"/>
      <c r="C42" s="138"/>
      <c r="D42" s="138"/>
      <c r="E42" s="138"/>
      <c r="F42" s="138"/>
      <c r="J42" s="4"/>
      <c r="K42" s="4"/>
      <c r="L42" s="4"/>
    </row>
    <row r="43" spans="1:12">
      <c r="B43" s="138"/>
      <c r="C43" s="138"/>
      <c r="D43" s="138"/>
      <c r="E43" s="138"/>
      <c r="F43" s="138"/>
    </row>
    <row r="44" spans="1:12">
      <c r="B44" s="138"/>
      <c r="C44" s="138"/>
      <c r="D44" s="138"/>
      <c r="E44" s="138"/>
      <c r="F44" s="138"/>
    </row>
    <row r="45" spans="1:12">
      <c r="A45" s="3" t="s">
        <v>677</v>
      </c>
    </row>
  </sheetData>
  <pageMargins left="0.57999999999999996" right="0.62" top="0.78" bottom="0.47244094488188981" header="0.44" footer="0.51181102362204722"/>
  <pageSetup paperSize="9" scale="74" orientation="portrait"/>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E8D3A-A7AB-5545-AF04-4E264D0C6828}">
  <sheetPr>
    <pageSetUpPr fitToPage="1"/>
  </sheetPr>
  <dimension ref="A1:L45"/>
  <sheetViews>
    <sheetView zoomScale="75" workbookViewId="0">
      <selection activeCell="K20" sqref="K20"/>
    </sheetView>
  </sheetViews>
  <sheetFormatPr baseColWidth="10" defaultColWidth="11.3984375" defaultRowHeight="13"/>
  <cols>
    <col min="1" max="6" width="16" style="3" customWidth="1"/>
    <col min="7" max="8" width="14.3984375" style="3" customWidth="1"/>
    <col min="9" max="16384" width="11.3984375" style="3"/>
  </cols>
  <sheetData>
    <row r="1" spans="1:8" s="2" customFormat="1" ht="14" customHeight="1">
      <c r="A1" s="242"/>
      <c r="B1" s="242"/>
      <c r="C1" s="242"/>
      <c r="D1" s="242"/>
      <c r="E1" s="242"/>
      <c r="F1" s="242"/>
    </row>
    <row r="2" spans="1:8" s="2" customFormat="1" ht="21" customHeight="1">
      <c r="A2" s="371" t="s">
        <v>1547</v>
      </c>
      <c r="B2" s="242"/>
      <c r="C2" s="242"/>
      <c r="D2" s="242"/>
      <c r="E2" s="242"/>
      <c r="F2" s="242"/>
    </row>
    <row r="3" spans="1:8" s="2" customFormat="1" ht="27" customHeight="1">
      <c r="A3" s="371" t="s">
        <v>1573</v>
      </c>
      <c r="B3" s="242"/>
      <c r="C3" s="242"/>
      <c r="D3" s="242"/>
      <c r="E3" s="242"/>
      <c r="F3" s="242"/>
    </row>
    <row r="4" spans="1:8" ht="24" customHeight="1">
      <c r="A4" s="72" t="s">
        <v>203</v>
      </c>
      <c r="B4" s="877" t="s">
        <v>1535</v>
      </c>
      <c r="C4" s="878" t="s">
        <v>1536</v>
      </c>
      <c r="D4" s="877" t="s">
        <v>1537</v>
      </c>
      <c r="E4" s="878" t="s">
        <v>1538</v>
      </c>
      <c r="F4" s="877" t="s">
        <v>1548</v>
      </c>
      <c r="G4" s="879" t="s">
        <v>585</v>
      </c>
      <c r="H4" s="880" t="s">
        <v>1539</v>
      </c>
    </row>
    <row r="5" spans="1:8" ht="24.75" customHeight="1">
      <c r="A5" s="328"/>
      <c r="B5" s="881"/>
      <c r="C5" s="882"/>
      <c r="D5" s="881"/>
      <c r="E5" s="882"/>
      <c r="F5" s="883" t="s">
        <v>1549</v>
      </c>
      <c r="G5" s="884" t="s">
        <v>586</v>
      </c>
      <c r="H5" s="885" t="s">
        <v>1541</v>
      </c>
    </row>
    <row r="6" spans="1:8" ht="24.75" customHeight="1">
      <c r="A6" s="328"/>
      <c r="B6" s="881"/>
      <c r="C6" s="882"/>
      <c r="D6" s="881"/>
      <c r="E6" s="882"/>
      <c r="F6" s="883" t="s">
        <v>1550</v>
      </c>
      <c r="G6" s="886" t="s">
        <v>210</v>
      </c>
      <c r="H6" s="887" t="s">
        <v>585</v>
      </c>
    </row>
    <row r="7" spans="1:8" ht="16" customHeight="1">
      <c r="A7" s="329"/>
      <c r="B7" s="82"/>
      <c r="C7" s="81"/>
      <c r="D7" s="82"/>
      <c r="E7" s="81"/>
      <c r="F7" s="110"/>
      <c r="G7" s="888"/>
      <c r="H7" s="889" t="s">
        <v>1575</v>
      </c>
    </row>
    <row r="8" spans="1:8" ht="30" customHeight="1" thickBot="1">
      <c r="A8" s="821" t="s">
        <v>211</v>
      </c>
      <c r="B8" s="308">
        <v>384.21990899999997</v>
      </c>
      <c r="C8" s="428">
        <v>340.212806</v>
      </c>
      <c r="D8" s="308">
        <v>315.22763600000002</v>
      </c>
      <c r="E8" s="428" t="s">
        <v>1442</v>
      </c>
      <c r="F8" s="890">
        <v>341.13012901566736</v>
      </c>
      <c r="G8" s="309">
        <v>6.6105927168408796E-2</v>
      </c>
      <c r="H8" s="300">
        <v>7.3935194928065995E-2</v>
      </c>
    </row>
    <row r="9" spans="1:8" ht="20" customHeight="1" thickBot="1">
      <c r="A9" s="825" t="s">
        <v>212</v>
      </c>
      <c r="B9" s="429">
        <v>415.03308099999998</v>
      </c>
      <c r="C9" s="430">
        <v>358.46466900000001</v>
      </c>
      <c r="D9" s="429">
        <v>332.44506200000001</v>
      </c>
      <c r="E9" s="430" t="s">
        <v>1442</v>
      </c>
      <c r="F9" s="891">
        <v>367.2553201211507</v>
      </c>
      <c r="G9" s="452">
        <v>1.1997396384509695E-2</v>
      </c>
      <c r="H9" s="301">
        <v>7.9627048315026538E-2</v>
      </c>
    </row>
    <row r="10" spans="1:8" ht="20" customHeight="1" thickBot="1">
      <c r="A10" s="825" t="s">
        <v>213</v>
      </c>
      <c r="B10" s="429">
        <v>318.005897</v>
      </c>
      <c r="C10" s="430">
        <v>296.90820500000001</v>
      </c>
      <c r="D10" s="429">
        <v>282.31586700000003</v>
      </c>
      <c r="E10" s="430" t="s">
        <v>1442</v>
      </c>
      <c r="F10" s="891">
        <v>299.41403662578278</v>
      </c>
      <c r="G10" s="452">
        <v>5.0117790934430806E-2</v>
      </c>
      <c r="H10" s="301">
        <v>7.2394754068052958E-2</v>
      </c>
    </row>
    <row r="11" spans="1:8" ht="20" customHeight="1" thickBot="1">
      <c r="A11" s="825" t="s">
        <v>214</v>
      </c>
      <c r="B11" s="429" t="s">
        <v>1442</v>
      </c>
      <c r="C11" s="430" t="s">
        <v>1442</v>
      </c>
      <c r="D11" s="429" t="s">
        <v>1442</v>
      </c>
      <c r="E11" s="430">
        <v>281.09856100000002</v>
      </c>
      <c r="F11" s="891">
        <v>281.09856100865784</v>
      </c>
      <c r="G11" s="452">
        <v>6.9232826423881733E-2</v>
      </c>
      <c r="H11" s="301">
        <v>6.6413096469116972E-2</v>
      </c>
    </row>
    <row r="12" spans="1:8" ht="20" customHeight="1" thickBot="1">
      <c r="A12" s="825" t="s">
        <v>215</v>
      </c>
      <c r="B12" s="429" t="s">
        <v>1442</v>
      </c>
      <c r="C12" s="430" t="s">
        <v>1442</v>
      </c>
      <c r="D12" s="429" t="s">
        <v>1442</v>
      </c>
      <c r="E12" s="430">
        <v>292.56858099999999</v>
      </c>
      <c r="F12" s="891">
        <v>292.56858103237357</v>
      </c>
      <c r="G12" s="452">
        <v>5.5199425583007056E-2</v>
      </c>
      <c r="H12" s="301">
        <v>6.9805285872395872E-2</v>
      </c>
    </row>
    <row r="13" spans="1:8" ht="20" customHeight="1" thickBot="1">
      <c r="A13" s="825" t="s">
        <v>216</v>
      </c>
      <c r="B13" s="429" t="s">
        <v>1442</v>
      </c>
      <c r="C13" s="430" t="s">
        <v>1442</v>
      </c>
      <c r="D13" s="429" t="s">
        <v>1442</v>
      </c>
      <c r="E13" s="430">
        <v>274.15981799999997</v>
      </c>
      <c r="F13" s="891">
        <v>274.15981821525202</v>
      </c>
      <c r="G13" s="452">
        <v>3.8337863197969835E-2</v>
      </c>
      <c r="H13" s="301">
        <v>6.4517409940133108E-2</v>
      </c>
    </row>
    <row r="14" spans="1:8" ht="20" customHeight="1" thickBot="1">
      <c r="A14" s="825" t="s">
        <v>217</v>
      </c>
      <c r="B14" s="429" t="s">
        <v>1442</v>
      </c>
      <c r="C14" s="430" t="s">
        <v>1442</v>
      </c>
      <c r="D14" s="429" t="s">
        <v>1442</v>
      </c>
      <c r="E14" s="430">
        <v>257.67690700000003</v>
      </c>
      <c r="F14" s="891">
        <v>257.67690737697444</v>
      </c>
      <c r="G14" s="452">
        <v>6.0741528483724494E-2</v>
      </c>
      <c r="H14" s="301">
        <v>6.4205583186385473E-2</v>
      </c>
    </row>
    <row r="15" spans="1:8" ht="20" customHeight="1" thickBot="1">
      <c r="A15" s="825" t="s">
        <v>218</v>
      </c>
      <c r="B15" s="429" t="s">
        <v>1442</v>
      </c>
      <c r="C15" s="430" t="s">
        <v>1442</v>
      </c>
      <c r="D15" s="429" t="s">
        <v>1442</v>
      </c>
      <c r="E15" s="430">
        <v>292.78220800000003</v>
      </c>
      <c r="F15" s="891">
        <v>292.78220915847419</v>
      </c>
      <c r="G15" s="452">
        <v>6.9666253033750181E-2</v>
      </c>
      <c r="H15" s="301">
        <v>7.6302824532291869E-2</v>
      </c>
    </row>
    <row r="16" spans="1:8" ht="20" customHeight="1" thickBot="1">
      <c r="A16" s="825" t="s">
        <v>219</v>
      </c>
      <c r="B16" s="429" t="s">
        <v>1442</v>
      </c>
      <c r="C16" s="430" t="s">
        <v>1442</v>
      </c>
      <c r="D16" s="429" t="s">
        <v>1442</v>
      </c>
      <c r="E16" s="430">
        <v>290.94805000000002</v>
      </c>
      <c r="F16" s="891">
        <v>290.94804998193644</v>
      </c>
      <c r="G16" s="452">
        <v>5.7124346843874019E-2</v>
      </c>
      <c r="H16" s="301">
        <v>6.8722376284248154E-2</v>
      </c>
    </row>
    <row r="17" spans="1:8" ht="20" customHeight="1" thickBot="1">
      <c r="A17" s="825" t="s">
        <v>220</v>
      </c>
      <c r="B17" s="429">
        <v>347.72415999999998</v>
      </c>
      <c r="C17" s="430">
        <v>311.34715</v>
      </c>
      <c r="D17" s="429" t="s">
        <v>1442</v>
      </c>
      <c r="E17" s="430" t="s">
        <v>1442</v>
      </c>
      <c r="F17" s="891">
        <v>324.03549544594807</v>
      </c>
      <c r="G17" s="452">
        <v>6.9417522786586749E-2</v>
      </c>
      <c r="H17" s="301">
        <v>6.1680588709664974E-2</v>
      </c>
    </row>
    <row r="18" spans="1:8" ht="20" customHeight="1" thickBot="1">
      <c r="A18" s="825" t="s">
        <v>221</v>
      </c>
      <c r="B18" s="429" t="s">
        <v>1442</v>
      </c>
      <c r="C18" s="430" t="s">
        <v>1442</v>
      </c>
      <c r="D18" s="429" t="s">
        <v>1442</v>
      </c>
      <c r="E18" s="430">
        <v>326.378241</v>
      </c>
      <c r="F18" s="891">
        <v>326.37824075048002</v>
      </c>
      <c r="G18" s="452">
        <v>4.9081697110630484E-2</v>
      </c>
      <c r="H18" s="301">
        <v>7.2709508157714486E-2</v>
      </c>
    </row>
    <row r="19" spans="1:8" ht="20" customHeight="1" thickBot="1">
      <c r="A19" s="825" t="s">
        <v>222</v>
      </c>
      <c r="B19" s="429" t="s">
        <v>1442</v>
      </c>
      <c r="C19" s="430" t="s">
        <v>1442</v>
      </c>
      <c r="D19" s="429" t="s">
        <v>1442</v>
      </c>
      <c r="E19" s="430">
        <v>450.161023</v>
      </c>
      <c r="F19" s="891">
        <v>450.16102347664389</v>
      </c>
      <c r="G19" s="452">
        <v>4.5457907479382609E-2</v>
      </c>
      <c r="H19" s="301">
        <v>8.0301854617791379E-2</v>
      </c>
    </row>
    <row r="20" spans="1:8" ht="20" customHeight="1" thickBot="1">
      <c r="A20" s="825" t="s">
        <v>223</v>
      </c>
      <c r="B20" s="429">
        <v>374.51245699999998</v>
      </c>
      <c r="C20" s="430">
        <v>343.33639399999998</v>
      </c>
      <c r="D20" s="429" t="s">
        <v>1442</v>
      </c>
      <c r="E20" s="430" t="s">
        <v>1442</v>
      </c>
      <c r="F20" s="891">
        <v>364.95208394423389</v>
      </c>
      <c r="G20" s="452">
        <v>4.8288833643729268E-2</v>
      </c>
      <c r="H20" s="301">
        <v>7.5009218536933986E-2</v>
      </c>
    </row>
    <row r="21" spans="1:8" ht="20" customHeight="1" thickBot="1">
      <c r="A21" s="825" t="s">
        <v>224</v>
      </c>
      <c r="B21" s="429">
        <v>340.39012600000001</v>
      </c>
      <c r="C21" s="430">
        <v>314.76282099999997</v>
      </c>
      <c r="D21" s="429" t="s">
        <v>1442</v>
      </c>
      <c r="E21" s="430" t="s">
        <v>1442</v>
      </c>
      <c r="F21" s="891">
        <v>330.18488553382514</v>
      </c>
      <c r="G21" s="452">
        <v>3.8798650281649083E-2</v>
      </c>
      <c r="H21" s="301">
        <v>7.9109093489577509E-2</v>
      </c>
    </row>
    <row r="22" spans="1:8" ht="20" customHeight="1" thickBot="1">
      <c r="A22" s="825" t="s">
        <v>225</v>
      </c>
      <c r="B22" s="429" t="s">
        <v>1442</v>
      </c>
      <c r="C22" s="430" t="s">
        <v>1442</v>
      </c>
      <c r="D22" s="429" t="s">
        <v>1442</v>
      </c>
      <c r="E22" s="430">
        <v>282.16981900000002</v>
      </c>
      <c r="F22" s="891">
        <v>282.1698179808954</v>
      </c>
      <c r="G22" s="452">
        <v>7.6546894728819925E-2</v>
      </c>
      <c r="H22" s="301">
        <v>7.6465693604353513E-2</v>
      </c>
    </row>
    <row r="23" spans="1:8" ht="20" customHeight="1" thickBot="1">
      <c r="A23" s="825" t="s">
        <v>226</v>
      </c>
      <c r="B23" s="429" t="s">
        <v>1442</v>
      </c>
      <c r="C23" s="430" t="s">
        <v>1442</v>
      </c>
      <c r="D23" s="429" t="s">
        <v>1442</v>
      </c>
      <c r="E23" s="430">
        <v>265.87206500000002</v>
      </c>
      <c r="F23" s="891">
        <v>265.87206444583171</v>
      </c>
      <c r="G23" s="452">
        <v>9.1212738502147506E-2</v>
      </c>
      <c r="H23" s="301">
        <v>7.2222809399298926E-2</v>
      </c>
    </row>
    <row r="24" spans="1:8" ht="20" customHeight="1" thickBot="1">
      <c r="A24" s="825" t="s">
        <v>227</v>
      </c>
      <c r="B24" s="429">
        <v>335.74348400000002</v>
      </c>
      <c r="C24" s="430">
        <v>304.91547500000001</v>
      </c>
      <c r="D24" s="429">
        <v>294.61970300000002</v>
      </c>
      <c r="E24" s="430" t="s">
        <v>1442</v>
      </c>
      <c r="F24" s="891">
        <v>310.9569924497099</v>
      </c>
      <c r="G24" s="452">
        <v>7.1473914958892548E-2</v>
      </c>
      <c r="H24" s="301">
        <v>7.9623551485691113E-2</v>
      </c>
    </row>
    <row r="25" spans="1:8" ht="20" customHeight="1" thickBot="1">
      <c r="A25" s="825" t="s">
        <v>228</v>
      </c>
      <c r="B25" s="429">
        <v>311.92194799999999</v>
      </c>
      <c r="C25" s="430">
        <v>286.11816599999997</v>
      </c>
      <c r="D25" s="429">
        <v>277.48720900000001</v>
      </c>
      <c r="E25" s="430" t="s">
        <v>1442</v>
      </c>
      <c r="F25" s="891">
        <v>290.12815578586816</v>
      </c>
      <c r="G25" s="452">
        <v>5.3277790836042671E-2</v>
      </c>
      <c r="H25" s="301">
        <v>7.9325255390383376E-2</v>
      </c>
    </row>
    <row r="26" spans="1:8" ht="20" customHeight="1" thickBot="1">
      <c r="A26" s="825" t="s">
        <v>229</v>
      </c>
      <c r="B26" s="429" t="s">
        <v>1442</v>
      </c>
      <c r="C26" s="430" t="s">
        <v>1442</v>
      </c>
      <c r="D26" s="429" t="s">
        <v>1442</v>
      </c>
      <c r="E26" s="430">
        <v>319.68006400000002</v>
      </c>
      <c r="F26" s="891">
        <v>319.68006391346177</v>
      </c>
      <c r="G26" s="452">
        <v>4.5815861286472082E-2</v>
      </c>
      <c r="H26" s="301">
        <v>8.0550582800898995E-2</v>
      </c>
    </row>
    <row r="27" spans="1:8" ht="20" customHeight="1" thickBot="1">
      <c r="A27" s="825" t="s">
        <v>230</v>
      </c>
      <c r="B27" s="429" t="s">
        <v>1442</v>
      </c>
      <c r="C27" s="430" t="s">
        <v>1442</v>
      </c>
      <c r="D27" s="429" t="s">
        <v>1442</v>
      </c>
      <c r="E27" s="430">
        <v>311.86808400000001</v>
      </c>
      <c r="F27" s="891">
        <v>311.86808361894589</v>
      </c>
      <c r="G27" s="452">
        <v>4.8137382673523632E-2</v>
      </c>
      <c r="H27" s="301">
        <v>7.9618719344929367E-2</v>
      </c>
    </row>
    <row r="28" spans="1:8" ht="20" customHeight="1" thickBot="1">
      <c r="A28" s="825" t="s">
        <v>231</v>
      </c>
      <c r="B28" s="429">
        <v>374.735727</v>
      </c>
      <c r="C28" s="430">
        <v>347.91384199999999</v>
      </c>
      <c r="D28" s="429" t="s">
        <v>1442</v>
      </c>
      <c r="E28" s="430" t="s">
        <v>1442</v>
      </c>
      <c r="F28" s="891">
        <v>370.70618127526762</v>
      </c>
      <c r="G28" s="452">
        <v>1.2560971376594621E-2</v>
      </c>
      <c r="H28" s="301">
        <v>7.0128008033661482E-2</v>
      </c>
    </row>
    <row r="29" spans="1:8" ht="20" customHeight="1" thickBot="1">
      <c r="A29" s="825" t="s">
        <v>232</v>
      </c>
      <c r="B29" s="429">
        <v>405.86589500000002</v>
      </c>
      <c r="C29" s="430">
        <v>379.494259</v>
      </c>
      <c r="D29" s="429" t="s">
        <v>1442</v>
      </c>
      <c r="E29" s="430" t="s">
        <v>1442</v>
      </c>
      <c r="F29" s="891">
        <v>396.90298894205102</v>
      </c>
      <c r="G29" s="452">
        <v>1.965015923704283E-2</v>
      </c>
      <c r="H29" s="301">
        <v>5.7186772037181477E-2</v>
      </c>
    </row>
    <row r="30" spans="1:8" ht="20" customHeight="1" thickBot="1">
      <c r="A30" s="825" t="s">
        <v>233</v>
      </c>
      <c r="B30" s="429">
        <v>310.32384300000001</v>
      </c>
      <c r="C30" s="430">
        <v>274.37686200000002</v>
      </c>
      <c r="D30" s="429" t="s">
        <v>1442</v>
      </c>
      <c r="E30" s="430" t="s">
        <v>1442</v>
      </c>
      <c r="F30" s="891">
        <v>299.03295008887471</v>
      </c>
      <c r="G30" s="452">
        <v>4.805907134233367E-2</v>
      </c>
      <c r="H30" s="301">
        <v>5.7391204650771632E-2</v>
      </c>
    </row>
    <row r="31" spans="1:8" ht="20" customHeight="1" thickBot="1">
      <c r="A31" s="825" t="s">
        <v>234</v>
      </c>
      <c r="B31" s="429" t="s">
        <v>1442</v>
      </c>
      <c r="C31" s="430" t="s">
        <v>1442</v>
      </c>
      <c r="D31" s="429" t="s">
        <v>1442</v>
      </c>
      <c r="E31" s="430">
        <v>374.454026</v>
      </c>
      <c r="F31" s="891">
        <v>374.45402587496307</v>
      </c>
      <c r="G31" s="452">
        <v>2.5703237666410361E-2</v>
      </c>
      <c r="H31" s="301">
        <v>6.6531630645461304E-2</v>
      </c>
    </row>
    <row r="32" spans="1:8" ht="20" customHeight="1" thickBot="1">
      <c r="A32" s="825" t="s">
        <v>235</v>
      </c>
      <c r="B32" s="429" t="s">
        <v>1442</v>
      </c>
      <c r="C32" s="430" t="s">
        <v>1442</v>
      </c>
      <c r="D32" s="429" t="s">
        <v>1442</v>
      </c>
      <c r="E32" s="430">
        <v>423.468253</v>
      </c>
      <c r="F32" s="891">
        <v>423.46825310377142</v>
      </c>
      <c r="G32" s="452">
        <v>4.7000363494189124E-2</v>
      </c>
      <c r="H32" s="301">
        <v>5.363172114684156E-2</v>
      </c>
    </row>
    <row r="33" spans="1:12" ht="20" customHeight="1" thickBot="1">
      <c r="A33" s="825" t="s">
        <v>236</v>
      </c>
      <c r="B33" s="429" t="s">
        <v>1442</v>
      </c>
      <c r="C33" s="430" t="s">
        <v>1442</v>
      </c>
      <c r="D33" s="429" t="s">
        <v>1442</v>
      </c>
      <c r="E33" s="430">
        <v>367.55976600000002</v>
      </c>
      <c r="F33" s="891">
        <v>367.55976486672455</v>
      </c>
      <c r="G33" s="452">
        <v>5.1545282804338344E-2</v>
      </c>
      <c r="H33" s="301">
        <v>6.5295577525010806E-2</v>
      </c>
    </row>
    <row r="34" spans="1:12" s="115" customFormat="1" ht="30" customHeight="1" thickBot="1">
      <c r="A34" s="91" t="s">
        <v>0</v>
      </c>
      <c r="B34" s="313" t="s">
        <v>1442</v>
      </c>
      <c r="C34" s="768" t="s">
        <v>1442</v>
      </c>
      <c r="D34" s="313" t="s">
        <v>1442</v>
      </c>
      <c r="E34" s="768" t="s">
        <v>1442</v>
      </c>
      <c r="F34" s="313">
        <v>343.05838678587634</v>
      </c>
      <c r="G34" s="837">
        <v>4.4323000526055312E-2</v>
      </c>
      <c r="H34" s="772">
        <v>7.0854808667925706E-2</v>
      </c>
    </row>
    <row r="35" spans="1:12" ht="20" customHeight="1">
      <c r="A35" s="95" t="s">
        <v>1572</v>
      </c>
      <c r="B35" s="892"/>
      <c r="C35" s="892"/>
      <c r="D35" s="892"/>
      <c r="E35" s="892"/>
      <c r="F35" s="892"/>
    </row>
    <row r="36" spans="1:12" ht="12.75" customHeight="1">
      <c r="A36" s="96"/>
      <c r="B36" s="893"/>
      <c r="C36" s="893"/>
      <c r="D36" s="893"/>
      <c r="E36" s="893"/>
      <c r="F36" s="893"/>
    </row>
    <row r="37" spans="1:12" ht="15.75" customHeight="1">
      <c r="A37" s="96" t="s">
        <v>1542</v>
      </c>
      <c r="B37" s="893"/>
      <c r="C37" s="893"/>
      <c r="D37" s="893"/>
      <c r="E37" s="893"/>
      <c r="F37" s="893"/>
    </row>
    <row r="38" spans="1:12" ht="13.5" customHeight="1">
      <c r="A38" s="96"/>
      <c r="B38" s="893"/>
      <c r="C38" s="893"/>
      <c r="D38" s="893"/>
      <c r="E38" s="893"/>
      <c r="F38" s="893"/>
    </row>
    <row r="39" spans="1:12" ht="12.75" customHeight="1">
      <c r="A39" s="96" t="s">
        <v>1543</v>
      </c>
      <c r="B39" s="893"/>
      <c r="C39" s="893"/>
      <c r="D39" s="893"/>
      <c r="E39" s="893"/>
      <c r="F39" s="893"/>
    </row>
    <row r="40" spans="1:12">
      <c r="A40" s="3" t="s">
        <v>1544</v>
      </c>
      <c r="B40" s="138"/>
      <c r="C40" s="138"/>
      <c r="D40" s="138"/>
      <c r="E40" s="138"/>
      <c r="F40" s="138"/>
    </row>
    <row r="41" spans="1:12">
      <c r="A41" s="3" t="s">
        <v>1545</v>
      </c>
      <c r="B41" s="138"/>
      <c r="C41" s="138"/>
      <c r="D41" s="138"/>
      <c r="E41" s="138"/>
      <c r="F41" s="138"/>
    </row>
    <row r="42" spans="1:12">
      <c r="A42" s="3" t="s">
        <v>1546</v>
      </c>
      <c r="B42" s="138"/>
      <c r="C42" s="138"/>
      <c r="D42" s="138"/>
      <c r="E42" s="138"/>
      <c r="F42" s="138"/>
      <c r="J42" s="4"/>
      <c r="K42" s="4"/>
      <c r="L42" s="4"/>
    </row>
    <row r="43" spans="1:12">
      <c r="B43" s="138"/>
      <c r="C43" s="138"/>
      <c r="D43" s="138"/>
      <c r="E43" s="138"/>
      <c r="F43" s="138"/>
    </row>
    <row r="44" spans="1:12">
      <c r="B44" s="138"/>
      <c r="C44" s="138"/>
      <c r="D44" s="138"/>
      <c r="E44" s="138"/>
      <c r="F44" s="138"/>
    </row>
    <row r="45" spans="1:12">
      <c r="A45" s="3" t="s">
        <v>677</v>
      </c>
    </row>
  </sheetData>
  <pageMargins left="0.56000000000000005" right="0.54" top="0.9" bottom="0.47244094488188981" header="0.63" footer="0.51181102362204722"/>
  <pageSetup paperSize="9" scale="74" orientation="portrait"/>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09010-5B51-CF4E-AD21-B3B135EDD462}">
  <sheetPr>
    <pageSetUpPr fitToPage="1"/>
  </sheetPr>
  <dimension ref="A1:L45"/>
  <sheetViews>
    <sheetView zoomScaleNormal="100" workbookViewId="0">
      <selection activeCell="F5" sqref="F5"/>
    </sheetView>
  </sheetViews>
  <sheetFormatPr baseColWidth="10" defaultColWidth="11.3984375" defaultRowHeight="13"/>
  <cols>
    <col min="1" max="6" width="16" style="3" customWidth="1"/>
    <col min="7" max="8" width="14.3984375" style="3" customWidth="1"/>
    <col min="9" max="16384" width="11.3984375" style="3"/>
  </cols>
  <sheetData>
    <row r="1" spans="1:8" s="2" customFormat="1" ht="14" customHeight="1">
      <c r="A1" s="242"/>
      <c r="B1" s="242"/>
      <c r="C1" s="242"/>
      <c r="D1" s="242"/>
      <c r="E1" s="242"/>
      <c r="F1" s="242"/>
    </row>
    <row r="2" spans="1:8" s="2" customFormat="1" ht="18.75" customHeight="1">
      <c r="A2" s="371" t="s">
        <v>1534</v>
      </c>
      <c r="B2" s="242"/>
      <c r="C2" s="242"/>
      <c r="D2" s="242"/>
      <c r="E2" s="242"/>
      <c r="F2" s="242"/>
    </row>
    <row r="3" spans="1:8" s="2" customFormat="1" ht="24" customHeight="1">
      <c r="A3" s="371" t="s">
        <v>1571</v>
      </c>
      <c r="B3" s="242"/>
      <c r="C3" s="242"/>
      <c r="D3" s="242"/>
      <c r="E3" s="242"/>
      <c r="F3" s="242"/>
    </row>
    <row r="4" spans="1:8" ht="24" customHeight="1">
      <c r="A4" s="72" t="s">
        <v>203</v>
      </c>
      <c r="B4" s="877" t="s">
        <v>1535</v>
      </c>
      <c r="C4" s="878" t="s">
        <v>1536</v>
      </c>
      <c r="D4" s="877" t="s">
        <v>1537</v>
      </c>
      <c r="E4" s="878" t="s">
        <v>1538</v>
      </c>
      <c r="F4" s="877" t="s">
        <v>500</v>
      </c>
      <c r="G4" s="879" t="s">
        <v>585</v>
      </c>
      <c r="H4" s="880" t="s">
        <v>1539</v>
      </c>
    </row>
    <row r="5" spans="1:8" ht="24.75" customHeight="1">
      <c r="A5" s="328"/>
      <c r="B5" s="881"/>
      <c r="C5" s="882"/>
      <c r="D5" s="881"/>
      <c r="E5" s="882"/>
      <c r="F5" s="883" t="s">
        <v>1540</v>
      </c>
      <c r="G5" s="884" t="s">
        <v>586</v>
      </c>
      <c r="H5" s="885" t="s">
        <v>1541</v>
      </c>
    </row>
    <row r="6" spans="1:8" ht="24.75" customHeight="1">
      <c r="A6" s="328"/>
      <c r="B6" s="881"/>
      <c r="C6" s="882"/>
      <c r="D6" s="881"/>
      <c r="E6" s="882"/>
      <c r="F6" s="881"/>
      <c r="G6" s="886" t="s">
        <v>210</v>
      </c>
      <c r="H6" s="887" t="s">
        <v>585</v>
      </c>
    </row>
    <row r="7" spans="1:8" ht="16" customHeight="1">
      <c r="A7" s="329"/>
      <c r="B7" s="82"/>
      <c r="C7" s="81"/>
      <c r="D7" s="82"/>
      <c r="E7" s="81"/>
      <c r="F7" s="110"/>
      <c r="G7" s="888"/>
      <c r="H7" s="889" t="s">
        <v>1575</v>
      </c>
    </row>
    <row r="8" spans="1:8" ht="30" customHeight="1" thickBot="1">
      <c r="A8" s="821" t="s">
        <v>211</v>
      </c>
      <c r="B8" s="308">
        <v>101.292095</v>
      </c>
      <c r="C8" s="428">
        <v>91.059805800000007</v>
      </c>
      <c r="D8" s="308">
        <v>84.999424200000007</v>
      </c>
      <c r="E8" s="428" t="s">
        <v>1442</v>
      </c>
      <c r="F8" s="890">
        <v>91.212763528568672</v>
      </c>
      <c r="G8" s="309">
        <v>3.9828833812336706E-2</v>
      </c>
      <c r="H8" s="300">
        <v>4.6731248922185165E-2</v>
      </c>
    </row>
    <row r="9" spans="1:8" ht="20" customHeight="1" thickBot="1">
      <c r="A9" s="825" t="s">
        <v>212</v>
      </c>
      <c r="B9" s="429">
        <v>107.80789900000001</v>
      </c>
      <c r="C9" s="430">
        <v>93.994144899999995</v>
      </c>
      <c r="D9" s="429">
        <v>88.053150500000001</v>
      </c>
      <c r="E9" s="430" t="s">
        <v>1442</v>
      </c>
      <c r="F9" s="891">
        <v>96.306071747976503</v>
      </c>
      <c r="G9" s="452">
        <v>-1.8455860124716117E-2</v>
      </c>
      <c r="H9" s="301">
        <v>4.8694908594548503E-2</v>
      </c>
    </row>
    <row r="10" spans="1:8" ht="20" customHeight="1" thickBot="1">
      <c r="A10" s="825" t="s">
        <v>213</v>
      </c>
      <c r="B10" s="429">
        <v>83.827482099999997</v>
      </c>
      <c r="C10" s="430">
        <v>78.182350799999995</v>
      </c>
      <c r="D10" s="429">
        <v>74.344953399999994</v>
      </c>
      <c r="E10" s="430" t="s">
        <v>1442</v>
      </c>
      <c r="F10" s="891">
        <v>78.592125899868265</v>
      </c>
      <c r="G10" s="452">
        <v>1.2850249530429014E-2</v>
      </c>
      <c r="H10" s="301">
        <v>4.8933537139435934E-2</v>
      </c>
    </row>
    <row r="11" spans="1:8" ht="20" customHeight="1" thickBot="1">
      <c r="A11" s="825" t="s">
        <v>214</v>
      </c>
      <c r="B11" s="429" t="s">
        <v>1442</v>
      </c>
      <c r="C11" s="430" t="s">
        <v>1442</v>
      </c>
      <c r="D11" s="429" t="s">
        <v>1442</v>
      </c>
      <c r="E11" s="430">
        <v>75.590142</v>
      </c>
      <c r="F11" s="891">
        <v>75.590142048211248</v>
      </c>
      <c r="G11" s="452">
        <v>3.6927555690302372E-2</v>
      </c>
      <c r="H11" s="301">
        <v>4.4107816731257188E-2</v>
      </c>
    </row>
    <row r="12" spans="1:8" ht="20" customHeight="1" thickBot="1">
      <c r="A12" s="825" t="s">
        <v>215</v>
      </c>
      <c r="B12" s="429" t="s">
        <v>1442</v>
      </c>
      <c r="C12" s="430" t="s">
        <v>1442</v>
      </c>
      <c r="D12" s="429" t="s">
        <v>1442</v>
      </c>
      <c r="E12" s="430">
        <v>78.296974399999996</v>
      </c>
      <c r="F12" s="891">
        <v>78.296974396699639</v>
      </c>
      <c r="G12" s="452">
        <v>3.1620541423731385E-2</v>
      </c>
      <c r="H12" s="301">
        <v>4.8078097374052442E-2</v>
      </c>
    </row>
    <row r="13" spans="1:8" ht="20" customHeight="1" thickBot="1">
      <c r="A13" s="825" t="s">
        <v>216</v>
      </c>
      <c r="B13" s="429" t="s">
        <v>1442</v>
      </c>
      <c r="C13" s="430" t="s">
        <v>1442</v>
      </c>
      <c r="D13" s="429" t="s">
        <v>1442</v>
      </c>
      <c r="E13" s="430">
        <v>74.181387099999995</v>
      </c>
      <c r="F13" s="891">
        <v>74.181387143922208</v>
      </c>
      <c r="G13" s="452">
        <v>1.2978031256344114E-2</v>
      </c>
      <c r="H13" s="301">
        <v>4.3032776914176729E-2</v>
      </c>
    </row>
    <row r="14" spans="1:8" ht="20" customHeight="1" thickBot="1">
      <c r="A14" s="825" t="s">
        <v>217</v>
      </c>
      <c r="B14" s="429" t="s">
        <v>1442</v>
      </c>
      <c r="C14" s="430" t="s">
        <v>1442</v>
      </c>
      <c r="D14" s="429" t="s">
        <v>1442</v>
      </c>
      <c r="E14" s="430">
        <v>69.311402200000003</v>
      </c>
      <c r="F14" s="891">
        <v>69.311402207223068</v>
      </c>
      <c r="G14" s="452">
        <v>3.8738566986275647E-2</v>
      </c>
      <c r="H14" s="301">
        <v>3.9989051545009868E-2</v>
      </c>
    </row>
    <row r="15" spans="1:8" ht="20" customHeight="1" thickBot="1">
      <c r="A15" s="825" t="s">
        <v>218</v>
      </c>
      <c r="B15" s="429" t="s">
        <v>1442</v>
      </c>
      <c r="C15" s="430" t="s">
        <v>1442</v>
      </c>
      <c r="D15" s="429" t="s">
        <v>1442</v>
      </c>
      <c r="E15" s="430">
        <v>76.501553900000005</v>
      </c>
      <c r="F15" s="891">
        <v>76.501554013789359</v>
      </c>
      <c r="G15" s="452">
        <v>3.4258548288387924E-2</v>
      </c>
      <c r="H15" s="301">
        <v>4.9912322479817472E-2</v>
      </c>
    </row>
    <row r="16" spans="1:8" ht="20" customHeight="1" thickBot="1">
      <c r="A16" s="825" t="s">
        <v>219</v>
      </c>
      <c r="B16" s="429" t="s">
        <v>1442</v>
      </c>
      <c r="C16" s="430" t="s">
        <v>1442</v>
      </c>
      <c r="D16" s="429" t="s">
        <v>1442</v>
      </c>
      <c r="E16" s="430">
        <v>77.334391199999999</v>
      </c>
      <c r="F16" s="891">
        <v>77.334391032314983</v>
      </c>
      <c r="G16" s="452">
        <v>2.5207404415425794E-2</v>
      </c>
      <c r="H16" s="301">
        <v>4.5115808207958574E-2</v>
      </c>
    </row>
    <row r="17" spans="1:8" ht="20" customHeight="1" thickBot="1">
      <c r="A17" s="825" t="s">
        <v>220</v>
      </c>
      <c r="B17" s="429">
        <v>92.107570999999993</v>
      </c>
      <c r="C17" s="430">
        <v>83.312768000000005</v>
      </c>
      <c r="D17" s="429" t="s">
        <v>1442</v>
      </c>
      <c r="E17" s="430" t="s">
        <v>1442</v>
      </c>
      <c r="F17" s="891">
        <v>86.29556912184826</v>
      </c>
      <c r="G17" s="452">
        <v>3.9655222998103756E-2</v>
      </c>
      <c r="H17" s="301">
        <v>3.538169407473668E-2</v>
      </c>
    </row>
    <row r="18" spans="1:8" ht="20" customHeight="1" thickBot="1">
      <c r="A18" s="825" t="s">
        <v>221</v>
      </c>
      <c r="B18" s="429" t="s">
        <v>1442</v>
      </c>
      <c r="C18" s="430" t="s">
        <v>1442</v>
      </c>
      <c r="D18" s="429" t="s">
        <v>1442</v>
      </c>
      <c r="E18" s="430">
        <v>88.150763499999996</v>
      </c>
      <c r="F18" s="891">
        <v>88.150763625526039</v>
      </c>
      <c r="G18" s="452">
        <v>-1.0346912371194117E-3</v>
      </c>
      <c r="H18" s="301">
        <v>5.1074026371262793E-2</v>
      </c>
    </row>
    <row r="19" spans="1:8" ht="20" customHeight="1" thickBot="1">
      <c r="A19" s="825" t="s">
        <v>222</v>
      </c>
      <c r="B19" s="429" t="s">
        <v>1442</v>
      </c>
      <c r="C19" s="430" t="s">
        <v>1442</v>
      </c>
      <c r="D19" s="429" t="s">
        <v>1442</v>
      </c>
      <c r="E19" s="430">
        <v>121.888994</v>
      </c>
      <c r="F19" s="891">
        <v>121.88899369820273</v>
      </c>
      <c r="G19" s="452">
        <v>2.4940458302237678E-2</v>
      </c>
      <c r="H19" s="301">
        <v>5.5486757958976618E-2</v>
      </c>
    </row>
    <row r="20" spans="1:8" ht="20" customHeight="1" thickBot="1">
      <c r="A20" s="825" t="s">
        <v>223</v>
      </c>
      <c r="B20" s="429">
        <v>102.354904</v>
      </c>
      <c r="C20" s="430">
        <v>93.917213500000003</v>
      </c>
      <c r="D20" s="429" t="s">
        <v>1442</v>
      </c>
      <c r="E20" s="430" t="s">
        <v>1442</v>
      </c>
      <c r="F20" s="891">
        <v>99.770310941185073</v>
      </c>
      <c r="G20" s="452">
        <v>1.9250028317179924E-2</v>
      </c>
      <c r="H20" s="301">
        <v>5.2077906125180595E-2</v>
      </c>
    </row>
    <row r="21" spans="1:8" ht="20" customHeight="1" thickBot="1">
      <c r="A21" s="825" t="s">
        <v>224</v>
      </c>
      <c r="B21" s="429">
        <v>88.573064000000002</v>
      </c>
      <c r="C21" s="430">
        <v>82.538900100000006</v>
      </c>
      <c r="D21" s="429" t="s">
        <v>1442</v>
      </c>
      <c r="E21" s="430" t="s">
        <v>1442</v>
      </c>
      <c r="F21" s="891">
        <v>85.84970202473886</v>
      </c>
      <c r="G21" s="452">
        <v>1.19827385448672E-2</v>
      </c>
      <c r="H21" s="301">
        <v>5.2882328331740558E-2</v>
      </c>
    </row>
    <row r="22" spans="1:8" ht="20" customHeight="1" thickBot="1">
      <c r="A22" s="825" t="s">
        <v>225</v>
      </c>
      <c r="B22" s="429" t="s">
        <v>1442</v>
      </c>
      <c r="C22" s="430" t="s">
        <v>1442</v>
      </c>
      <c r="D22" s="429" t="s">
        <v>1442</v>
      </c>
      <c r="E22" s="430">
        <v>73.385496099999997</v>
      </c>
      <c r="F22" s="891">
        <v>73.38549614734562</v>
      </c>
      <c r="G22" s="452">
        <v>3.2724334841417457E-2</v>
      </c>
      <c r="H22" s="301">
        <v>4.8763836501706015E-2</v>
      </c>
    </row>
    <row r="23" spans="1:8" ht="20" customHeight="1" thickBot="1">
      <c r="A23" s="825" t="s">
        <v>226</v>
      </c>
      <c r="B23" s="429" t="s">
        <v>1442</v>
      </c>
      <c r="C23" s="430" t="s">
        <v>1442</v>
      </c>
      <c r="D23" s="429" t="s">
        <v>1442</v>
      </c>
      <c r="E23" s="430">
        <v>70.9323519</v>
      </c>
      <c r="F23" s="891">
        <v>70.932351789822093</v>
      </c>
      <c r="G23" s="452">
        <v>5.8554390608617002E-2</v>
      </c>
      <c r="H23" s="301">
        <v>4.7435072503082099E-2</v>
      </c>
    </row>
    <row r="24" spans="1:8" ht="20" customHeight="1" thickBot="1">
      <c r="A24" s="825" t="s">
        <v>227</v>
      </c>
      <c r="B24" s="429">
        <v>89.618095100000005</v>
      </c>
      <c r="C24" s="430">
        <v>81.780468299999995</v>
      </c>
      <c r="D24" s="429">
        <v>78.810804300000001</v>
      </c>
      <c r="E24" s="430" t="s">
        <v>1442</v>
      </c>
      <c r="F24" s="891">
        <v>83.028170604007514</v>
      </c>
      <c r="G24" s="452">
        <v>2.9980712029835654E-2</v>
      </c>
      <c r="H24" s="301">
        <v>5.3237253562693265E-2</v>
      </c>
    </row>
    <row r="25" spans="1:8" ht="20" customHeight="1" thickBot="1">
      <c r="A25" s="825" t="s">
        <v>228</v>
      </c>
      <c r="B25" s="429">
        <v>84.120923000000005</v>
      </c>
      <c r="C25" s="430">
        <v>77.927755199999993</v>
      </c>
      <c r="D25" s="429">
        <v>73.791061200000001</v>
      </c>
      <c r="E25" s="430" t="s">
        <v>1442</v>
      </c>
      <c r="F25" s="891">
        <v>78.365511874055741</v>
      </c>
      <c r="G25" s="452">
        <v>2.6742382796911546E-2</v>
      </c>
      <c r="H25" s="301">
        <v>5.4130599136449353E-2</v>
      </c>
    </row>
    <row r="26" spans="1:8" ht="20" customHeight="1" thickBot="1">
      <c r="A26" s="825" t="s">
        <v>229</v>
      </c>
      <c r="B26" s="429" t="s">
        <v>1442</v>
      </c>
      <c r="C26" s="430" t="s">
        <v>1442</v>
      </c>
      <c r="D26" s="429" t="s">
        <v>1442</v>
      </c>
      <c r="E26" s="430">
        <v>84.581455300000002</v>
      </c>
      <c r="F26" s="891">
        <v>84.581455123988221</v>
      </c>
      <c r="G26" s="452">
        <v>1.6984868211227466E-2</v>
      </c>
      <c r="H26" s="301">
        <v>5.5797317175594552E-2</v>
      </c>
    </row>
    <row r="27" spans="1:8" ht="20" customHeight="1" thickBot="1">
      <c r="A27" s="825" t="s">
        <v>230</v>
      </c>
      <c r="B27" s="429" t="s">
        <v>1442</v>
      </c>
      <c r="C27" s="430" t="s">
        <v>1442</v>
      </c>
      <c r="D27" s="429" t="s">
        <v>1442</v>
      </c>
      <c r="E27" s="430">
        <v>83.717406499999996</v>
      </c>
      <c r="F27" s="891">
        <v>83.71740643624733</v>
      </c>
      <c r="G27" s="452">
        <v>1.5981960172957388E-2</v>
      </c>
      <c r="H27" s="301">
        <v>5.3736891809079035E-2</v>
      </c>
    </row>
    <row r="28" spans="1:8" ht="20" customHeight="1" thickBot="1">
      <c r="A28" s="825" t="s">
        <v>231</v>
      </c>
      <c r="B28" s="429">
        <v>96.931798900000004</v>
      </c>
      <c r="C28" s="430">
        <v>90.764796599999997</v>
      </c>
      <c r="D28" s="429" t="s">
        <v>1442</v>
      </c>
      <c r="E28" s="430" t="s">
        <v>1442</v>
      </c>
      <c r="F28" s="891">
        <v>95.969111424498507</v>
      </c>
      <c r="G28" s="452">
        <v>-1.7450353855618106E-2</v>
      </c>
      <c r="H28" s="301">
        <v>2.6537976832373689E-2</v>
      </c>
    </row>
    <row r="29" spans="1:8" ht="20" customHeight="1" thickBot="1">
      <c r="A29" s="825" t="s">
        <v>232</v>
      </c>
      <c r="B29" s="429">
        <v>102.854258</v>
      </c>
      <c r="C29" s="430">
        <v>96.056652700000001</v>
      </c>
      <c r="D29" s="429" t="s">
        <v>1442</v>
      </c>
      <c r="E29" s="430" t="s">
        <v>1442</v>
      </c>
      <c r="F29" s="891">
        <v>100.58994751176388</v>
      </c>
      <c r="G29" s="452">
        <v>-7.0174000430961447E-3</v>
      </c>
      <c r="H29" s="301">
        <v>1.6949582924279838E-2</v>
      </c>
    </row>
    <row r="30" spans="1:8" ht="20" customHeight="1" thickBot="1">
      <c r="A30" s="825" t="s">
        <v>233</v>
      </c>
      <c r="B30" s="429">
        <v>80.891947000000002</v>
      </c>
      <c r="C30" s="430">
        <v>75.718246199999996</v>
      </c>
      <c r="D30" s="429" t="s">
        <v>1442</v>
      </c>
      <c r="E30" s="430" t="s">
        <v>1442</v>
      </c>
      <c r="F30" s="891">
        <v>79.489677827010681</v>
      </c>
      <c r="G30" s="452">
        <v>1.7697247357501222E-2</v>
      </c>
      <c r="H30" s="301">
        <v>2.9260084294213007E-2</v>
      </c>
    </row>
    <row r="31" spans="1:8" ht="20" customHeight="1" thickBot="1">
      <c r="A31" s="825" t="s">
        <v>234</v>
      </c>
      <c r="B31" s="429" t="s">
        <v>1442</v>
      </c>
      <c r="C31" s="430" t="s">
        <v>1442</v>
      </c>
      <c r="D31" s="429" t="s">
        <v>1442</v>
      </c>
      <c r="E31" s="430">
        <v>88.774226999999996</v>
      </c>
      <c r="F31" s="891">
        <v>88.774226831978055</v>
      </c>
      <c r="G31" s="452">
        <v>-1.0155138328492797E-2</v>
      </c>
      <c r="H31" s="301">
        <v>3.0928692230472787E-2</v>
      </c>
    </row>
    <row r="32" spans="1:8" ht="20" customHeight="1" thickBot="1">
      <c r="A32" s="825" t="s">
        <v>235</v>
      </c>
      <c r="B32" s="429" t="s">
        <v>1442</v>
      </c>
      <c r="C32" s="430" t="s">
        <v>1442</v>
      </c>
      <c r="D32" s="429" t="s">
        <v>1442</v>
      </c>
      <c r="E32" s="430">
        <v>107.439238</v>
      </c>
      <c r="F32" s="891">
        <v>107.43923786287712</v>
      </c>
      <c r="G32" s="452">
        <v>2.6466462955783587E-2</v>
      </c>
      <c r="H32" s="301">
        <v>2.1319075462751469E-2</v>
      </c>
    </row>
    <row r="33" spans="1:12" ht="20" customHeight="1" thickBot="1">
      <c r="A33" s="825" t="s">
        <v>236</v>
      </c>
      <c r="B33" s="429" t="s">
        <v>1442</v>
      </c>
      <c r="C33" s="430" t="s">
        <v>1442</v>
      </c>
      <c r="D33" s="429" t="s">
        <v>1442</v>
      </c>
      <c r="E33" s="430">
        <v>87.224207000000007</v>
      </c>
      <c r="F33" s="891">
        <v>87.224206952661874</v>
      </c>
      <c r="G33" s="452">
        <v>-5.1061036119248726E-4</v>
      </c>
      <c r="H33" s="301">
        <v>3.3500575254605813E-2</v>
      </c>
    </row>
    <row r="34" spans="1:12" s="115" customFormat="1" ht="30" customHeight="1" thickBot="1">
      <c r="A34" s="91" t="s">
        <v>0</v>
      </c>
      <c r="B34" s="313" t="s">
        <v>1442</v>
      </c>
      <c r="C34" s="768" t="s">
        <v>1442</v>
      </c>
      <c r="D34" s="313" t="s">
        <v>1442</v>
      </c>
      <c r="E34" s="768" t="s">
        <v>1442</v>
      </c>
      <c r="F34" s="313">
        <v>90.589348150346225</v>
      </c>
      <c r="G34" s="837">
        <v>1.4086526981005543E-2</v>
      </c>
      <c r="H34" s="772">
        <v>4.0870107786536991E-2</v>
      </c>
    </row>
    <row r="35" spans="1:12" ht="20" customHeight="1">
      <c r="A35" s="95" t="s">
        <v>1572</v>
      </c>
      <c r="B35" s="892"/>
      <c r="C35" s="892"/>
      <c r="D35" s="892"/>
      <c r="E35" s="892"/>
      <c r="F35" s="892"/>
    </row>
    <row r="36" spans="1:12" ht="12.75" customHeight="1">
      <c r="A36" s="96"/>
      <c r="B36" s="893"/>
      <c r="C36" s="893"/>
      <c r="D36" s="893"/>
      <c r="E36" s="893"/>
      <c r="F36" s="893"/>
    </row>
    <row r="37" spans="1:12" ht="15.75" customHeight="1">
      <c r="A37" s="96" t="s">
        <v>1542</v>
      </c>
      <c r="B37" s="893"/>
      <c r="C37" s="893"/>
      <c r="D37" s="893"/>
      <c r="E37" s="893"/>
      <c r="F37" s="893"/>
    </row>
    <row r="38" spans="1:12" ht="13.5" customHeight="1">
      <c r="A38" s="96"/>
      <c r="B38" s="893"/>
      <c r="C38" s="893"/>
      <c r="D38" s="893"/>
      <c r="E38" s="893"/>
      <c r="F38" s="893"/>
    </row>
    <row r="39" spans="1:12" ht="12.75" customHeight="1">
      <c r="A39" s="96" t="s">
        <v>1543</v>
      </c>
      <c r="B39" s="893"/>
      <c r="C39" s="893"/>
      <c r="D39" s="893"/>
      <c r="E39" s="893"/>
      <c r="F39" s="893"/>
    </row>
    <row r="40" spans="1:12">
      <c r="A40" s="3" t="s">
        <v>1544</v>
      </c>
      <c r="B40" s="138"/>
      <c r="C40" s="138"/>
      <c r="D40" s="138"/>
      <c r="E40" s="138"/>
      <c r="F40" s="138"/>
    </row>
    <row r="41" spans="1:12">
      <c r="A41" s="3" t="s">
        <v>1545</v>
      </c>
      <c r="B41" s="138"/>
      <c r="C41" s="138"/>
      <c r="D41" s="138"/>
      <c r="E41" s="138"/>
      <c r="F41" s="138"/>
    </row>
    <row r="42" spans="1:12">
      <c r="A42" s="3" t="s">
        <v>1546</v>
      </c>
      <c r="B42" s="138"/>
      <c r="C42" s="138"/>
      <c r="D42" s="138"/>
      <c r="E42" s="138"/>
      <c r="F42" s="138"/>
      <c r="J42" s="4"/>
      <c r="K42" s="4"/>
      <c r="L42" s="4"/>
    </row>
    <row r="43" spans="1:12">
      <c r="B43" s="138"/>
      <c r="C43" s="138"/>
      <c r="D43" s="138"/>
      <c r="E43" s="138"/>
      <c r="F43" s="138"/>
    </row>
    <row r="44" spans="1:12">
      <c r="B44" s="138"/>
      <c r="C44" s="138"/>
      <c r="D44" s="138"/>
      <c r="E44" s="138"/>
      <c r="F44" s="138"/>
    </row>
    <row r="45" spans="1:12">
      <c r="A45" s="3" t="s">
        <v>677</v>
      </c>
    </row>
  </sheetData>
  <pageMargins left="0.62" right="0.54" top="0.9" bottom="0.47244094488188981" header="0.53" footer="0.51181102362204722"/>
  <pageSetup paperSize="9" scale="74" orientation="portrait"/>
  <headerFooter alignWithMargins="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644BD-3543-C643-B19D-C648DB6057D7}">
  <sheetPr>
    <pageSetUpPr fitToPage="1"/>
  </sheetPr>
  <dimension ref="A1:F46"/>
  <sheetViews>
    <sheetView zoomScaleNormal="100" workbookViewId="0">
      <selection activeCell="G8" sqref="G8"/>
    </sheetView>
  </sheetViews>
  <sheetFormatPr baseColWidth="10" defaultColWidth="11.3984375" defaultRowHeight="13"/>
  <cols>
    <col min="1" max="1" width="17.19921875" style="3" customWidth="1"/>
    <col min="2" max="2" width="16.19921875" style="3" customWidth="1"/>
    <col min="3" max="3" width="15.3984375" style="3" customWidth="1"/>
    <col min="4" max="4" width="17.59765625" style="3" customWidth="1"/>
    <col min="5" max="5" width="16.19921875" style="3" customWidth="1"/>
    <col min="6" max="6" width="15.796875" style="3" customWidth="1"/>
    <col min="7" max="7" width="17.59765625" style="3" customWidth="1"/>
    <col min="8" max="16384" width="11.3984375" style="3"/>
  </cols>
  <sheetData>
    <row r="1" spans="1:6" s="2" customFormat="1" ht="14" customHeight="1">
      <c r="A1" s="242"/>
      <c r="B1" s="242"/>
      <c r="C1" s="242"/>
      <c r="D1" s="242"/>
      <c r="E1" s="242"/>
      <c r="F1" s="242"/>
    </row>
    <row r="2" spans="1:6" s="2" customFormat="1" ht="18.75" customHeight="1">
      <c r="A2" s="371" t="s">
        <v>1840</v>
      </c>
      <c r="B2" s="242"/>
      <c r="C2" s="242"/>
      <c r="D2" s="242"/>
      <c r="E2" s="242"/>
      <c r="F2" s="242"/>
    </row>
    <row r="3" spans="1:6" s="2" customFormat="1" ht="24" customHeight="1">
      <c r="A3" s="371" t="s">
        <v>1574</v>
      </c>
      <c r="B3" s="242"/>
      <c r="C3" s="242"/>
      <c r="D3" s="242"/>
      <c r="E3" s="242"/>
      <c r="F3" s="242"/>
    </row>
    <row r="4" spans="1:6" ht="24" customHeight="1">
      <c r="A4" s="72" t="s">
        <v>203</v>
      </c>
      <c r="B4" s="877">
        <v>0.05</v>
      </c>
      <c r="C4" s="878">
        <v>0.25</v>
      </c>
      <c r="D4" s="877">
        <v>0.5</v>
      </c>
      <c r="E4" s="878">
        <v>0.25</v>
      </c>
      <c r="F4" s="877">
        <v>0.05</v>
      </c>
    </row>
    <row r="5" spans="1:6" ht="73.5" customHeight="1">
      <c r="A5" s="328"/>
      <c r="B5" s="881" t="s">
        <v>1836</v>
      </c>
      <c r="C5" s="882" t="s">
        <v>1836</v>
      </c>
      <c r="D5" s="881" t="s">
        <v>1837</v>
      </c>
      <c r="E5" s="882" t="s">
        <v>1838</v>
      </c>
      <c r="F5" s="881" t="s">
        <v>1838</v>
      </c>
    </row>
    <row r="6" spans="1:6" ht="16" customHeight="1">
      <c r="A6" s="329"/>
      <c r="B6" s="82"/>
      <c r="C6" s="81"/>
      <c r="D6" s="82"/>
      <c r="E6" s="81"/>
      <c r="F6" s="110"/>
    </row>
    <row r="7" spans="1:6" ht="30" customHeight="1" thickBot="1">
      <c r="A7" s="821" t="s">
        <v>211</v>
      </c>
      <c r="B7" s="131">
        <v>324.5</v>
      </c>
      <c r="C7" s="130">
        <v>354.4</v>
      </c>
      <c r="D7" s="131">
        <v>374</v>
      </c>
      <c r="E7" s="130">
        <v>391</v>
      </c>
      <c r="F7" s="131">
        <v>459</v>
      </c>
    </row>
    <row r="8" spans="1:6" ht="20" customHeight="1" thickBot="1">
      <c r="A8" s="825" t="s">
        <v>212</v>
      </c>
      <c r="B8" s="133">
        <v>354.5</v>
      </c>
      <c r="C8" s="132">
        <v>387</v>
      </c>
      <c r="D8" s="133">
        <v>411.9</v>
      </c>
      <c r="E8" s="132">
        <v>441</v>
      </c>
      <c r="F8" s="133">
        <v>514.6</v>
      </c>
    </row>
    <row r="9" spans="1:6" ht="20" customHeight="1" thickBot="1">
      <c r="A9" s="825" t="s">
        <v>213</v>
      </c>
      <c r="B9" s="133">
        <v>279.2</v>
      </c>
      <c r="C9" s="132">
        <v>316.60000000000002</v>
      </c>
      <c r="D9" s="133">
        <v>339.3</v>
      </c>
      <c r="E9" s="132">
        <v>369</v>
      </c>
      <c r="F9" s="133">
        <v>385</v>
      </c>
    </row>
    <row r="10" spans="1:6" ht="20" customHeight="1" thickBot="1">
      <c r="A10" s="825" t="s">
        <v>214</v>
      </c>
      <c r="B10" s="133">
        <v>270</v>
      </c>
      <c r="C10" s="132">
        <v>285</v>
      </c>
      <c r="D10" s="133">
        <v>323</v>
      </c>
      <c r="E10" s="132">
        <v>335.2</v>
      </c>
      <c r="F10" s="133">
        <v>396</v>
      </c>
    </row>
    <row r="11" spans="1:6" ht="20" customHeight="1" thickBot="1">
      <c r="A11" s="825" t="s">
        <v>215</v>
      </c>
      <c r="B11" s="133">
        <v>281</v>
      </c>
      <c r="C11" s="132">
        <v>320.5</v>
      </c>
      <c r="D11" s="133">
        <v>322</v>
      </c>
      <c r="E11" s="132">
        <v>340.9</v>
      </c>
      <c r="F11" s="133">
        <v>382</v>
      </c>
    </row>
    <row r="12" spans="1:6" ht="20" customHeight="1" thickBot="1">
      <c r="A12" s="825" t="s">
        <v>216</v>
      </c>
      <c r="B12" s="133">
        <v>261</v>
      </c>
      <c r="C12" s="132">
        <v>311</v>
      </c>
      <c r="D12" s="133">
        <v>316</v>
      </c>
      <c r="E12" s="132">
        <v>320.2</v>
      </c>
      <c r="F12" s="133">
        <v>327.2</v>
      </c>
    </row>
    <row r="13" spans="1:6" ht="20" customHeight="1" thickBot="1">
      <c r="A13" s="825" t="s">
        <v>217</v>
      </c>
      <c r="B13" s="133">
        <v>245.8</v>
      </c>
      <c r="C13" s="132">
        <v>284.2</v>
      </c>
      <c r="D13" s="133">
        <v>286</v>
      </c>
      <c r="E13" s="132">
        <v>297.7</v>
      </c>
      <c r="F13" s="133">
        <v>324.5</v>
      </c>
    </row>
    <row r="14" spans="1:6" ht="20" customHeight="1" thickBot="1">
      <c r="A14" s="825" t="s">
        <v>218</v>
      </c>
      <c r="B14" s="133">
        <v>286</v>
      </c>
      <c r="C14" s="132">
        <v>296</v>
      </c>
      <c r="D14" s="133">
        <v>334</v>
      </c>
      <c r="E14" s="132">
        <v>369</v>
      </c>
      <c r="F14" s="133">
        <v>375</v>
      </c>
    </row>
    <row r="15" spans="1:6" ht="20" customHeight="1" thickBot="1">
      <c r="A15" s="825" t="s">
        <v>219</v>
      </c>
      <c r="B15" s="133">
        <v>285</v>
      </c>
      <c r="C15" s="132">
        <v>312</v>
      </c>
      <c r="D15" s="133">
        <v>325</v>
      </c>
      <c r="E15" s="132">
        <v>338.6</v>
      </c>
      <c r="F15" s="133">
        <v>395</v>
      </c>
    </row>
    <row r="16" spans="1:6" ht="20" customHeight="1" thickBot="1">
      <c r="A16" s="825" t="s">
        <v>220</v>
      </c>
      <c r="B16" s="133">
        <v>307</v>
      </c>
      <c r="C16" s="132">
        <v>338.8</v>
      </c>
      <c r="D16" s="133">
        <v>349.6</v>
      </c>
      <c r="E16" s="132">
        <v>380</v>
      </c>
      <c r="F16" s="133">
        <v>408.1</v>
      </c>
    </row>
    <row r="17" spans="1:6" ht="20" customHeight="1" thickBot="1">
      <c r="A17" s="825" t="s">
        <v>221</v>
      </c>
      <c r="B17" s="133">
        <v>313.10000000000002</v>
      </c>
      <c r="C17" s="132">
        <v>342</v>
      </c>
      <c r="D17" s="133">
        <v>370.2</v>
      </c>
      <c r="E17" s="132">
        <v>388</v>
      </c>
      <c r="F17" s="133">
        <v>398.6</v>
      </c>
    </row>
    <row r="18" spans="1:6" ht="20" customHeight="1" thickBot="1">
      <c r="A18" s="825" t="s">
        <v>222</v>
      </c>
      <c r="B18" s="133">
        <v>421.3</v>
      </c>
      <c r="C18" s="132">
        <v>449.5</v>
      </c>
      <c r="D18" s="133">
        <v>520</v>
      </c>
      <c r="E18" s="132">
        <v>520</v>
      </c>
      <c r="F18" s="133">
        <v>608</v>
      </c>
    </row>
    <row r="19" spans="1:6" ht="20" customHeight="1" thickBot="1">
      <c r="A19" s="825" t="s">
        <v>223</v>
      </c>
      <c r="B19" s="133">
        <v>337</v>
      </c>
      <c r="C19" s="132">
        <v>374</v>
      </c>
      <c r="D19" s="133">
        <v>415</v>
      </c>
      <c r="E19" s="132">
        <v>451.4</v>
      </c>
      <c r="F19" s="133">
        <v>468</v>
      </c>
    </row>
    <row r="20" spans="1:6" ht="20" customHeight="1" thickBot="1">
      <c r="A20" s="825" t="s">
        <v>224</v>
      </c>
      <c r="B20" s="133">
        <v>311</v>
      </c>
      <c r="C20" s="132">
        <v>338.2</v>
      </c>
      <c r="D20" s="133">
        <v>365</v>
      </c>
      <c r="E20" s="132">
        <v>389.9</v>
      </c>
      <c r="F20" s="133">
        <v>426</v>
      </c>
    </row>
    <row r="21" spans="1:6" ht="20" customHeight="1" thickBot="1">
      <c r="A21" s="825" t="s">
        <v>225</v>
      </c>
      <c r="B21" s="133">
        <v>269</v>
      </c>
      <c r="C21" s="132">
        <v>278.10000000000002</v>
      </c>
      <c r="D21" s="133">
        <v>309.89999999999998</v>
      </c>
      <c r="E21" s="132">
        <v>321</v>
      </c>
      <c r="F21" s="133">
        <v>369</v>
      </c>
    </row>
    <row r="22" spans="1:6" ht="20" customHeight="1" thickBot="1">
      <c r="A22" s="825" t="s">
        <v>226</v>
      </c>
      <c r="B22" s="133">
        <v>268</v>
      </c>
      <c r="C22" s="132">
        <v>279</v>
      </c>
      <c r="D22" s="133">
        <v>289.89999999999998</v>
      </c>
      <c r="E22" s="132">
        <v>297</v>
      </c>
      <c r="F22" s="133">
        <v>356.9</v>
      </c>
    </row>
    <row r="23" spans="1:6" ht="20" customHeight="1" thickBot="1">
      <c r="A23" s="825" t="s">
        <v>227</v>
      </c>
      <c r="B23" s="133">
        <v>289.89999999999998</v>
      </c>
      <c r="C23" s="132">
        <v>319.39999999999998</v>
      </c>
      <c r="D23" s="133">
        <v>339.9</v>
      </c>
      <c r="E23" s="132">
        <v>358</v>
      </c>
      <c r="F23" s="133">
        <v>408.1</v>
      </c>
    </row>
    <row r="24" spans="1:6" ht="20" customHeight="1" thickBot="1">
      <c r="A24" s="825" t="s">
        <v>228</v>
      </c>
      <c r="B24" s="133">
        <v>275.39999999999998</v>
      </c>
      <c r="C24" s="132">
        <v>305</v>
      </c>
      <c r="D24" s="133">
        <v>305</v>
      </c>
      <c r="E24" s="132">
        <v>329</v>
      </c>
      <c r="F24" s="133">
        <v>388</v>
      </c>
    </row>
    <row r="25" spans="1:6" ht="20" customHeight="1" thickBot="1">
      <c r="A25" s="825" t="s">
        <v>229</v>
      </c>
      <c r="B25" s="133">
        <v>308.2</v>
      </c>
      <c r="C25" s="132">
        <v>331</v>
      </c>
      <c r="D25" s="133">
        <v>352</v>
      </c>
      <c r="E25" s="132">
        <v>391</v>
      </c>
      <c r="F25" s="133">
        <v>401.6</v>
      </c>
    </row>
    <row r="26" spans="1:6" ht="20" customHeight="1" thickBot="1">
      <c r="A26" s="825" t="s">
        <v>230</v>
      </c>
      <c r="B26" s="133">
        <v>293</v>
      </c>
      <c r="C26" s="132">
        <v>326</v>
      </c>
      <c r="D26" s="133">
        <v>361</v>
      </c>
      <c r="E26" s="132">
        <v>364.9</v>
      </c>
      <c r="F26" s="133">
        <v>376</v>
      </c>
    </row>
    <row r="27" spans="1:6" ht="20" customHeight="1" thickBot="1">
      <c r="A27" s="825" t="s">
        <v>231</v>
      </c>
      <c r="B27" s="133">
        <v>362</v>
      </c>
      <c r="C27" s="132">
        <v>372</v>
      </c>
      <c r="D27" s="133">
        <v>396</v>
      </c>
      <c r="E27" s="132">
        <v>436</v>
      </c>
      <c r="F27" s="133">
        <v>469</v>
      </c>
    </row>
    <row r="28" spans="1:6" ht="20" customHeight="1" thickBot="1">
      <c r="A28" s="825" t="s">
        <v>232</v>
      </c>
      <c r="B28" s="133">
        <v>364.7</v>
      </c>
      <c r="C28" s="132">
        <v>388</v>
      </c>
      <c r="D28" s="133">
        <v>424</v>
      </c>
      <c r="E28" s="132">
        <v>439</v>
      </c>
      <c r="F28" s="133">
        <v>469.4</v>
      </c>
    </row>
    <row r="29" spans="1:6" ht="20" customHeight="1" thickBot="1">
      <c r="A29" s="825" t="s">
        <v>233</v>
      </c>
      <c r="B29" s="133">
        <v>298</v>
      </c>
      <c r="C29" s="132">
        <v>304</v>
      </c>
      <c r="D29" s="133">
        <v>329</v>
      </c>
      <c r="E29" s="132">
        <v>350.5</v>
      </c>
      <c r="F29" s="133">
        <v>390</v>
      </c>
    </row>
    <row r="30" spans="1:6" ht="20" customHeight="1" thickBot="1">
      <c r="A30" s="825" t="s">
        <v>234</v>
      </c>
      <c r="B30" s="133">
        <v>346</v>
      </c>
      <c r="C30" s="132">
        <v>346</v>
      </c>
      <c r="D30" s="133">
        <v>405</v>
      </c>
      <c r="E30" s="132">
        <v>421.7</v>
      </c>
      <c r="F30" s="133">
        <v>454</v>
      </c>
    </row>
    <row r="31" spans="1:6" ht="20" customHeight="1" thickBot="1">
      <c r="A31" s="825" t="s">
        <v>235</v>
      </c>
      <c r="B31" s="133">
        <v>386</v>
      </c>
      <c r="C31" s="132">
        <v>456</v>
      </c>
      <c r="D31" s="133">
        <v>463</v>
      </c>
      <c r="E31" s="132">
        <v>488</v>
      </c>
      <c r="F31" s="133">
        <v>502</v>
      </c>
    </row>
    <row r="32" spans="1:6" ht="20" customHeight="1" thickBot="1">
      <c r="A32" s="825" t="s">
        <v>236</v>
      </c>
      <c r="B32" s="133">
        <v>352.8</v>
      </c>
      <c r="C32" s="132">
        <v>352.8</v>
      </c>
      <c r="D32" s="133">
        <v>372.5</v>
      </c>
      <c r="E32" s="132">
        <v>436</v>
      </c>
      <c r="F32" s="133">
        <v>451.3</v>
      </c>
    </row>
    <row r="33" spans="1:6" ht="30" customHeight="1" thickBot="1">
      <c r="A33" s="91" t="s">
        <v>0</v>
      </c>
      <c r="B33" s="435">
        <v>303.89999999999998</v>
      </c>
      <c r="C33" s="436">
        <v>340.9</v>
      </c>
      <c r="D33" s="435">
        <v>378</v>
      </c>
      <c r="E33" s="436">
        <v>418.7</v>
      </c>
      <c r="F33" s="435">
        <v>488</v>
      </c>
    </row>
    <row r="34" spans="1:6" ht="20" customHeight="1">
      <c r="A34" s="95" t="s">
        <v>1572</v>
      </c>
      <c r="B34" s="892"/>
      <c r="C34" s="892"/>
      <c r="D34" s="892"/>
      <c r="E34" s="892"/>
      <c r="F34" s="892"/>
    </row>
    <row r="35" spans="1:6" ht="12.75" customHeight="1">
      <c r="A35" s="96"/>
      <c r="B35" s="893"/>
      <c r="C35" s="893"/>
      <c r="D35" s="893"/>
      <c r="E35" s="893"/>
      <c r="F35" s="893"/>
    </row>
    <row r="36" spans="1:6" ht="15.75" customHeight="1">
      <c r="A36" s="96" t="s">
        <v>1542</v>
      </c>
      <c r="B36" s="893"/>
      <c r="C36" s="893"/>
      <c r="D36" s="893"/>
      <c r="E36" s="893"/>
      <c r="F36" s="893"/>
    </row>
    <row r="37" spans="1:6" ht="13.5" customHeight="1">
      <c r="A37" s="96"/>
      <c r="B37" s="893"/>
      <c r="C37" s="893"/>
      <c r="D37" s="893"/>
      <c r="E37" s="893"/>
      <c r="F37" s="893"/>
    </row>
    <row r="38" spans="1:6" ht="12.75" customHeight="1">
      <c r="A38" s="96" t="s">
        <v>1543</v>
      </c>
      <c r="B38" s="893"/>
      <c r="C38" s="893"/>
      <c r="D38" s="893"/>
      <c r="E38" s="893"/>
      <c r="F38" s="893"/>
    </row>
    <row r="39" spans="1:6">
      <c r="A39" s="3" t="s">
        <v>1841</v>
      </c>
      <c r="B39" s="138"/>
      <c r="C39" s="138"/>
      <c r="D39" s="138"/>
      <c r="E39" s="138"/>
      <c r="F39" s="138"/>
    </row>
    <row r="40" spans="1:6">
      <c r="A40" s="3" t="s">
        <v>1842</v>
      </c>
      <c r="B40" s="138"/>
      <c r="C40" s="138"/>
      <c r="D40" s="138"/>
      <c r="E40" s="138"/>
      <c r="F40" s="138"/>
    </row>
    <row r="41" spans="1:6">
      <c r="A41" s="3" t="s">
        <v>1843</v>
      </c>
      <c r="B41" s="138"/>
      <c r="C41" s="138"/>
      <c r="D41" s="138"/>
      <c r="E41" s="138"/>
      <c r="F41" s="138"/>
    </row>
    <row r="42" spans="1:6">
      <c r="A42" s="3" t="s">
        <v>1844</v>
      </c>
      <c r="B42" s="138"/>
      <c r="C42" s="138"/>
      <c r="D42" s="138"/>
      <c r="E42" s="138"/>
      <c r="F42" s="138"/>
    </row>
    <row r="43" spans="1:6">
      <c r="A43" s="3" t="s">
        <v>1845</v>
      </c>
      <c r="B43" s="138"/>
      <c r="C43" s="138"/>
      <c r="D43" s="138"/>
      <c r="E43" s="138"/>
      <c r="F43" s="138"/>
    </row>
    <row r="44" spans="1:6">
      <c r="B44" s="138"/>
      <c r="C44" s="138"/>
      <c r="D44" s="138"/>
      <c r="E44" s="138"/>
      <c r="F44" s="138"/>
    </row>
    <row r="45" spans="1:6">
      <c r="B45" s="138"/>
      <c r="C45" s="138"/>
      <c r="D45" s="138"/>
      <c r="E45" s="138"/>
      <c r="F45" s="138"/>
    </row>
    <row r="46" spans="1:6">
      <c r="A46" s="3" t="s">
        <v>677</v>
      </c>
      <c r="B46" s="138"/>
      <c r="C46" s="138"/>
      <c r="D46" s="138"/>
      <c r="E46" s="138"/>
      <c r="F46" s="138"/>
    </row>
  </sheetData>
  <pageMargins left="0.6692913385826772" right="0.59055118110236227" top="0.70866141732283472" bottom="0.47244094488188981" header="0.59055118110236227" footer="0.51181102362204722"/>
  <pageSetup paperSize="9" scale="78" orientation="portrait" horizontalDpi="1200" verticalDpi="1200"/>
  <headerFooter alignWithMargins="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80509-C2BB-B34B-A5C5-00914BD41AE7}">
  <sheetPr>
    <pageSetUpPr fitToPage="1"/>
  </sheetPr>
  <dimension ref="A1:G46"/>
  <sheetViews>
    <sheetView zoomScaleNormal="100" workbookViewId="0">
      <selection activeCell="D6" sqref="D6"/>
    </sheetView>
  </sheetViews>
  <sheetFormatPr baseColWidth="10" defaultColWidth="11.3984375" defaultRowHeight="13"/>
  <cols>
    <col min="1" max="1" width="18.3984375" style="3" customWidth="1"/>
    <col min="2" max="2" width="16.3984375" style="3" customWidth="1"/>
    <col min="3" max="3" width="16.19921875" style="3" customWidth="1"/>
    <col min="4" max="4" width="17.59765625" style="3" customWidth="1"/>
    <col min="5" max="6" width="16.19921875" style="3" customWidth="1"/>
    <col min="7" max="7" width="16.3984375" style="3" customWidth="1"/>
    <col min="8" max="8" width="11.3984375" style="3"/>
    <col min="9" max="9" width="6.59765625" style="3" customWidth="1"/>
    <col min="10" max="16384" width="11.3984375" style="3"/>
  </cols>
  <sheetData>
    <row r="1" spans="1:6" s="2" customFormat="1" ht="14" customHeight="1">
      <c r="A1" s="242"/>
      <c r="B1" s="242"/>
      <c r="C1" s="242"/>
      <c r="D1" s="242"/>
      <c r="E1" s="242"/>
      <c r="F1" s="242"/>
    </row>
    <row r="2" spans="1:6" s="2" customFormat="1" ht="18.75" customHeight="1">
      <c r="A2" s="371" t="s">
        <v>1839</v>
      </c>
      <c r="B2" s="242"/>
      <c r="C2" s="242"/>
      <c r="D2" s="242"/>
      <c r="E2" s="242"/>
      <c r="F2" s="242"/>
    </row>
    <row r="3" spans="1:6" s="2" customFormat="1" ht="24" customHeight="1">
      <c r="A3" s="371" t="s">
        <v>1573</v>
      </c>
      <c r="B3" s="242"/>
      <c r="C3" s="242"/>
      <c r="D3" s="242"/>
      <c r="E3" s="242"/>
      <c r="F3" s="242"/>
    </row>
    <row r="4" spans="1:6" ht="24" customHeight="1">
      <c r="A4" s="72" t="s">
        <v>203</v>
      </c>
      <c r="B4" s="877">
        <v>0.05</v>
      </c>
      <c r="C4" s="878">
        <v>0.25</v>
      </c>
      <c r="D4" s="877">
        <v>0.5</v>
      </c>
      <c r="E4" s="878">
        <v>0.25</v>
      </c>
      <c r="F4" s="877">
        <v>0.05</v>
      </c>
    </row>
    <row r="5" spans="1:6" ht="73.5" customHeight="1">
      <c r="A5" s="328"/>
      <c r="B5" s="881" t="s">
        <v>1836</v>
      </c>
      <c r="C5" s="882" t="s">
        <v>1836</v>
      </c>
      <c r="D5" s="881" t="s">
        <v>1837</v>
      </c>
      <c r="E5" s="882" t="s">
        <v>1838</v>
      </c>
      <c r="F5" s="881" t="s">
        <v>1838</v>
      </c>
    </row>
    <row r="6" spans="1:6" ht="16" customHeight="1">
      <c r="A6" s="329"/>
      <c r="B6" s="82"/>
      <c r="C6" s="81"/>
      <c r="D6" s="82"/>
      <c r="E6" s="81"/>
      <c r="F6" s="110"/>
    </row>
    <row r="7" spans="1:6" ht="30" customHeight="1" thickBot="1">
      <c r="A7" s="821" t="s">
        <v>211</v>
      </c>
      <c r="B7" s="131">
        <v>298.8</v>
      </c>
      <c r="C7" s="130">
        <v>319</v>
      </c>
      <c r="D7" s="131">
        <v>337</v>
      </c>
      <c r="E7" s="130">
        <v>361</v>
      </c>
      <c r="F7" s="131">
        <v>403.9</v>
      </c>
    </row>
    <row r="8" spans="1:6" ht="20" customHeight="1" thickBot="1">
      <c r="A8" s="825" t="s">
        <v>212</v>
      </c>
      <c r="B8" s="133">
        <v>315.8</v>
      </c>
      <c r="C8" s="132">
        <v>339.3</v>
      </c>
      <c r="D8" s="133">
        <v>354.5</v>
      </c>
      <c r="E8" s="132">
        <v>396.9</v>
      </c>
      <c r="F8" s="133">
        <v>447.8</v>
      </c>
    </row>
    <row r="9" spans="1:6" ht="20" customHeight="1" thickBot="1">
      <c r="A9" s="825" t="s">
        <v>213</v>
      </c>
      <c r="B9" s="133">
        <v>256.5</v>
      </c>
      <c r="C9" s="132">
        <v>285.10000000000002</v>
      </c>
      <c r="D9" s="133">
        <v>295.2</v>
      </c>
      <c r="E9" s="132">
        <v>316.39999999999998</v>
      </c>
      <c r="F9" s="133">
        <v>335</v>
      </c>
    </row>
    <row r="10" spans="1:6" ht="20" customHeight="1" thickBot="1">
      <c r="A10" s="825" t="s">
        <v>214</v>
      </c>
      <c r="B10" s="133">
        <v>232.6</v>
      </c>
      <c r="C10" s="132">
        <v>256.5</v>
      </c>
      <c r="D10" s="133">
        <v>284.2</v>
      </c>
      <c r="E10" s="132">
        <v>291.7</v>
      </c>
      <c r="F10" s="133">
        <v>332.5</v>
      </c>
    </row>
    <row r="11" spans="1:6" ht="20" customHeight="1" thickBot="1">
      <c r="A11" s="825" t="s">
        <v>215</v>
      </c>
      <c r="B11" s="133">
        <v>239.8</v>
      </c>
      <c r="C11" s="132">
        <v>283.39999999999998</v>
      </c>
      <c r="D11" s="133">
        <v>284</v>
      </c>
      <c r="E11" s="132">
        <v>300</v>
      </c>
      <c r="F11" s="133">
        <v>356.2</v>
      </c>
    </row>
    <row r="12" spans="1:6" ht="20" customHeight="1" thickBot="1">
      <c r="A12" s="825" t="s">
        <v>216</v>
      </c>
      <c r="B12" s="133">
        <v>234.9</v>
      </c>
      <c r="C12" s="132">
        <v>272</v>
      </c>
      <c r="D12" s="133">
        <v>273.7</v>
      </c>
      <c r="E12" s="132">
        <v>281.8</v>
      </c>
      <c r="F12" s="133">
        <v>313.10000000000002</v>
      </c>
    </row>
    <row r="13" spans="1:6" ht="20" customHeight="1" thickBot="1">
      <c r="A13" s="825" t="s">
        <v>217</v>
      </c>
      <c r="B13" s="133">
        <v>226.2</v>
      </c>
      <c r="C13" s="132">
        <v>251.7</v>
      </c>
      <c r="D13" s="133">
        <v>255.8</v>
      </c>
      <c r="E13" s="132">
        <v>262</v>
      </c>
      <c r="F13" s="133">
        <v>272.8</v>
      </c>
    </row>
    <row r="14" spans="1:6" ht="20" customHeight="1" thickBot="1">
      <c r="A14" s="825" t="s">
        <v>218</v>
      </c>
      <c r="B14" s="133">
        <v>249</v>
      </c>
      <c r="C14" s="132">
        <v>269.10000000000002</v>
      </c>
      <c r="D14" s="133">
        <v>306</v>
      </c>
      <c r="E14" s="132">
        <v>316.2</v>
      </c>
      <c r="F14" s="133">
        <v>332.5</v>
      </c>
    </row>
    <row r="15" spans="1:6" ht="20" customHeight="1" thickBot="1">
      <c r="A15" s="825" t="s">
        <v>219</v>
      </c>
      <c r="B15" s="133">
        <v>265.10000000000002</v>
      </c>
      <c r="C15" s="132">
        <v>274.60000000000002</v>
      </c>
      <c r="D15" s="133">
        <v>294</v>
      </c>
      <c r="E15" s="132">
        <v>298</v>
      </c>
      <c r="F15" s="133">
        <v>335.7</v>
      </c>
    </row>
    <row r="16" spans="1:6" ht="20" customHeight="1" thickBot="1">
      <c r="A16" s="825" t="s">
        <v>220</v>
      </c>
      <c r="B16" s="133">
        <v>304.5</v>
      </c>
      <c r="C16" s="132">
        <v>304.5</v>
      </c>
      <c r="D16" s="133">
        <v>313.5</v>
      </c>
      <c r="E16" s="132">
        <v>344.1</v>
      </c>
      <c r="F16" s="133">
        <v>361</v>
      </c>
    </row>
    <row r="17" spans="1:6" ht="20" customHeight="1" thickBot="1">
      <c r="A17" s="825" t="s">
        <v>221</v>
      </c>
      <c r="B17" s="133">
        <v>290.7</v>
      </c>
      <c r="C17" s="132">
        <v>301.39999999999998</v>
      </c>
      <c r="D17" s="133">
        <v>326.7</v>
      </c>
      <c r="E17" s="132">
        <v>341.4</v>
      </c>
      <c r="F17" s="133">
        <v>375.2</v>
      </c>
    </row>
    <row r="18" spans="1:6" ht="20" customHeight="1" thickBot="1">
      <c r="A18" s="825" t="s">
        <v>222</v>
      </c>
      <c r="B18" s="133">
        <v>398.1</v>
      </c>
      <c r="C18" s="132">
        <v>442</v>
      </c>
      <c r="D18" s="133">
        <v>442</v>
      </c>
      <c r="E18" s="132">
        <v>463.4</v>
      </c>
      <c r="F18" s="133">
        <v>498.7</v>
      </c>
    </row>
    <row r="19" spans="1:6" ht="20" customHeight="1" thickBot="1">
      <c r="A19" s="825" t="s">
        <v>223</v>
      </c>
      <c r="B19" s="133">
        <v>321.3</v>
      </c>
      <c r="C19" s="132">
        <v>339.7</v>
      </c>
      <c r="D19" s="133">
        <v>367.2</v>
      </c>
      <c r="E19" s="132">
        <v>392</v>
      </c>
      <c r="F19" s="133">
        <v>408.5</v>
      </c>
    </row>
    <row r="20" spans="1:6" ht="20" customHeight="1" thickBot="1">
      <c r="A20" s="825" t="s">
        <v>224</v>
      </c>
      <c r="B20" s="133">
        <v>289.8</v>
      </c>
      <c r="C20" s="132">
        <v>311</v>
      </c>
      <c r="D20" s="133">
        <v>331.1</v>
      </c>
      <c r="E20" s="132">
        <v>342.3</v>
      </c>
      <c r="F20" s="133">
        <v>370.5</v>
      </c>
    </row>
    <row r="21" spans="1:6" ht="20" customHeight="1" thickBot="1">
      <c r="A21" s="825" t="s">
        <v>225</v>
      </c>
      <c r="B21" s="133">
        <v>220.3</v>
      </c>
      <c r="C21" s="132">
        <v>270.10000000000002</v>
      </c>
      <c r="D21" s="133">
        <v>294.5</v>
      </c>
      <c r="E21" s="132">
        <v>294.5</v>
      </c>
      <c r="F21" s="133">
        <v>324.7</v>
      </c>
    </row>
    <row r="22" spans="1:6" ht="20" customHeight="1" thickBot="1">
      <c r="A22" s="825" t="s">
        <v>226</v>
      </c>
      <c r="B22" s="133">
        <v>239.4</v>
      </c>
      <c r="C22" s="132">
        <v>245.5</v>
      </c>
      <c r="D22" s="133">
        <v>261.8</v>
      </c>
      <c r="E22" s="132">
        <v>275.5</v>
      </c>
      <c r="F22" s="133">
        <v>321.3</v>
      </c>
    </row>
    <row r="23" spans="1:6" ht="20" customHeight="1" thickBot="1">
      <c r="A23" s="825" t="s">
        <v>227</v>
      </c>
      <c r="B23" s="133">
        <v>268.2</v>
      </c>
      <c r="C23" s="132">
        <v>294</v>
      </c>
      <c r="D23" s="133">
        <v>303.89999999999998</v>
      </c>
      <c r="E23" s="132">
        <v>332.5</v>
      </c>
      <c r="F23" s="133">
        <v>370.5</v>
      </c>
    </row>
    <row r="24" spans="1:6" ht="20" customHeight="1" thickBot="1">
      <c r="A24" s="825" t="s">
        <v>228</v>
      </c>
      <c r="B24" s="133">
        <v>265.60000000000002</v>
      </c>
      <c r="C24" s="132">
        <v>274.5</v>
      </c>
      <c r="D24" s="133">
        <v>276</v>
      </c>
      <c r="E24" s="132">
        <v>302.3</v>
      </c>
      <c r="F24" s="133">
        <v>345</v>
      </c>
    </row>
    <row r="25" spans="1:6" ht="20" customHeight="1" thickBot="1">
      <c r="A25" s="825" t="s">
        <v>229</v>
      </c>
      <c r="B25" s="133">
        <v>287.39999999999998</v>
      </c>
      <c r="C25" s="132">
        <v>307.8</v>
      </c>
      <c r="D25" s="133">
        <v>316.3</v>
      </c>
      <c r="E25" s="132">
        <v>334.1</v>
      </c>
      <c r="F25" s="133">
        <v>375.2</v>
      </c>
    </row>
    <row r="26" spans="1:6" ht="20" customHeight="1" thickBot="1">
      <c r="A26" s="825" t="s">
        <v>230</v>
      </c>
      <c r="B26" s="133">
        <v>272.5</v>
      </c>
      <c r="C26" s="132">
        <v>294.3</v>
      </c>
      <c r="D26" s="133">
        <v>309.10000000000002</v>
      </c>
      <c r="E26" s="132">
        <v>332.5</v>
      </c>
      <c r="F26" s="133">
        <v>346.7</v>
      </c>
    </row>
    <row r="27" spans="1:6" ht="20" customHeight="1" thickBot="1">
      <c r="A27" s="825" t="s">
        <v>231</v>
      </c>
      <c r="B27" s="133">
        <v>326.5</v>
      </c>
      <c r="C27" s="132">
        <v>346</v>
      </c>
      <c r="D27" s="133">
        <v>369.9</v>
      </c>
      <c r="E27" s="132">
        <v>389.6</v>
      </c>
      <c r="F27" s="133">
        <v>426.7</v>
      </c>
    </row>
    <row r="28" spans="1:6" ht="20" customHeight="1" thickBot="1">
      <c r="A28" s="825" t="s">
        <v>232</v>
      </c>
      <c r="B28" s="133">
        <v>360.9</v>
      </c>
      <c r="C28" s="132">
        <v>379.3</v>
      </c>
      <c r="D28" s="133">
        <v>388.5</v>
      </c>
      <c r="E28" s="132">
        <v>413.9</v>
      </c>
      <c r="F28" s="133">
        <v>442.6</v>
      </c>
    </row>
    <row r="29" spans="1:6" ht="20" customHeight="1" thickBot="1">
      <c r="A29" s="825" t="s">
        <v>233</v>
      </c>
      <c r="B29" s="133">
        <v>254.2</v>
      </c>
      <c r="C29" s="132">
        <v>275.89999999999998</v>
      </c>
      <c r="D29" s="133">
        <v>304</v>
      </c>
      <c r="E29" s="132">
        <v>322.10000000000002</v>
      </c>
      <c r="F29" s="133">
        <v>334</v>
      </c>
    </row>
    <row r="30" spans="1:6" ht="20" customHeight="1" thickBot="1">
      <c r="A30" s="825" t="s">
        <v>234</v>
      </c>
      <c r="B30" s="133">
        <v>346</v>
      </c>
      <c r="C30" s="132">
        <v>369.3</v>
      </c>
      <c r="D30" s="133">
        <v>379.6</v>
      </c>
      <c r="E30" s="132">
        <v>379.6</v>
      </c>
      <c r="F30" s="133">
        <v>413</v>
      </c>
    </row>
    <row r="31" spans="1:6" ht="20" customHeight="1" thickBot="1">
      <c r="A31" s="825" t="s">
        <v>235</v>
      </c>
      <c r="B31" s="133">
        <v>386</v>
      </c>
      <c r="C31" s="132">
        <v>393.5</v>
      </c>
      <c r="D31" s="133">
        <v>429.4</v>
      </c>
      <c r="E31" s="132">
        <v>441.8</v>
      </c>
      <c r="F31" s="133">
        <v>460.7</v>
      </c>
    </row>
    <row r="32" spans="1:6" ht="20" customHeight="1" thickBot="1">
      <c r="A32" s="825" t="s">
        <v>236</v>
      </c>
      <c r="B32" s="133">
        <v>312.2</v>
      </c>
      <c r="C32" s="132">
        <v>344.1</v>
      </c>
      <c r="D32" s="133">
        <v>365.7</v>
      </c>
      <c r="E32" s="132">
        <v>397.2</v>
      </c>
      <c r="F32" s="133">
        <v>409</v>
      </c>
    </row>
    <row r="33" spans="1:7" ht="30" customHeight="1" thickBot="1">
      <c r="A33" s="91" t="s">
        <v>0</v>
      </c>
      <c r="B33" s="435">
        <v>274.5</v>
      </c>
      <c r="C33" s="436">
        <v>306.2</v>
      </c>
      <c r="D33" s="435">
        <v>335.1</v>
      </c>
      <c r="E33" s="436">
        <v>379.6</v>
      </c>
      <c r="F33" s="435">
        <v>441.8</v>
      </c>
      <c r="G33" s="96"/>
    </row>
    <row r="34" spans="1:7" ht="20" customHeight="1">
      <c r="A34" s="95" t="s">
        <v>1572</v>
      </c>
      <c r="B34" s="892"/>
      <c r="C34" s="892"/>
      <c r="D34" s="892"/>
      <c r="E34" s="892"/>
      <c r="F34" s="892"/>
      <c r="G34" s="893"/>
    </row>
    <row r="35" spans="1:7" ht="12.75" customHeight="1">
      <c r="A35" s="96"/>
      <c r="B35" s="893"/>
      <c r="C35" s="893"/>
      <c r="D35" s="893"/>
      <c r="E35" s="893"/>
      <c r="F35" s="893"/>
      <c r="G35" s="893"/>
    </row>
    <row r="36" spans="1:7" ht="20" customHeight="1">
      <c r="A36" s="96" t="s">
        <v>1542</v>
      </c>
      <c r="B36" s="893"/>
      <c r="C36" s="893"/>
      <c r="D36" s="893"/>
      <c r="E36" s="893"/>
      <c r="F36" s="893"/>
      <c r="G36" s="893"/>
    </row>
    <row r="37" spans="1:7" ht="14.25" customHeight="1">
      <c r="A37" s="96"/>
      <c r="B37" s="893"/>
      <c r="C37" s="893"/>
      <c r="D37" s="893"/>
      <c r="E37" s="893"/>
      <c r="F37" s="893"/>
      <c r="G37" s="893"/>
    </row>
    <row r="38" spans="1:7" ht="12.75" customHeight="1">
      <c r="A38" s="96" t="s">
        <v>1543</v>
      </c>
      <c r="B38" s="893"/>
      <c r="C38" s="893"/>
      <c r="D38" s="893"/>
      <c r="E38" s="893"/>
      <c r="F38" s="893"/>
      <c r="G38" s="893"/>
    </row>
    <row r="39" spans="1:7">
      <c r="A39" s="3" t="s">
        <v>1841</v>
      </c>
      <c r="B39" s="138"/>
      <c r="C39" s="138"/>
      <c r="D39" s="138"/>
      <c r="E39" s="138"/>
      <c r="F39" s="138"/>
      <c r="G39" s="138"/>
    </row>
    <row r="40" spans="1:7">
      <c r="A40" s="3" t="s">
        <v>1842</v>
      </c>
      <c r="B40" s="138"/>
      <c r="C40" s="138"/>
      <c r="D40" s="138"/>
      <c r="E40" s="138"/>
      <c r="F40" s="138"/>
      <c r="G40" s="138"/>
    </row>
    <row r="41" spans="1:7">
      <c r="A41" s="3" t="s">
        <v>1843</v>
      </c>
      <c r="B41" s="138"/>
      <c r="C41" s="138"/>
      <c r="D41" s="138"/>
      <c r="E41" s="138"/>
      <c r="F41" s="138"/>
      <c r="G41" s="138"/>
    </row>
    <row r="42" spans="1:7">
      <c r="A42" s="3" t="s">
        <v>1844</v>
      </c>
      <c r="B42" s="138"/>
      <c r="C42" s="138"/>
      <c r="D42" s="138"/>
      <c r="E42" s="138"/>
      <c r="F42" s="138"/>
      <c r="G42" s="138"/>
    </row>
    <row r="43" spans="1:7">
      <c r="A43" s="3" t="s">
        <v>1845</v>
      </c>
      <c r="B43" s="138"/>
      <c r="C43" s="138"/>
      <c r="D43" s="138"/>
      <c r="E43" s="138"/>
      <c r="F43" s="138"/>
      <c r="G43" s="138"/>
    </row>
    <row r="44" spans="1:7">
      <c r="B44" s="138"/>
      <c r="C44" s="138"/>
      <c r="D44" s="138"/>
      <c r="E44" s="138"/>
      <c r="F44" s="138"/>
      <c r="G44" s="138"/>
    </row>
    <row r="45" spans="1:7">
      <c r="B45" s="138"/>
      <c r="C45" s="138"/>
      <c r="D45" s="138"/>
      <c r="E45" s="138"/>
      <c r="F45" s="138"/>
      <c r="G45" s="138"/>
    </row>
    <row r="46" spans="1:7">
      <c r="A46" s="3" t="s">
        <v>677</v>
      </c>
      <c r="B46" s="138"/>
      <c r="C46" s="138"/>
      <c r="D46" s="138"/>
      <c r="E46" s="138"/>
      <c r="F46" s="138"/>
      <c r="G46" s="138"/>
    </row>
  </sheetData>
  <pageMargins left="0.6692913385826772" right="0.55118110236220474" top="0.6692913385826772" bottom="0.47244094488188981" header="0.47244094488188981" footer="0.51181102362204722"/>
  <pageSetup paperSize="9" scale="78" orientation="portrait"/>
  <headerFooter alignWithMargins="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F5A3E-A84C-9A47-87D2-0DA0A2120A87}">
  <sheetPr>
    <pageSetUpPr fitToPage="1"/>
  </sheetPr>
  <dimension ref="A1:F46"/>
  <sheetViews>
    <sheetView zoomScaleNormal="100" workbookViewId="0">
      <selection activeCell="G10" sqref="G10"/>
    </sheetView>
  </sheetViews>
  <sheetFormatPr baseColWidth="10" defaultColWidth="11.3984375" defaultRowHeight="13"/>
  <cols>
    <col min="1" max="1" width="21.19921875" style="3" customWidth="1"/>
    <col min="2" max="2" width="15.796875" style="3" customWidth="1"/>
    <col min="3" max="3" width="15.59765625" style="3" customWidth="1"/>
    <col min="4" max="4" width="17.3984375" style="3" customWidth="1"/>
    <col min="5" max="5" width="15.59765625" style="3" customWidth="1"/>
    <col min="6" max="6" width="15.796875" style="3" customWidth="1"/>
    <col min="7" max="7" width="19.3984375" style="3" customWidth="1"/>
    <col min="8" max="16384" width="11.3984375" style="3"/>
  </cols>
  <sheetData>
    <row r="1" spans="1:6" s="2" customFormat="1" ht="14" customHeight="1">
      <c r="A1" s="242"/>
      <c r="B1" s="242"/>
      <c r="C1" s="242"/>
      <c r="D1" s="242"/>
      <c r="E1" s="242"/>
      <c r="F1" s="242"/>
    </row>
    <row r="2" spans="1:6" s="2" customFormat="1" ht="18.75" customHeight="1">
      <c r="A2" s="371" t="s">
        <v>1835</v>
      </c>
      <c r="B2" s="242"/>
      <c r="C2" s="242"/>
      <c r="D2" s="242"/>
      <c r="E2" s="242"/>
      <c r="F2" s="242"/>
    </row>
    <row r="3" spans="1:6" s="2" customFormat="1" ht="22.5" customHeight="1">
      <c r="A3" s="371" t="s">
        <v>1571</v>
      </c>
      <c r="B3" s="242"/>
      <c r="C3" s="242"/>
      <c r="D3" s="242"/>
      <c r="E3" s="242"/>
      <c r="F3" s="242"/>
    </row>
    <row r="4" spans="1:6" ht="24" customHeight="1">
      <c r="A4" s="72" t="s">
        <v>203</v>
      </c>
      <c r="B4" s="877">
        <v>0.05</v>
      </c>
      <c r="C4" s="878">
        <v>0.25</v>
      </c>
      <c r="D4" s="877">
        <v>0.5</v>
      </c>
      <c r="E4" s="878">
        <v>0.25</v>
      </c>
      <c r="F4" s="877">
        <v>0.05</v>
      </c>
    </row>
    <row r="5" spans="1:6" ht="73.5" customHeight="1">
      <c r="A5" s="328"/>
      <c r="B5" s="881" t="s">
        <v>1836</v>
      </c>
      <c r="C5" s="882" t="s">
        <v>1836</v>
      </c>
      <c r="D5" s="881" t="s">
        <v>1837</v>
      </c>
      <c r="E5" s="882" t="s">
        <v>1838</v>
      </c>
      <c r="F5" s="881" t="s">
        <v>1838</v>
      </c>
    </row>
    <row r="6" spans="1:6" ht="16" customHeight="1">
      <c r="A6" s="329"/>
      <c r="B6" s="82"/>
      <c r="C6" s="81"/>
      <c r="D6" s="82"/>
      <c r="E6" s="81"/>
      <c r="F6" s="110"/>
    </row>
    <row r="7" spans="1:6" ht="30" customHeight="1" thickBot="1">
      <c r="A7" s="821" t="s">
        <v>211</v>
      </c>
      <c r="B7" s="131">
        <v>74.8</v>
      </c>
      <c r="C7" s="130">
        <v>86</v>
      </c>
      <c r="D7" s="131">
        <v>90</v>
      </c>
      <c r="E7" s="130">
        <v>96.2</v>
      </c>
      <c r="F7" s="131">
        <v>108.8</v>
      </c>
    </row>
    <row r="8" spans="1:6" ht="20" customHeight="1" thickBot="1">
      <c r="A8" s="825" t="s">
        <v>212</v>
      </c>
      <c r="B8" s="133">
        <v>77.599999999999994</v>
      </c>
      <c r="C8" s="132">
        <v>86.9</v>
      </c>
      <c r="D8" s="133">
        <v>95</v>
      </c>
      <c r="E8" s="132">
        <v>104.7</v>
      </c>
      <c r="F8" s="133">
        <v>123.8</v>
      </c>
    </row>
    <row r="9" spans="1:6" ht="20" customHeight="1" thickBot="1">
      <c r="A9" s="825" t="s">
        <v>213</v>
      </c>
      <c r="B9" s="133">
        <v>63.1</v>
      </c>
      <c r="C9" s="132">
        <v>71.900000000000006</v>
      </c>
      <c r="D9" s="133">
        <v>80.3</v>
      </c>
      <c r="E9" s="132">
        <v>84.5</v>
      </c>
      <c r="F9" s="133">
        <v>92.3</v>
      </c>
    </row>
    <row r="10" spans="1:6" ht="20" customHeight="1" thickBot="1">
      <c r="A10" s="825" t="s">
        <v>214</v>
      </c>
      <c r="B10" s="133">
        <v>58.1</v>
      </c>
      <c r="C10" s="132">
        <v>74</v>
      </c>
      <c r="D10" s="133">
        <v>74.900000000000006</v>
      </c>
      <c r="E10" s="132">
        <v>80.8</v>
      </c>
      <c r="F10" s="133">
        <v>83.8</v>
      </c>
    </row>
    <row r="11" spans="1:6" ht="20" customHeight="1" thickBot="1">
      <c r="A11" s="825" t="s">
        <v>215</v>
      </c>
      <c r="B11" s="133">
        <v>60</v>
      </c>
      <c r="C11" s="132">
        <v>75.099999999999994</v>
      </c>
      <c r="D11" s="133">
        <v>80.5</v>
      </c>
      <c r="E11" s="132">
        <v>80.5</v>
      </c>
      <c r="F11" s="133">
        <v>93.8</v>
      </c>
    </row>
    <row r="12" spans="1:6" ht="20" customHeight="1" thickBot="1">
      <c r="A12" s="825" t="s">
        <v>216</v>
      </c>
      <c r="B12" s="133">
        <v>67.2</v>
      </c>
      <c r="C12" s="132">
        <v>70.8</v>
      </c>
      <c r="D12" s="133">
        <v>72</v>
      </c>
      <c r="E12" s="132">
        <v>77.8</v>
      </c>
      <c r="F12" s="133">
        <v>81.400000000000006</v>
      </c>
    </row>
    <row r="13" spans="1:6" ht="20" customHeight="1" thickBot="1">
      <c r="A13" s="825" t="s">
        <v>217</v>
      </c>
      <c r="B13" s="133">
        <v>60.2</v>
      </c>
      <c r="C13" s="132">
        <v>67.3</v>
      </c>
      <c r="D13" s="133">
        <v>67.3</v>
      </c>
      <c r="E13" s="132">
        <v>71.5</v>
      </c>
      <c r="F13" s="133">
        <v>78</v>
      </c>
    </row>
    <row r="14" spans="1:6" ht="20" customHeight="1" thickBot="1">
      <c r="A14" s="825" t="s">
        <v>218</v>
      </c>
      <c r="B14" s="133">
        <v>58</v>
      </c>
      <c r="C14" s="132">
        <v>69</v>
      </c>
      <c r="D14" s="133">
        <v>78.3</v>
      </c>
      <c r="E14" s="132">
        <v>85</v>
      </c>
      <c r="F14" s="133">
        <v>90.8</v>
      </c>
    </row>
    <row r="15" spans="1:6" ht="20" customHeight="1" thickBot="1">
      <c r="A15" s="825" t="s">
        <v>219</v>
      </c>
      <c r="B15" s="133">
        <v>56.6</v>
      </c>
      <c r="C15" s="132">
        <v>75.2</v>
      </c>
      <c r="D15" s="133">
        <v>78</v>
      </c>
      <c r="E15" s="132">
        <v>81.3</v>
      </c>
      <c r="F15" s="133">
        <v>86.9</v>
      </c>
    </row>
    <row r="16" spans="1:6" ht="20" customHeight="1" thickBot="1">
      <c r="A16" s="825" t="s">
        <v>220</v>
      </c>
      <c r="B16" s="133">
        <v>73.8</v>
      </c>
      <c r="C16" s="132">
        <v>81</v>
      </c>
      <c r="D16" s="133">
        <v>86.5</v>
      </c>
      <c r="E16" s="132">
        <v>91.2</v>
      </c>
      <c r="F16" s="133">
        <v>99.6</v>
      </c>
    </row>
    <row r="17" spans="1:6" ht="20" customHeight="1" thickBot="1">
      <c r="A17" s="825" t="s">
        <v>221</v>
      </c>
      <c r="B17" s="133">
        <v>75.2</v>
      </c>
      <c r="C17" s="132">
        <v>77</v>
      </c>
      <c r="D17" s="133">
        <v>92.7</v>
      </c>
      <c r="E17" s="132">
        <v>97</v>
      </c>
      <c r="F17" s="133">
        <v>103.8</v>
      </c>
    </row>
    <row r="18" spans="1:6" ht="20" customHeight="1" thickBot="1">
      <c r="A18" s="825" t="s">
        <v>222</v>
      </c>
      <c r="B18" s="133">
        <v>99</v>
      </c>
      <c r="C18" s="132">
        <v>101.9</v>
      </c>
      <c r="D18" s="133">
        <v>130</v>
      </c>
      <c r="E18" s="132">
        <v>130</v>
      </c>
      <c r="F18" s="133">
        <v>141</v>
      </c>
    </row>
    <row r="19" spans="1:6" ht="20" customHeight="1" thickBot="1">
      <c r="A19" s="825" t="s">
        <v>223</v>
      </c>
      <c r="B19" s="133">
        <v>85.7</v>
      </c>
      <c r="C19" s="132">
        <v>92.9</v>
      </c>
      <c r="D19" s="133">
        <v>100.1</v>
      </c>
      <c r="E19" s="132">
        <v>107.5</v>
      </c>
      <c r="F19" s="133">
        <v>117</v>
      </c>
    </row>
    <row r="20" spans="1:6" ht="20" customHeight="1" thickBot="1">
      <c r="A20" s="825" t="s">
        <v>224</v>
      </c>
      <c r="B20" s="133">
        <v>64.5</v>
      </c>
      <c r="C20" s="132">
        <v>80</v>
      </c>
      <c r="D20" s="133">
        <v>86.4</v>
      </c>
      <c r="E20" s="132">
        <v>92.3</v>
      </c>
      <c r="F20" s="133">
        <v>104.7</v>
      </c>
    </row>
    <row r="21" spans="1:6" ht="20" customHeight="1" thickBot="1">
      <c r="A21" s="825" t="s">
        <v>225</v>
      </c>
      <c r="B21" s="133">
        <v>55.1</v>
      </c>
      <c r="C21" s="132">
        <v>69.2</v>
      </c>
      <c r="D21" s="133">
        <v>76</v>
      </c>
      <c r="E21" s="132">
        <v>77.5</v>
      </c>
      <c r="F21" s="133">
        <v>92.3</v>
      </c>
    </row>
    <row r="22" spans="1:6" ht="20" customHeight="1" thickBot="1">
      <c r="A22" s="825" t="s">
        <v>226</v>
      </c>
      <c r="B22" s="133">
        <v>59.9</v>
      </c>
      <c r="C22" s="132">
        <v>66.900000000000006</v>
      </c>
      <c r="D22" s="133">
        <v>72.5</v>
      </c>
      <c r="E22" s="132">
        <v>74.3</v>
      </c>
      <c r="F22" s="133">
        <v>89.3</v>
      </c>
    </row>
    <row r="23" spans="1:6" ht="20" customHeight="1" thickBot="1">
      <c r="A23" s="825" t="s">
        <v>227</v>
      </c>
      <c r="B23" s="133">
        <v>65</v>
      </c>
      <c r="C23" s="132">
        <v>77.8</v>
      </c>
      <c r="D23" s="133">
        <v>84</v>
      </c>
      <c r="E23" s="132">
        <v>87.5</v>
      </c>
      <c r="F23" s="133">
        <v>97.5</v>
      </c>
    </row>
    <row r="24" spans="1:6" ht="20" customHeight="1" thickBot="1">
      <c r="A24" s="825" t="s">
        <v>228</v>
      </c>
      <c r="B24" s="133">
        <v>64.599999999999994</v>
      </c>
      <c r="C24" s="132">
        <v>76.3</v>
      </c>
      <c r="D24" s="133">
        <v>76.3</v>
      </c>
      <c r="E24" s="132">
        <v>82.3</v>
      </c>
      <c r="F24" s="133">
        <v>92.4</v>
      </c>
    </row>
    <row r="25" spans="1:6" ht="20" customHeight="1" thickBot="1">
      <c r="A25" s="825" t="s">
        <v>229</v>
      </c>
      <c r="B25" s="133">
        <v>66.900000000000006</v>
      </c>
      <c r="C25" s="132">
        <v>78.3</v>
      </c>
      <c r="D25" s="133">
        <v>88</v>
      </c>
      <c r="E25" s="132">
        <v>89</v>
      </c>
      <c r="F25" s="133">
        <v>98.8</v>
      </c>
    </row>
    <row r="26" spans="1:6" ht="20" customHeight="1" thickBot="1">
      <c r="A26" s="825" t="s">
        <v>230</v>
      </c>
      <c r="B26" s="133">
        <v>67.599999999999994</v>
      </c>
      <c r="C26" s="132">
        <v>80</v>
      </c>
      <c r="D26" s="133">
        <v>84.5</v>
      </c>
      <c r="E26" s="132">
        <v>90.3</v>
      </c>
      <c r="F26" s="133">
        <v>91.3</v>
      </c>
    </row>
    <row r="27" spans="1:6" ht="20" customHeight="1" thickBot="1">
      <c r="A27" s="825" t="s">
        <v>231</v>
      </c>
      <c r="B27" s="133">
        <v>72.2</v>
      </c>
      <c r="C27" s="132">
        <v>86.7</v>
      </c>
      <c r="D27" s="133">
        <v>97.4</v>
      </c>
      <c r="E27" s="132">
        <v>103</v>
      </c>
      <c r="F27" s="133">
        <v>111.8</v>
      </c>
    </row>
    <row r="28" spans="1:6" ht="20" customHeight="1" thickBot="1">
      <c r="A28" s="825" t="s">
        <v>232</v>
      </c>
      <c r="B28" s="133">
        <v>80.3</v>
      </c>
      <c r="C28" s="132">
        <v>88.9</v>
      </c>
      <c r="D28" s="133">
        <v>102</v>
      </c>
      <c r="E28" s="132">
        <v>109.8</v>
      </c>
      <c r="F28" s="133">
        <v>121.9</v>
      </c>
    </row>
    <row r="29" spans="1:6" ht="20" customHeight="1" thickBot="1">
      <c r="A29" s="825" t="s">
        <v>233</v>
      </c>
      <c r="B29" s="133">
        <v>68</v>
      </c>
      <c r="C29" s="132">
        <v>75</v>
      </c>
      <c r="D29" s="133">
        <v>76</v>
      </c>
      <c r="E29" s="132">
        <v>83.5</v>
      </c>
      <c r="F29" s="133">
        <v>93.5</v>
      </c>
    </row>
    <row r="30" spans="1:6" ht="20" customHeight="1" thickBot="1">
      <c r="A30" s="825" t="s">
        <v>234</v>
      </c>
      <c r="B30" s="133">
        <v>65.8</v>
      </c>
      <c r="C30" s="132">
        <v>65.8</v>
      </c>
      <c r="D30" s="133">
        <v>89</v>
      </c>
      <c r="E30" s="132">
        <v>103</v>
      </c>
      <c r="F30" s="133">
        <v>113.5</v>
      </c>
    </row>
    <row r="31" spans="1:6" ht="20" customHeight="1" thickBot="1">
      <c r="A31" s="825" t="s">
        <v>235</v>
      </c>
      <c r="B31" s="133">
        <v>69.5</v>
      </c>
      <c r="C31" s="132">
        <v>101.8</v>
      </c>
      <c r="D31" s="133">
        <v>108</v>
      </c>
      <c r="E31" s="132">
        <v>122</v>
      </c>
      <c r="F31" s="133">
        <v>125.5</v>
      </c>
    </row>
    <row r="32" spans="1:6" ht="20" customHeight="1" thickBot="1">
      <c r="A32" s="825" t="s">
        <v>236</v>
      </c>
      <c r="B32" s="133">
        <v>67.099999999999994</v>
      </c>
      <c r="C32" s="132">
        <v>67.099999999999994</v>
      </c>
      <c r="D32" s="133">
        <v>84</v>
      </c>
      <c r="E32" s="132">
        <v>102.3</v>
      </c>
      <c r="F32" s="133">
        <v>109</v>
      </c>
    </row>
    <row r="33" spans="1:6" ht="30" customHeight="1" thickBot="1">
      <c r="A33" s="91" t="s">
        <v>0</v>
      </c>
      <c r="B33" s="435">
        <v>68.5</v>
      </c>
      <c r="C33" s="436">
        <v>80.3</v>
      </c>
      <c r="D33" s="435">
        <v>88.6</v>
      </c>
      <c r="E33" s="436">
        <v>99</v>
      </c>
      <c r="F33" s="435">
        <v>120</v>
      </c>
    </row>
    <row r="34" spans="1:6" ht="20" customHeight="1">
      <c r="A34" s="95" t="s">
        <v>1572</v>
      </c>
      <c r="B34" s="892"/>
      <c r="C34" s="892"/>
      <c r="D34" s="892"/>
      <c r="E34" s="892"/>
      <c r="F34" s="892"/>
    </row>
    <row r="35" spans="1:6" ht="15.75" customHeight="1">
      <c r="A35" s="96"/>
      <c r="B35" s="893"/>
      <c r="C35" s="893"/>
      <c r="D35" s="893"/>
      <c r="E35" s="893"/>
      <c r="F35" s="893"/>
    </row>
    <row r="36" spans="1:6" ht="20.25" customHeight="1">
      <c r="A36" s="96" t="s">
        <v>1542</v>
      </c>
      <c r="B36" s="893"/>
      <c r="C36" s="893"/>
      <c r="D36" s="893"/>
      <c r="E36" s="893"/>
      <c r="F36" s="893"/>
    </row>
    <row r="37" spans="1:6" ht="13.5" customHeight="1">
      <c r="A37" s="96"/>
      <c r="B37" s="893"/>
      <c r="C37" s="893"/>
      <c r="D37" s="893"/>
      <c r="E37" s="893"/>
      <c r="F37" s="893"/>
    </row>
    <row r="38" spans="1:6" ht="12.75" customHeight="1">
      <c r="A38" s="96" t="s">
        <v>1543</v>
      </c>
      <c r="B38" s="893"/>
      <c r="C38" s="893"/>
      <c r="D38" s="893"/>
      <c r="E38" s="893"/>
      <c r="F38" s="893"/>
    </row>
    <row r="39" spans="1:6">
      <c r="A39" s="3" t="s">
        <v>1841</v>
      </c>
      <c r="B39" s="138"/>
      <c r="C39" s="138"/>
      <c r="D39" s="138"/>
      <c r="E39" s="138"/>
      <c r="F39" s="138"/>
    </row>
    <row r="40" spans="1:6">
      <c r="A40" s="3" t="s">
        <v>1842</v>
      </c>
      <c r="B40" s="138"/>
      <c r="C40" s="138"/>
      <c r="D40" s="138"/>
      <c r="E40" s="138"/>
      <c r="F40" s="138"/>
    </row>
    <row r="41" spans="1:6">
      <c r="A41" s="3" t="s">
        <v>1843</v>
      </c>
      <c r="B41" s="138"/>
      <c r="C41" s="138"/>
      <c r="D41" s="138"/>
      <c r="E41" s="138"/>
      <c r="F41" s="138"/>
    </row>
    <row r="42" spans="1:6">
      <c r="A42" s="3" t="s">
        <v>1844</v>
      </c>
      <c r="B42" s="138"/>
      <c r="C42" s="138"/>
      <c r="D42" s="138"/>
      <c r="E42" s="138"/>
      <c r="F42" s="138"/>
    </row>
    <row r="43" spans="1:6">
      <c r="A43" s="3" t="s">
        <v>1845</v>
      </c>
      <c r="B43" s="138"/>
      <c r="C43" s="138"/>
      <c r="D43" s="138"/>
      <c r="E43" s="138"/>
      <c r="F43" s="138"/>
    </row>
    <row r="44" spans="1:6">
      <c r="B44" s="138"/>
      <c r="C44" s="138"/>
      <c r="D44" s="138"/>
      <c r="E44" s="138"/>
      <c r="F44" s="138"/>
    </row>
    <row r="45" spans="1:6">
      <c r="B45" s="138"/>
      <c r="C45" s="138"/>
      <c r="D45" s="138"/>
      <c r="E45" s="138"/>
      <c r="F45" s="138"/>
    </row>
    <row r="46" spans="1:6">
      <c r="A46" s="3" t="s">
        <v>677</v>
      </c>
      <c r="B46" s="138"/>
      <c r="C46" s="138"/>
      <c r="D46" s="138"/>
      <c r="E46" s="138"/>
      <c r="F46" s="138"/>
    </row>
  </sheetData>
  <pageMargins left="0.6692913385826772" right="0.59055118110236227" top="0.70866141732283472" bottom="0.47244094488188981" header="0.59055118110236227" footer="0.51181102362204722"/>
  <pageSetup paperSize="9" scale="74" orientation="portrait"/>
  <headerFooter alignWithMargins="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25933-CEC5-444A-A547-93C8819D1192}">
  <sheetPr>
    <pageSetUpPr fitToPage="1"/>
  </sheetPr>
  <dimension ref="A1:P41"/>
  <sheetViews>
    <sheetView zoomScaleNormal="100" workbookViewId="0">
      <selection activeCell="I2" sqref="I2"/>
    </sheetView>
  </sheetViews>
  <sheetFormatPr baseColWidth="10" defaultColWidth="11.3984375" defaultRowHeight="13"/>
  <cols>
    <col min="1" max="1" width="15.59765625" style="3" customWidth="1"/>
    <col min="2" max="16" width="10.796875" style="3" customWidth="1"/>
    <col min="17" max="16384" width="11.3984375" style="3"/>
  </cols>
  <sheetData>
    <row r="1" spans="1:16" s="2" customFormat="1" ht="14" customHeight="1"/>
    <row r="2" spans="1:16" s="2" customFormat="1" ht="30.75" customHeight="1">
      <c r="A2" s="129" t="s">
        <v>2471</v>
      </c>
      <c r="B2" s="306"/>
      <c r="C2" s="306"/>
      <c r="D2" s="306"/>
      <c r="E2" s="306"/>
      <c r="F2" s="306"/>
      <c r="G2" s="306"/>
      <c r="H2" s="306"/>
      <c r="I2" s="71"/>
      <c r="J2" s="71"/>
      <c r="K2" s="71"/>
      <c r="L2" s="71"/>
    </row>
    <row r="3" spans="1:16" ht="24" customHeight="1">
      <c r="A3" s="692" t="s">
        <v>203</v>
      </c>
      <c r="B3" s="74">
        <v>1996</v>
      </c>
      <c r="C3" s="73">
        <v>1997</v>
      </c>
      <c r="D3" s="74">
        <v>1998</v>
      </c>
      <c r="E3" s="73">
        <v>1999</v>
      </c>
      <c r="F3" s="74">
        <v>2000</v>
      </c>
      <c r="G3" s="73">
        <v>2001</v>
      </c>
      <c r="H3" s="74">
        <v>2002</v>
      </c>
      <c r="I3" s="73">
        <v>2003</v>
      </c>
      <c r="J3" s="74">
        <v>2004</v>
      </c>
      <c r="K3" s="73">
        <v>2005</v>
      </c>
      <c r="L3" s="74">
        <v>2006</v>
      </c>
      <c r="M3" s="73">
        <v>2007</v>
      </c>
      <c r="N3" s="74">
        <v>2008</v>
      </c>
      <c r="O3" s="73">
        <v>2009</v>
      </c>
      <c r="P3" s="74">
        <v>2010</v>
      </c>
    </row>
    <row r="4" spans="1:16" ht="15" customHeight="1">
      <c r="A4" s="693"/>
      <c r="B4" s="77"/>
      <c r="C4" s="76"/>
      <c r="D4" s="77"/>
      <c r="E4" s="105"/>
      <c r="F4" s="106"/>
      <c r="G4" s="76"/>
      <c r="H4" s="77"/>
      <c r="I4" s="76"/>
      <c r="J4" s="77"/>
      <c r="K4" s="76"/>
      <c r="L4" s="77"/>
      <c r="M4" s="76"/>
      <c r="N4" s="77"/>
      <c r="O4" s="76"/>
      <c r="P4" s="77"/>
    </row>
    <row r="5" spans="1:16" ht="16" customHeight="1">
      <c r="A5" s="694"/>
      <c r="B5" s="81"/>
      <c r="C5" s="82"/>
      <c r="D5" s="81"/>
      <c r="E5" s="110"/>
      <c r="F5" s="109"/>
      <c r="G5" s="82"/>
      <c r="H5" s="81"/>
      <c r="I5" s="82"/>
      <c r="J5" s="81"/>
      <c r="K5" s="82"/>
      <c r="L5" s="81"/>
      <c r="M5" s="82"/>
      <c r="N5" s="81"/>
      <c r="O5" s="82"/>
      <c r="P5" s="81"/>
    </row>
    <row r="6" spans="1:16" ht="30" customHeight="1" thickBot="1">
      <c r="A6" s="1645" t="s">
        <v>211</v>
      </c>
      <c r="B6" s="130">
        <v>1512.7278548766653</v>
      </c>
      <c r="C6" s="131">
        <v>1690.4682648276428</v>
      </c>
      <c r="D6" s="130">
        <v>1786.7638261345123</v>
      </c>
      <c r="E6" s="131">
        <v>1850.2378191327716</v>
      </c>
      <c r="F6" s="130">
        <v>1919.051518810124</v>
      </c>
      <c r="G6" s="131">
        <v>1976.8212819287562</v>
      </c>
      <c r="H6" s="124">
        <v>2159.2798764460244</v>
      </c>
      <c r="I6" s="123">
        <v>2353.3393199429302</v>
      </c>
      <c r="J6" s="124">
        <v>2492.4202002955412</v>
      </c>
      <c r="K6" s="123">
        <v>2505.6468635796055</v>
      </c>
      <c r="L6" s="124">
        <v>2579.1355787180837</v>
      </c>
      <c r="M6" s="123">
        <v>2595.7230249620488</v>
      </c>
      <c r="N6" s="124">
        <v>2561.3104380170212</v>
      </c>
      <c r="O6" s="123">
        <v>2553.0417138843345</v>
      </c>
      <c r="P6" s="124">
        <v>2776.320883235062</v>
      </c>
    </row>
    <row r="7" spans="1:16" ht="20" customHeight="1" thickBot="1">
      <c r="A7" s="1646" t="s">
        <v>212</v>
      </c>
      <c r="B7" s="132">
        <v>1496.5880644384356</v>
      </c>
      <c r="C7" s="133">
        <v>1599.5458393409558</v>
      </c>
      <c r="D7" s="132">
        <v>1690.3815381114243</v>
      </c>
      <c r="E7" s="133">
        <v>1762.4320316284072</v>
      </c>
      <c r="F7" s="132">
        <v>1803.1485925383765</v>
      </c>
      <c r="G7" s="133">
        <v>1852.232176297025</v>
      </c>
      <c r="H7" s="124">
        <v>2045.656327850518</v>
      </c>
      <c r="I7" s="123">
        <v>2242.2825383559061</v>
      </c>
      <c r="J7" s="124">
        <v>2405.958768189671</v>
      </c>
      <c r="K7" s="123">
        <v>2463.9298694595982</v>
      </c>
      <c r="L7" s="124">
        <v>2642.1397449747906</v>
      </c>
      <c r="M7" s="123">
        <v>2717.2576736993597</v>
      </c>
      <c r="N7" s="124">
        <v>2699.9144765268679</v>
      </c>
      <c r="O7" s="123">
        <v>2759.6216653565525</v>
      </c>
      <c r="P7" s="124">
        <v>3066.9952969527417</v>
      </c>
    </row>
    <row r="8" spans="1:16" ht="20" customHeight="1" thickBot="1">
      <c r="A8" s="1646" t="s">
        <v>213</v>
      </c>
      <c r="B8" s="132">
        <v>1264.7539129021991</v>
      </c>
      <c r="C8" s="133">
        <v>1292.9185463072927</v>
      </c>
      <c r="D8" s="132">
        <v>1361.5901144612462</v>
      </c>
      <c r="E8" s="133">
        <v>1365.3904963868044</v>
      </c>
      <c r="F8" s="132">
        <v>1440.1292213830022</v>
      </c>
      <c r="G8" s="133">
        <v>1511.8839050654096</v>
      </c>
      <c r="H8" s="124">
        <v>1668.1137447159015</v>
      </c>
      <c r="I8" s="123">
        <v>1819.4834782945495</v>
      </c>
      <c r="J8" s="124">
        <v>1961.4638186220066</v>
      </c>
      <c r="K8" s="123">
        <v>2008.91188361891</v>
      </c>
      <c r="L8" s="124">
        <v>2073.9452150695606</v>
      </c>
      <c r="M8" s="123">
        <v>2130.7126484963214</v>
      </c>
      <c r="N8" s="124">
        <v>2109.7970680523613</v>
      </c>
      <c r="O8" s="123">
        <v>2171.352517674145</v>
      </c>
      <c r="P8" s="124">
        <v>2401.9040700129181</v>
      </c>
    </row>
    <row r="9" spans="1:16" ht="20" customHeight="1" thickBot="1">
      <c r="A9" s="1646" t="s">
        <v>214</v>
      </c>
      <c r="B9" s="132">
        <v>1283.7049916745705</v>
      </c>
      <c r="C9" s="133">
        <v>1323.187640547761</v>
      </c>
      <c r="D9" s="132">
        <v>1341.9131806270102</v>
      </c>
      <c r="E9" s="133">
        <v>1349.2621368050134</v>
      </c>
      <c r="F9" s="132">
        <v>1385.6329145041038</v>
      </c>
      <c r="G9" s="133">
        <v>1427.6289225723506</v>
      </c>
      <c r="H9" s="124">
        <v>1560.7602667092981</v>
      </c>
      <c r="I9" s="123">
        <v>1717.3481583157482</v>
      </c>
      <c r="J9" s="124">
        <v>1827.2942907370123</v>
      </c>
      <c r="K9" s="123">
        <v>1869.6008044084128</v>
      </c>
      <c r="L9" s="124">
        <v>1893.5458296718957</v>
      </c>
      <c r="M9" s="123">
        <v>1925.9720196197322</v>
      </c>
      <c r="N9" s="124">
        <v>1903.8905380120916</v>
      </c>
      <c r="O9" s="123">
        <v>1955.006748060292</v>
      </c>
      <c r="P9" s="124">
        <v>2218.3498646214603</v>
      </c>
    </row>
    <row r="10" spans="1:16" ht="20" customHeight="1" thickBot="1">
      <c r="A10" s="1646" t="s">
        <v>215</v>
      </c>
      <c r="B10" s="132">
        <v>1274.1975828909499</v>
      </c>
      <c r="C10" s="133">
        <v>1358.1597068831431</v>
      </c>
      <c r="D10" s="132">
        <v>1387.4588069577039</v>
      </c>
      <c r="E10" s="133">
        <v>1395.2856339532652</v>
      </c>
      <c r="F10" s="132">
        <v>1424.9980709085219</v>
      </c>
      <c r="G10" s="133">
        <v>1486.1515165568649</v>
      </c>
      <c r="H10" s="124">
        <v>1646.6159773148697</v>
      </c>
      <c r="I10" s="123">
        <v>1820.6576168670324</v>
      </c>
      <c r="J10" s="124">
        <v>1956.2475958099869</v>
      </c>
      <c r="K10" s="123">
        <v>2015.092203070071</v>
      </c>
      <c r="L10" s="124">
        <v>2070.3233661823961</v>
      </c>
      <c r="M10" s="123">
        <v>2104.4671218361436</v>
      </c>
      <c r="N10" s="124">
        <v>2093.4186615928788</v>
      </c>
      <c r="O10" s="123">
        <v>2138.5684760685695</v>
      </c>
      <c r="P10" s="124">
        <v>2377.2945251429996</v>
      </c>
    </row>
    <row r="11" spans="1:16" ht="20" customHeight="1" thickBot="1">
      <c r="A11" s="1646" t="s">
        <v>216</v>
      </c>
      <c r="B11" s="132">
        <v>1243.2114386384837</v>
      </c>
      <c r="C11" s="133">
        <v>1304.4535433971391</v>
      </c>
      <c r="D11" s="132">
        <v>1320.0366294859739</v>
      </c>
      <c r="E11" s="133">
        <v>1347.0959040317259</v>
      </c>
      <c r="F11" s="132">
        <v>1376.7111042831873</v>
      </c>
      <c r="G11" s="133">
        <v>1427.1790847864725</v>
      </c>
      <c r="H11" s="124">
        <v>1523.9847837432212</v>
      </c>
      <c r="I11" s="123">
        <v>1615.5146859127801</v>
      </c>
      <c r="J11" s="124">
        <v>1736.7186272054973</v>
      </c>
      <c r="K11" s="123">
        <v>1797.2900613304164</v>
      </c>
      <c r="L11" s="124">
        <v>1851.681033450858</v>
      </c>
      <c r="M11" s="123">
        <v>1891.2966624753446</v>
      </c>
      <c r="N11" s="124">
        <v>1884.8057100982198</v>
      </c>
      <c r="O11" s="123">
        <v>1944.3164077974288</v>
      </c>
      <c r="P11" s="124">
        <v>2198.9616541804353</v>
      </c>
    </row>
    <row r="12" spans="1:16" ht="20" customHeight="1" thickBot="1">
      <c r="A12" s="1646" t="s">
        <v>217</v>
      </c>
      <c r="B12" s="132">
        <v>1214.9307276924769</v>
      </c>
      <c r="C12" s="133">
        <v>1266.118836983019</v>
      </c>
      <c r="D12" s="132">
        <v>1295.7900233358537</v>
      </c>
      <c r="E12" s="133">
        <v>1277.6212506182928</v>
      </c>
      <c r="F12" s="132">
        <v>1305.8385719120508</v>
      </c>
      <c r="G12" s="133">
        <v>1347.6778695992052</v>
      </c>
      <c r="H12" s="124">
        <v>1461.6954401022306</v>
      </c>
      <c r="I12" s="123">
        <v>1582.4544625683175</v>
      </c>
      <c r="J12" s="124">
        <v>1704.3352440630301</v>
      </c>
      <c r="K12" s="123">
        <v>1731.3225876828974</v>
      </c>
      <c r="L12" s="124">
        <v>1784.2849383276041</v>
      </c>
      <c r="M12" s="123">
        <v>1817.7752893874101</v>
      </c>
      <c r="N12" s="124">
        <v>1803.0935553154891</v>
      </c>
      <c r="O12" s="123">
        <v>1867.5283697227594</v>
      </c>
      <c r="P12" s="124">
        <v>2048.914851429085</v>
      </c>
    </row>
    <row r="13" spans="1:16" ht="20" customHeight="1" thickBot="1">
      <c r="A13" s="1646" t="s">
        <v>218</v>
      </c>
      <c r="B13" s="132">
        <v>1198.3740333745261</v>
      </c>
      <c r="C13" s="133">
        <v>1297.3320819790542</v>
      </c>
      <c r="D13" s="132">
        <v>1354.4946046966113</v>
      </c>
      <c r="E13" s="133">
        <v>1392.697869544131</v>
      </c>
      <c r="F13" s="132">
        <v>1414.7931696969233</v>
      </c>
      <c r="G13" s="133">
        <v>1506.2915726656754</v>
      </c>
      <c r="H13" s="124">
        <v>1671.0568705401902</v>
      </c>
      <c r="I13" s="123">
        <v>1875.7946117866009</v>
      </c>
      <c r="J13" s="124">
        <v>1996.9107804120981</v>
      </c>
      <c r="K13" s="123">
        <v>2054.4674310978558</v>
      </c>
      <c r="L13" s="124">
        <v>2129.0070154057216</v>
      </c>
      <c r="M13" s="123">
        <v>2179.7101269508044</v>
      </c>
      <c r="N13" s="124">
        <v>2158.4121284594676</v>
      </c>
      <c r="O13" s="123">
        <v>2204.6169963077955</v>
      </c>
      <c r="P13" s="124">
        <v>2435.2221064710629</v>
      </c>
    </row>
    <row r="14" spans="1:16" ht="20" customHeight="1" thickBot="1">
      <c r="A14" s="1646" t="s">
        <v>219</v>
      </c>
      <c r="B14" s="132">
        <v>1253.5171294618378</v>
      </c>
      <c r="C14" s="133">
        <v>1400.3478967023677</v>
      </c>
      <c r="D14" s="132">
        <v>1373.4113579987272</v>
      </c>
      <c r="E14" s="133">
        <v>1377.2250963641409</v>
      </c>
      <c r="F14" s="132">
        <v>1419.1255885373778</v>
      </c>
      <c r="G14" s="133">
        <v>1471.0485635859277</v>
      </c>
      <c r="H14" s="124">
        <v>1627.2423468346346</v>
      </c>
      <c r="I14" s="123">
        <v>1850.5402485014397</v>
      </c>
      <c r="J14" s="124">
        <v>1963.5117068989878</v>
      </c>
      <c r="K14" s="123">
        <v>2011.3532466369977</v>
      </c>
      <c r="L14" s="124">
        <v>2075.651262141364</v>
      </c>
      <c r="M14" s="123">
        <v>2105.7716453745988</v>
      </c>
      <c r="N14" s="124">
        <v>2070.3218561356912</v>
      </c>
      <c r="O14" s="123">
        <v>2124.2562209431949</v>
      </c>
      <c r="P14" s="124">
        <v>2327.9773214911061</v>
      </c>
    </row>
    <row r="15" spans="1:16" ht="20" customHeight="1" thickBot="1">
      <c r="A15" s="1646" t="s">
        <v>220</v>
      </c>
      <c r="B15" s="132">
        <v>1598.8685198081489</v>
      </c>
      <c r="C15" s="133">
        <v>1659.0886104976244</v>
      </c>
      <c r="D15" s="132">
        <v>1674.7305534979612</v>
      </c>
      <c r="E15" s="133">
        <v>1705.5435518433258</v>
      </c>
      <c r="F15" s="132">
        <v>1792.5921885530313</v>
      </c>
      <c r="G15" s="133">
        <v>1873.2961835664028</v>
      </c>
      <c r="H15" s="124">
        <v>2011.8324829122876</v>
      </c>
      <c r="I15" s="123">
        <v>2133.3207028574438</v>
      </c>
      <c r="J15" s="124">
        <v>2222.7575924015277</v>
      </c>
      <c r="K15" s="123">
        <v>2280.732083672829</v>
      </c>
      <c r="L15" s="124">
        <v>2364.7798578203287</v>
      </c>
      <c r="M15" s="123">
        <v>2375.0390172724083</v>
      </c>
      <c r="N15" s="124">
        <v>2344.5923085432219</v>
      </c>
      <c r="O15" s="123">
        <v>2384.3628245658833</v>
      </c>
      <c r="P15" s="124">
        <v>2601.5028989787161</v>
      </c>
    </row>
    <row r="16" spans="1:16" ht="20" customHeight="1" thickBot="1">
      <c r="A16" s="1646" t="s">
        <v>221</v>
      </c>
      <c r="B16" s="132">
        <v>1432.0540697646038</v>
      </c>
      <c r="C16" s="133">
        <v>1546.0757185444368</v>
      </c>
      <c r="D16" s="132">
        <v>1670.2122551894063</v>
      </c>
      <c r="E16" s="133">
        <v>1690.360521472358</v>
      </c>
      <c r="F16" s="132">
        <v>1748.7938485973016</v>
      </c>
      <c r="G16" s="133">
        <v>1791.4647816610463</v>
      </c>
      <c r="H16" s="124">
        <v>1919.2684223971701</v>
      </c>
      <c r="I16" s="123">
        <v>2083.8284927301152</v>
      </c>
      <c r="J16" s="124">
        <v>2235.982610007572</v>
      </c>
      <c r="K16" s="123">
        <v>2283.3794466850818</v>
      </c>
      <c r="L16" s="124">
        <v>2322.8332723261396</v>
      </c>
      <c r="M16" s="123">
        <v>2363.6875610633019</v>
      </c>
      <c r="N16" s="124">
        <v>2360.2666473094714</v>
      </c>
      <c r="O16" s="123">
        <v>2430.7046474771378</v>
      </c>
      <c r="P16" s="124">
        <v>2679.5115744097079</v>
      </c>
    </row>
    <row r="17" spans="1:16" ht="20" customHeight="1" thickBot="1">
      <c r="A17" s="1646" t="s">
        <v>222</v>
      </c>
      <c r="B17" s="132">
        <v>1779.0716956039746</v>
      </c>
      <c r="C17" s="133">
        <v>1980.1286207444</v>
      </c>
      <c r="D17" s="132">
        <v>2325.1884256767662</v>
      </c>
      <c r="E17" s="133">
        <v>2468.7395837395525</v>
      </c>
      <c r="F17" s="132">
        <v>2556.388603057927</v>
      </c>
      <c r="G17" s="133">
        <v>2667.9533276530469</v>
      </c>
      <c r="H17" s="124">
        <v>2873.2285637607215</v>
      </c>
      <c r="I17" s="123">
        <v>3144.1726359207455</v>
      </c>
      <c r="J17" s="124">
        <v>3390.8382944172918</v>
      </c>
      <c r="K17" s="123">
        <v>3465.1178920107632</v>
      </c>
      <c r="L17" s="124">
        <v>3572.5031117061712</v>
      </c>
      <c r="M17" s="123">
        <v>3609.5021774338197</v>
      </c>
      <c r="N17" s="124">
        <v>3579.7912682098909</v>
      </c>
      <c r="O17" s="123">
        <v>3636.9303412384484</v>
      </c>
      <c r="P17" s="124">
        <v>3963.5004883465881</v>
      </c>
    </row>
    <row r="18" spans="1:16" ht="20" customHeight="1" thickBot="1">
      <c r="A18" s="1646" t="s">
        <v>223</v>
      </c>
      <c r="B18" s="132">
        <v>1576.3385142672505</v>
      </c>
      <c r="C18" s="133">
        <v>1772.7380414639133</v>
      </c>
      <c r="D18" s="132">
        <v>1852.5938087977788</v>
      </c>
      <c r="E18" s="133">
        <v>1855.719700876213</v>
      </c>
      <c r="F18" s="132">
        <v>1914.1321999689392</v>
      </c>
      <c r="G18" s="133">
        <v>1965.3534704811639</v>
      </c>
      <c r="H18" s="124">
        <v>2129.9146402115421</v>
      </c>
      <c r="I18" s="123">
        <v>2323.4267215082082</v>
      </c>
      <c r="J18" s="124">
        <v>2511.1817544584183</v>
      </c>
      <c r="K18" s="123">
        <v>2543.1840087506721</v>
      </c>
      <c r="L18" s="124">
        <v>2635.2629047824526</v>
      </c>
      <c r="M18" s="123">
        <v>2670.4562706659181</v>
      </c>
      <c r="N18" s="124">
        <v>2649.1798448962313</v>
      </c>
      <c r="O18" s="123">
        <v>2720.5119199181258</v>
      </c>
      <c r="P18" s="124">
        <v>3012.8106660836356</v>
      </c>
    </row>
    <row r="19" spans="1:16" ht="20" customHeight="1" thickBot="1">
      <c r="A19" s="1646" t="s">
        <v>224</v>
      </c>
      <c r="B19" s="132">
        <v>1377.4433608787208</v>
      </c>
      <c r="C19" s="133">
        <v>1496.085735075158</v>
      </c>
      <c r="D19" s="132">
        <v>1550.1089878371702</v>
      </c>
      <c r="E19" s="133">
        <v>1621.2920897617873</v>
      </c>
      <c r="F19" s="132">
        <v>1686.9323864525529</v>
      </c>
      <c r="G19" s="133">
        <v>1755.3711632421132</v>
      </c>
      <c r="H19" s="124">
        <v>1964.1156528535771</v>
      </c>
      <c r="I19" s="123">
        <v>2118.1459782521838</v>
      </c>
      <c r="J19" s="124">
        <v>2333.3747091400724</v>
      </c>
      <c r="K19" s="123">
        <v>2347.6561302217251</v>
      </c>
      <c r="L19" s="124">
        <v>2424.4107082919618</v>
      </c>
      <c r="M19" s="123">
        <v>2489.9160664760416</v>
      </c>
      <c r="N19" s="124">
        <v>2487.0259022335358</v>
      </c>
      <c r="O19" s="123">
        <v>2492.4390560167353</v>
      </c>
      <c r="P19" s="124">
        <v>2705.1575783276594</v>
      </c>
    </row>
    <row r="20" spans="1:16" ht="20" customHeight="1" thickBot="1">
      <c r="A20" s="1646" t="s">
        <v>225</v>
      </c>
      <c r="B20" s="132">
        <v>1088.2631097960402</v>
      </c>
      <c r="C20" s="133">
        <v>1219.1232978865526</v>
      </c>
      <c r="D20" s="132">
        <v>1281.7803147765962</v>
      </c>
      <c r="E20" s="133">
        <v>1295.3360153745725</v>
      </c>
      <c r="F20" s="132">
        <v>1323.5018460517797</v>
      </c>
      <c r="G20" s="133">
        <v>1381.1762586810332</v>
      </c>
      <c r="H20" s="124">
        <v>1490.3963038968932</v>
      </c>
      <c r="I20" s="123">
        <v>1673.1785117574805</v>
      </c>
      <c r="J20" s="124">
        <v>1783.5989266764338</v>
      </c>
      <c r="K20" s="123">
        <v>1833.8149969101737</v>
      </c>
      <c r="L20" s="124">
        <v>1908.2347339982916</v>
      </c>
      <c r="M20" s="123">
        <v>1929.0275823865018</v>
      </c>
      <c r="N20" s="124">
        <v>1927.2506540682261</v>
      </c>
      <c r="O20" s="123">
        <v>1980.3919865184796</v>
      </c>
      <c r="P20" s="124">
        <v>2189.786105109592</v>
      </c>
    </row>
    <row r="21" spans="1:16" ht="20" customHeight="1" thickBot="1">
      <c r="A21" s="1646" t="s">
        <v>226</v>
      </c>
      <c r="B21" s="132">
        <v>1063.9670413831095</v>
      </c>
      <c r="C21" s="133">
        <v>1133.5896136637402</v>
      </c>
      <c r="D21" s="132">
        <v>1149.5816729512298</v>
      </c>
      <c r="E21" s="133">
        <v>1132.1987248610853</v>
      </c>
      <c r="F21" s="132">
        <v>1153.6563486767391</v>
      </c>
      <c r="G21" s="133">
        <v>1206.5368275627904</v>
      </c>
      <c r="H21" s="124">
        <v>1329.5316032117605</v>
      </c>
      <c r="I21" s="123">
        <v>1457.285464187351</v>
      </c>
      <c r="J21" s="124">
        <v>1569.3448708775961</v>
      </c>
      <c r="K21" s="123">
        <v>1616.5031213778504</v>
      </c>
      <c r="L21" s="124">
        <v>1708.8239272302951</v>
      </c>
      <c r="M21" s="123">
        <v>1753.2072160251437</v>
      </c>
      <c r="N21" s="124">
        <v>1772.4265745911973</v>
      </c>
      <c r="O21" s="123">
        <v>1808.2572305818178</v>
      </c>
      <c r="P21" s="124">
        <v>1959.3141936106897</v>
      </c>
    </row>
    <row r="22" spans="1:16" ht="20" customHeight="1" thickBot="1">
      <c r="A22" s="1646" t="s">
        <v>227</v>
      </c>
      <c r="B22" s="132">
        <v>1188.3889362651646</v>
      </c>
      <c r="C22" s="133">
        <v>1304.2886879059893</v>
      </c>
      <c r="D22" s="132">
        <v>1369.0446563687569</v>
      </c>
      <c r="E22" s="133">
        <v>1401.9716323562091</v>
      </c>
      <c r="F22" s="132">
        <v>1438.2798432384884</v>
      </c>
      <c r="G22" s="133">
        <v>1498.2165892317853</v>
      </c>
      <c r="H22" s="124">
        <v>1628.1859223180359</v>
      </c>
      <c r="I22" s="123">
        <v>1779.1011543200063</v>
      </c>
      <c r="J22" s="124">
        <v>1925.2469157131877</v>
      </c>
      <c r="K22" s="123">
        <v>1983.710377581416</v>
      </c>
      <c r="L22" s="124">
        <v>2063.0210904751507</v>
      </c>
      <c r="M22" s="123">
        <v>2097.6601681024395</v>
      </c>
      <c r="N22" s="124">
        <v>2102.885021901081</v>
      </c>
      <c r="O22" s="123">
        <v>2162.9519973111946</v>
      </c>
      <c r="P22" s="124">
        <v>2389.0288696900816</v>
      </c>
    </row>
    <row r="23" spans="1:16" ht="20" customHeight="1" thickBot="1">
      <c r="A23" s="1646" t="s">
        <v>228</v>
      </c>
      <c r="B23" s="132">
        <v>1143.0492063265676</v>
      </c>
      <c r="C23" s="133">
        <v>1118.7264708589582</v>
      </c>
      <c r="D23" s="132">
        <v>1230.4546176647252</v>
      </c>
      <c r="E23" s="133">
        <v>1336.8496660502983</v>
      </c>
      <c r="F23" s="132">
        <v>1406.1163676195615</v>
      </c>
      <c r="G23" s="133">
        <v>1487.4162136975867</v>
      </c>
      <c r="H23" s="124">
        <v>1688.6776910005324</v>
      </c>
      <c r="I23" s="123">
        <v>1919.3632236727024</v>
      </c>
      <c r="J23" s="124">
        <v>2060.0819990324671</v>
      </c>
      <c r="K23" s="123">
        <v>2103.6861391914222</v>
      </c>
      <c r="L23" s="124">
        <v>2169.9849681912365</v>
      </c>
      <c r="M23" s="123">
        <v>2201.0081903069449</v>
      </c>
      <c r="N23" s="124">
        <v>2220.7397464059109</v>
      </c>
      <c r="O23" s="123">
        <v>2260.611571997274</v>
      </c>
      <c r="P23" s="124">
        <v>2528.7313729979492</v>
      </c>
    </row>
    <row r="24" spans="1:16" ht="20" customHeight="1" thickBot="1">
      <c r="A24" s="1646" t="s">
        <v>229</v>
      </c>
      <c r="B24" s="132">
        <v>1230.393303349367</v>
      </c>
      <c r="C24" s="133">
        <v>1330.9781495724483</v>
      </c>
      <c r="D24" s="132">
        <v>1405.9852586348795</v>
      </c>
      <c r="E24" s="133">
        <v>1469.6726041508725</v>
      </c>
      <c r="F24" s="132">
        <v>1549.1699069322558</v>
      </c>
      <c r="G24" s="133">
        <v>1635.8907364935624</v>
      </c>
      <c r="H24" s="124">
        <v>1816.6441908039451</v>
      </c>
      <c r="I24" s="123">
        <v>1997.8601434259615</v>
      </c>
      <c r="J24" s="124">
        <v>2140.1435254865942</v>
      </c>
      <c r="K24" s="123">
        <v>2174.3274668790045</v>
      </c>
      <c r="L24" s="124">
        <v>2261.0179236407416</v>
      </c>
      <c r="M24" s="123">
        <v>2313.0454326980785</v>
      </c>
      <c r="N24" s="124">
        <v>2335.8854448503616</v>
      </c>
      <c r="O24" s="123">
        <v>2380.1168143167224</v>
      </c>
      <c r="P24" s="124">
        <v>2628.6802500576746</v>
      </c>
    </row>
    <row r="25" spans="1:16" ht="20" customHeight="1" thickBot="1">
      <c r="A25" s="1646" t="s">
        <v>230</v>
      </c>
      <c r="B25" s="132">
        <v>1159.474855393762</v>
      </c>
      <c r="C25" s="133">
        <v>1328.9310231083491</v>
      </c>
      <c r="D25" s="132">
        <v>1424.2062478349167</v>
      </c>
      <c r="E25" s="133">
        <v>1499.208030123239</v>
      </c>
      <c r="F25" s="132">
        <v>1553.2244240914515</v>
      </c>
      <c r="G25" s="133">
        <v>1661.7386576828317</v>
      </c>
      <c r="H25" s="124">
        <v>1834.2044347153485</v>
      </c>
      <c r="I25" s="123">
        <v>2048.4142232764871</v>
      </c>
      <c r="J25" s="124">
        <v>2185.335824306746</v>
      </c>
      <c r="K25" s="123">
        <v>2217.2402153263711</v>
      </c>
      <c r="L25" s="124">
        <v>2283.3758420037034</v>
      </c>
      <c r="M25" s="123">
        <v>2295.2652584431348</v>
      </c>
      <c r="N25" s="124">
        <v>2279.0884858210197</v>
      </c>
      <c r="O25" s="123">
        <v>2310.2839491028731</v>
      </c>
      <c r="P25" s="124">
        <v>2491.2944287675346</v>
      </c>
    </row>
    <row r="26" spans="1:16" ht="20" customHeight="1" thickBot="1">
      <c r="A26" s="1646" t="s">
        <v>231</v>
      </c>
      <c r="B26" s="132">
        <v>1920.211422462608</v>
      </c>
      <c r="C26" s="133">
        <v>2093.5784969576162</v>
      </c>
      <c r="D26" s="132">
        <v>2183.6764640346432</v>
      </c>
      <c r="E26" s="133">
        <v>2180.8658737487976</v>
      </c>
      <c r="F26" s="132">
        <v>2209.7472935521837</v>
      </c>
      <c r="G26" s="133">
        <v>2261.3042021099595</v>
      </c>
      <c r="H26" s="124">
        <v>2455.9261698805649</v>
      </c>
      <c r="I26" s="123">
        <v>2659.8152582525563</v>
      </c>
      <c r="J26" s="124">
        <v>2945.1851385564305</v>
      </c>
      <c r="K26" s="123">
        <v>3013.0448522524503</v>
      </c>
      <c r="L26" s="124">
        <v>3139.534487394506</v>
      </c>
      <c r="M26" s="123">
        <v>3169.8223243558823</v>
      </c>
      <c r="N26" s="124">
        <v>3125.0045807300799</v>
      </c>
      <c r="O26" s="123">
        <v>3113.9964674152993</v>
      </c>
      <c r="P26" s="124">
        <v>3258.4000702781441</v>
      </c>
    </row>
    <row r="27" spans="1:16" ht="20" customHeight="1" thickBot="1">
      <c r="A27" s="1646" t="s">
        <v>232</v>
      </c>
      <c r="B27" s="132">
        <v>2123.7022616874642</v>
      </c>
      <c r="C27" s="133">
        <v>2188.5978122919905</v>
      </c>
      <c r="D27" s="132">
        <v>2262.0665036594364</v>
      </c>
      <c r="E27" s="133">
        <v>2312.2186861426335</v>
      </c>
      <c r="F27" s="132">
        <v>2316.3375313816941</v>
      </c>
      <c r="G27" s="133">
        <v>2380.1958460230621</v>
      </c>
      <c r="H27" s="124">
        <v>2554.8427885240826</v>
      </c>
      <c r="I27" s="123">
        <v>2773.1739770111981</v>
      </c>
      <c r="J27" s="124">
        <v>2944.2591828792392</v>
      </c>
      <c r="K27" s="123">
        <v>2988.5411219630787</v>
      </c>
      <c r="L27" s="124">
        <v>3103.1064497360926</v>
      </c>
      <c r="M27" s="123">
        <v>3073.8913428932055</v>
      </c>
      <c r="N27" s="124">
        <v>2988.2071859643597</v>
      </c>
      <c r="O27" s="123">
        <v>2982.6854115033552</v>
      </c>
      <c r="P27" s="124">
        <v>3140.9802005474835</v>
      </c>
    </row>
    <row r="28" spans="1:16" ht="20" customHeight="1" thickBot="1">
      <c r="A28" s="1646" t="s">
        <v>233</v>
      </c>
      <c r="B28" s="132">
        <v>1523.0862537186249</v>
      </c>
      <c r="C28" s="133">
        <v>1528.2235423576719</v>
      </c>
      <c r="D28" s="132">
        <v>1520.7734947996855</v>
      </c>
      <c r="E28" s="133">
        <v>1512.315774872128</v>
      </c>
      <c r="F28" s="132">
        <v>1565.0382066640796</v>
      </c>
      <c r="G28" s="133">
        <v>1611.8069928879931</v>
      </c>
      <c r="H28" s="124">
        <v>1740.4035512056632</v>
      </c>
      <c r="I28" s="123">
        <v>1894.4509552934464</v>
      </c>
      <c r="J28" s="124">
        <v>2065.9446432202062</v>
      </c>
      <c r="K28" s="123">
        <v>2150.4788048623009</v>
      </c>
      <c r="L28" s="124">
        <v>2233.854286832724</v>
      </c>
      <c r="M28" s="123">
        <v>2300.3259863497678</v>
      </c>
      <c r="N28" s="124">
        <v>2281.6342887948704</v>
      </c>
      <c r="O28" s="123">
        <v>2341.0548273196509</v>
      </c>
      <c r="P28" s="124">
        <v>2568.2788659171997</v>
      </c>
    </row>
    <row r="29" spans="1:16" ht="20" customHeight="1" thickBot="1">
      <c r="A29" s="1646" t="s">
        <v>234</v>
      </c>
      <c r="B29" s="132">
        <v>1646.3624740952964</v>
      </c>
      <c r="C29" s="133">
        <v>1879.9747320853974</v>
      </c>
      <c r="D29" s="132">
        <v>2069.35224515651</v>
      </c>
      <c r="E29" s="133">
        <v>2121.724134131829</v>
      </c>
      <c r="F29" s="132">
        <v>2178.2282725122873</v>
      </c>
      <c r="G29" s="133">
        <v>2226.3886221358225</v>
      </c>
      <c r="H29" s="124">
        <v>2442.2463006271605</v>
      </c>
      <c r="I29" s="123">
        <v>2644.2879266571426</v>
      </c>
      <c r="J29" s="124">
        <v>2860.2934659084876</v>
      </c>
      <c r="K29" s="123">
        <v>2940.8560577149369</v>
      </c>
      <c r="L29" s="124">
        <v>3020.0836352379274</v>
      </c>
      <c r="M29" s="123">
        <v>3036.6447662858664</v>
      </c>
      <c r="N29" s="124">
        <v>2985.7510655824785</v>
      </c>
      <c r="O29" s="123">
        <v>2927.0194519439683</v>
      </c>
      <c r="P29" s="124">
        <v>2974.5856498318376</v>
      </c>
    </row>
    <row r="30" spans="1:16" ht="20" customHeight="1" thickBot="1">
      <c r="A30" s="1646" t="s">
        <v>235</v>
      </c>
      <c r="B30" s="132">
        <v>2220.6501203576581</v>
      </c>
      <c r="C30" s="133">
        <v>2493.6749107586593</v>
      </c>
      <c r="D30" s="132">
        <v>2561.7921105578544</v>
      </c>
      <c r="E30" s="133">
        <v>2603.6595742963436</v>
      </c>
      <c r="F30" s="132">
        <v>2734.6485196897552</v>
      </c>
      <c r="G30" s="133">
        <v>2841.8547383361183</v>
      </c>
      <c r="H30" s="124">
        <v>3059.4100324412902</v>
      </c>
      <c r="I30" s="123">
        <v>3320.3890189876888</v>
      </c>
      <c r="J30" s="124">
        <v>3481.6460008994604</v>
      </c>
      <c r="K30" s="123">
        <v>3552.0553634331818</v>
      </c>
      <c r="L30" s="124">
        <v>3652.1506224056161</v>
      </c>
      <c r="M30" s="123">
        <v>3622.8650823319726</v>
      </c>
      <c r="N30" s="124">
        <v>3559.7613049734655</v>
      </c>
      <c r="O30" s="123">
        <v>3476.4972788144619</v>
      </c>
      <c r="P30" s="124">
        <v>3621.8603945653181</v>
      </c>
    </row>
    <row r="31" spans="1:16" ht="20" customHeight="1" thickBot="1">
      <c r="A31" s="1646" t="s">
        <v>236</v>
      </c>
      <c r="B31" s="132">
        <v>1693.2060147156392</v>
      </c>
      <c r="C31" s="133">
        <v>1771.8388464541085</v>
      </c>
      <c r="D31" s="132">
        <v>1906.8006626155413</v>
      </c>
      <c r="E31" s="133">
        <v>1937.3880227473887</v>
      </c>
      <c r="F31" s="132">
        <v>2029.2697954509338</v>
      </c>
      <c r="G31" s="133">
        <v>2148.616923310622</v>
      </c>
      <c r="H31" s="124">
        <v>2294.2217121062836</v>
      </c>
      <c r="I31" s="123">
        <v>2448.0281481617167</v>
      </c>
      <c r="J31" s="124">
        <v>2616.9536771306425</v>
      </c>
      <c r="K31" s="123">
        <v>2669.8602402292095</v>
      </c>
      <c r="L31" s="124">
        <v>2741.23867601759</v>
      </c>
      <c r="M31" s="123">
        <v>2725.6473968139912</v>
      </c>
      <c r="N31" s="124">
        <v>2677.0243457222141</v>
      </c>
      <c r="O31" s="123">
        <v>2671.0952437588021</v>
      </c>
      <c r="P31" s="124">
        <v>2841.9202686687795</v>
      </c>
    </row>
    <row r="32" spans="1:16" ht="30" customHeight="1" thickBot="1">
      <c r="A32" s="701" t="s">
        <v>0</v>
      </c>
      <c r="B32" s="436">
        <v>1538.9393456106852</v>
      </c>
      <c r="C32" s="435">
        <v>1663.8889491853145</v>
      </c>
      <c r="D32" s="436">
        <v>1753.683394842503</v>
      </c>
      <c r="E32" s="435">
        <v>1792.6969718267824</v>
      </c>
      <c r="F32" s="436">
        <v>1850.1645719756871</v>
      </c>
      <c r="G32" s="435">
        <v>1917.1642434992227</v>
      </c>
      <c r="H32" s="681">
        <v>2090.6486849170938</v>
      </c>
      <c r="I32" s="843">
        <v>2281.464868725081</v>
      </c>
      <c r="J32" s="134">
        <v>2441.8668834361247</v>
      </c>
      <c r="K32" s="843">
        <v>2487.4603849935415</v>
      </c>
      <c r="L32" s="134">
        <v>2582.7207564451369</v>
      </c>
      <c r="M32" s="843">
        <v>2612.1277928402606</v>
      </c>
      <c r="N32" s="134">
        <v>2585.7925929424218</v>
      </c>
      <c r="O32" s="843">
        <v>2610.6061328786159</v>
      </c>
      <c r="P32" s="134">
        <v>2834.4986028216172</v>
      </c>
    </row>
    <row r="33" spans="1:8" ht="20" customHeight="1">
      <c r="A33" s="95" t="s">
        <v>678</v>
      </c>
      <c r="B33" s="135"/>
      <c r="C33" s="135"/>
      <c r="D33" s="135"/>
      <c r="E33" s="135"/>
      <c r="F33" s="1647"/>
      <c r="G33" s="135"/>
      <c r="H33" s="731"/>
    </row>
    <row r="34" spans="1:8" ht="15.75" customHeight="1">
      <c r="A34" s="96"/>
      <c r="B34" s="136"/>
      <c r="C34" s="136"/>
      <c r="D34" s="136"/>
      <c r="E34" s="136"/>
      <c r="F34" s="136"/>
      <c r="G34" s="136"/>
      <c r="H34" s="732"/>
    </row>
    <row r="35" spans="1:8" ht="14.25" customHeight="1">
      <c r="A35" s="352" t="s">
        <v>2467</v>
      </c>
      <c r="B35" s="136"/>
      <c r="C35" s="136"/>
      <c r="D35" s="136"/>
      <c r="E35" s="136"/>
      <c r="F35" s="136"/>
      <c r="G35" s="136"/>
      <c r="H35" s="732"/>
    </row>
    <row r="36" spans="1:8" ht="14.25" customHeight="1">
      <c r="A36" s="352" t="s">
        <v>2472</v>
      </c>
      <c r="B36" s="136"/>
      <c r="C36" s="136"/>
      <c r="D36" s="136"/>
      <c r="E36" s="136"/>
      <c r="F36" s="136"/>
      <c r="G36" s="136"/>
      <c r="H36" s="732"/>
    </row>
    <row r="37" spans="1:8" ht="13.5" customHeight="1">
      <c r="A37" s="96"/>
      <c r="B37" s="136"/>
      <c r="C37" s="136"/>
      <c r="D37" s="136"/>
      <c r="E37" s="136"/>
      <c r="F37" s="136"/>
      <c r="G37" s="136"/>
      <c r="H37" s="732"/>
    </row>
    <row r="38" spans="1:8" ht="12.75" customHeight="1">
      <c r="A38" s="96" t="s">
        <v>2462</v>
      </c>
      <c r="B38" s="136"/>
      <c r="C38" s="136"/>
      <c r="D38" s="136"/>
      <c r="E38" s="136"/>
      <c r="F38" s="136"/>
      <c r="G38" s="136"/>
      <c r="H38" s="732"/>
    </row>
    <row r="40" spans="1:8">
      <c r="A40" s="96"/>
    </row>
    <row r="41" spans="1:8">
      <c r="A41" s="96" t="s">
        <v>677</v>
      </c>
    </row>
  </sheetData>
  <pageMargins left="0.43307086614173229" right="0.47244094488188981" top="0.52" bottom="0.47244094488188981" header="0.39" footer="0.51181102362204722"/>
  <pageSetup paperSize="9" scale="68" orientation="landscape"/>
  <headerFooter alignWithMargins="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31D23-A572-6847-862B-C9CCEA0B7BC8}">
  <sheetPr>
    <pageSetUpPr fitToPage="1"/>
  </sheetPr>
  <dimension ref="A1:K29"/>
  <sheetViews>
    <sheetView topLeftCell="A3" zoomScaleNormal="100" workbookViewId="0">
      <selection activeCell="G3" sqref="G3:G21"/>
    </sheetView>
  </sheetViews>
  <sheetFormatPr baseColWidth="10" defaultColWidth="11.3984375" defaultRowHeight="13"/>
  <cols>
    <col min="1" max="1" width="14.3984375" style="3" customWidth="1"/>
    <col min="2" max="2" width="17" style="3" customWidth="1"/>
    <col min="3" max="3" width="16.3984375" style="3" customWidth="1"/>
    <col min="4" max="4" width="15.59765625" style="3" customWidth="1"/>
    <col min="5" max="5" width="17" style="3" customWidth="1"/>
    <col min="6" max="6" width="18" style="3" customWidth="1"/>
    <col min="7" max="7" width="14.59765625" style="3" customWidth="1"/>
    <col min="8" max="16384" width="11.3984375" style="3"/>
  </cols>
  <sheetData>
    <row r="1" spans="1:11" s="2" customFormat="1" ht="14" customHeight="1"/>
    <row r="2" spans="1:11" s="2" customFormat="1" ht="28" customHeight="1">
      <c r="A2" s="71" t="s">
        <v>1531</v>
      </c>
      <c r="G2" s="358"/>
    </row>
    <row r="3" spans="1:11" ht="24" customHeight="1">
      <c r="A3" s="72" t="s">
        <v>1157</v>
      </c>
      <c r="B3" s="73" t="s">
        <v>681</v>
      </c>
      <c r="C3" s="74" t="s">
        <v>682</v>
      </c>
      <c r="D3" s="73" t="s">
        <v>683</v>
      </c>
      <c r="E3" s="74" t="s">
        <v>684</v>
      </c>
      <c r="F3" s="73" t="s">
        <v>190</v>
      </c>
      <c r="G3" s="277" t="s">
        <v>585</v>
      </c>
    </row>
    <row r="4" spans="1:11" ht="15" customHeight="1">
      <c r="A4" s="328"/>
      <c r="B4" s="76" t="s">
        <v>685</v>
      </c>
      <c r="C4" s="77" t="s">
        <v>686</v>
      </c>
      <c r="D4" s="76" t="s">
        <v>696</v>
      </c>
      <c r="E4" s="106" t="s">
        <v>1477</v>
      </c>
      <c r="F4" s="76"/>
      <c r="G4" s="75" t="s">
        <v>586</v>
      </c>
    </row>
    <row r="5" spans="1:11" ht="15" customHeight="1">
      <c r="A5" s="328"/>
      <c r="B5" s="76" t="s">
        <v>689</v>
      </c>
      <c r="C5" s="77" t="s">
        <v>690</v>
      </c>
      <c r="D5" s="76" t="s">
        <v>698</v>
      </c>
      <c r="E5" s="106" t="s">
        <v>1478</v>
      </c>
      <c r="F5" s="76"/>
      <c r="G5" s="75" t="s">
        <v>210</v>
      </c>
    </row>
    <row r="6" spans="1:11" ht="24" customHeight="1">
      <c r="A6" s="329"/>
      <c r="B6" s="82"/>
      <c r="C6" s="81"/>
      <c r="D6" s="82"/>
      <c r="E6" s="109" t="s">
        <v>692</v>
      </c>
      <c r="F6" s="82"/>
      <c r="G6" s="79"/>
    </row>
    <row r="7" spans="1:11" ht="1.25" customHeight="1" thickBot="1">
      <c r="A7" s="427">
        <v>1996</v>
      </c>
      <c r="B7" s="308">
        <v>7263.8791936000007</v>
      </c>
      <c r="C7" s="428">
        <v>3689.7169425000002</v>
      </c>
      <c r="D7" s="308">
        <v>38.020066050000004</v>
      </c>
      <c r="E7" s="428">
        <v>139.01961795</v>
      </c>
      <c r="F7" s="308">
        <v>11130.635820099998</v>
      </c>
      <c r="G7" s="309" t="s">
        <v>35</v>
      </c>
    </row>
    <row r="8" spans="1:11" ht="0.75" hidden="1" customHeight="1" thickBot="1">
      <c r="A8" s="333">
        <v>1997</v>
      </c>
      <c r="B8" s="429">
        <v>6540.5888779999996</v>
      </c>
      <c r="C8" s="430">
        <v>4995.2965729999996</v>
      </c>
      <c r="D8" s="429">
        <v>16.474356</v>
      </c>
      <c r="E8" s="430">
        <v>488.324321</v>
      </c>
      <c r="F8" s="429">
        <v>12040.684128000001</v>
      </c>
      <c r="G8" s="452">
        <v>8.1760675904660518E-2</v>
      </c>
      <c r="I8" s="9"/>
      <c r="J8" s="9"/>
      <c r="K8" s="9"/>
    </row>
    <row r="9" spans="1:11" ht="19.5" hidden="1" customHeight="1" thickBot="1">
      <c r="A9" s="333">
        <v>1998</v>
      </c>
      <c r="B9" s="429">
        <v>6687.4913850000003</v>
      </c>
      <c r="C9" s="430">
        <v>5281.0341630000003</v>
      </c>
      <c r="D9" s="429">
        <v>17.124804000000001</v>
      </c>
      <c r="E9" s="430">
        <v>722.61979599999995</v>
      </c>
      <c r="F9" s="429">
        <v>12708.270148</v>
      </c>
      <c r="G9" s="452">
        <v>5.5444193444752932E-2</v>
      </c>
    </row>
    <row r="10" spans="1:11" ht="19.75" hidden="1" customHeight="1" thickBot="1">
      <c r="A10" s="333">
        <v>1999</v>
      </c>
      <c r="B10" s="429">
        <v>6794.0647150000004</v>
      </c>
      <c r="C10" s="430">
        <v>5396.1932850000003</v>
      </c>
      <c r="D10" s="429">
        <v>15.330069999999999</v>
      </c>
      <c r="E10" s="430">
        <v>828.25470299999995</v>
      </c>
      <c r="F10" s="429">
        <v>13033.842773</v>
      </c>
      <c r="G10" s="452">
        <v>2.5618956884642552E-2</v>
      </c>
    </row>
    <row r="11" spans="1:11" ht="20" customHeight="1" thickBot="1">
      <c r="A11" s="333">
        <v>2000</v>
      </c>
      <c r="B11" s="429">
        <v>6892.0663969999996</v>
      </c>
      <c r="C11" s="430">
        <v>5620.0400929999996</v>
      </c>
      <c r="D11" s="429">
        <v>15.057027</v>
      </c>
      <c r="E11" s="430">
        <v>914.49116700000002</v>
      </c>
      <c r="F11" s="429">
        <v>13441.654683999999</v>
      </c>
      <c r="G11" s="452">
        <v>3.1288693450008065E-2</v>
      </c>
    </row>
    <row r="12" spans="1:11" ht="20" customHeight="1" thickBot="1">
      <c r="A12" s="333">
        <v>2001</v>
      </c>
      <c r="B12" s="429">
        <v>7135.0009239999999</v>
      </c>
      <c r="C12" s="430">
        <v>5862.0969020000002</v>
      </c>
      <c r="D12" s="429">
        <v>14.859370999999999</v>
      </c>
      <c r="E12" s="430">
        <v>985.35521000000006</v>
      </c>
      <c r="F12" s="429">
        <v>13997.312406999999</v>
      </c>
      <c r="G12" s="452">
        <v>4.1338491135426647E-2</v>
      </c>
    </row>
    <row r="13" spans="1:11" ht="20" customHeight="1" thickBot="1">
      <c r="A13" s="333">
        <v>2002</v>
      </c>
      <c r="B13" s="429">
        <v>7607.4934620000004</v>
      </c>
      <c r="C13" s="430">
        <v>6653.7724580000004</v>
      </c>
      <c r="D13" s="429">
        <v>15.940357000000001</v>
      </c>
      <c r="E13" s="430">
        <v>1077.8389540000001</v>
      </c>
      <c r="F13" s="429">
        <v>15355.045231</v>
      </c>
      <c r="G13" s="452">
        <v>9.6999537091206456E-2</v>
      </c>
    </row>
    <row r="14" spans="1:11" ht="20" customHeight="1" thickBot="1">
      <c r="A14" s="333">
        <v>2003</v>
      </c>
      <c r="B14" s="429">
        <v>8119.6939160000002</v>
      </c>
      <c r="C14" s="430">
        <v>7519.6442960000004</v>
      </c>
      <c r="D14" s="429">
        <v>16.399234</v>
      </c>
      <c r="E14" s="430">
        <v>1164.373707</v>
      </c>
      <c r="F14" s="429">
        <v>16820.111153000002</v>
      </c>
      <c r="G14" s="452">
        <v>9.541267381239682E-2</v>
      </c>
    </row>
    <row r="15" spans="1:11" ht="20" customHeight="1" thickBot="1">
      <c r="A15" s="333">
        <v>2004</v>
      </c>
      <c r="B15" s="429">
        <v>8488.1709709999996</v>
      </c>
      <c r="C15" s="430">
        <v>7961.8606556000004</v>
      </c>
      <c r="D15" s="429">
        <v>16.728842</v>
      </c>
      <c r="E15" s="430">
        <v>1562.9443670000001</v>
      </c>
      <c r="F15" s="429">
        <v>18029.704835599998</v>
      </c>
      <c r="G15" s="452">
        <v>7.1913536812998835E-2</v>
      </c>
    </row>
    <row r="16" spans="1:11" ht="20" customHeight="1" thickBot="1">
      <c r="A16" s="333">
        <v>2005</v>
      </c>
      <c r="B16" s="429">
        <v>8881.818765</v>
      </c>
      <c r="C16" s="430">
        <v>7722.8551509999998</v>
      </c>
      <c r="D16" s="429">
        <v>16.867663</v>
      </c>
      <c r="E16" s="430">
        <v>1874.8780380000001</v>
      </c>
      <c r="F16" s="429">
        <v>18496.419617</v>
      </c>
      <c r="G16" s="452">
        <v>2.588588031005723E-2</v>
      </c>
    </row>
    <row r="17" spans="1:7" ht="20" customHeight="1" thickBot="1">
      <c r="A17" s="333">
        <v>2006</v>
      </c>
      <c r="B17" s="429">
        <v>8791.2609179999999</v>
      </c>
      <c r="C17" s="430">
        <v>7672.0020180000001</v>
      </c>
      <c r="D17" s="429">
        <v>16.96679</v>
      </c>
      <c r="E17" s="430">
        <v>2834.4584479999999</v>
      </c>
      <c r="F17" s="429">
        <v>19314.688173999999</v>
      </c>
      <c r="G17" s="452">
        <v>4.4239294628022563E-2</v>
      </c>
    </row>
    <row r="18" spans="1:7" ht="20" customHeight="1" thickBot="1">
      <c r="A18" s="333">
        <v>2007</v>
      </c>
      <c r="B18" s="429">
        <v>8532.4678672199989</v>
      </c>
      <c r="C18" s="430">
        <v>7230.4641675700004</v>
      </c>
      <c r="D18" s="429">
        <v>16.854145679999998</v>
      </c>
      <c r="E18" s="430">
        <v>3909.3553057999998</v>
      </c>
      <c r="F18" s="429">
        <v>19689.14148627</v>
      </c>
      <c r="G18" s="452">
        <v>1.9386971660979802E-2</v>
      </c>
    </row>
    <row r="19" spans="1:7" ht="20" customHeight="1" thickBot="1">
      <c r="A19" s="333">
        <v>2008</v>
      </c>
      <c r="B19" s="429">
        <v>8154.0754505200002</v>
      </c>
      <c r="C19" s="430">
        <v>6692.2544465000001</v>
      </c>
      <c r="D19" s="429">
        <v>16.346897350000003</v>
      </c>
      <c r="E19" s="430">
        <v>4829.5904296099998</v>
      </c>
      <c r="F19" s="429">
        <v>19692.267223980001</v>
      </c>
      <c r="G19" s="452">
        <v>1.5875439323642659E-4</v>
      </c>
    </row>
    <row r="20" spans="1:7" ht="20" customHeight="1" thickBot="1">
      <c r="A20" s="333">
        <v>2009</v>
      </c>
      <c r="B20" s="429">
        <v>7763.2344209800003</v>
      </c>
      <c r="C20" s="430">
        <v>6192.48310683</v>
      </c>
      <c r="D20" s="429">
        <v>15.900914239999999</v>
      </c>
      <c r="E20" s="430">
        <v>6153.1486775000003</v>
      </c>
      <c r="F20" s="429">
        <v>20124.767119550004</v>
      </c>
      <c r="G20" s="452">
        <v>2.196293045644504E-2</v>
      </c>
    </row>
    <row r="21" spans="1:7" ht="30" customHeight="1" thickBot="1">
      <c r="A21" s="873">
        <v>2010</v>
      </c>
      <c r="B21" s="874">
        <v>7589.6326881299992</v>
      </c>
      <c r="C21" s="875">
        <v>5673.83572525</v>
      </c>
      <c r="D21" s="874">
        <v>16.045472789999998</v>
      </c>
      <c r="E21" s="875">
        <v>8771.9260212000008</v>
      </c>
      <c r="F21" s="874">
        <v>22051.439907370004</v>
      </c>
      <c r="G21" s="314">
        <v>9.5736401637579904E-2</v>
      </c>
    </row>
    <row r="22" spans="1:7" ht="20" customHeight="1">
      <c r="A22" s="95" t="s">
        <v>678</v>
      </c>
      <c r="B22" s="135"/>
      <c r="C22" s="135"/>
      <c r="D22" s="135"/>
      <c r="E22" s="135"/>
      <c r="F22" s="135"/>
      <c r="G22" s="731"/>
    </row>
    <row r="23" spans="1:7" ht="14.25" customHeight="1">
      <c r="A23" s="96"/>
      <c r="B23" s="136"/>
      <c r="C23" s="136"/>
      <c r="D23" s="136"/>
      <c r="E23" s="136"/>
      <c r="F23" s="136"/>
      <c r="G23" s="732"/>
    </row>
    <row r="24" spans="1:7" ht="12.75" customHeight="1">
      <c r="A24" s="876" t="s">
        <v>1532</v>
      </c>
    </row>
    <row r="26" spans="1:7">
      <c r="A26" s="3" t="s">
        <v>1533</v>
      </c>
    </row>
    <row r="29" spans="1:7">
      <c r="A29" s="3" t="s">
        <v>677</v>
      </c>
    </row>
  </sheetData>
  <pageMargins left="0.56000000000000005" right="0.51" top="0.94" bottom="0.49" header="0.51" footer="0.4921259845"/>
  <pageSetup paperSize="9" scale="83" orientation="portrait" horizontalDpi="4294967292" verticalDpi="4294967292"/>
  <headerFooter alignWithMargins="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26062-300C-D845-8833-163779D33995}">
  <sheetPr>
    <pageSetUpPr fitToPage="1"/>
  </sheetPr>
  <dimension ref="A1:I17"/>
  <sheetViews>
    <sheetView zoomScale="75" workbookViewId="0">
      <selection activeCell="G5" sqref="G5"/>
    </sheetView>
  </sheetViews>
  <sheetFormatPr baseColWidth="10" defaultColWidth="11.3984375" defaultRowHeight="13"/>
  <cols>
    <col min="1" max="1" width="20.796875" style="3" customWidth="1"/>
    <col min="2" max="2" width="17.3984375" style="3" customWidth="1"/>
    <col min="3" max="3" width="17.19921875" style="3" customWidth="1"/>
    <col min="4" max="4" width="16.59765625" style="3" customWidth="1"/>
    <col min="5" max="5" width="18.3984375" style="3" customWidth="1"/>
    <col min="6" max="7" width="15.19921875" style="3" customWidth="1"/>
    <col min="8" max="8" width="11.3984375" style="3"/>
    <col min="9" max="9" width="15.796875" style="3" hidden="1" customWidth="1"/>
    <col min="10" max="16384" width="11.3984375" style="3"/>
  </cols>
  <sheetData>
    <row r="1" spans="1:9" ht="14" customHeight="1">
      <c r="A1" s="246"/>
      <c r="B1" s="96"/>
      <c r="C1" s="96"/>
      <c r="D1" s="96"/>
      <c r="E1" s="96"/>
      <c r="F1" s="96"/>
      <c r="G1" s="96"/>
      <c r="I1" s="96"/>
    </row>
    <row r="2" spans="1:9" ht="28" customHeight="1">
      <c r="A2" s="47" t="s">
        <v>639</v>
      </c>
      <c r="B2" s="96"/>
      <c r="C2" s="96"/>
      <c r="D2" s="96"/>
      <c r="E2" s="96"/>
      <c r="F2" s="96"/>
      <c r="G2" s="358">
        <v>2010</v>
      </c>
      <c r="I2" s="96"/>
    </row>
    <row r="3" spans="1:9" ht="24" customHeight="1">
      <c r="A3" s="72" t="s">
        <v>584</v>
      </c>
      <c r="B3" s="73" t="s">
        <v>237</v>
      </c>
      <c r="C3" s="74" t="s">
        <v>238</v>
      </c>
      <c r="D3" s="73" t="s">
        <v>204</v>
      </c>
      <c r="E3" s="74" t="s">
        <v>190</v>
      </c>
      <c r="F3" s="299"/>
      <c r="G3" s="277" t="s">
        <v>585</v>
      </c>
      <c r="I3" s="74" t="s">
        <v>190</v>
      </c>
    </row>
    <row r="4" spans="1:9" ht="15" customHeight="1">
      <c r="A4" s="328"/>
      <c r="B4" s="76"/>
      <c r="C4" s="77"/>
      <c r="D4" s="76"/>
      <c r="E4" s="106" t="s">
        <v>640</v>
      </c>
      <c r="F4" s="78" t="s">
        <v>641</v>
      </c>
      <c r="G4" s="75" t="s">
        <v>586</v>
      </c>
      <c r="I4" s="106">
        <v>1999</v>
      </c>
    </row>
    <row r="5" spans="1:9" ht="15" customHeight="1">
      <c r="A5" s="75"/>
      <c r="B5" s="76"/>
      <c r="C5" s="77"/>
      <c r="D5" s="76"/>
      <c r="E5" s="77"/>
      <c r="F5" s="78"/>
      <c r="G5" s="75" t="s">
        <v>210</v>
      </c>
      <c r="I5" s="77"/>
    </row>
    <row r="6" spans="1:9" ht="24" customHeight="1">
      <c r="A6" s="264"/>
      <c r="B6" s="359"/>
      <c r="C6" s="360"/>
      <c r="D6" s="359"/>
      <c r="E6" s="360"/>
      <c r="F6" s="80"/>
      <c r="G6" s="79"/>
      <c r="I6" s="360"/>
    </row>
    <row r="7" spans="1:9" ht="40.5" customHeight="1" thickBot="1">
      <c r="A7" s="361" t="s">
        <v>587</v>
      </c>
      <c r="B7" s="408">
        <v>2992542759</v>
      </c>
      <c r="C7" s="409">
        <v>3928378564.3200002</v>
      </c>
      <c r="D7" s="408">
        <v>668711364.80999994</v>
      </c>
      <c r="E7" s="409">
        <v>7589632688.1299992</v>
      </c>
      <c r="F7" s="410">
        <v>0.34417855341924419</v>
      </c>
      <c r="G7" s="411">
        <v>-2.2362036676471575E-2</v>
      </c>
      <c r="I7" s="364">
        <v>6794064715</v>
      </c>
    </row>
    <row r="8" spans="1:9" ht="36.75" customHeight="1" thickBot="1">
      <c r="A8" s="361" t="s">
        <v>588</v>
      </c>
      <c r="B8" s="408">
        <v>2845657564.6900001</v>
      </c>
      <c r="C8" s="409">
        <v>2765927516.8299999</v>
      </c>
      <c r="D8" s="408">
        <v>62250643.729999997</v>
      </c>
      <c r="E8" s="409">
        <v>5673835725.25</v>
      </c>
      <c r="F8" s="410">
        <v>0.25730001075139308</v>
      </c>
      <c r="G8" s="411">
        <v>-8.375434742937897E-2</v>
      </c>
      <c r="I8" s="364">
        <v>5396193285</v>
      </c>
    </row>
    <row r="9" spans="1:9" ht="36.75" customHeight="1" thickBot="1">
      <c r="A9" s="361" t="s">
        <v>589</v>
      </c>
      <c r="B9" s="408">
        <v>10341845.619999999</v>
      </c>
      <c r="C9" s="409">
        <v>5675074.2199999997</v>
      </c>
      <c r="D9" s="408">
        <v>28552.95</v>
      </c>
      <c r="E9" s="409">
        <v>16045472.789999999</v>
      </c>
      <c r="F9" s="410">
        <v>7.2763832463554009E-4</v>
      </c>
      <c r="G9" s="411">
        <v>9.0912099655472874E-3</v>
      </c>
      <c r="I9" s="364">
        <v>15330070</v>
      </c>
    </row>
    <row r="10" spans="1:9" ht="36.75" customHeight="1" thickBot="1">
      <c r="A10" s="361" t="s">
        <v>590</v>
      </c>
      <c r="B10" s="408">
        <v>3897080025.3499999</v>
      </c>
      <c r="C10" s="409">
        <v>4295921641.1499996</v>
      </c>
      <c r="D10" s="408">
        <v>578924354.70000005</v>
      </c>
      <c r="E10" s="409">
        <v>8771926021.2000008</v>
      </c>
      <c r="F10" s="410">
        <v>0.3977937975047271</v>
      </c>
      <c r="G10" s="411">
        <v>0.42559955576500058</v>
      </c>
      <c r="I10" s="364">
        <v>828254703</v>
      </c>
    </row>
    <row r="11" spans="1:9" s="236" customFormat="1" ht="38.25" customHeight="1" thickBot="1">
      <c r="A11" s="365" t="s">
        <v>190</v>
      </c>
      <c r="B11" s="366">
        <v>9745622194.6499996</v>
      </c>
      <c r="C11" s="367">
        <v>10995902796.48</v>
      </c>
      <c r="D11" s="366">
        <v>1309914916.1900001</v>
      </c>
      <c r="E11" s="367">
        <v>22051439907.370003</v>
      </c>
      <c r="F11" s="412">
        <v>1</v>
      </c>
      <c r="G11" s="413">
        <v>9.5736401637579835E-2</v>
      </c>
      <c r="I11" s="370">
        <v>13033842773</v>
      </c>
    </row>
    <row r="12" spans="1:9" ht="19.5" customHeight="1">
      <c r="A12" s="95" t="s">
        <v>678</v>
      </c>
      <c r="B12" s="95"/>
      <c r="C12" s="95"/>
      <c r="D12" s="95"/>
      <c r="E12" s="95"/>
      <c r="F12" s="95"/>
      <c r="G12" s="95"/>
      <c r="I12" s="95"/>
    </row>
    <row r="14" spans="1:9">
      <c r="A14" s="3" t="s">
        <v>642</v>
      </c>
    </row>
    <row r="17" spans="1:1">
      <c r="A17" s="3" t="s">
        <v>677</v>
      </c>
    </row>
  </sheetData>
  <pageMargins left="0.55118110236220474" right="0.59055118110236227" top="0.94488188976377963" bottom="0.47244094488188981" header="0.59055118110236227" footer="0.51181102362204722"/>
  <pageSetup paperSize="9" scale="75" orientation="portrait" horizontalDpi="4294967292" verticalDpi="4294967292"/>
  <headerFooter alignWithMargins="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43CCB-2E44-8F4C-B519-1FAB057E7960}">
  <sheetPr>
    <pageSetUpPr fitToPage="1"/>
  </sheetPr>
  <dimension ref="A1:G51"/>
  <sheetViews>
    <sheetView zoomScale="75" workbookViewId="0">
      <selection activeCell="A5" sqref="A5"/>
    </sheetView>
  </sheetViews>
  <sheetFormatPr baseColWidth="10" defaultColWidth="11.3984375" defaultRowHeight="13"/>
  <cols>
    <col min="1" max="1" width="25.796875" style="3" customWidth="1"/>
    <col min="2" max="2" width="25.59765625" style="3" customWidth="1"/>
    <col min="3" max="6" width="17.59765625" style="3" customWidth="1"/>
    <col min="7" max="7" width="14.59765625" style="3" customWidth="1"/>
    <col min="8" max="16384" width="11.3984375" style="3"/>
  </cols>
  <sheetData>
    <row r="1" spans="1:7" s="2" customFormat="1" ht="14" customHeight="1">
      <c r="A1" s="242"/>
      <c r="B1" s="242"/>
      <c r="C1" s="242"/>
      <c r="D1" s="242"/>
      <c r="E1" s="242"/>
      <c r="F1" s="242"/>
    </row>
    <row r="2" spans="1:7" s="2" customFormat="1" ht="20.25" customHeight="1">
      <c r="A2" s="371" t="s">
        <v>643</v>
      </c>
      <c r="B2" s="371"/>
      <c r="C2" s="242"/>
      <c r="D2" s="242"/>
      <c r="E2" s="242"/>
      <c r="F2" s="307">
        <v>2010</v>
      </c>
      <c r="G2" s="307"/>
    </row>
    <row r="3" spans="1:7" s="2" customFormat="1" ht="10.5" customHeight="1">
      <c r="A3" s="372"/>
      <c r="B3" s="372"/>
      <c r="C3" s="373"/>
      <c r="D3" s="373"/>
      <c r="E3" s="373"/>
      <c r="F3" s="373"/>
      <c r="G3" s="246"/>
    </row>
    <row r="4" spans="1:7" s="2" customFormat="1" ht="81.75" customHeight="1">
      <c r="A4" s="374" t="s">
        <v>593</v>
      </c>
      <c r="B4" s="375"/>
      <c r="C4" s="376" t="s">
        <v>594</v>
      </c>
      <c r="D4" s="377" t="s">
        <v>595</v>
      </c>
      <c r="E4" s="376" t="s">
        <v>596</v>
      </c>
      <c r="F4" s="378" t="s">
        <v>644</v>
      </c>
    </row>
    <row r="5" spans="1:7" ht="8.25" customHeight="1">
      <c r="A5" s="379"/>
      <c r="B5" s="380"/>
      <c r="C5" s="360"/>
      <c r="D5" s="359"/>
      <c r="E5" s="360"/>
      <c r="F5" s="359"/>
    </row>
    <row r="6" spans="1:7" ht="47.25" customHeight="1" thickBot="1">
      <c r="A6" s="381" t="s">
        <v>597</v>
      </c>
      <c r="B6" s="382" t="s">
        <v>598</v>
      </c>
      <c r="C6" s="291">
        <v>975.96965071721866</v>
      </c>
      <c r="D6" s="290">
        <v>3377.8546835857073</v>
      </c>
      <c r="E6" s="291">
        <v>4084.755834692905</v>
      </c>
      <c r="F6" s="290">
        <v>3145.2431348976961</v>
      </c>
    </row>
    <row r="7" spans="1:7" ht="19.5" customHeight="1" thickBot="1">
      <c r="A7" s="90"/>
      <c r="B7" s="383"/>
      <c r="C7" s="384"/>
      <c r="D7" s="385"/>
      <c r="E7" s="384"/>
      <c r="F7" s="385"/>
    </row>
    <row r="8" spans="1:7" ht="22.5" customHeight="1" thickBot="1">
      <c r="A8" s="386" t="s">
        <v>599</v>
      </c>
      <c r="B8" s="387" t="s">
        <v>600</v>
      </c>
      <c r="C8" s="384">
        <v>957.59488315126657</v>
      </c>
      <c r="D8" s="385">
        <v>3390.1420058618587</v>
      </c>
      <c r="E8" s="384">
        <v>4067.8373940369743</v>
      </c>
      <c r="F8" s="385">
        <v>4030.988971310675</v>
      </c>
    </row>
    <row r="9" spans="1:7" ht="20" customHeight="1" thickBot="1">
      <c r="A9" s="388" t="s">
        <v>601</v>
      </c>
      <c r="B9" s="387" t="s">
        <v>602</v>
      </c>
      <c r="C9" s="384">
        <v>841.48992575988689</v>
      </c>
      <c r="D9" s="385">
        <v>2819.5865848481026</v>
      </c>
      <c r="E9" s="384">
        <v>3513.8415292947343</v>
      </c>
      <c r="F9" s="385">
        <v>3002.6967625299358</v>
      </c>
    </row>
    <row r="10" spans="1:7" ht="20" customHeight="1" thickBot="1">
      <c r="A10" s="388" t="s">
        <v>603</v>
      </c>
      <c r="B10" s="387" t="s">
        <v>604</v>
      </c>
      <c r="C10" s="384">
        <v>756.32990157532743</v>
      </c>
      <c r="D10" s="385">
        <v>2436.0686147281131</v>
      </c>
      <c r="E10" s="384">
        <v>3096.5917943206809</v>
      </c>
      <c r="F10" s="385">
        <v>2992.4994708706213</v>
      </c>
    </row>
    <row r="11" spans="1:7" ht="20" customHeight="1" thickBot="1">
      <c r="A11" s="388"/>
      <c r="B11" s="387" t="s">
        <v>605</v>
      </c>
      <c r="C11" s="384">
        <v>648.9034538455893</v>
      </c>
      <c r="D11" s="385">
        <v>2188.0648863593187</v>
      </c>
      <c r="E11" s="384">
        <v>2600.9887112046308</v>
      </c>
      <c r="F11" s="385">
        <v>2060.2624011801654</v>
      </c>
    </row>
    <row r="12" spans="1:7" ht="20" customHeight="1" thickBot="1">
      <c r="A12" s="388"/>
      <c r="B12" s="387" t="s">
        <v>606</v>
      </c>
      <c r="C12" s="384">
        <v>603.55002242074829</v>
      </c>
      <c r="D12" s="385">
        <v>2001.0836782870367</v>
      </c>
      <c r="E12" s="384">
        <v>2422.3307914949814</v>
      </c>
      <c r="F12" s="385">
        <v>2326.8675751573223</v>
      </c>
    </row>
    <row r="13" spans="1:7" ht="20" customHeight="1" thickBot="1">
      <c r="A13" s="388"/>
      <c r="B13" s="387" t="s">
        <v>607</v>
      </c>
      <c r="C13" s="384">
        <v>566.01225782011045</v>
      </c>
      <c r="D13" s="268" t="s">
        <v>35</v>
      </c>
      <c r="E13" s="269" t="s">
        <v>35</v>
      </c>
      <c r="F13" s="385">
        <v>566.01225782011045</v>
      </c>
    </row>
    <row r="14" spans="1:7" ht="20" customHeight="1" thickBot="1">
      <c r="A14" s="389"/>
      <c r="B14" s="387" t="s">
        <v>190</v>
      </c>
      <c r="C14" s="384">
        <v>710.3118414597343</v>
      </c>
      <c r="D14" s="385">
        <v>2521.3390752685191</v>
      </c>
      <c r="E14" s="384">
        <v>3388.360265755316</v>
      </c>
      <c r="F14" s="385">
        <v>3211.532192096673</v>
      </c>
    </row>
    <row r="15" spans="1:7" ht="18.75" customHeight="1" thickBot="1">
      <c r="A15" s="390"/>
      <c r="B15" s="391"/>
      <c r="C15" s="384"/>
      <c r="D15" s="385"/>
      <c r="E15" s="384"/>
      <c r="F15" s="385"/>
    </row>
    <row r="16" spans="1:7" ht="20" customHeight="1" thickBot="1">
      <c r="A16" s="390" t="s">
        <v>589</v>
      </c>
      <c r="B16" s="391"/>
      <c r="C16" s="384">
        <v>765.48364611260058</v>
      </c>
      <c r="D16" s="385">
        <v>2309.4451086956524</v>
      </c>
      <c r="E16" s="384">
        <v>2853.099263851504</v>
      </c>
      <c r="F16" s="385">
        <v>2821.8130817782608</v>
      </c>
    </row>
    <row r="17" spans="1:6" ht="20.25" customHeight="1" thickBot="1">
      <c r="A17" s="390"/>
      <c r="B17" s="391"/>
      <c r="C17" s="384"/>
      <c r="D17" s="385"/>
      <c r="E17" s="384"/>
      <c r="F17" s="385"/>
    </row>
    <row r="18" spans="1:6" ht="58.5" customHeight="1" thickBot="1">
      <c r="A18" s="386" t="s">
        <v>608</v>
      </c>
      <c r="B18" s="387" t="s">
        <v>598</v>
      </c>
      <c r="C18" s="384">
        <v>793.50685184381211</v>
      </c>
      <c r="D18" s="385">
        <v>2807.0324039494258</v>
      </c>
      <c r="E18" s="384">
        <v>3440.026822782158</v>
      </c>
      <c r="F18" s="385">
        <v>2360.4597769824341</v>
      </c>
    </row>
    <row r="19" spans="1:6" ht="20" customHeight="1" thickBot="1">
      <c r="A19" s="91"/>
      <c r="B19" s="387" t="s">
        <v>600</v>
      </c>
      <c r="C19" s="384">
        <v>5351.0394880797903</v>
      </c>
      <c r="D19" s="385">
        <v>2781.5873998612506</v>
      </c>
      <c r="E19" s="384">
        <v>3330.5267759380995</v>
      </c>
      <c r="F19" s="385">
        <v>3294.2792877489655</v>
      </c>
    </row>
    <row r="20" spans="1:6" ht="20" customHeight="1" thickBot="1">
      <c r="A20" s="91"/>
      <c r="B20" s="387" t="s">
        <v>602</v>
      </c>
      <c r="C20" s="384">
        <v>693.65323037093526</v>
      </c>
      <c r="D20" s="385">
        <v>2322.551746665069</v>
      </c>
      <c r="E20" s="384">
        <v>2855.8966238000789</v>
      </c>
      <c r="F20" s="385">
        <v>2632.5781041780601</v>
      </c>
    </row>
    <row r="21" spans="1:6" ht="20" customHeight="1" thickBot="1">
      <c r="A21" s="91"/>
      <c r="B21" s="387" t="s">
        <v>604</v>
      </c>
      <c r="C21" s="384">
        <v>553.70843892894493</v>
      </c>
      <c r="D21" s="385">
        <v>1966.6428890338207</v>
      </c>
      <c r="E21" s="384">
        <v>2479.2482177145125</v>
      </c>
      <c r="F21" s="385">
        <v>2367.8454849006098</v>
      </c>
    </row>
    <row r="22" spans="1:6" ht="20" customHeight="1" thickBot="1">
      <c r="A22" s="91"/>
      <c r="B22" s="387" t="s">
        <v>605</v>
      </c>
      <c r="C22" s="384">
        <v>522.22708598123586</v>
      </c>
      <c r="D22" s="385">
        <v>1826.1680989355123</v>
      </c>
      <c r="E22" s="384">
        <v>2142.3854857827255</v>
      </c>
      <c r="F22" s="385">
        <v>1931.3392520303253</v>
      </c>
    </row>
    <row r="23" spans="1:6" ht="20" customHeight="1" thickBot="1">
      <c r="A23" s="91"/>
      <c r="B23" s="387" t="s">
        <v>606</v>
      </c>
      <c r="C23" s="384">
        <v>574.67510682636464</v>
      </c>
      <c r="D23" s="385">
        <v>1875.6495108275049</v>
      </c>
      <c r="E23" s="384">
        <v>2218.9677443277765</v>
      </c>
      <c r="F23" s="385">
        <v>2145.3406621263084</v>
      </c>
    </row>
    <row r="24" spans="1:6" ht="20" customHeight="1" thickBot="1">
      <c r="A24" s="91"/>
      <c r="B24" s="387" t="s">
        <v>607</v>
      </c>
      <c r="C24" s="384">
        <v>545.72930339881987</v>
      </c>
      <c r="D24" s="268" t="s">
        <v>35</v>
      </c>
      <c r="E24" s="269" t="s">
        <v>35</v>
      </c>
      <c r="F24" s="385">
        <v>545.72930339881987</v>
      </c>
    </row>
    <row r="25" spans="1:6" ht="20" customHeight="1" thickBot="1">
      <c r="A25" s="91"/>
      <c r="B25" s="387" t="s">
        <v>609</v>
      </c>
      <c r="C25" s="384">
        <v>789.31655649511515</v>
      </c>
      <c r="D25" s="385">
        <v>2406.9425327528329</v>
      </c>
      <c r="E25" s="384">
        <v>2932.9498290925026</v>
      </c>
      <c r="F25" s="385">
        <v>2440.6088467563409</v>
      </c>
    </row>
    <row r="26" spans="1:6" ht="39.75" customHeight="1" thickBot="1">
      <c r="A26" s="392"/>
      <c r="B26" s="393" t="s">
        <v>610</v>
      </c>
      <c r="C26" s="394">
        <v>783.6809767156451</v>
      </c>
      <c r="D26" s="395">
        <v>2325.769395852732</v>
      </c>
      <c r="E26" s="394">
        <v>2863.2312702008658</v>
      </c>
      <c r="F26" s="395">
        <v>2419.6794235747002</v>
      </c>
    </row>
    <row r="27" spans="1:6" ht="45" customHeight="1" thickBot="1">
      <c r="A27" s="392"/>
      <c r="B27" s="396" t="s">
        <v>611</v>
      </c>
      <c r="C27" s="394">
        <v>687.73465084590191</v>
      </c>
      <c r="D27" s="395">
        <v>2184.8847771016904</v>
      </c>
      <c r="E27" s="394">
        <v>2688.9954113076546</v>
      </c>
      <c r="F27" s="395">
        <v>2224.499939320955</v>
      </c>
    </row>
    <row r="28" spans="1:6" ht="45" customHeight="1" thickBot="1">
      <c r="A28" s="397"/>
      <c r="B28" s="396" t="s">
        <v>612</v>
      </c>
      <c r="C28" s="394">
        <v>751.11716528581724</v>
      </c>
      <c r="D28" s="395">
        <v>2144.5535705707175</v>
      </c>
      <c r="E28" s="394">
        <v>2645.0461866338401</v>
      </c>
      <c r="F28" s="395">
        <v>2513.4097222037881</v>
      </c>
    </row>
    <row r="29" spans="1:6" ht="15.75" customHeight="1" thickBot="1">
      <c r="A29" s="398"/>
      <c r="B29" s="399"/>
      <c r="C29" s="384"/>
      <c r="D29" s="385"/>
      <c r="E29" s="384"/>
      <c r="F29" s="385"/>
    </row>
    <row r="30" spans="1:6" ht="27.75" customHeight="1" thickBot="1">
      <c r="A30" s="400" t="s">
        <v>613</v>
      </c>
      <c r="B30" s="401"/>
      <c r="C30" s="402">
        <v>870.57912717165277</v>
      </c>
      <c r="D30" s="403">
        <v>2689.4933204071858</v>
      </c>
      <c r="E30" s="402">
        <v>3377.3649742396565</v>
      </c>
      <c r="F30" s="403">
        <v>2834.4985554616119</v>
      </c>
    </row>
    <row r="31" spans="1:6" ht="15.75" customHeight="1">
      <c r="A31" s="352" t="s">
        <v>678</v>
      </c>
      <c r="B31" s="352"/>
      <c r="C31" s="352"/>
      <c r="D31" s="352"/>
      <c r="E31" s="352"/>
      <c r="F31" s="352"/>
    </row>
    <row r="32" spans="1:6" ht="13.5" customHeight="1">
      <c r="A32" s="324"/>
      <c r="B32" s="324"/>
      <c r="C32" s="352"/>
      <c r="D32" s="352"/>
      <c r="E32" s="352"/>
      <c r="F32" s="352"/>
    </row>
    <row r="33" spans="1:6" ht="13.5" customHeight="1">
      <c r="A33" s="352" t="s">
        <v>645</v>
      </c>
      <c r="B33" s="352"/>
      <c r="C33" s="352"/>
      <c r="D33" s="352"/>
      <c r="E33" s="352"/>
      <c r="F33" s="352"/>
    </row>
    <row r="34" spans="1:6" ht="16.5" customHeight="1">
      <c r="A34" s="352"/>
      <c r="B34" s="352"/>
      <c r="C34" s="352"/>
      <c r="D34" s="352"/>
      <c r="E34" s="352"/>
      <c r="F34" s="352"/>
    </row>
    <row r="35" spans="1:6" ht="12" customHeight="1">
      <c r="A35" s="352" t="s">
        <v>615</v>
      </c>
      <c r="B35" s="352"/>
      <c r="C35" s="138"/>
      <c r="D35" s="138"/>
      <c r="E35" s="138"/>
      <c r="F35" s="138"/>
    </row>
    <row r="36" spans="1:6" ht="12" customHeight="1">
      <c r="A36" s="96" t="s">
        <v>616</v>
      </c>
      <c r="B36" s="96"/>
    </row>
    <row r="37" spans="1:6" ht="12" customHeight="1">
      <c r="A37" s="96" t="s">
        <v>617</v>
      </c>
      <c r="B37" s="96"/>
    </row>
    <row r="38" spans="1:6" ht="12" customHeight="1">
      <c r="A38" s="96" t="s">
        <v>618</v>
      </c>
      <c r="B38" s="96"/>
    </row>
    <row r="39" spans="1:6" ht="12" customHeight="1">
      <c r="A39" s="96" t="s">
        <v>619</v>
      </c>
      <c r="B39" s="96"/>
    </row>
    <row r="40" spans="1:6" ht="12" customHeight="1">
      <c r="A40" s="96" t="s">
        <v>620</v>
      </c>
      <c r="B40" s="96"/>
    </row>
    <row r="41" spans="1:6" ht="12" customHeight="1">
      <c r="A41" s="3" t="s">
        <v>621</v>
      </c>
    </row>
    <row r="42" spans="1:6" ht="12" customHeight="1"/>
    <row r="43" spans="1:6" ht="12" customHeight="1"/>
    <row r="44" spans="1:6" ht="12" customHeight="1">
      <c r="A44" s="352" t="s">
        <v>677</v>
      </c>
      <c r="B44" s="352"/>
      <c r="C44" s="96"/>
      <c r="D44" s="96"/>
      <c r="E44" s="96"/>
      <c r="F44" s="96"/>
    </row>
    <row r="49" spans="1:7">
      <c r="A49" s="57"/>
      <c r="B49" s="57"/>
      <c r="C49" s="404"/>
      <c r="D49" s="405"/>
      <c r="E49" s="404"/>
      <c r="F49" s="405"/>
      <c r="G49" s="405"/>
    </row>
    <row r="50" spans="1:7">
      <c r="A50" s="406"/>
      <c r="B50" s="406"/>
      <c r="C50" s="406"/>
      <c r="D50" s="407"/>
      <c r="E50" s="406"/>
      <c r="F50" s="48"/>
      <c r="G50" s="4"/>
    </row>
    <row r="51" spans="1:7">
      <c r="A51" s="4"/>
      <c r="B51" s="4"/>
      <c r="C51" s="4"/>
      <c r="D51" s="4"/>
      <c r="E51" s="4"/>
      <c r="F51" s="4"/>
      <c r="G51" s="4"/>
    </row>
  </sheetData>
  <pageMargins left="0.55118110236220474" right="0.45" top="0.59055118110236227" bottom="0.47244094488188981" header="0.43307086614173229" footer="0.31496062992125984"/>
  <pageSetup paperSize="9" scale="67" orientation="portrait"/>
  <headerFooter alignWithMargins="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F1774-4B7D-B54C-93C3-C4CFF35EB72D}">
  <sheetPr>
    <pageSetUpPr fitToPage="1"/>
  </sheetPr>
  <dimension ref="A1:K56"/>
  <sheetViews>
    <sheetView zoomScaleNormal="100" workbookViewId="0">
      <selection sqref="A1:H56"/>
    </sheetView>
  </sheetViews>
  <sheetFormatPr baseColWidth="10" defaultColWidth="11.3984375" defaultRowHeight="13"/>
  <cols>
    <col min="1" max="1" width="23.3984375" style="3" customWidth="1"/>
    <col min="2" max="2" width="18.796875" style="3" customWidth="1"/>
    <col min="3" max="3" width="15.3984375" style="3" customWidth="1"/>
    <col min="4" max="4" width="19.3984375" style="3" customWidth="1"/>
    <col min="5" max="5" width="15.3984375" style="3" customWidth="1"/>
    <col min="6" max="6" width="20" style="3" customWidth="1"/>
    <col min="7" max="7" width="16.3984375" style="3" customWidth="1"/>
    <col min="8" max="8" width="13.796875" style="3" customWidth="1"/>
    <col min="9" max="9" width="13.59765625" style="3" customWidth="1"/>
    <col min="10" max="10" width="13.796875" style="3" customWidth="1"/>
    <col min="11" max="16384" width="11.3984375" style="3"/>
  </cols>
  <sheetData>
    <row r="1" spans="1:11" s="2" customFormat="1" ht="8.25" customHeight="1"/>
    <row r="2" spans="1:11" s="2" customFormat="1" ht="28.5" customHeight="1">
      <c r="A2" s="129" t="s">
        <v>1525</v>
      </c>
      <c r="B2" s="306"/>
      <c r="C2" s="306"/>
      <c r="D2" s="306"/>
      <c r="E2" s="306"/>
      <c r="F2" s="71"/>
      <c r="G2" s="71"/>
    </row>
    <row r="3" spans="1:11" ht="24" customHeight="1">
      <c r="A3" s="72" t="s">
        <v>1157</v>
      </c>
      <c r="B3" s="73" t="s">
        <v>681</v>
      </c>
      <c r="C3" s="74" t="s">
        <v>682</v>
      </c>
      <c r="D3" s="73" t="s">
        <v>683</v>
      </c>
      <c r="E3" s="74" t="s">
        <v>684</v>
      </c>
      <c r="F3" s="73" t="s">
        <v>644</v>
      </c>
      <c r="G3" s="277" t="s">
        <v>585</v>
      </c>
    </row>
    <row r="4" spans="1:11" ht="15" customHeight="1">
      <c r="A4" s="328"/>
      <c r="B4" s="76" t="s">
        <v>685</v>
      </c>
      <c r="C4" s="77" t="s">
        <v>686</v>
      </c>
      <c r="D4" s="76" t="s">
        <v>696</v>
      </c>
      <c r="E4" s="106" t="s">
        <v>1477</v>
      </c>
      <c r="F4" s="76"/>
      <c r="G4" s="75" t="s">
        <v>586</v>
      </c>
    </row>
    <row r="5" spans="1:11" ht="15" customHeight="1">
      <c r="A5" s="328"/>
      <c r="B5" s="76" t="s">
        <v>689</v>
      </c>
      <c r="C5" s="77" t="s">
        <v>690</v>
      </c>
      <c r="D5" s="76" t="s">
        <v>698</v>
      </c>
      <c r="E5" s="106" t="s">
        <v>1478</v>
      </c>
      <c r="F5" s="76"/>
      <c r="G5" s="75" t="s">
        <v>210</v>
      </c>
    </row>
    <row r="6" spans="1:11" ht="20.25" customHeight="1">
      <c r="A6" s="263" t="s">
        <v>1365</v>
      </c>
      <c r="B6" s="82"/>
      <c r="C6" s="81"/>
      <c r="D6" s="82"/>
      <c r="E6" s="109" t="s">
        <v>692</v>
      </c>
      <c r="F6" s="82"/>
      <c r="G6" s="108"/>
    </row>
    <row r="7" spans="1:11" ht="1.75" customHeight="1" thickBot="1">
      <c r="A7" s="427">
        <v>1996</v>
      </c>
      <c r="B7" s="123">
        <v>1524.5463513417667</v>
      </c>
      <c r="C7" s="124">
        <v>1591.881526355354</v>
      </c>
      <c r="D7" s="123">
        <v>1359.088238474134</v>
      </c>
      <c r="E7" s="124">
        <v>1137.2770798904471</v>
      </c>
      <c r="F7" s="123">
        <v>1538.9405008830074</v>
      </c>
      <c r="G7" s="309" t="s">
        <v>35</v>
      </c>
    </row>
    <row r="8" spans="1:11" ht="19.5" hidden="1" customHeight="1" thickBot="1">
      <c r="A8" s="333">
        <v>1997</v>
      </c>
      <c r="B8" s="133">
        <v>1596.7748981305942</v>
      </c>
      <c r="C8" s="132">
        <v>1820.0543916502945</v>
      </c>
      <c r="D8" s="133">
        <v>1429.0086986460665</v>
      </c>
      <c r="E8" s="132">
        <v>1270.8735771137619</v>
      </c>
      <c r="F8" s="133">
        <v>1663.893341996396</v>
      </c>
      <c r="G8" s="452">
        <v>8.1194068933590158E-2</v>
      </c>
      <c r="I8" s="9"/>
      <c r="J8" s="9"/>
      <c r="K8" s="9"/>
    </row>
    <row r="9" spans="1:11" ht="19.5" hidden="1" customHeight="1" thickBot="1">
      <c r="A9" s="333">
        <v>1998</v>
      </c>
      <c r="B9" s="133">
        <v>1665.5565653402912</v>
      </c>
      <c r="C9" s="132">
        <v>1937.4811057809607</v>
      </c>
      <c r="D9" s="133">
        <v>1448.2169878271459</v>
      </c>
      <c r="E9" s="132">
        <v>1463.0710596518434</v>
      </c>
      <c r="F9" s="133">
        <v>1753.6807220915252</v>
      </c>
      <c r="G9" s="452">
        <v>5.3962220912188608E-2</v>
      </c>
    </row>
    <row r="10" spans="1:11" ht="19.75" hidden="1" customHeight="1" thickBot="1">
      <c r="A10" s="333">
        <v>1999</v>
      </c>
      <c r="B10" s="133">
        <v>1698.1180433399416</v>
      </c>
      <c r="C10" s="132">
        <v>1985.9900541831798</v>
      </c>
      <c r="D10" s="133">
        <v>1493.6302697798037</v>
      </c>
      <c r="E10" s="132">
        <v>1527.6216147396292</v>
      </c>
      <c r="F10" s="133">
        <v>1792.6961372402147</v>
      </c>
      <c r="G10" s="452">
        <v>2.2247729964299134E-2</v>
      </c>
    </row>
    <row r="11" spans="1:11" ht="20" customHeight="1" thickBot="1">
      <c r="A11" s="333">
        <v>2000</v>
      </c>
      <c r="B11" s="133">
        <v>1758.0451704632812</v>
      </c>
      <c r="C11" s="132">
        <v>2038.1607144334851</v>
      </c>
      <c r="D11" s="133">
        <v>1535.3433088803986</v>
      </c>
      <c r="E11" s="132">
        <v>1583.2530710258736</v>
      </c>
      <c r="F11" s="133">
        <v>1850.1631679231971</v>
      </c>
      <c r="G11" s="452">
        <v>3.2056202659894506E-2</v>
      </c>
    </row>
    <row r="12" spans="1:11" ht="20" customHeight="1" thickBot="1">
      <c r="A12" s="333">
        <v>2001</v>
      </c>
      <c r="B12" s="133">
        <v>1842.9742230994177</v>
      </c>
      <c r="C12" s="132">
        <v>2074.3537866389079</v>
      </c>
      <c r="D12" s="133">
        <v>1595.1792853069078</v>
      </c>
      <c r="E12" s="132">
        <v>1658.0330212983067</v>
      </c>
      <c r="F12" s="133">
        <v>1917.1693080707569</v>
      </c>
      <c r="G12" s="452">
        <v>3.6216340974279504E-2</v>
      </c>
    </row>
    <row r="13" spans="1:11" ht="20" customHeight="1" thickBot="1">
      <c r="A13" s="333">
        <v>2002</v>
      </c>
      <c r="B13" s="133">
        <v>1999.3225217818947</v>
      </c>
      <c r="C13" s="132">
        <v>2236.6776923608968</v>
      </c>
      <c r="D13" s="133">
        <v>1807.8492038743398</v>
      </c>
      <c r="E13" s="132">
        <v>1938.8414423486433</v>
      </c>
      <c r="F13" s="133">
        <v>2090.6453445046668</v>
      </c>
      <c r="G13" s="452">
        <v>9.0485506785250136E-2</v>
      </c>
    </row>
    <row r="14" spans="1:11" ht="20" customHeight="1" thickBot="1">
      <c r="A14" s="333">
        <v>2003</v>
      </c>
      <c r="B14" s="133">
        <v>2216.0796496496105</v>
      </c>
      <c r="C14" s="132">
        <v>2426.9395460837259</v>
      </c>
      <c r="D14" s="133">
        <v>1977.301650220651</v>
      </c>
      <c r="E14" s="132">
        <v>1934.7726722030034</v>
      </c>
      <c r="F14" s="133">
        <v>2281.4625632725915</v>
      </c>
      <c r="G14" s="452">
        <v>9.1271921978299364E-2</v>
      </c>
    </row>
    <row r="15" spans="1:11" ht="20" customHeight="1" thickBot="1">
      <c r="A15" s="333">
        <v>2004</v>
      </c>
      <c r="B15" s="133">
        <v>2343.8682619528158</v>
      </c>
      <c r="C15" s="132">
        <v>2645.1462345444088</v>
      </c>
      <c r="D15" s="133">
        <v>2075.9841086714919</v>
      </c>
      <c r="E15" s="132">
        <v>2100.4541508082671</v>
      </c>
      <c r="F15" s="133">
        <v>2441.8690220833437</v>
      </c>
      <c r="G15" s="452">
        <v>7.0308608781491921E-2</v>
      </c>
    </row>
    <row r="16" spans="1:11" ht="20" customHeight="1" thickBot="1">
      <c r="A16" s="333">
        <v>2005</v>
      </c>
      <c r="B16" s="133">
        <v>2470.8502609985521</v>
      </c>
      <c r="C16" s="132">
        <v>2635.6398124159059</v>
      </c>
      <c r="D16" s="133">
        <v>2194.1314013904234</v>
      </c>
      <c r="E16" s="132">
        <v>2075.4315686877048</v>
      </c>
      <c r="F16" s="133">
        <v>2487.4606144678528</v>
      </c>
      <c r="G16" s="452">
        <v>1.8670777167897112E-2</v>
      </c>
    </row>
    <row r="17" spans="1:7" ht="20" customHeight="1" thickBot="1">
      <c r="A17" s="333">
        <v>2006</v>
      </c>
      <c r="B17" s="133">
        <v>2629.69</v>
      </c>
      <c r="C17" s="132">
        <v>2763.07</v>
      </c>
      <c r="D17" s="133">
        <v>2359.12</v>
      </c>
      <c r="E17" s="132">
        <v>2097.1999999999998</v>
      </c>
      <c r="F17" s="133">
        <v>2582.7199999999998</v>
      </c>
      <c r="G17" s="452">
        <v>3.8295836717208154E-2</v>
      </c>
    </row>
    <row r="18" spans="1:7" ht="20" customHeight="1" thickBot="1">
      <c r="A18" s="333">
        <v>2007</v>
      </c>
      <c r="B18" s="133">
        <v>2723.42</v>
      </c>
      <c r="C18" s="132">
        <v>2817.48</v>
      </c>
      <c r="D18" s="133">
        <v>2454.38</v>
      </c>
      <c r="E18" s="132">
        <v>2134.58</v>
      </c>
      <c r="F18" s="133">
        <v>2612.13</v>
      </c>
      <c r="G18" s="452">
        <v>1.1387219675381033E-2</v>
      </c>
    </row>
    <row r="19" spans="1:7" ht="20" customHeight="1" thickBot="1">
      <c r="A19" s="333">
        <v>2008</v>
      </c>
      <c r="B19" s="133">
        <v>2766.67</v>
      </c>
      <c r="C19" s="132">
        <v>2814.77</v>
      </c>
      <c r="D19" s="133">
        <v>2510.7399999999998</v>
      </c>
      <c r="E19" s="132">
        <v>2114.29</v>
      </c>
      <c r="F19" s="133">
        <v>2585.79</v>
      </c>
      <c r="G19" s="452">
        <v>-1.0083724776332015E-2</v>
      </c>
    </row>
    <row r="20" spans="1:7" ht="20" customHeight="1" thickBot="1">
      <c r="A20" s="333">
        <v>2009</v>
      </c>
      <c r="B20" s="133">
        <v>2823.6745881888778</v>
      </c>
      <c r="C20" s="132">
        <v>2837.4638725119903</v>
      </c>
      <c r="D20" s="133">
        <v>2582.6714722167626</v>
      </c>
      <c r="E20" s="132">
        <v>2220.8587243287579</v>
      </c>
      <c r="F20" s="133">
        <v>2610.6060854467783</v>
      </c>
      <c r="G20" s="452">
        <v>9.5971000919556904E-3</v>
      </c>
    </row>
    <row r="21" spans="1:7" ht="22.5" customHeight="1" thickBot="1">
      <c r="A21" s="431">
        <v>2010</v>
      </c>
      <c r="B21" s="435">
        <v>3145.2431348976961</v>
      </c>
      <c r="C21" s="436">
        <v>3211.532192096673</v>
      </c>
      <c r="D21" s="435">
        <v>2821.8130817782608</v>
      </c>
      <c r="E21" s="436">
        <v>2440.6088467563409</v>
      </c>
      <c r="F21" s="435">
        <v>2834.4985554616119</v>
      </c>
      <c r="G21" s="837">
        <v>8.5762640048591132E-2</v>
      </c>
    </row>
    <row r="22" spans="1:7" ht="20" customHeight="1">
      <c r="A22" s="95" t="s">
        <v>678</v>
      </c>
      <c r="B22" s="135"/>
      <c r="C22" s="135"/>
      <c r="D22" s="135"/>
      <c r="E22" s="135"/>
      <c r="F22" s="135"/>
      <c r="G22" s="666"/>
    </row>
    <row r="23" spans="1:7" ht="13.5" customHeight="1">
      <c r="A23" s="96"/>
      <c r="B23" s="136"/>
      <c r="C23" s="136"/>
      <c r="D23" s="136"/>
      <c r="E23" s="136"/>
      <c r="F23" s="136"/>
      <c r="G23" s="667"/>
    </row>
    <row r="24" spans="1:7">
      <c r="A24" s="3" t="s">
        <v>1526</v>
      </c>
      <c r="G24" s="667"/>
    </row>
    <row r="25" spans="1:7">
      <c r="G25" s="667"/>
    </row>
    <row r="26" spans="1:7">
      <c r="G26" s="667"/>
    </row>
    <row r="27" spans="1:7" ht="18">
      <c r="A27" s="838" t="s">
        <v>1527</v>
      </c>
      <c r="G27" s="667"/>
    </row>
    <row r="28" spans="1:7">
      <c r="G28" s="667"/>
    </row>
    <row r="29" spans="1:7" ht="19.5" customHeight="1">
      <c r="A29" s="72" t="s">
        <v>695</v>
      </c>
      <c r="B29" s="73" t="s">
        <v>204</v>
      </c>
      <c r="C29" s="652" t="s">
        <v>585</v>
      </c>
      <c r="D29" s="73" t="s">
        <v>1362</v>
      </c>
      <c r="E29" s="652" t="s">
        <v>585</v>
      </c>
      <c r="F29" s="73" t="s">
        <v>1481</v>
      </c>
      <c r="G29" s="652" t="s">
        <v>585</v>
      </c>
    </row>
    <row r="30" spans="1:7" ht="19.5" customHeight="1">
      <c r="A30" s="839"/>
      <c r="B30" s="76" t="s">
        <v>207</v>
      </c>
      <c r="C30" s="653" t="s">
        <v>586</v>
      </c>
      <c r="D30" s="76" t="s">
        <v>208</v>
      </c>
      <c r="E30" s="653" t="s">
        <v>586</v>
      </c>
      <c r="F30" s="76" t="s">
        <v>1482</v>
      </c>
      <c r="G30" s="653" t="s">
        <v>586</v>
      </c>
    </row>
    <row r="31" spans="1:7" ht="19.5" customHeight="1">
      <c r="A31" s="328"/>
      <c r="B31" s="76"/>
      <c r="C31" s="653" t="s">
        <v>210</v>
      </c>
      <c r="D31" s="76"/>
      <c r="E31" s="653" t="s">
        <v>210</v>
      </c>
      <c r="F31" s="76"/>
      <c r="G31" s="653" t="s">
        <v>210</v>
      </c>
    </row>
    <row r="32" spans="1:7" ht="19.5" customHeight="1">
      <c r="A32" s="329"/>
      <c r="B32" s="82"/>
      <c r="C32" s="654"/>
      <c r="D32" s="82"/>
      <c r="E32" s="654"/>
      <c r="F32" s="82"/>
      <c r="G32" s="654"/>
    </row>
    <row r="33" spans="1:7" ht="1.25" customHeight="1" thickBot="1">
      <c r="A33" s="427">
        <v>1996</v>
      </c>
      <c r="B33" s="123" t="s">
        <v>35</v>
      </c>
      <c r="C33" s="840" t="s">
        <v>35</v>
      </c>
      <c r="D33" s="123" t="s">
        <v>35</v>
      </c>
      <c r="E33" s="840" t="s">
        <v>35</v>
      </c>
      <c r="F33" s="123" t="s">
        <v>35</v>
      </c>
      <c r="G33" s="309" t="s">
        <v>35</v>
      </c>
    </row>
    <row r="34" spans="1:7" ht="0.75" hidden="1" customHeight="1" thickBot="1">
      <c r="A34" s="333">
        <v>1997</v>
      </c>
      <c r="B34" s="123">
        <v>571.27</v>
      </c>
      <c r="C34" s="840" t="s">
        <v>35</v>
      </c>
      <c r="D34" s="123">
        <v>1459.12</v>
      </c>
      <c r="E34" s="840" t="s">
        <v>35</v>
      </c>
      <c r="F34" s="123">
        <v>2024.73</v>
      </c>
      <c r="G34" s="452" t="s">
        <v>35</v>
      </c>
    </row>
    <row r="35" spans="1:7" ht="19.5" hidden="1" customHeight="1" thickBot="1">
      <c r="A35" s="333">
        <v>1998</v>
      </c>
      <c r="B35" s="133">
        <v>588.77</v>
      </c>
      <c r="C35" s="452">
        <v>3.0633500796471091E-2</v>
      </c>
      <c r="D35" s="133">
        <v>1563.95</v>
      </c>
      <c r="E35" s="452">
        <v>7.1844673501836764E-2</v>
      </c>
      <c r="F35" s="133">
        <v>2142.38</v>
      </c>
      <c r="G35" s="452">
        <v>5.8106512967161184E-2</v>
      </c>
    </row>
    <row r="36" spans="1:7" ht="0.5" customHeight="1" thickBot="1">
      <c r="A36" s="333">
        <v>1999</v>
      </c>
      <c r="B36" s="133">
        <v>603.19000000000005</v>
      </c>
      <c r="C36" s="452">
        <v>2.4491737011057113E-2</v>
      </c>
      <c r="D36" s="133">
        <v>1581.32</v>
      </c>
      <c r="E36" s="452">
        <v>1.1106493174334098E-2</v>
      </c>
      <c r="F36" s="133">
        <v>2190.21</v>
      </c>
      <c r="G36" s="452">
        <v>2.2325637842026014E-2</v>
      </c>
    </row>
    <row r="37" spans="1:7" ht="19.5" customHeight="1" thickBot="1">
      <c r="A37" s="333">
        <v>2000</v>
      </c>
      <c r="B37" s="133">
        <v>621.73</v>
      </c>
      <c r="C37" s="452">
        <v>3.073658382930744E-2</v>
      </c>
      <c r="D37" s="133">
        <v>1566.95</v>
      </c>
      <c r="E37" s="452">
        <v>-9.0873447499556503E-3</v>
      </c>
      <c r="F37" s="133">
        <v>2256.67</v>
      </c>
      <c r="G37" s="452">
        <v>3.0344122253117334E-2</v>
      </c>
    </row>
    <row r="38" spans="1:7" ht="19.5" customHeight="1" thickBot="1">
      <c r="A38" s="333">
        <v>2001</v>
      </c>
      <c r="B38" s="133">
        <v>652.66999999999996</v>
      </c>
      <c r="C38" s="452">
        <v>4.9764367169028212E-2</v>
      </c>
      <c r="D38" s="133">
        <v>1580.79</v>
      </c>
      <c r="E38" s="452">
        <v>8.8324451960815065E-3</v>
      </c>
      <c r="F38" s="133">
        <v>2352.56</v>
      </c>
      <c r="G38" s="452">
        <v>4.2491813158326064E-2</v>
      </c>
    </row>
    <row r="39" spans="1:7" ht="19.5" customHeight="1" thickBot="1">
      <c r="A39" s="333">
        <v>2002</v>
      </c>
      <c r="B39" s="133">
        <v>712.31</v>
      </c>
      <c r="C39" s="452">
        <v>9.1378491427520858E-2</v>
      </c>
      <c r="D39" s="133">
        <v>1782.56</v>
      </c>
      <c r="E39" s="452">
        <v>0.12763871228942492</v>
      </c>
      <c r="F39" s="133">
        <v>2553.98</v>
      </c>
      <c r="G39" s="452">
        <v>8.5617370013942207E-2</v>
      </c>
    </row>
    <row r="40" spans="1:7" ht="19.5" customHeight="1" thickBot="1">
      <c r="A40" s="333">
        <v>2003</v>
      </c>
      <c r="B40" s="133">
        <v>775.13</v>
      </c>
      <c r="C40" s="452">
        <v>8.8191938903005695E-2</v>
      </c>
      <c r="D40" s="133">
        <v>2027.01</v>
      </c>
      <c r="E40" s="452">
        <v>0.13713423391077995</v>
      </c>
      <c r="F40" s="133">
        <v>2767.57</v>
      </c>
      <c r="G40" s="452">
        <v>8.3630255522752828E-2</v>
      </c>
    </row>
    <row r="41" spans="1:7" ht="19.5" customHeight="1" thickBot="1">
      <c r="A41" s="333">
        <v>2004</v>
      </c>
      <c r="B41" s="133">
        <v>811.85</v>
      </c>
      <c r="C41" s="452">
        <v>4.7372698773109123E-2</v>
      </c>
      <c r="D41" s="133">
        <v>2229.4699999999998</v>
      </c>
      <c r="E41" s="452">
        <v>9.9881105667954273E-2</v>
      </c>
      <c r="F41" s="133">
        <v>2944.97</v>
      </c>
      <c r="G41" s="452">
        <v>6.4099553037502144E-2</v>
      </c>
    </row>
    <row r="42" spans="1:7" ht="19.5" customHeight="1" thickBot="1">
      <c r="A42" s="333">
        <v>2005</v>
      </c>
      <c r="B42" s="133">
        <v>810.41</v>
      </c>
      <c r="C42" s="452">
        <v>-1.773726673646725E-3</v>
      </c>
      <c r="D42" s="133">
        <v>2295.98</v>
      </c>
      <c r="E42" s="452">
        <v>2.9832202272288999E-2</v>
      </c>
      <c r="F42" s="133">
        <v>3001.01</v>
      </c>
      <c r="G42" s="452">
        <v>1.9029056323154547E-2</v>
      </c>
    </row>
    <row r="43" spans="1:7" ht="19.5" customHeight="1" thickBot="1">
      <c r="A43" s="333">
        <v>2006</v>
      </c>
      <c r="B43" s="133">
        <v>831.45</v>
      </c>
      <c r="C43" s="452">
        <v>2.5962167298034355E-2</v>
      </c>
      <c r="D43" s="133">
        <v>2397.42</v>
      </c>
      <c r="E43" s="452">
        <v>4.4181569525866937E-2</v>
      </c>
      <c r="F43" s="133">
        <v>3120.11</v>
      </c>
      <c r="G43" s="452">
        <v>3.9686638831593291E-2</v>
      </c>
    </row>
    <row r="44" spans="1:7" ht="19.5" customHeight="1" thickBot="1">
      <c r="A44" s="333">
        <v>2007</v>
      </c>
      <c r="B44" s="133">
        <v>830.97</v>
      </c>
      <c r="C44" s="452">
        <v>-5.7730470864159056E-4</v>
      </c>
      <c r="D44" s="133">
        <v>2410.9299999999998</v>
      </c>
      <c r="E44" s="452">
        <v>5.6352245330395512E-3</v>
      </c>
      <c r="F44" s="133">
        <v>3148.34</v>
      </c>
      <c r="G44" s="452">
        <v>9.0477579316114998E-3</v>
      </c>
    </row>
    <row r="45" spans="1:7" ht="19.5" customHeight="1" thickBot="1">
      <c r="A45" s="333">
        <v>2008</v>
      </c>
      <c r="B45" s="133">
        <v>805.67</v>
      </c>
      <c r="C45" s="452">
        <v>-3.0446345836793176E-2</v>
      </c>
      <c r="D45" s="133">
        <v>2390.77</v>
      </c>
      <c r="E45" s="452">
        <v>-8.3619184298174831E-3</v>
      </c>
      <c r="F45" s="133">
        <v>3113.11</v>
      </c>
      <c r="G45" s="452">
        <v>-1.1190023949128713E-2</v>
      </c>
    </row>
    <row r="46" spans="1:7" ht="19.5" customHeight="1" thickBot="1">
      <c r="A46" s="333">
        <v>2009</v>
      </c>
      <c r="B46" s="133">
        <v>803.29852245883592</v>
      </c>
      <c r="C46" s="452">
        <v>-2.9434849766828419E-3</v>
      </c>
      <c r="D46" s="133">
        <v>2417.2719920855861</v>
      </c>
      <c r="E46" s="452">
        <v>1.1085128258086829E-2</v>
      </c>
      <c r="F46" s="133">
        <v>3124.0890560836219</v>
      </c>
      <c r="G46" s="452">
        <v>3.5267163973073945E-3</v>
      </c>
    </row>
    <row r="47" spans="1:7" ht="21.75" customHeight="1" thickBot="1">
      <c r="A47" s="841">
        <v>2010</v>
      </c>
      <c r="B47" s="843">
        <v>870.57920238879058</v>
      </c>
      <c r="C47" s="837">
        <v>8.3755513111132718E-2</v>
      </c>
      <c r="D47" s="843">
        <v>2689.4943448135232</v>
      </c>
      <c r="E47" s="837">
        <v>0.11261552428490584</v>
      </c>
      <c r="F47" s="843">
        <v>3377.364823956269</v>
      </c>
      <c r="G47" s="837">
        <v>8.1071878338242698E-2</v>
      </c>
    </row>
    <row r="48" spans="1:7" ht="15" customHeight="1">
      <c r="A48" s="95" t="s">
        <v>678</v>
      </c>
    </row>
    <row r="50" spans="1:7">
      <c r="A50" s="96" t="s">
        <v>1528</v>
      </c>
    </row>
    <row r="52" spans="1:7" ht="12" customHeight="1">
      <c r="A52" s="3" t="s">
        <v>1529</v>
      </c>
      <c r="B52" s="248"/>
      <c r="F52" s="248"/>
      <c r="G52" s="872"/>
    </row>
    <row r="53" spans="1:7">
      <c r="A53" s="3" t="s">
        <v>1530</v>
      </c>
    </row>
    <row r="56" spans="1:7">
      <c r="A56" s="3" t="s">
        <v>677</v>
      </c>
    </row>
  </sheetData>
  <pageMargins left="0.34" right="0.34" top="0.43307086614173229" bottom="0.35433070866141736" header="0.31496062992125984" footer="0.27559055118110237"/>
  <pageSetup paperSize="9" scale="67" orientation="portrait"/>
  <headerFooter alignWithMargins="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52A2C-4BDE-884D-BA88-34ABB78C1789}">
  <sheetPr>
    <pageSetUpPr fitToPage="1"/>
  </sheetPr>
  <dimension ref="A1:H44"/>
  <sheetViews>
    <sheetView topLeftCell="A16" zoomScale="75" workbookViewId="0">
      <selection activeCell="A35" sqref="A35"/>
    </sheetView>
  </sheetViews>
  <sheetFormatPr baseColWidth="10" defaultColWidth="11.3984375" defaultRowHeight="13"/>
  <cols>
    <col min="1" max="1" width="20.59765625" style="3" customWidth="1"/>
    <col min="2" max="4" width="17" style="8" customWidth="1"/>
    <col min="5" max="5" width="17.3984375" style="8" customWidth="1"/>
    <col min="6" max="6" width="17.3984375" style="121" customWidth="1"/>
    <col min="7" max="7" width="11.3984375" style="3"/>
    <col min="8" max="8" width="0" style="3" hidden="1" customWidth="1"/>
    <col min="9" max="16384" width="11.3984375" style="3"/>
  </cols>
  <sheetData>
    <row r="1" spans="1:8" s="2" customFormat="1" ht="14" customHeight="1">
      <c r="B1" s="100"/>
      <c r="C1" s="100"/>
      <c r="D1" s="100"/>
      <c r="E1" s="100"/>
      <c r="F1" s="101"/>
    </row>
    <row r="2" spans="1:8" s="2" customFormat="1" ht="31.5" customHeight="1">
      <c r="A2" s="1807" t="s">
        <v>646</v>
      </c>
      <c r="B2" s="1811"/>
      <c r="C2" s="1811"/>
      <c r="D2" s="1811"/>
      <c r="E2" s="1811"/>
      <c r="F2" s="102">
        <v>2010</v>
      </c>
      <c r="G2" s="102"/>
    </row>
    <row r="3" spans="1:8" ht="27" customHeight="1">
      <c r="A3" s="72" t="s">
        <v>203</v>
      </c>
      <c r="B3" s="73" t="s">
        <v>204</v>
      </c>
      <c r="C3" s="74" t="s">
        <v>205</v>
      </c>
      <c r="D3" s="73" t="s">
        <v>206</v>
      </c>
      <c r="E3" s="74" t="s">
        <v>500</v>
      </c>
      <c r="F3" s="299" t="s">
        <v>585</v>
      </c>
    </row>
    <row r="4" spans="1:8" ht="20.25" customHeight="1">
      <c r="A4" s="75"/>
      <c r="B4" s="76"/>
      <c r="C4" s="77" t="s">
        <v>206</v>
      </c>
      <c r="D4" s="78"/>
      <c r="E4" s="77" t="s">
        <v>501</v>
      </c>
      <c r="F4" s="78" t="s">
        <v>586</v>
      </c>
    </row>
    <row r="5" spans="1:8" ht="20.25" customHeight="1">
      <c r="A5" s="75"/>
      <c r="B5" s="76" t="s">
        <v>207</v>
      </c>
      <c r="C5" s="77" t="s">
        <v>208</v>
      </c>
      <c r="D5" s="76" t="s">
        <v>209</v>
      </c>
      <c r="E5" s="77"/>
      <c r="F5" s="78" t="s">
        <v>210</v>
      </c>
    </row>
    <row r="6" spans="1:8" ht="24" customHeight="1">
      <c r="A6" s="79"/>
      <c r="B6" s="107"/>
      <c r="C6" s="108"/>
      <c r="D6" s="107"/>
      <c r="E6" s="109"/>
      <c r="F6" s="80"/>
    </row>
    <row r="7" spans="1:8" ht="30" customHeight="1" thickBot="1">
      <c r="A7" s="84" t="s">
        <v>211</v>
      </c>
      <c r="B7" s="111">
        <v>874.12207449369089</v>
      </c>
      <c r="C7" s="112">
        <v>2696.874537629421</v>
      </c>
      <c r="D7" s="111">
        <v>3258.4981628631863</v>
      </c>
      <c r="E7" s="112">
        <v>2776.320883235062</v>
      </c>
      <c r="F7" s="300">
        <v>8.7456138353109225E-2</v>
      </c>
      <c r="H7" s="88">
        <v>172.8785586534616</v>
      </c>
    </row>
    <row r="8" spans="1:8" ht="20" customHeight="1" thickBot="1">
      <c r="A8" s="89" t="s">
        <v>212</v>
      </c>
      <c r="B8" s="111">
        <v>909.31539855248036</v>
      </c>
      <c r="C8" s="112">
        <v>2744.5290085843403</v>
      </c>
      <c r="D8" s="111">
        <v>3640.6200750701296</v>
      </c>
      <c r="E8" s="112">
        <v>3066.9952969527417</v>
      </c>
      <c r="F8" s="301">
        <v>0.11138252589290186</v>
      </c>
      <c r="H8" s="88">
        <v>161.49387493756916</v>
      </c>
    </row>
    <row r="9" spans="1:8" ht="20" customHeight="1" thickBot="1">
      <c r="A9" s="89" t="s">
        <v>213</v>
      </c>
      <c r="B9" s="111">
        <v>722.24902237594324</v>
      </c>
      <c r="C9" s="112">
        <v>2241.6657893774068</v>
      </c>
      <c r="D9" s="111">
        <v>2901.641851869641</v>
      </c>
      <c r="E9" s="112">
        <v>2401.9040700129181</v>
      </c>
      <c r="F9" s="301">
        <v>0.10617877588376551</v>
      </c>
      <c r="H9" s="88">
        <v>129.41591119853354</v>
      </c>
    </row>
    <row r="10" spans="1:8" ht="20" customHeight="1" thickBot="1">
      <c r="A10" s="89" t="s">
        <v>214</v>
      </c>
      <c r="B10" s="111">
        <v>667.51697839037297</v>
      </c>
      <c r="C10" s="112">
        <v>2072.1288490762213</v>
      </c>
      <c r="D10" s="111">
        <v>2677.0674703087602</v>
      </c>
      <c r="E10" s="112">
        <v>2218.3498646214603</v>
      </c>
      <c r="F10" s="301">
        <v>0.13470189646273631</v>
      </c>
      <c r="H10" s="88">
        <v>126.90557061409594</v>
      </c>
    </row>
    <row r="11" spans="1:8" ht="20" customHeight="1" thickBot="1">
      <c r="A11" s="89" t="s">
        <v>215</v>
      </c>
      <c r="B11" s="111">
        <v>734.84709449635704</v>
      </c>
      <c r="C11" s="112">
        <v>2221.8070530270929</v>
      </c>
      <c r="D11" s="111">
        <v>2856.9648593826773</v>
      </c>
      <c r="E11" s="112">
        <v>2377.2945251429996</v>
      </c>
      <c r="F11" s="301">
        <v>0.11162890117659055</v>
      </c>
      <c r="H11" s="88">
        <v>131.64111605385247</v>
      </c>
    </row>
    <row r="12" spans="1:8" ht="20" customHeight="1" thickBot="1">
      <c r="A12" s="89" t="s">
        <v>216</v>
      </c>
      <c r="B12" s="111">
        <v>682.13985094856503</v>
      </c>
      <c r="C12" s="112">
        <v>2063.0906352484612</v>
      </c>
      <c r="D12" s="111">
        <v>2659.5916639499956</v>
      </c>
      <c r="E12" s="112">
        <v>2198.9616541804353</v>
      </c>
      <c r="F12" s="301">
        <v>0.13096903639849189</v>
      </c>
      <c r="H12" s="88">
        <v>125.19129183854066</v>
      </c>
    </row>
    <row r="13" spans="1:8" ht="20" customHeight="1" thickBot="1">
      <c r="A13" s="89" t="s">
        <v>217</v>
      </c>
      <c r="B13" s="111">
        <v>618.84882335162979</v>
      </c>
      <c r="C13" s="112">
        <v>1909.5452624163438</v>
      </c>
      <c r="D13" s="111">
        <v>2433.5864647287412</v>
      </c>
      <c r="E13" s="112">
        <v>2048.914851429085</v>
      </c>
      <c r="F13" s="301">
        <v>9.7126493309043035E-2</v>
      </c>
      <c r="H13" s="88">
        <v>117.8833340734285</v>
      </c>
    </row>
    <row r="14" spans="1:8" ht="20" customHeight="1" thickBot="1">
      <c r="A14" s="89" t="s">
        <v>218</v>
      </c>
      <c r="B14" s="111">
        <v>727.38757145421221</v>
      </c>
      <c r="C14" s="112">
        <v>2274.9752857108097</v>
      </c>
      <c r="D14" s="111">
        <v>2909.7436102616794</v>
      </c>
      <c r="E14" s="112">
        <v>2435.2221064710629</v>
      </c>
      <c r="F14" s="301">
        <v>0.10460098536365985</v>
      </c>
      <c r="H14" s="88">
        <v>140.25371771237261</v>
      </c>
    </row>
    <row r="15" spans="1:8" ht="20" customHeight="1" thickBot="1">
      <c r="A15" s="89" t="s">
        <v>219</v>
      </c>
      <c r="B15" s="111">
        <v>726.14642841728573</v>
      </c>
      <c r="C15" s="112">
        <v>2259.6568717006562</v>
      </c>
      <c r="D15" s="111">
        <v>2758.6487859231352</v>
      </c>
      <c r="E15" s="112">
        <v>2327.9773214911061</v>
      </c>
      <c r="F15" s="301">
        <v>9.5902320322478155E-2</v>
      </c>
      <c r="H15" s="88">
        <v>131.3336445580656</v>
      </c>
    </row>
    <row r="16" spans="1:8" ht="20" customHeight="1" thickBot="1">
      <c r="A16" s="89" t="s">
        <v>220</v>
      </c>
      <c r="B16" s="111">
        <v>834.40962581613542</v>
      </c>
      <c r="C16" s="112">
        <v>2536.0624749248309</v>
      </c>
      <c r="D16" s="111">
        <v>3185.1337314518842</v>
      </c>
      <c r="E16" s="112">
        <v>2601.5028989787161</v>
      </c>
      <c r="F16" s="301">
        <v>9.1068386143105987E-2</v>
      </c>
      <c r="H16" s="88">
        <v>163.19734143075968</v>
      </c>
    </row>
    <row r="17" spans="1:8" ht="20" customHeight="1" thickBot="1">
      <c r="A17" s="89" t="s">
        <v>221</v>
      </c>
      <c r="B17" s="111">
        <v>836.10026280435363</v>
      </c>
      <c r="C17" s="112">
        <v>2516.4324912961224</v>
      </c>
      <c r="D17" s="111">
        <v>3170.9227978706426</v>
      </c>
      <c r="E17" s="112">
        <v>2679.5115744097079</v>
      </c>
      <c r="F17" s="301">
        <v>0.10235999967779316</v>
      </c>
      <c r="H17" s="88">
        <v>156.59253023292777</v>
      </c>
    </row>
    <row r="18" spans="1:8" ht="20" customHeight="1" thickBot="1">
      <c r="A18" s="89" t="s">
        <v>222</v>
      </c>
      <c r="B18" s="111">
        <v>1183.1594774973175</v>
      </c>
      <c r="C18" s="112">
        <v>3751.2294075684308</v>
      </c>
      <c r="D18" s="111">
        <v>4547.0727390751936</v>
      </c>
      <c r="E18" s="112">
        <v>3963.5004883465881</v>
      </c>
      <c r="F18" s="301">
        <v>8.9792796800429231E-2</v>
      </c>
      <c r="H18" s="88">
        <v>239.48436004651805</v>
      </c>
    </row>
    <row r="19" spans="1:8" ht="20" customHeight="1" thickBot="1">
      <c r="A19" s="89" t="s">
        <v>223</v>
      </c>
      <c r="B19" s="111">
        <v>934.28615733628442</v>
      </c>
      <c r="C19" s="112">
        <v>2789.1650946465184</v>
      </c>
      <c r="D19" s="111">
        <v>3548.7218703779677</v>
      </c>
      <c r="E19" s="112">
        <v>3012.8106660836356</v>
      </c>
      <c r="F19" s="301">
        <v>0.107442553008298</v>
      </c>
      <c r="H19" s="88">
        <v>177.06647582891381</v>
      </c>
    </row>
    <row r="20" spans="1:8" ht="20" customHeight="1" thickBot="1">
      <c r="A20" s="89" t="s">
        <v>224</v>
      </c>
      <c r="B20" s="111">
        <v>816.89940357560999</v>
      </c>
      <c r="C20" s="112">
        <v>2554.2514875315778</v>
      </c>
      <c r="D20" s="111">
        <v>3187.8241891797479</v>
      </c>
      <c r="E20" s="112">
        <v>2705.1575783276594</v>
      </c>
      <c r="F20" s="301">
        <v>8.5345526020956311E-2</v>
      </c>
      <c r="H20" s="88">
        <v>165.60622548393192</v>
      </c>
    </row>
    <row r="21" spans="1:8" ht="20" customHeight="1" thickBot="1">
      <c r="A21" s="89" t="s">
        <v>225</v>
      </c>
      <c r="B21" s="111">
        <v>674.87563466439622</v>
      </c>
      <c r="C21" s="112">
        <v>2080.2801157488034</v>
      </c>
      <c r="D21" s="111">
        <v>2623.1214622279954</v>
      </c>
      <c r="E21" s="112">
        <v>2189.786105109592</v>
      </c>
      <c r="F21" s="301">
        <v>0.10573367293776335</v>
      </c>
      <c r="H21" s="88">
        <v>125.02923450612184</v>
      </c>
    </row>
    <row r="22" spans="1:8" ht="20" customHeight="1" thickBot="1">
      <c r="A22" s="89" t="s">
        <v>226</v>
      </c>
      <c r="B22" s="111">
        <v>610.21698026591378</v>
      </c>
      <c r="C22" s="112">
        <v>1873.5686750921341</v>
      </c>
      <c r="D22" s="111">
        <v>2413.1320078709878</v>
      </c>
      <c r="E22" s="112">
        <v>1959.3141936106897</v>
      </c>
      <c r="F22" s="301">
        <v>8.3537320063843137E-2</v>
      </c>
      <c r="H22" s="88">
        <v>109.87124540182084</v>
      </c>
    </row>
    <row r="23" spans="1:8" ht="20" customHeight="1" thickBot="1">
      <c r="A23" s="89" t="s">
        <v>227</v>
      </c>
      <c r="B23" s="111">
        <v>743.06837696472348</v>
      </c>
      <c r="C23" s="112">
        <v>2220.9355911812963</v>
      </c>
      <c r="D23" s="111">
        <v>2889.1001103406302</v>
      </c>
      <c r="E23" s="112">
        <v>2389.0288696900816</v>
      </c>
      <c r="F23" s="301">
        <v>0.10452237158287714</v>
      </c>
      <c r="H23" s="88">
        <v>134.24530167185685</v>
      </c>
    </row>
    <row r="24" spans="1:8" ht="20" customHeight="1" thickBot="1">
      <c r="A24" s="89" t="s">
        <v>228</v>
      </c>
      <c r="B24" s="111">
        <v>783.2063626964416</v>
      </c>
      <c r="C24" s="112">
        <v>2375.74268800134</v>
      </c>
      <c r="D24" s="111">
        <v>2969.0815112613154</v>
      </c>
      <c r="E24" s="112">
        <v>2528.7313729979492</v>
      </c>
      <c r="F24" s="301">
        <v>0.11860498474038531</v>
      </c>
      <c r="H24" s="88">
        <v>132.91701511018809</v>
      </c>
    </row>
    <row r="25" spans="1:8" ht="20" customHeight="1" thickBot="1">
      <c r="A25" s="89" t="s">
        <v>229</v>
      </c>
      <c r="B25" s="111">
        <v>818.71767130825447</v>
      </c>
      <c r="C25" s="112">
        <v>2533.258363871309</v>
      </c>
      <c r="D25" s="111">
        <v>3134.3505171342599</v>
      </c>
      <c r="E25" s="112">
        <v>2628.6802500576746</v>
      </c>
      <c r="F25" s="301">
        <v>0.10443329262068556</v>
      </c>
      <c r="H25" s="88">
        <v>145.05617363699608</v>
      </c>
    </row>
    <row r="26" spans="1:8" ht="20" customHeight="1" thickBot="1">
      <c r="A26" s="89" t="s">
        <v>230</v>
      </c>
      <c r="B26" s="111">
        <v>789.82119480751282</v>
      </c>
      <c r="C26" s="112">
        <v>2321.339433821598</v>
      </c>
      <c r="D26" s="111">
        <v>3008.022747220808</v>
      </c>
      <c r="E26" s="112">
        <v>2491.2944287675346</v>
      </c>
      <c r="F26" s="301">
        <v>7.8349884106216156E-2</v>
      </c>
      <c r="H26" s="88">
        <v>145.7338374894791</v>
      </c>
    </row>
    <row r="27" spans="1:8" ht="20" customHeight="1" thickBot="1">
      <c r="A27" s="89" t="s">
        <v>231</v>
      </c>
      <c r="B27" s="111">
        <v>986.41968862047349</v>
      </c>
      <c r="C27" s="112">
        <v>3111.6975733923055</v>
      </c>
      <c r="D27" s="111">
        <v>3809.6584274960401</v>
      </c>
      <c r="E27" s="112">
        <v>3258.4000702781441</v>
      </c>
      <c r="F27" s="301">
        <v>4.6372436312589534E-2</v>
      </c>
      <c r="H27" s="88">
        <v>199.67764846714121</v>
      </c>
    </row>
    <row r="28" spans="1:8" ht="20" customHeight="1" thickBot="1">
      <c r="A28" s="89" t="s">
        <v>232</v>
      </c>
      <c r="B28" s="111">
        <v>985.20717974447825</v>
      </c>
      <c r="C28" s="112">
        <v>3156.7984590896322</v>
      </c>
      <c r="D28" s="111">
        <v>3786.6096638858194</v>
      </c>
      <c r="E28" s="112">
        <v>3140.9802005474835</v>
      </c>
      <c r="F28" s="301">
        <v>5.3071231861607338E-2</v>
      </c>
      <c r="H28" s="88">
        <v>203.24357993536964</v>
      </c>
    </row>
    <row r="29" spans="1:8" ht="20" customHeight="1" thickBot="1">
      <c r="A29" s="89" t="s">
        <v>233</v>
      </c>
      <c r="B29" s="111">
        <v>796.68028336421844</v>
      </c>
      <c r="C29" s="112">
        <v>2607.0587719465329</v>
      </c>
      <c r="D29" s="111">
        <v>3042.7502360069948</v>
      </c>
      <c r="E29" s="112">
        <v>2568.2788659171997</v>
      </c>
      <c r="F29" s="301">
        <v>9.706053696217995E-2</v>
      </c>
      <c r="H29" s="88">
        <v>144.85185631308477</v>
      </c>
    </row>
    <row r="30" spans="1:8" ht="20" customHeight="1" thickBot="1">
      <c r="A30" s="89" t="s">
        <v>234</v>
      </c>
      <c r="B30" s="111">
        <v>872.17728985849908</v>
      </c>
      <c r="C30" s="112">
        <v>2905.154258520035</v>
      </c>
      <c r="D30" s="111">
        <v>3599.2670108686311</v>
      </c>
      <c r="E30" s="112">
        <v>2974.5856498318376</v>
      </c>
      <c r="F30" s="301">
        <v>1.6250728315549249E-2</v>
      </c>
      <c r="H30" s="88">
        <v>184.5803903521614</v>
      </c>
    </row>
    <row r="31" spans="1:8" ht="20" customHeight="1" thickBot="1">
      <c r="A31" s="89" t="s">
        <v>235</v>
      </c>
      <c r="B31" s="111">
        <v>1088.7213236993448</v>
      </c>
      <c r="C31" s="112">
        <v>3621.9325515930814</v>
      </c>
      <c r="D31" s="111">
        <v>4368.6785831863663</v>
      </c>
      <c r="E31" s="112">
        <v>3621.8603945653181</v>
      </c>
      <c r="F31" s="301">
        <v>4.1813096370501755E-2</v>
      </c>
      <c r="H31" s="88">
        <v>244.01642882305748</v>
      </c>
    </row>
    <row r="32" spans="1:8" ht="20" customHeight="1" thickBot="1">
      <c r="A32" s="90" t="s">
        <v>236</v>
      </c>
      <c r="B32" s="111">
        <v>808.82950210075489</v>
      </c>
      <c r="C32" s="112">
        <v>2770.9498256060974</v>
      </c>
      <c r="D32" s="111">
        <v>3469.2510275674194</v>
      </c>
      <c r="E32" s="112">
        <v>2841.9202686687795</v>
      </c>
      <c r="F32" s="301">
        <v>6.3953176251996938E-2</v>
      </c>
      <c r="H32" s="88">
        <v>200.58331332206401</v>
      </c>
    </row>
    <row r="33" spans="1:8" ht="20" customHeight="1" thickBot="1">
      <c r="A33" s="289" t="s">
        <v>494</v>
      </c>
      <c r="B33" s="111">
        <v>821.33181190318896</v>
      </c>
      <c r="C33" s="112">
        <v>2912.606877348544</v>
      </c>
      <c r="D33" s="111">
        <v>3043.1786492869473</v>
      </c>
      <c r="E33" s="112">
        <v>2834.9552576311935</v>
      </c>
      <c r="F33" s="301">
        <v>-0.14048377827275166</v>
      </c>
      <c r="H33" s="88">
        <v>244.01642882305748</v>
      </c>
    </row>
    <row r="34" spans="1:8" ht="20" customHeight="1" thickBot="1">
      <c r="A34" s="90" t="s">
        <v>495</v>
      </c>
      <c r="B34" s="123" t="s">
        <v>35</v>
      </c>
      <c r="C34" s="124" t="s">
        <v>35</v>
      </c>
      <c r="D34" s="123" t="s">
        <v>35</v>
      </c>
      <c r="E34" s="124" t="s">
        <v>35</v>
      </c>
      <c r="F34" s="301" t="s">
        <v>35</v>
      </c>
      <c r="H34" s="88">
        <v>200.58331332206401</v>
      </c>
    </row>
    <row r="35" spans="1:8" s="115" customFormat="1" ht="30" customHeight="1" thickBot="1">
      <c r="A35" s="91" t="s">
        <v>0</v>
      </c>
      <c r="B35" s="113">
        <v>870.57920238879058</v>
      </c>
      <c r="C35" s="114">
        <v>2689.4943448135232</v>
      </c>
      <c r="D35" s="113">
        <v>3377.364823956269</v>
      </c>
      <c r="E35" s="114">
        <v>2834.4986028216172</v>
      </c>
      <c r="F35" s="302">
        <v>8.5762638462862875E-2</v>
      </c>
      <c r="H35" s="116">
        <v>167.9825427102873</v>
      </c>
    </row>
    <row r="36" spans="1:8" ht="20" customHeight="1">
      <c r="A36" s="95" t="s">
        <v>678</v>
      </c>
      <c r="B36" s="117"/>
      <c r="C36" s="117"/>
      <c r="D36" s="117"/>
      <c r="E36" s="117"/>
      <c r="F36" s="118"/>
    </row>
    <row r="37" spans="1:8" ht="14.25" customHeight="1">
      <c r="A37" s="96"/>
      <c r="B37" s="119"/>
      <c r="C37" s="119"/>
      <c r="D37" s="119"/>
      <c r="E37" s="119"/>
      <c r="F37" s="120"/>
    </row>
    <row r="38" spans="1:8" ht="20" customHeight="1">
      <c r="A38" s="96" t="s">
        <v>647</v>
      </c>
      <c r="B38" s="119"/>
      <c r="C38" s="119"/>
      <c r="D38" s="119"/>
      <c r="E38" s="119"/>
      <c r="F38" s="120"/>
    </row>
    <row r="39" spans="1:8" ht="9.75" customHeight="1">
      <c r="A39" s="96"/>
      <c r="B39" s="119"/>
      <c r="C39" s="119"/>
      <c r="D39" s="119"/>
      <c r="E39" s="119"/>
      <c r="F39" s="120"/>
    </row>
    <row r="40" spans="1:8" ht="15.75" customHeight="1">
      <c r="A40" s="96" t="s">
        <v>648</v>
      </c>
    </row>
    <row r="41" spans="1:8" ht="15.75" customHeight="1">
      <c r="A41" s="96" t="s">
        <v>498</v>
      </c>
    </row>
    <row r="42" spans="1:8" ht="12" customHeight="1">
      <c r="A42" s="96"/>
    </row>
    <row r="43" spans="1:8" ht="12" customHeight="1"/>
    <row r="44" spans="1:8">
      <c r="A44" s="96" t="s">
        <v>677</v>
      </c>
    </row>
  </sheetData>
  <mergeCells count="1">
    <mergeCell ref="A2:E2"/>
  </mergeCells>
  <pageMargins left="0.55000000000000004" right="0.78740157480314965" top="1.1000000000000001" bottom="0.49" header="0.92" footer="0.4921259845"/>
  <pageSetup paperSize="9" scale="85" orientation="portrait" horizontalDpi="4294967292" verticalDpi="4294967292"/>
  <headerFooter alignWithMargins="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92F3F-677D-5F40-BC72-4B57A37281EF}">
  <sheetPr>
    <pageSetUpPr fitToPage="1"/>
  </sheetPr>
  <dimension ref="A1:G44"/>
  <sheetViews>
    <sheetView topLeftCell="A14" zoomScale="75" workbookViewId="0">
      <selection activeCell="A35" sqref="A35"/>
    </sheetView>
  </sheetViews>
  <sheetFormatPr baseColWidth="10" defaultColWidth="11.3984375" defaultRowHeight="13"/>
  <cols>
    <col min="1" max="1" width="21.3984375" style="3" customWidth="1"/>
    <col min="2" max="5" width="20.3984375" style="3" customWidth="1"/>
    <col min="6" max="6" width="11.3984375" style="3"/>
    <col min="7" max="7" width="14.59765625" style="3" customWidth="1"/>
    <col min="8" max="16384" width="11.3984375" style="3"/>
  </cols>
  <sheetData>
    <row r="1" spans="1:7" s="2" customFormat="1" ht="14" customHeight="1"/>
    <row r="2" spans="1:7" s="2" customFormat="1" ht="28" customHeight="1">
      <c r="A2" s="71" t="s">
        <v>649</v>
      </c>
      <c r="E2" s="71">
        <v>2010</v>
      </c>
    </row>
    <row r="3" spans="1:7" ht="27" customHeight="1">
      <c r="A3" s="72" t="s">
        <v>203</v>
      </c>
      <c r="B3" s="73" t="s">
        <v>204</v>
      </c>
      <c r="C3" s="74" t="s">
        <v>205</v>
      </c>
      <c r="D3" s="73" t="s">
        <v>206</v>
      </c>
      <c r="E3" s="74" t="s">
        <v>190</v>
      </c>
    </row>
    <row r="4" spans="1:7" ht="21.75" customHeight="1">
      <c r="A4" s="75"/>
      <c r="B4" s="76"/>
      <c r="C4" s="77" t="s">
        <v>206</v>
      </c>
      <c r="D4" s="78"/>
      <c r="E4" s="77"/>
    </row>
    <row r="5" spans="1:7" ht="21.75" customHeight="1">
      <c r="A5" s="75"/>
      <c r="B5" s="76" t="s">
        <v>207</v>
      </c>
      <c r="C5" s="77" t="s">
        <v>208</v>
      </c>
      <c r="D5" s="76" t="s">
        <v>209</v>
      </c>
      <c r="E5" s="77"/>
    </row>
    <row r="6" spans="1:7" ht="24" customHeight="1">
      <c r="A6" s="79"/>
      <c r="B6" s="80"/>
      <c r="C6" s="79"/>
      <c r="D6" s="80"/>
      <c r="E6" s="81"/>
    </row>
    <row r="7" spans="1:7" ht="30" customHeight="1" thickBot="1">
      <c r="A7" s="84" t="s">
        <v>211</v>
      </c>
      <c r="B7" s="85">
        <v>218264121.18000001</v>
      </c>
      <c r="C7" s="86">
        <v>280721149.58999997</v>
      </c>
      <c r="D7" s="85">
        <v>3265678361.3200002</v>
      </c>
      <c r="E7" s="86">
        <v>3764663632.0900002</v>
      </c>
      <c r="G7" s="88"/>
    </row>
    <row r="8" spans="1:7" ht="20" customHeight="1" thickBot="1">
      <c r="A8" s="89" t="s">
        <v>212</v>
      </c>
      <c r="B8" s="85">
        <v>162322682.90000001</v>
      </c>
      <c r="C8" s="86">
        <v>221922697.97</v>
      </c>
      <c r="D8" s="85">
        <v>2610039278.4299998</v>
      </c>
      <c r="E8" s="86">
        <v>2994284659.2999997</v>
      </c>
      <c r="G8" s="88"/>
    </row>
    <row r="9" spans="1:7" ht="20" customHeight="1" thickBot="1">
      <c r="A9" s="89" t="s">
        <v>213</v>
      </c>
      <c r="B9" s="85">
        <v>54675254.920000002</v>
      </c>
      <c r="C9" s="86">
        <v>78428174.640000001</v>
      </c>
      <c r="D9" s="85">
        <v>770839380.25999999</v>
      </c>
      <c r="E9" s="86">
        <v>903942809.81999993</v>
      </c>
      <c r="G9" s="88"/>
    </row>
    <row r="10" spans="1:7" ht="20" customHeight="1" thickBot="1">
      <c r="A10" s="89" t="s">
        <v>214</v>
      </c>
      <c r="B10" s="85">
        <v>4749923.99</v>
      </c>
      <c r="C10" s="86">
        <v>6736035.0199999996</v>
      </c>
      <c r="D10" s="85">
        <v>67176350.069999993</v>
      </c>
      <c r="E10" s="86">
        <v>78662309.079999998</v>
      </c>
      <c r="G10" s="88"/>
    </row>
    <row r="11" spans="1:7" ht="20" customHeight="1" thickBot="1">
      <c r="A11" s="89" t="s">
        <v>215</v>
      </c>
      <c r="B11" s="85">
        <v>21450274.870000001</v>
      </c>
      <c r="C11" s="86">
        <v>28418734.09</v>
      </c>
      <c r="D11" s="85">
        <v>297399613.94</v>
      </c>
      <c r="E11" s="86">
        <v>347268622.89999998</v>
      </c>
      <c r="G11" s="88"/>
    </row>
    <row r="12" spans="1:7" ht="20" customHeight="1" thickBot="1">
      <c r="A12" s="89" t="s">
        <v>216</v>
      </c>
      <c r="B12" s="85">
        <v>4987513.2699999996</v>
      </c>
      <c r="C12" s="86">
        <v>7102375.1900000004</v>
      </c>
      <c r="D12" s="85">
        <v>66734420.840000004</v>
      </c>
      <c r="E12" s="86">
        <v>78824309.300000012</v>
      </c>
      <c r="G12" s="88"/>
    </row>
    <row r="13" spans="1:7" ht="20" customHeight="1" thickBot="1">
      <c r="A13" s="89" t="s">
        <v>217</v>
      </c>
      <c r="B13" s="85">
        <v>4689036.0999999996</v>
      </c>
      <c r="C13" s="86">
        <v>6830710.7400000002</v>
      </c>
      <c r="D13" s="85">
        <v>71704408.390000001</v>
      </c>
      <c r="E13" s="86">
        <v>83224155.230000004</v>
      </c>
      <c r="G13" s="88"/>
    </row>
    <row r="14" spans="1:7" ht="20" customHeight="1" thickBot="1">
      <c r="A14" s="89" t="s">
        <v>218</v>
      </c>
      <c r="B14" s="85">
        <v>5349470.0599999996</v>
      </c>
      <c r="C14" s="86">
        <v>8414382.8399999999</v>
      </c>
      <c r="D14" s="85">
        <v>80651924.219999999</v>
      </c>
      <c r="E14" s="86">
        <v>94415777.120000005</v>
      </c>
      <c r="G14" s="88"/>
    </row>
    <row r="15" spans="1:7" ht="20" customHeight="1" thickBot="1">
      <c r="A15" s="89" t="s">
        <v>219</v>
      </c>
      <c r="B15" s="85">
        <v>15646807.18</v>
      </c>
      <c r="C15" s="86">
        <v>19814456.579999998</v>
      </c>
      <c r="D15" s="85">
        <v>224926980.49000001</v>
      </c>
      <c r="E15" s="86">
        <v>260388244.25</v>
      </c>
      <c r="G15" s="88"/>
    </row>
    <row r="16" spans="1:7" ht="20" customHeight="1" thickBot="1">
      <c r="A16" s="89" t="s">
        <v>220</v>
      </c>
      <c r="B16" s="85">
        <v>51543852.310000002</v>
      </c>
      <c r="C16" s="86">
        <v>61884058.170000002</v>
      </c>
      <c r="D16" s="85">
        <v>604440503.07000005</v>
      </c>
      <c r="E16" s="86">
        <v>717868413.55000007</v>
      </c>
      <c r="G16" s="88"/>
    </row>
    <row r="17" spans="1:7" ht="20" customHeight="1" thickBot="1">
      <c r="A17" s="89" t="s">
        <v>221</v>
      </c>
      <c r="B17" s="85">
        <v>39768189.289999999</v>
      </c>
      <c r="C17" s="86">
        <v>56984815.079999998</v>
      </c>
      <c r="D17" s="85">
        <v>589600402.04999995</v>
      </c>
      <c r="E17" s="86">
        <v>686353406.41999996</v>
      </c>
      <c r="G17" s="88"/>
    </row>
    <row r="18" spans="1:7" ht="20" customHeight="1" thickBot="1">
      <c r="A18" s="89" t="s">
        <v>222</v>
      </c>
      <c r="B18" s="85">
        <v>32869246.960000001</v>
      </c>
      <c r="C18" s="86">
        <v>48956507.240000002</v>
      </c>
      <c r="D18" s="85">
        <v>623428226.72000003</v>
      </c>
      <c r="E18" s="86">
        <v>705253980.92000008</v>
      </c>
      <c r="G18" s="88"/>
    </row>
    <row r="19" spans="1:7" ht="20" customHeight="1" thickBot="1">
      <c r="A19" s="89" t="s">
        <v>223</v>
      </c>
      <c r="B19" s="85">
        <v>46323374.509999998</v>
      </c>
      <c r="C19" s="86">
        <v>60445921.289999999</v>
      </c>
      <c r="D19" s="85">
        <v>714518824.48000002</v>
      </c>
      <c r="E19" s="86">
        <v>821288120.27999997</v>
      </c>
      <c r="G19" s="88"/>
    </row>
    <row r="20" spans="1:7" ht="20" customHeight="1" thickBot="1">
      <c r="A20" s="89" t="s">
        <v>224</v>
      </c>
      <c r="B20" s="85">
        <v>11128498.039999999</v>
      </c>
      <c r="C20" s="86">
        <v>17128146.370000001</v>
      </c>
      <c r="D20" s="85">
        <v>176577184.08000001</v>
      </c>
      <c r="E20" s="86">
        <v>204833828.49000001</v>
      </c>
      <c r="G20" s="88"/>
    </row>
    <row r="21" spans="1:7" ht="20" customHeight="1" thickBot="1">
      <c r="A21" s="89" t="s">
        <v>225</v>
      </c>
      <c r="B21" s="85">
        <v>7125829.6100000003</v>
      </c>
      <c r="C21" s="86">
        <v>10273005.689999999</v>
      </c>
      <c r="D21" s="85">
        <v>100100072.48999999</v>
      </c>
      <c r="E21" s="86">
        <v>117498907.78999999</v>
      </c>
      <c r="G21" s="88"/>
    </row>
    <row r="22" spans="1:7" ht="20" customHeight="1" thickBot="1">
      <c r="A22" s="89" t="s">
        <v>226</v>
      </c>
      <c r="B22" s="85">
        <v>2126813.65</v>
      </c>
      <c r="C22" s="86">
        <v>2984201.45</v>
      </c>
      <c r="D22" s="85">
        <v>25728668.68</v>
      </c>
      <c r="E22" s="86">
        <v>30839683.780000001</v>
      </c>
      <c r="G22" s="88"/>
    </row>
    <row r="23" spans="1:7" ht="20" customHeight="1" thickBot="1">
      <c r="A23" s="89" t="s">
        <v>227</v>
      </c>
      <c r="B23" s="85">
        <v>71988025.950000003</v>
      </c>
      <c r="C23" s="86">
        <v>103308329.26000001</v>
      </c>
      <c r="D23" s="85">
        <v>966431722.26999998</v>
      </c>
      <c r="E23" s="86">
        <v>1141728077.48</v>
      </c>
      <c r="G23" s="88"/>
    </row>
    <row r="24" spans="1:7" ht="20" customHeight="1" thickBot="1">
      <c r="A24" s="89" t="s">
        <v>228</v>
      </c>
      <c r="B24" s="85">
        <v>27066037.649999999</v>
      </c>
      <c r="C24" s="86">
        <v>44236518.909999996</v>
      </c>
      <c r="D24" s="85">
        <v>425930389.85000002</v>
      </c>
      <c r="E24" s="86">
        <v>497232946.41000003</v>
      </c>
      <c r="G24" s="88"/>
    </row>
    <row r="25" spans="1:7" ht="20" customHeight="1" thickBot="1">
      <c r="A25" s="89" t="s">
        <v>229</v>
      </c>
      <c r="B25" s="85">
        <v>97485793.829999998</v>
      </c>
      <c r="C25" s="86">
        <v>134759363.91999999</v>
      </c>
      <c r="D25" s="85">
        <v>1367309981.4000001</v>
      </c>
      <c r="E25" s="86">
        <v>1599555139.1500001</v>
      </c>
      <c r="G25" s="88"/>
    </row>
    <row r="26" spans="1:7" ht="20" customHeight="1" thickBot="1">
      <c r="A26" s="89" t="s">
        <v>230</v>
      </c>
      <c r="B26" s="85">
        <v>39649197.740000002</v>
      </c>
      <c r="C26" s="86">
        <v>54800788.549999997</v>
      </c>
      <c r="D26" s="85">
        <v>520577139.89999998</v>
      </c>
      <c r="E26" s="86">
        <v>615027126.18999994</v>
      </c>
      <c r="G26" s="88"/>
    </row>
    <row r="27" spans="1:7" ht="20" customHeight="1" thickBot="1">
      <c r="A27" s="89" t="s">
        <v>231</v>
      </c>
      <c r="B27" s="85">
        <v>58007445.530000001</v>
      </c>
      <c r="C27" s="86">
        <v>72675719.430000007</v>
      </c>
      <c r="D27" s="85">
        <v>947009653.98000002</v>
      </c>
      <c r="E27" s="86">
        <v>1077692818.9400001</v>
      </c>
      <c r="G27" s="88"/>
    </row>
    <row r="28" spans="1:7" ht="20" customHeight="1" thickBot="1">
      <c r="A28" s="89" t="s">
        <v>232</v>
      </c>
      <c r="B28" s="85">
        <v>144796579</v>
      </c>
      <c r="C28" s="86">
        <v>182219940.59</v>
      </c>
      <c r="D28" s="85">
        <v>1852880842.6099999</v>
      </c>
      <c r="E28" s="86">
        <v>2179897362.1999998</v>
      </c>
      <c r="G28" s="88"/>
    </row>
    <row r="29" spans="1:7" ht="20" customHeight="1" thickBot="1">
      <c r="A29" s="89" t="s">
        <v>233</v>
      </c>
      <c r="B29" s="85">
        <v>48507480.380000003</v>
      </c>
      <c r="C29" s="86">
        <v>73909021.219999999</v>
      </c>
      <c r="D29" s="85">
        <v>684695206.55999994</v>
      </c>
      <c r="E29" s="86">
        <v>807111708.15999997</v>
      </c>
      <c r="G29" s="88"/>
    </row>
    <row r="30" spans="1:7" ht="20" customHeight="1" thickBot="1">
      <c r="A30" s="89" t="s">
        <v>234</v>
      </c>
      <c r="B30" s="85">
        <v>31243492.469999999</v>
      </c>
      <c r="C30" s="86">
        <v>42676948.469999999</v>
      </c>
      <c r="D30" s="85">
        <v>439814951.88</v>
      </c>
      <c r="E30" s="86">
        <v>513735392.81999999</v>
      </c>
      <c r="G30" s="88"/>
    </row>
    <row r="31" spans="1:7" ht="20" customHeight="1" thickBot="1">
      <c r="A31" s="89" t="s">
        <v>235</v>
      </c>
      <c r="B31" s="85">
        <v>95489058.159999996</v>
      </c>
      <c r="C31" s="86">
        <v>120419079.70999999</v>
      </c>
      <c r="D31" s="85">
        <v>1299649637.6500001</v>
      </c>
      <c r="E31" s="86">
        <v>1515557775.52</v>
      </c>
      <c r="G31" s="88"/>
    </row>
    <row r="32" spans="1:7" ht="20" customHeight="1" thickBot="1">
      <c r="A32" s="90" t="s">
        <v>236</v>
      </c>
      <c r="B32" s="85">
        <v>12141558.039999999</v>
      </c>
      <c r="C32" s="86">
        <v>17152207.129999999</v>
      </c>
      <c r="D32" s="85">
        <v>171206011.74000001</v>
      </c>
      <c r="E32" s="86">
        <v>200499776.91</v>
      </c>
      <c r="G32" s="88"/>
    </row>
    <row r="33" spans="1:7" ht="20" customHeight="1" thickBot="1">
      <c r="A33" s="289" t="s">
        <v>494</v>
      </c>
      <c r="B33" s="85">
        <v>273519.92</v>
      </c>
      <c r="C33" s="86">
        <v>1077402.4099999999</v>
      </c>
      <c r="D33" s="85">
        <v>9380659.0500000007</v>
      </c>
      <c r="E33" s="86">
        <v>10731581.380000001</v>
      </c>
      <c r="G33" s="88"/>
    </row>
    <row r="34" spans="1:7" ht="20" customHeight="1" thickBot="1">
      <c r="A34" s="90" t="s">
        <v>495</v>
      </c>
      <c r="B34" s="85">
        <v>245838.7</v>
      </c>
      <c r="C34" s="86">
        <v>980029.3</v>
      </c>
      <c r="D34" s="85">
        <v>1833473.85</v>
      </c>
      <c r="E34" s="86">
        <v>3059341.85</v>
      </c>
      <c r="G34" s="88"/>
    </row>
    <row r="35" spans="1:7" ht="30" customHeight="1" thickBot="1">
      <c r="A35" s="91" t="s">
        <v>0</v>
      </c>
      <c r="B35" s="92">
        <v>1309914916.1900001</v>
      </c>
      <c r="C35" s="93">
        <v>1765260720.8299999</v>
      </c>
      <c r="D35" s="92">
        <v>18976264270.259998</v>
      </c>
      <c r="E35" s="93">
        <v>22051439907.279999</v>
      </c>
      <c r="G35" s="88"/>
    </row>
    <row r="36" spans="1:7" ht="20" customHeight="1">
      <c r="A36" s="95" t="s">
        <v>678</v>
      </c>
      <c r="B36" s="95"/>
      <c r="C36" s="95"/>
      <c r="D36" s="95"/>
      <c r="E36" s="95"/>
    </row>
    <row r="37" spans="1:7" ht="13.5" customHeight="1">
      <c r="A37" s="96"/>
      <c r="B37" s="96"/>
      <c r="C37" s="96"/>
      <c r="D37" s="96"/>
      <c r="E37" s="96"/>
    </row>
    <row r="38" spans="1:7" ht="13.5" customHeight="1">
      <c r="A38" s="96" t="s">
        <v>650</v>
      </c>
      <c r="B38" s="96"/>
      <c r="C38" s="96"/>
      <c r="D38" s="96"/>
      <c r="E38" s="96"/>
    </row>
    <row r="39" spans="1:7" ht="12.75" customHeight="1">
      <c r="A39" s="96"/>
      <c r="B39" s="96"/>
      <c r="C39" s="96"/>
      <c r="D39" s="96"/>
      <c r="E39" s="96"/>
    </row>
    <row r="40" spans="1:7" ht="12" customHeight="1">
      <c r="A40" s="96" t="s">
        <v>648</v>
      </c>
    </row>
    <row r="41" spans="1:7" ht="14.25" customHeight="1">
      <c r="A41" s="96" t="s">
        <v>498</v>
      </c>
    </row>
    <row r="42" spans="1:7" ht="14.25" customHeight="1">
      <c r="A42" s="96"/>
    </row>
    <row r="43" spans="1:7" ht="12" customHeight="1"/>
    <row r="44" spans="1:7">
      <c r="A44" s="96" t="s">
        <v>677</v>
      </c>
    </row>
  </sheetData>
  <pageMargins left="0.56000000000000005" right="1.03" top="0.81" bottom="0.49" header="0.44" footer="0.4921259845"/>
  <pageSetup paperSize="9" scale="83" orientation="portrait" horizontalDpi="1200" verticalDpi="1200"/>
  <headerFooter alignWithMargins="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B80C7-5DB5-674A-B778-8B1310A205A9}">
  <sheetPr>
    <pageSetUpPr fitToPage="1"/>
  </sheetPr>
  <dimension ref="A1:J48"/>
  <sheetViews>
    <sheetView zoomScale="75" workbookViewId="0">
      <selection activeCell="B5" sqref="B5"/>
    </sheetView>
  </sheetViews>
  <sheetFormatPr baseColWidth="10" defaultColWidth="11.3984375" defaultRowHeight="13"/>
  <cols>
    <col min="1" max="1" width="22.59765625" style="3" customWidth="1"/>
    <col min="2" max="2" width="14.796875" style="128" customWidth="1"/>
    <col min="3" max="3" width="14.796875" style="49" customWidth="1"/>
    <col min="4" max="4" width="16" style="128" customWidth="1"/>
    <col min="5" max="5" width="15.796875" style="49" customWidth="1"/>
    <col min="6" max="6" width="16" style="128" customWidth="1"/>
    <col min="7" max="7" width="13.59765625" style="3" customWidth="1"/>
    <col min="8" max="8" width="8" style="3" customWidth="1"/>
    <col min="9" max="9" width="7.796875" style="3" customWidth="1"/>
    <col min="10" max="10" width="9" style="3" customWidth="1"/>
    <col min="11" max="16384" width="11.3984375" style="3"/>
  </cols>
  <sheetData>
    <row r="1" spans="1:10" s="2" customFormat="1" ht="18.75" customHeight="1">
      <c r="A1" s="303"/>
      <c r="B1" s="304"/>
      <c r="C1" s="261"/>
      <c r="D1" s="122"/>
      <c r="E1" s="261"/>
      <c r="F1" s="122"/>
    </row>
    <row r="2" spans="1:10" s="2" customFormat="1" ht="26.25" customHeight="1">
      <c r="A2" s="305" t="s">
        <v>651</v>
      </c>
      <c r="B2" s="306"/>
      <c r="C2" s="306"/>
      <c r="D2" s="306"/>
      <c r="E2" s="306"/>
      <c r="F2" s="307">
        <v>2010</v>
      </c>
    </row>
    <row r="3" spans="1:10" ht="27" customHeight="1">
      <c r="A3" s="72" t="s">
        <v>504</v>
      </c>
      <c r="B3" s="103" t="s">
        <v>505</v>
      </c>
      <c r="C3" s="277"/>
      <c r="D3" s="103" t="s">
        <v>507</v>
      </c>
      <c r="E3" s="277"/>
      <c r="F3" s="103" t="s">
        <v>190</v>
      </c>
    </row>
    <row r="4" spans="1:10" ht="15" customHeight="1">
      <c r="A4" s="75"/>
      <c r="B4" s="105" t="s">
        <v>640</v>
      </c>
      <c r="C4" s="75" t="s">
        <v>641</v>
      </c>
      <c r="D4" s="105" t="s">
        <v>640</v>
      </c>
      <c r="E4" s="75" t="s">
        <v>641</v>
      </c>
      <c r="F4" s="105"/>
    </row>
    <row r="5" spans="1:10" ht="15" customHeight="1">
      <c r="A5" s="75"/>
      <c r="B5" s="105"/>
      <c r="C5" s="75"/>
      <c r="D5" s="105"/>
      <c r="E5" s="75"/>
      <c r="F5" s="105"/>
    </row>
    <row r="6" spans="1:10" ht="19.5" customHeight="1">
      <c r="A6" s="79"/>
      <c r="B6" s="110"/>
      <c r="C6" s="79"/>
      <c r="D6" s="110"/>
      <c r="E6" s="79"/>
      <c r="F6" s="110"/>
    </row>
    <row r="7" spans="1:10" ht="30" customHeight="1" thickBot="1">
      <c r="A7" s="84" t="s">
        <v>508</v>
      </c>
      <c r="B7" s="308">
        <v>194.10269842999998</v>
      </c>
      <c r="C7" s="309">
        <v>1.8631862942065234E-2</v>
      </c>
      <c r="D7" s="308">
        <v>183.84928555000002</v>
      </c>
      <c r="E7" s="309">
        <v>1.5803223476856369E-2</v>
      </c>
      <c r="F7" s="308">
        <v>377.9519840100001</v>
      </c>
      <c r="H7" s="51"/>
      <c r="I7" s="51"/>
      <c r="J7" s="51"/>
    </row>
    <row r="8" spans="1:10" ht="20" customHeight="1" thickBot="1">
      <c r="A8" s="89" t="s">
        <v>509</v>
      </c>
      <c r="B8" s="308">
        <v>172.58258439000002</v>
      </c>
      <c r="C8" s="309">
        <v>1.6566153302095998E-2</v>
      </c>
      <c r="D8" s="308">
        <v>163.45517088</v>
      </c>
      <c r="E8" s="309">
        <v>1.4050196529928179E-2</v>
      </c>
      <c r="F8" s="308">
        <v>336.03775530000001</v>
      </c>
      <c r="H8" s="51"/>
      <c r="I8" s="51"/>
      <c r="J8" s="51"/>
    </row>
    <row r="9" spans="1:10" ht="20" customHeight="1" thickBot="1">
      <c r="A9" s="89" t="s">
        <v>510</v>
      </c>
      <c r="B9" s="308">
        <v>187.18356792000003</v>
      </c>
      <c r="C9" s="309">
        <v>1.7967697567841587E-2</v>
      </c>
      <c r="D9" s="308">
        <v>177.55962830999999</v>
      </c>
      <c r="E9" s="309">
        <v>1.5262580315479947E-2</v>
      </c>
      <c r="F9" s="308">
        <v>364.74319622999991</v>
      </c>
      <c r="H9" s="51"/>
      <c r="I9" s="51"/>
      <c r="J9" s="51"/>
    </row>
    <row r="10" spans="1:10" ht="20" customHeight="1" thickBot="1">
      <c r="A10" s="89" t="s">
        <v>511</v>
      </c>
      <c r="B10" s="308">
        <v>118.29160118999998</v>
      </c>
      <c r="C10" s="309">
        <v>1.1354777230798547E-2</v>
      </c>
      <c r="D10" s="308">
        <v>112.89037949999995</v>
      </c>
      <c r="E10" s="309">
        <v>9.7037738835293718E-3</v>
      </c>
      <c r="F10" s="308">
        <v>231.18198065999999</v>
      </c>
      <c r="H10" s="51"/>
      <c r="I10" s="51"/>
      <c r="J10" s="51"/>
    </row>
    <row r="11" spans="1:10" ht="20" customHeight="1" thickBot="1">
      <c r="A11" s="310" t="s">
        <v>512</v>
      </c>
      <c r="B11" s="311">
        <v>672.16045194999992</v>
      </c>
      <c r="C11" s="312">
        <v>6.4520491044721157E-2</v>
      </c>
      <c r="D11" s="311">
        <v>637.75446423999983</v>
      </c>
      <c r="E11" s="312">
        <v>5.4819774205793856E-2</v>
      </c>
      <c r="F11" s="311">
        <v>1309.9149161899993</v>
      </c>
      <c r="H11" s="51"/>
      <c r="I11" s="51"/>
      <c r="J11" s="51"/>
    </row>
    <row r="12" spans="1:10" ht="20" customHeight="1" thickBot="1">
      <c r="A12" s="89" t="s">
        <v>513</v>
      </c>
      <c r="B12" s="308">
        <v>252.24579124999997</v>
      </c>
      <c r="C12" s="309">
        <v>2.4213001922679136E-2</v>
      </c>
      <c r="D12" s="308">
        <v>255.18416801000001</v>
      </c>
      <c r="E12" s="309">
        <v>2.1934991059407417E-2</v>
      </c>
      <c r="F12" s="308">
        <v>507.4299592399999</v>
      </c>
      <c r="H12" s="51"/>
      <c r="I12" s="51"/>
      <c r="J12" s="51"/>
    </row>
    <row r="13" spans="1:10" ht="20" customHeight="1" thickBot="1">
      <c r="A13" s="89" t="s">
        <v>514</v>
      </c>
      <c r="B13" s="308">
        <v>619.59433349999972</v>
      </c>
      <c r="C13" s="309">
        <v>5.9474684251313914E-2</v>
      </c>
      <c r="D13" s="308">
        <v>638.68375935999984</v>
      </c>
      <c r="E13" s="309">
        <v>5.4899654083561004E-2</v>
      </c>
      <c r="F13" s="308">
        <v>1258.2780928299997</v>
      </c>
      <c r="H13" s="51"/>
      <c r="I13" s="51"/>
      <c r="J13" s="51"/>
    </row>
    <row r="14" spans="1:10" ht="20" customHeight="1" thickBot="1">
      <c r="A14" s="310" t="s">
        <v>515</v>
      </c>
      <c r="B14" s="311">
        <v>871.8401247500002</v>
      </c>
      <c r="C14" s="312">
        <v>8.3687686173993095E-2</v>
      </c>
      <c r="D14" s="311">
        <v>893.86792734999983</v>
      </c>
      <c r="E14" s="312">
        <v>7.6834645141249269E-2</v>
      </c>
      <c r="F14" s="311">
        <v>1765.7080521199996</v>
      </c>
      <c r="H14" s="51"/>
      <c r="I14" s="51"/>
      <c r="J14" s="51"/>
    </row>
    <row r="15" spans="1:10" ht="20" customHeight="1" thickBot="1">
      <c r="A15" s="89" t="s">
        <v>516</v>
      </c>
      <c r="B15" s="308">
        <v>765.18217790999984</v>
      </c>
      <c r="C15" s="309">
        <v>7.3449620122986434E-2</v>
      </c>
      <c r="D15" s="308">
        <v>790.12407651000001</v>
      </c>
      <c r="E15" s="309">
        <v>6.7917083921092705E-2</v>
      </c>
      <c r="F15" s="308">
        <v>1555.3062544599998</v>
      </c>
      <c r="H15" s="51"/>
      <c r="I15" s="51"/>
      <c r="J15" s="51"/>
    </row>
    <row r="16" spans="1:10" ht="20" customHeight="1" thickBot="1">
      <c r="A16" s="89" t="s">
        <v>517</v>
      </c>
      <c r="B16" s="308">
        <v>754.13838510000005</v>
      </c>
      <c r="C16" s="309">
        <v>7.2389529585035015E-2</v>
      </c>
      <c r="D16" s="308">
        <v>814.3842104700002</v>
      </c>
      <c r="E16" s="309">
        <v>7.000242418989723E-2</v>
      </c>
      <c r="F16" s="308">
        <v>1568.5225955499998</v>
      </c>
      <c r="H16" s="51"/>
      <c r="I16" s="51"/>
      <c r="J16" s="51"/>
    </row>
    <row r="17" spans="1:10" ht="20" customHeight="1" thickBot="1">
      <c r="A17" s="89" t="s">
        <v>518</v>
      </c>
      <c r="B17" s="308">
        <v>827.44867540999985</v>
      </c>
      <c r="C17" s="309">
        <v>7.9426563548741197E-2</v>
      </c>
      <c r="D17" s="308">
        <v>900.28505187999974</v>
      </c>
      <c r="E17" s="309">
        <v>7.738624507117571E-2</v>
      </c>
      <c r="F17" s="308">
        <v>1727.7337272900002</v>
      </c>
      <c r="H17" s="51"/>
      <c r="I17" s="51"/>
      <c r="J17" s="51"/>
    </row>
    <row r="18" spans="1:10" ht="20" customHeight="1" thickBot="1">
      <c r="A18" s="89" t="s">
        <v>519</v>
      </c>
      <c r="B18" s="308">
        <v>967.3563335800003</v>
      </c>
      <c r="C18" s="309">
        <v>9.2856259955094056E-2</v>
      </c>
      <c r="D18" s="308">
        <v>1037.72146333</v>
      </c>
      <c r="E18" s="309">
        <v>8.9199934297674505E-2</v>
      </c>
      <c r="F18" s="308">
        <v>2005.0777969100002</v>
      </c>
      <c r="H18" s="51"/>
      <c r="I18" s="51"/>
      <c r="J18" s="51"/>
    </row>
    <row r="19" spans="1:10" ht="20" customHeight="1" thickBot="1">
      <c r="A19" s="89" t="s">
        <v>520</v>
      </c>
      <c r="B19" s="308">
        <v>995.90796671999988</v>
      </c>
      <c r="C19" s="309">
        <v>9.5596923118148672E-2</v>
      </c>
      <c r="D19" s="308">
        <v>1038.7846399600003</v>
      </c>
      <c r="E19" s="309">
        <v>8.9291322294255515E-2</v>
      </c>
      <c r="F19" s="308">
        <v>2034.6926066800006</v>
      </c>
      <c r="H19" s="51"/>
      <c r="I19" s="51"/>
      <c r="J19" s="51"/>
    </row>
    <row r="20" spans="1:10" ht="20" customHeight="1" thickBot="1">
      <c r="A20" s="89" t="s">
        <v>521</v>
      </c>
      <c r="B20" s="308">
        <v>895.05148661000021</v>
      </c>
      <c r="C20" s="309">
        <v>8.5915738212281295E-2</v>
      </c>
      <c r="D20" s="308">
        <v>920.3405771299997</v>
      </c>
      <c r="E20" s="309">
        <v>7.9110167720770605E-2</v>
      </c>
      <c r="F20" s="308">
        <v>1815.3920637700003</v>
      </c>
      <c r="H20" s="51"/>
      <c r="I20" s="51"/>
      <c r="J20" s="51"/>
    </row>
    <row r="21" spans="1:10" ht="20" customHeight="1" thickBot="1">
      <c r="A21" s="89" t="s">
        <v>522</v>
      </c>
      <c r="B21" s="308">
        <v>801.51576314999988</v>
      </c>
      <c r="C21" s="309">
        <v>7.6937270659847262E-2</v>
      </c>
      <c r="D21" s="308">
        <v>843.20963179000034</v>
      </c>
      <c r="E21" s="309">
        <v>7.248018511005383E-2</v>
      </c>
      <c r="F21" s="308">
        <v>1644.7253949500002</v>
      </c>
      <c r="H21" s="51"/>
      <c r="I21" s="51"/>
      <c r="J21" s="51"/>
    </row>
    <row r="22" spans="1:10" ht="20" customHeight="1" thickBot="1">
      <c r="A22" s="89" t="s">
        <v>523</v>
      </c>
      <c r="B22" s="308">
        <v>787.35538202000009</v>
      </c>
      <c r="C22" s="309">
        <v>7.5578019693448614E-2</v>
      </c>
      <c r="D22" s="308">
        <v>844.05123061000006</v>
      </c>
      <c r="E22" s="309">
        <v>7.2552526833822434E-2</v>
      </c>
      <c r="F22" s="308">
        <v>1631.4066126199996</v>
      </c>
      <c r="H22" s="51"/>
      <c r="I22" s="51"/>
      <c r="J22" s="51"/>
    </row>
    <row r="23" spans="1:10" ht="20" customHeight="1" thickBot="1">
      <c r="A23" s="89" t="s">
        <v>524</v>
      </c>
      <c r="B23" s="308">
        <v>668.21204758999988</v>
      </c>
      <c r="C23" s="309">
        <v>6.4141484830637502E-2</v>
      </c>
      <c r="D23" s="308">
        <v>752.93711419999988</v>
      </c>
      <c r="E23" s="309">
        <v>6.4720585908863329E-2</v>
      </c>
      <c r="F23" s="308">
        <v>1421.1491617700005</v>
      </c>
      <c r="H23" s="51"/>
      <c r="I23" s="51"/>
      <c r="J23" s="51"/>
    </row>
    <row r="24" spans="1:10" ht="20" customHeight="1" thickBot="1">
      <c r="A24" s="89" t="s">
        <v>525</v>
      </c>
      <c r="B24" s="308">
        <v>515.15681520999999</v>
      </c>
      <c r="C24" s="309">
        <v>4.9449756506734145E-2</v>
      </c>
      <c r="D24" s="308">
        <v>635.23692750000009</v>
      </c>
      <c r="E24" s="309">
        <v>5.4603373061811206E-2</v>
      </c>
      <c r="F24" s="308">
        <v>1150.39374273</v>
      </c>
      <c r="H24" s="51"/>
      <c r="I24" s="51"/>
      <c r="J24" s="51"/>
    </row>
    <row r="25" spans="1:10" ht="20" customHeight="1" thickBot="1">
      <c r="A25" s="89" t="s">
        <v>526</v>
      </c>
      <c r="B25" s="308">
        <v>415.60486778000018</v>
      </c>
      <c r="C25" s="309">
        <v>3.9893793322634687E-2</v>
      </c>
      <c r="D25" s="308">
        <v>577.76873257</v>
      </c>
      <c r="E25" s="309">
        <v>4.9663551160554244E-2</v>
      </c>
      <c r="F25" s="308">
        <v>993.37360036999962</v>
      </c>
      <c r="H25" s="51"/>
      <c r="I25" s="51"/>
      <c r="J25" s="51"/>
    </row>
    <row r="26" spans="1:10" ht="20" customHeight="1" thickBot="1">
      <c r="A26" s="89" t="s">
        <v>527</v>
      </c>
      <c r="B26" s="308">
        <v>279.73079312999994</v>
      </c>
      <c r="C26" s="309">
        <v>2.6851279453762734E-2</v>
      </c>
      <c r="D26" s="308">
        <v>476.41735565000016</v>
      </c>
      <c r="E26" s="309">
        <v>4.0951640998040918E-2</v>
      </c>
      <c r="F26" s="308">
        <v>756.1481487799997</v>
      </c>
      <c r="H26" s="51"/>
      <c r="I26" s="51"/>
      <c r="J26" s="51"/>
    </row>
    <row r="27" spans="1:10" ht="20" customHeight="1" thickBot="1">
      <c r="A27" s="89" t="s">
        <v>528</v>
      </c>
      <c r="B27" s="308">
        <v>148.61579517000001</v>
      </c>
      <c r="C27" s="309">
        <v>1.4265588005887885E-2</v>
      </c>
      <c r="D27" s="308">
        <v>316.79813061999994</v>
      </c>
      <c r="E27" s="309">
        <v>2.7231172752513275E-2</v>
      </c>
      <c r="F27" s="308">
        <v>465.41392576999999</v>
      </c>
      <c r="H27" s="51"/>
      <c r="I27" s="51"/>
      <c r="J27" s="51"/>
    </row>
    <row r="28" spans="1:10" ht="20" customHeight="1" thickBot="1">
      <c r="A28" s="89" t="s">
        <v>529</v>
      </c>
      <c r="B28" s="308">
        <v>42.775036169999993</v>
      </c>
      <c r="C28" s="309">
        <v>4.1059635837506943E-3</v>
      </c>
      <c r="D28" s="308">
        <v>117.57673923999998</v>
      </c>
      <c r="E28" s="309">
        <v>1.0106601613006848E-2</v>
      </c>
      <c r="F28" s="308">
        <v>160.35177542000002</v>
      </c>
      <c r="H28" s="51"/>
      <c r="I28" s="51"/>
      <c r="J28" s="51"/>
    </row>
    <row r="29" spans="1:10" ht="20" customHeight="1" thickBot="1">
      <c r="A29" s="89" t="s">
        <v>530</v>
      </c>
      <c r="B29" s="308">
        <v>9.0229473699999989</v>
      </c>
      <c r="C29" s="309">
        <v>8.6611015761811107E-4</v>
      </c>
      <c r="D29" s="308">
        <v>32.589249240000008</v>
      </c>
      <c r="E29" s="309">
        <v>2.8012901281720078E-3</v>
      </c>
      <c r="F29" s="308">
        <v>41.61219663</v>
      </c>
      <c r="H29" s="51"/>
      <c r="I29" s="51"/>
      <c r="J29" s="51"/>
    </row>
    <row r="30" spans="1:10" ht="20" customHeight="1" thickBot="1">
      <c r="A30" s="89" t="s">
        <v>531</v>
      </c>
      <c r="B30" s="308">
        <v>0.67864846999999995</v>
      </c>
      <c r="C30" s="309">
        <v>6.5143274056245548E-5</v>
      </c>
      <c r="D30" s="308">
        <v>3.7777531199999999</v>
      </c>
      <c r="E30" s="309">
        <v>3.2472618328187666E-4</v>
      </c>
      <c r="F30" s="308">
        <v>4.4564015799999996</v>
      </c>
      <c r="H30" s="51"/>
      <c r="I30" s="51"/>
      <c r="J30" s="51"/>
    </row>
    <row r="31" spans="1:10" ht="20" customHeight="1" thickBot="1">
      <c r="A31" s="310" t="s">
        <v>532</v>
      </c>
      <c r="B31" s="311">
        <v>8873.7531213499988</v>
      </c>
      <c r="C31" s="312">
        <v>0.85178904402682487</v>
      </c>
      <c r="D31" s="311">
        <v>10102.002883800002</v>
      </c>
      <c r="E31" s="312">
        <v>0.86834283124326717</v>
      </c>
      <c r="F31" s="311">
        <v>18975.756005160001</v>
      </c>
      <c r="H31" s="51"/>
      <c r="I31" s="51"/>
      <c r="J31" s="51"/>
    </row>
    <row r="32" spans="1:10" ht="20" customHeight="1" thickBot="1">
      <c r="A32" s="89" t="s">
        <v>495</v>
      </c>
      <c r="B32" s="308">
        <v>2.8948450000000001E-2</v>
      </c>
      <c r="C32" s="309">
        <v>2.7787535008419328E-6</v>
      </c>
      <c r="D32" s="308">
        <v>3.1985689999999997E-2</v>
      </c>
      <c r="E32" s="309">
        <v>2.7494096896774686E-6</v>
      </c>
      <c r="F32" s="308">
        <v>6.0934139999999998E-2</v>
      </c>
      <c r="H32" s="51"/>
      <c r="I32" s="51"/>
      <c r="J32" s="51"/>
    </row>
    <row r="33" spans="1:10" s="248" customFormat="1" ht="24.75" customHeight="1" thickBot="1">
      <c r="A33" s="91" t="s">
        <v>190</v>
      </c>
      <c r="B33" s="313">
        <v>10417.782646510001</v>
      </c>
      <c r="C33" s="314">
        <v>1</v>
      </c>
      <c r="D33" s="313">
        <v>11633.657261080001</v>
      </c>
      <c r="E33" s="314">
        <v>1</v>
      </c>
      <c r="F33" s="313">
        <v>22051.439907600005</v>
      </c>
      <c r="H33" s="315"/>
      <c r="I33" s="315"/>
      <c r="J33" s="315"/>
    </row>
    <row r="34" spans="1:10" ht="20" customHeight="1">
      <c r="A34" s="95" t="s">
        <v>678</v>
      </c>
      <c r="B34" s="126"/>
      <c r="C34" s="292"/>
      <c r="D34" s="126"/>
      <c r="E34" s="292"/>
      <c r="F34" s="126"/>
    </row>
    <row r="35" spans="1:10" ht="12.75" customHeight="1">
      <c r="A35" s="96"/>
      <c r="B35" s="127"/>
      <c r="C35" s="316"/>
      <c r="D35" s="127"/>
      <c r="E35" s="316"/>
      <c r="F35" s="127"/>
    </row>
    <row r="36" spans="1:10" ht="16.5" customHeight="1">
      <c r="A36" s="96" t="s">
        <v>652</v>
      </c>
      <c r="B36" s="127"/>
      <c r="C36" s="316"/>
      <c r="D36" s="127"/>
      <c r="E36" s="316"/>
      <c r="F36" s="127"/>
    </row>
    <row r="37" spans="1:10" ht="12" customHeight="1">
      <c r="A37" s="96"/>
      <c r="B37" s="127"/>
      <c r="C37" s="316"/>
      <c r="D37" s="127"/>
      <c r="E37" s="316"/>
      <c r="F37" s="127"/>
    </row>
    <row r="38" spans="1:10" ht="14.25" customHeight="1">
      <c r="A38" s="96"/>
      <c r="B38" s="127"/>
      <c r="C38" s="316"/>
      <c r="D38" s="127"/>
      <c r="E38" s="316"/>
      <c r="F38" s="127"/>
    </row>
    <row r="39" spans="1:10" ht="15.75" customHeight="1">
      <c r="A39" s="96" t="s">
        <v>677</v>
      </c>
      <c r="B39" s="127"/>
      <c r="C39" s="316"/>
      <c r="D39" s="127"/>
      <c r="E39" s="316"/>
      <c r="F39" s="127"/>
    </row>
    <row r="40" spans="1:10" ht="18" customHeight="1">
      <c r="A40"/>
    </row>
    <row r="41" spans="1:10" ht="30" customHeight="1"/>
    <row r="42" spans="1:10" ht="30" customHeight="1">
      <c r="H42" s="317"/>
    </row>
    <row r="43" spans="1:10" ht="30" customHeight="1"/>
    <row r="44" spans="1:10" ht="30" customHeight="1"/>
    <row r="45" spans="1:10" ht="30" customHeight="1"/>
    <row r="46" spans="1:10" ht="30" customHeight="1"/>
    <row r="47" spans="1:10" ht="30" customHeight="1"/>
    <row r="48" spans="1:10" ht="30" customHeight="1"/>
  </sheetData>
  <pageMargins left="0.65" right="0.54" top="0.85" bottom="0.49" header="0.44" footer="0.4921259845"/>
  <pageSetup paperSize="9" scale="79" orientation="portrait"/>
  <headerFooter alignWithMargins="0"/>
  <rowBreaks count="1" manualBreakCount="1">
    <brk id="39" max="16383" man="1"/>
  </rowBreaks>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806E3-7445-F842-8AEB-A5D37028E57F}">
  <sheetPr>
    <pageSetUpPr fitToPage="1"/>
  </sheetPr>
  <dimension ref="A1:B14"/>
  <sheetViews>
    <sheetView workbookViewId="0">
      <selection activeCell="B11" sqref="B11"/>
    </sheetView>
  </sheetViews>
  <sheetFormatPr baseColWidth="10" defaultColWidth="11.59765625" defaultRowHeight="13"/>
  <cols>
    <col min="1" max="1" width="5.59765625" style="474" customWidth="1"/>
    <col min="2" max="16384" width="11.59765625" style="474"/>
  </cols>
  <sheetData>
    <row r="1" spans="1:2" ht="16">
      <c r="A1" s="473" t="s">
        <v>1452</v>
      </c>
    </row>
    <row r="2" spans="1:2" ht="16">
      <c r="A2" s="473"/>
    </row>
    <row r="3" spans="1:2">
      <c r="A3" s="815">
        <v>4.01</v>
      </c>
      <c r="B3" s="816" t="s">
        <v>1453</v>
      </c>
    </row>
    <row r="4" spans="1:2">
      <c r="A4" s="815">
        <v>4.0199999999999996</v>
      </c>
      <c r="B4" s="817" t="s">
        <v>1454</v>
      </c>
    </row>
    <row r="5" spans="1:2">
      <c r="A5" s="815">
        <v>4.03</v>
      </c>
      <c r="B5" s="817" t="s">
        <v>1455</v>
      </c>
    </row>
    <row r="6" spans="1:2">
      <c r="A6" s="815">
        <v>4.04</v>
      </c>
      <c r="B6" s="817" t="s">
        <v>1456</v>
      </c>
    </row>
    <row r="7" spans="1:2">
      <c r="A7" s="815">
        <v>4.05</v>
      </c>
      <c r="B7" s="817" t="s">
        <v>1457</v>
      </c>
    </row>
    <row r="8" spans="1:2">
      <c r="A8" s="815">
        <v>4.0599999999999996</v>
      </c>
      <c r="B8" s="815" t="s">
        <v>1458</v>
      </c>
    </row>
    <row r="9" spans="1:2">
      <c r="A9" s="815">
        <v>4.07</v>
      </c>
      <c r="B9" s="815" t="s">
        <v>1459</v>
      </c>
    </row>
    <row r="10" spans="1:2">
      <c r="A10" s="815">
        <v>4.08</v>
      </c>
      <c r="B10" s="817" t="s">
        <v>1570</v>
      </c>
    </row>
    <row r="11" spans="1:2">
      <c r="A11" s="815">
        <v>4.09</v>
      </c>
      <c r="B11" s="816" t="s">
        <v>1460</v>
      </c>
    </row>
    <row r="14" spans="1:2">
      <c r="A14" s="476" t="s">
        <v>677</v>
      </c>
    </row>
  </sheetData>
  <pageMargins left="0.46" right="0.35" top="0.78" bottom="0.984251969" header="0.38" footer="0.4921259845"/>
  <pageSetup paperSize="9" orientation="portrait"/>
  <headerFooter alignWithMargins="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80449-598C-F640-91F4-3B0C60E59D4E}">
  <sheetPr>
    <pageSetUpPr fitToPage="1"/>
  </sheetPr>
  <dimension ref="A1:H43"/>
  <sheetViews>
    <sheetView zoomScaleNormal="100" workbookViewId="0">
      <selection activeCell="D29" sqref="D29"/>
    </sheetView>
  </sheetViews>
  <sheetFormatPr baseColWidth="10" defaultColWidth="11.3984375" defaultRowHeight="13"/>
  <cols>
    <col min="1" max="1" width="16.796875" style="3" customWidth="1"/>
    <col min="2" max="2" width="15" style="3" customWidth="1"/>
    <col min="3" max="4" width="13.796875" style="3" customWidth="1"/>
    <col min="5" max="5" width="12.796875" style="3" customWidth="1"/>
    <col min="6" max="6" width="13.3984375" style="3" customWidth="1"/>
    <col min="7" max="7" width="14.3984375" style="3" customWidth="1"/>
    <col min="8" max="8" width="13.3984375" style="3" customWidth="1"/>
    <col min="9" max="16384" width="11.3984375" style="3"/>
  </cols>
  <sheetData>
    <row r="1" spans="1:8" s="2" customFormat="1" ht="14" customHeight="1"/>
    <row r="2" spans="1:8" s="2" customFormat="1" ht="37.5" customHeight="1">
      <c r="A2" s="1807" t="s">
        <v>1705</v>
      </c>
      <c r="B2" s="1818"/>
      <c r="C2" s="1818"/>
      <c r="D2" s="1818"/>
      <c r="E2" s="1818"/>
      <c r="F2" s="1818"/>
      <c r="G2" s="1818"/>
      <c r="H2" s="306"/>
    </row>
    <row r="3" spans="1:8" ht="24" customHeight="1">
      <c r="A3" s="72" t="s">
        <v>695</v>
      </c>
      <c r="B3" s="73" t="s">
        <v>1706</v>
      </c>
      <c r="C3" s="74"/>
      <c r="D3" s="73" t="s">
        <v>1707</v>
      </c>
      <c r="E3" s="74" t="s">
        <v>1708</v>
      </c>
      <c r="F3" s="73" t="s">
        <v>1709</v>
      </c>
      <c r="G3" s="74" t="s">
        <v>1710</v>
      </c>
      <c r="H3" s="73" t="s">
        <v>1709</v>
      </c>
    </row>
    <row r="4" spans="1:8" ht="15" customHeight="1">
      <c r="A4" s="328"/>
      <c r="B4" s="76" t="s">
        <v>1711</v>
      </c>
      <c r="C4" s="106" t="s">
        <v>1712</v>
      </c>
      <c r="D4" s="76" t="s">
        <v>1713</v>
      </c>
      <c r="E4" s="77" t="s">
        <v>1714</v>
      </c>
      <c r="F4" s="76" t="s">
        <v>1715</v>
      </c>
      <c r="G4" s="77" t="s">
        <v>1716</v>
      </c>
      <c r="H4" s="76" t="s">
        <v>1717</v>
      </c>
    </row>
    <row r="5" spans="1:8" ht="15" customHeight="1">
      <c r="A5" s="328"/>
      <c r="B5" s="76" t="s">
        <v>1718</v>
      </c>
      <c r="C5" s="106" t="s">
        <v>1471</v>
      </c>
      <c r="D5" s="76"/>
      <c r="E5" s="77"/>
      <c r="F5" s="440" t="s">
        <v>1719</v>
      </c>
      <c r="G5" s="77" t="s">
        <v>1720</v>
      </c>
      <c r="H5" s="440" t="s">
        <v>1719</v>
      </c>
    </row>
    <row r="6" spans="1:8" ht="27" customHeight="1">
      <c r="A6" s="329"/>
      <c r="B6" s="82" t="s">
        <v>1721</v>
      </c>
      <c r="C6" s="1016" t="s">
        <v>506</v>
      </c>
      <c r="D6" s="82"/>
      <c r="E6" s="81"/>
      <c r="F6" s="82"/>
      <c r="G6" s="81"/>
      <c r="H6" s="82"/>
    </row>
    <row r="7" spans="1:8" ht="1.25" customHeight="1" thickBot="1">
      <c r="A7" s="330">
        <v>1996</v>
      </c>
      <c r="B7" s="1017">
        <v>1467.1668685500001</v>
      </c>
      <c r="C7" s="446">
        <v>0.19641864881833015</v>
      </c>
      <c r="D7" s="131">
        <v>1656431</v>
      </c>
      <c r="E7" s="446">
        <v>0.22902077477091093</v>
      </c>
      <c r="F7" s="131">
        <v>901.63486133741753</v>
      </c>
      <c r="G7" s="130">
        <v>821972</v>
      </c>
      <c r="H7" s="131">
        <v>1508.6632014229194</v>
      </c>
    </row>
    <row r="8" spans="1:8" ht="27" hidden="1" customHeight="1" thickBot="1">
      <c r="A8" s="333">
        <v>1997</v>
      </c>
      <c r="B8" s="429">
        <v>1994.2314670000001</v>
      </c>
      <c r="C8" s="464">
        <v>0.32454456351229566</v>
      </c>
      <c r="D8" s="133">
        <v>1955994</v>
      </c>
      <c r="E8" s="464">
        <v>0.27029666808586672</v>
      </c>
      <c r="F8" s="131">
        <v>1019.5488672255641</v>
      </c>
      <c r="G8" s="132">
        <v>988940</v>
      </c>
      <c r="H8" s="133">
        <v>2016.5343367646167</v>
      </c>
    </row>
    <row r="9" spans="1:8" ht="27" hidden="1" customHeight="1" thickBot="1">
      <c r="A9" s="333">
        <v>1998</v>
      </c>
      <c r="B9" s="429">
        <v>2446.4709480000001</v>
      </c>
      <c r="C9" s="464">
        <v>0.3175521493515443</v>
      </c>
      <c r="D9" s="133">
        <v>2240522</v>
      </c>
      <c r="E9" s="464">
        <v>0.30918183052613801</v>
      </c>
      <c r="F9" s="131">
        <v>1091.9200739827595</v>
      </c>
      <c r="G9" s="132">
        <v>1178551</v>
      </c>
      <c r="H9" s="133">
        <v>2075.8295126812504</v>
      </c>
    </row>
    <row r="10" spans="1:8" ht="24" hidden="1" customHeight="1" thickBot="1">
      <c r="A10" s="333">
        <v>1999</v>
      </c>
      <c r="B10" s="429">
        <v>2689.6721769999999</v>
      </c>
      <c r="C10" s="464">
        <v>0.33145279359936858</v>
      </c>
      <c r="D10" s="133">
        <v>2334267</v>
      </c>
      <c r="E10" s="464">
        <v>0.32105906563517722</v>
      </c>
      <c r="F10" s="131">
        <v>1152.2555804455958</v>
      </c>
      <c r="G10" s="132">
        <v>1230090</v>
      </c>
      <c r="H10" s="133">
        <v>2186.5653545675523</v>
      </c>
    </row>
    <row r="11" spans="1:8" ht="22.5" customHeight="1" thickBot="1">
      <c r="A11" s="333">
        <v>2000</v>
      </c>
      <c r="B11" s="429">
        <v>2545.3263492000001</v>
      </c>
      <c r="C11" s="464">
        <v>0.3246756501223273</v>
      </c>
      <c r="D11" s="133">
        <v>2337717</v>
      </c>
      <c r="E11" s="464">
        <v>0.32177297173492003</v>
      </c>
      <c r="F11" s="131">
        <v>1088.8085894058177</v>
      </c>
      <c r="G11" s="132">
        <v>1242695</v>
      </c>
      <c r="H11" s="133">
        <v>2048</v>
      </c>
    </row>
    <row r="12" spans="1:8" s="236" customFormat="1" ht="22.5" customHeight="1" thickBot="1">
      <c r="A12" s="333">
        <v>2001</v>
      </c>
      <c r="B12" s="429">
        <v>2657.2</v>
      </c>
      <c r="C12" s="464">
        <v>0.32313659872418687</v>
      </c>
      <c r="D12" s="133">
        <v>2376421</v>
      </c>
      <c r="E12" s="464">
        <v>0.32549030618883584</v>
      </c>
      <c r="F12" s="131">
        <v>1118.1520446082575</v>
      </c>
      <c r="G12" s="132">
        <v>1268943</v>
      </c>
      <c r="H12" s="133">
        <v>2094.0647990098846</v>
      </c>
    </row>
    <row r="13" spans="1:8" s="236" customFormat="1" ht="22.5" customHeight="1" thickBot="1">
      <c r="A13" s="333">
        <v>2002</v>
      </c>
      <c r="B13" s="429">
        <v>2892</v>
      </c>
      <c r="C13" s="464">
        <v>0.33503586516078104</v>
      </c>
      <c r="D13" s="133">
        <v>2433822</v>
      </c>
      <c r="E13" s="464">
        <v>0.33137426082069188</v>
      </c>
      <c r="F13" s="131">
        <v>1188.2690726766377</v>
      </c>
      <c r="G13" s="132">
        <v>1289405</v>
      </c>
      <c r="H13" s="133">
        <v>2242.922441746387</v>
      </c>
    </row>
    <row r="14" spans="1:8" s="236" customFormat="1" ht="22.5" customHeight="1" thickBot="1">
      <c r="A14" s="333">
        <v>2003</v>
      </c>
      <c r="B14" s="429">
        <v>3065.5</v>
      </c>
      <c r="C14" s="464">
        <v>0.34986041988328265</v>
      </c>
      <c r="D14" s="133">
        <v>2427518.2400000002</v>
      </c>
      <c r="E14" s="464">
        <v>0.32926640809331431</v>
      </c>
      <c r="F14" s="131">
        <v>1262.8124985787954</v>
      </c>
      <c r="G14" s="132">
        <v>1287365.05</v>
      </c>
      <c r="H14" s="133">
        <v>2381.2207531966164</v>
      </c>
    </row>
    <row r="15" spans="1:8" s="236" customFormat="1" ht="22.5" customHeight="1" thickBot="1">
      <c r="A15" s="333">
        <v>2004</v>
      </c>
      <c r="B15" s="429">
        <v>3169.8</v>
      </c>
      <c r="C15" s="464">
        <v>0.35221732419197194</v>
      </c>
      <c r="D15" s="133">
        <v>2361377</v>
      </c>
      <c r="E15" s="464">
        <v>0.31981490264741708</v>
      </c>
      <c r="F15" s="131">
        <v>1342.3653663095729</v>
      </c>
      <c r="G15" s="132">
        <v>1245875</v>
      </c>
      <c r="H15" s="133">
        <v>2544.2606213303907</v>
      </c>
    </row>
    <row r="16" spans="1:8" s="236" customFormat="1" ht="22.5" customHeight="1" thickBot="1">
      <c r="A16" s="333">
        <v>2005</v>
      </c>
      <c r="B16" s="429">
        <v>3201.7620889999998</v>
      </c>
      <c r="C16" s="464">
        <v>0.35637005695084922</v>
      </c>
      <c r="D16" s="133">
        <v>2262160</v>
      </c>
      <c r="E16" s="464">
        <v>0.30422284428240698</v>
      </c>
      <c r="F16" s="131">
        <v>1415.3561591576192</v>
      </c>
      <c r="G16" s="132">
        <v>1215989</v>
      </c>
      <c r="H16" s="133">
        <v>2633.0518524427443</v>
      </c>
    </row>
    <row r="17" spans="1:8" s="236" customFormat="1" ht="22.5" customHeight="1" thickBot="1">
      <c r="A17" s="333">
        <v>2006</v>
      </c>
      <c r="B17" s="429">
        <v>3308.7390919999998</v>
      </c>
      <c r="C17" s="464">
        <v>0.35384170478437954</v>
      </c>
      <c r="D17" s="133">
        <v>2178397</v>
      </c>
      <c r="E17" s="464">
        <v>0.2912908088184103</v>
      </c>
      <c r="F17" s="131">
        <v>1518.8870954192464</v>
      </c>
      <c r="G17" s="132">
        <v>1182675</v>
      </c>
      <c r="H17" s="133">
        <v>2797.6739949690323</v>
      </c>
    </row>
    <row r="18" spans="1:8" s="236" customFormat="1" ht="22.5" customHeight="1" thickBot="1">
      <c r="A18" s="333">
        <v>2007</v>
      </c>
      <c r="B18" s="429">
        <v>3420.5200599999998</v>
      </c>
      <c r="C18" s="464">
        <v>0.35134625317765278</v>
      </c>
      <c r="D18" s="133">
        <v>2271950</v>
      </c>
      <c r="E18" s="464">
        <v>0.30141607339582416</v>
      </c>
      <c r="F18" s="131">
        <v>1505.5437223530448</v>
      </c>
      <c r="G18" s="132">
        <v>1225436</v>
      </c>
      <c r="H18" s="133">
        <v>2791.2678099876289</v>
      </c>
    </row>
    <row r="19" spans="1:8" s="236" customFormat="1" ht="22.5" customHeight="1" thickBot="1">
      <c r="A19" s="333">
        <v>2008</v>
      </c>
      <c r="B19" s="429">
        <v>3398.253929</v>
      </c>
      <c r="C19" s="464">
        <v>0.47648657864613625</v>
      </c>
      <c r="D19" s="133">
        <v>2249481</v>
      </c>
      <c r="E19" s="464">
        <v>0.29537946093590112</v>
      </c>
      <c r="F19" s="131">
        <v>1510.6835438930136</v>
      </c>
      <c r="G19" s="132">
        <v>1211669.9745008873</v>
      </c>
      <c r="H19" s="133">
        <v>2804.603564101531</v>
      </c>
    </row>
    <row r="20" spans="1:8" s="236" customFormat="1" ht="22.5" customHeight="1" thickBot="1">
      <c r="A20" s="333">
        <v>2009</v>
      </c>
      <c r="B20" s="429">
        <v>3542.4140867700003</v>
      </c>
      <c r="C20" s="464">
        <v>0.48763624888153639</v>
      </c>
      <c r="D20" s="133">
        <v>2254890</v>
      </c>
      <c r="E20" s="464">
        <v>0.29250672209346623</v>
      </c>
      <c r="F20" s="131">
        <v>1570.991971568458</v>
      </c>
      <c r="G20" s="132">
        <v>1229418</v>
      </c>
      <c r="H20" s="133">
        <v>2881.37483489749</v>
      </c>
    </row>
    <row r="21" spans="1:8" ht="25.5" customHeight="1" thickBot="1">
      <c r="A21" s="431">
        <v>2010</v>
      </c>
      <c r="B21" s="432">
        <v>3979.8429310299998</v>
      </c>
      <c r="C21" s="807">
        <v>0.50358678665524759</v>
      </c>
      <c r="D21" s="435">
        <v>2315252</v>
      </c>
      <c r="E21" s="807">
        <v>0.29760312239746117</v>
      </c>
      <c r="F21" s="125">
        <v>1718.9674951279601</v>
      </c>
      <c r="G21" s="436">
        <v>1270592</v>
      </c>
      <c r="H21" s="435">
        <v>3132.2745074972922</v>
      </c>
    </row>
    <row r="22" spans="1:8" ht="16.5" customHeight="1">
      <c r="A22" s="832" t="s">
        <v>1722</v>
      </c>
      <c r="B22" s="95"/>
      <c r="C22" s="95"/>
      <c r="D22" s="95"/>
      <c r="E22" s="95"/>
      <c r="F22" s="95"/>
      <c r="G22" s="95"/>
      <c r="H22" s="95"/>
    </row>
    <row r="23" spans="1:8" ht="10.5" customHeight="1">
      <c r="A23" s="834"/>
      <c r="B23" s="96"/>
      <c r="C23" s="96"/>
      <c r="D23" s="96"/>
      <c r="E23" s="96"/>
      <c r="F23" s="96"/>
      <c r="G23" s="96"/>
      <c r="H23" s="96"/>
    </row>
    <row r="24" spans="1:8" ht="16.5" customHeight="1">
      <c r="A24" s="834" t="s">
        <v>1723</v>
      </c>
      <c r="B24" s="96"/>
      <c r="C24" s="96"/>
      <c r="D24" s="96"/>
      <c r="E24" s="96"/>
      <c r="F24" s="96"/>
      <c r="G24" s="96"/>
      <c r="H24" s="96"/>
    </row>
    <row r="25" spans="1:8" ht="12.75" customHeight="1">
      <c r="A25" s="834"/>
      <c r="B25" s="96"/>
      <c r="C25" s="96"/>
      <c r="D25" s="96"/>
      <c r="E25" s="96"/>
      <c r="F25" s="96"/>
      <c r="G25" s="96"/>
      <c r="H25" s="96"/>
    </row>
    <row r="26" spans="1:8" ht="12.75" customHeight="1">
      <c r="A26" s="899" t="s">
        <v>1724</v>
      </c>
      <c r="B26" s="96"/>
      <c r="C26" s="96"/>
      <c r="D26" s="96"/>
      <c r="E26" s="96"/>
      <c r="F26" s="96"/>
      <c r="G26" s="96"/>
      <c r="H26" s="96"/>
    </row>
    <row r="27" spans="1:8" ht="12.75" customHeight="1">
      <c r="A27" s="899" t="s">
        <v>1725</v>
      </c>
      <c r="B27" s="96"/>
      <c r="C27" s="96"/>
      <c r="D27" s="96"/>
      <c r="E27" s="96"/>
      <c r="F27" s="96"/>
      <c r="G27" s="96"/>
      <c r="H27" s="96"/>
    </row>
    <row r="28" spans="1:8" ht="15" customHeight="1">
      <c r="A28" s="899" t="s">
        <v>1726</v>
      </c>
    </row>
    <row r="29" spans="1:8" ht="15" customHeight="1"/>
    <row r="30" spans="1:8" ht="15" customHeight="1">
      <c r="A30" s="1018"/>
    </row>
    <row r="31" spans="1:8" ht="15" customHeight="1">
      <c r="A31" s="1019" t="s">
        <v>677</v>
      </c>
    </row>
    <row r="32" spans="1:8"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sheetData>
  <mergeCells count="1">
    <mergeCell ref="A2:G2"/>
  </mergeCells>
  <pageMargins left="0.57999999999999996" right="0.66" top="0.83" bottom="0.76" header="0.47" footer="0.47"/>
  <pageSetup paperSize="9" scale="80" orientation="portrait" horizontalDpi="4294967292" verticalDpi="4294967292"/>
  <headerFooter alignWithMargins="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4FE01-DBA1-5744-A762-00E1C0B13BB0}">
  <sheetPr>
    <pageSetUpPr fitToPage="1"/>
  </sheetPr>
  <dimension ref="A1:J44"/>
  <sheetViews>
    <sheetView zoomScaleNormal="100" workbookViewId="0">
      <selection activeCell="B8" sqref="B8"/>
    </sheetView>
  </sheetViews>
  <sheetFormatPr baseColWidth="10" defaultColWidth="11.3984375" defaultRowHeight="13"/>
  <cols>
    <col min="1" max="3" width="13.3984375" style="3" customWidth="1"/>
    <col min="4" max="4" width="13.796875" style="3" customWidth="1"/>
    <col min="5" max="5" width="13.3984375" style="49" customWidth="1"/>
    <col min="6" max="7" width="14" style="121" customWidth="1"/>
    <col min="8" max="8" width="16.796875" style="3" customWidth="1"/>
    <col min="9" max="9" width="15.59765625" style="324" customWidth="1"/>
    <col min="10" max="10" width="17" style="3" customWidth="1"/>
    <col min="11" max="16384" width="11.3984375" style="3"/>
  </cols>
  <sheetData>
    <row r="1" spans="1:10" s="2" customFormat="1" ht="14" customHeight="1">
      <c r="E1" s="261"/>
      <c r="F1" s="101"/>
      <c r="G1" s="101"/>
      <c r="I1" s="818"/>
      <c r="J1" s="818"/>
    </row>
    <row r="2" spans="1:10" s="2" customFormat="1" ht="28" customHeight="1">
      <c r="A2" s="71" t="s">
        <v>1743</v>
      </c>
      <c r="E2" s="261"/>
      <c r="F2" s="101"/>
      <c r="G2" s="358"/>
      <c r="H2" s="358">
        <v>2010</v>
      </c>
      <c r="I2" s="454"/>
      <c r="J2" s="1035"/>
    </row>
    <row r="3" spans="1:10" ht="24" customHeight="1">
      <c r="A3" s="72" t="s">
        <v>203</v>
      </c>
      <c r="B3" s="1819" t="s">
        <v>1742</v>
      </c>
      <c r="C3" s="1820"/>
      <c r="D3" s="1820"/>
      <c r="E3" s="104" t="s">
        <v>1708</v>
      </c>
      <c r="F3" s="103" t="s">
        <v>1741</v>
      </c>
      <c r="G3" s="104" t="s">
        <v>1741</v>
      </c>
      <c r="H3" s="73" t="s">
        <v>1741</v>
      </c>
      <c r="I3" s="457"/>
      <c r="J3" s="1034"/>
    </row>
    <row r="4" spans="1:10" ht="15" customHeight="1">
      <c r="A4" s="328"/>
      <c r="B4" s="76" t="s">
        <v>1359</v>
      </c>
      <c r="C4" s="106" t="s">
        <v>1360</v>
      </c>
      <c r="D4" s="105" t="s">
        <v>190</v>
      </c>
      <c r="E4" s="77" t="s">
        <v>1740</v>
      </c>
      <c r="F4" s="105" t="s">
        <v>1739</v>
      </c>
      <c r="G4" s="106" t="s">
        <v>1738</v>
      </c>
      <c r="H4" s="105" t="s">
        <v>1737</v>
      </c>
      <c r="I4" s="1025"/>
      <c r="J4" s="1033"/>
    </row>
    <row r="5" spans="1:10" ht="15" customHeight="1">
      <c r="A5" s="328"/>
      <c r="B5" s="76"/>
      <c r="C5" s="77"/>
      <c r="D5" s="76"/>
      <c r="E5" s="77"/>
      <c r="F5" s="105" t="s">
        <v>1736</v>
      </c>
      <c r="G5" s="106" t="s">
        <v>1735</v>
      </c>
      <c r="H5" s="105" t="s">
        <v>1734</v>
      </c>
      <c r="I5" s="1025"/>
      <c r="J5" s="1033"/>
    </row>
    <row r="6" spans="1:10" ht="15" customHeight="1">
      <c r="A6" s="328"/>
      <c r="B6" s="76"/>
      <c r="C6" s="77"/>
      <c r="D6" s="76"/>
      <c r="E6" s="77"/>
      <c r="F6" s="105" t="s">
        <v>776</v>
      </c>
      <c r="G6" s="106"/>
      <c r="H6" s="105" t="s">
        <v>1733</v>
      </c>
      <c r="I6" s="1025"/>
      <c r="J6" s="1033"/>
    </row>
    <row r="7" spans="1:10" ht="24" customHeight="1">
      <c r="A7" s="329"/>
      <c r="B7" s="82"/>
      <c r="C7" s="81"/>
      <c r="D7" s="82"/>
      <c r="E7" s="81"/>
      <c r="F7" s="895"/>
      <c r="G7" s="1032"/>
      <c r="H7" s="895" t="s">
        <v>1732</v>
      </c>
      <c r="I7" s="1025"/>
      <c r="J7" s="1031"/>
    </row>
    <row r="8" spans="1:10" ht="30" customHeight="1" thickBot="1">
      <c r="A8" s="821" t="s">
        <v>211</v>
      </c>
      <c r="B8" s="85">
        <v>206396</v>
      </c>
      <c r="C8" s="86">
        <v>239493</v>
      </c>
      <c r="D8" s="85">
        <v>445889</v>
      </c>
      <c r="E8" s="446">
        <v>0.3288291211587106</v>
      </c>
      <c r="F8" s="131">
        <v>49867</v>
      </c>
      <c r="G8" s="130">
        <v>41754</v>
      </c>
      <c r="H8" s="131">
        <v>91621</v>
      </c>
      <c r="I8" s="1025"/>
      <c r="J8" s="1024"/>
    </row>
    <row r="9" spans="1:10" ht="20" customHeight="1" thickBot="1">
      <c r="A9" s="825" t="s">
        <v>212</v>
      </c>
      <c r="B9" s="85">
        <v>122832</v>
      </c>
      <c r="C9" s="86">
        <v>138834</v>
      </c>
      <c r="D9" s="85">
        <v>261666</v>
      </c>
      <c r="E9" s="446">
        <v>0.26801994892926612</v>
      </c>
      <c r="F9" s="131">
        <v>44113</v>
      </c>
      <c r="G9" s="130">
        <v>36878</v>
      </c>
      <c r="H9" s="131">
        <v>36878</v>
      </c>
      <c r="I9" s="1025"/>
      <c r="J9" s="1024"/>
    </row>
    <row r="10" spans="1:10" ht="20" customHeight="1" thickBot="1">
      <c r="A10" s="825" t="s">
        <v>213</v>
      </c>
      <c r="B10" s="85">
        <v>64543</v>
      </c>
      <c r="C10" s="86">
        <v>70413</v>
      </c>
      <c r="D10" s="85">
        <v>134956</v>
      </c>
      <c r="E10" s="446">
        <v>0.35859745339370364</v>
      </c>
      <c r="F10" s="131">
        <v>17648</v>
      </c>
      <c r="G10" s="130">
        <v>8335</v>
      </c>
      <c r="H10" s="131">
        <v>2330</v>
      </c>
      <c r="I10" s="1025"/>
      <c r="J10" s="1024"/>
    </row>
    <row r="11" spans="1:10" ht="20" customHeight="1" thickBot="1">
      <c r="A11" s="825" t="s">
        <v>214</v>
      </c>
      <c r="B11" s="85">
        <v>6625</v>
      </c>
      <c r="C11" s="86">
        <v>6998</v>
      </c>
      <c r="D11" s="85">
        <v>13623</v>
      </c>
      <c r="E11" s="446">
        <v>0.38417935702199663</v>
      </c>
      <c r="F11" s="131">
        <v>1439</v>
      </c>
      <c r="G11" s="130">
        <v>299</v>
      </c>
      <c r="H11" s="131">
        <v>79</v>
      </c>
      <c r="I11" s="1025"/>
      <c r="J11" s="1024"/>
    </row>
    <row r="12" spans="1:10" ht="20" customHeight="1" thickBot="1">
      <c r="A12" s="825" t="s">
        <v>215</v>
      </c>
      <c r="B12" s="85">
        <v>17537</v>
      </c>
      <c r="C12" s="86">
        <v>19297</v>
      </c>
      <c r="D12" s="85">
        <v>36834</v>
      </c>
      <c r="E12" s="446">
        <v>0.25215468554255632</v>
      </c>
      <c r="F12" s="131">
        <v>3652</v>
      </c>
      <c r="G12" s="130">
        <v>1496</v>
      </c>
      <c r="H12" s="131">
        <v>1939</v>
      </c>
      <c r="I12" s="1025"/>
      <c r="J12" s="1024"/>
    </row>
    <row r="13" spans="1:10" ht="20" customHeight="1" thickBot="1">
      <c r="A13" s="825" t="s">
        <v>216</v>
      </c>
      <c r="B13" s="85">
        <v>6617</v>
      </c>
      <c r="C13" s="86">
        <v>7146</v>
      </c>
      <c r="D13" s="85">
        <v>13763</v>
      </c>
      <c r="E13" s="446">
        <v>0.38394799977682309</v>
      </c>
      <c r="F13" s="131">
        <v>992</v>
      </c>
      <c r="G13" s="130">
        <v>349</v>
      </c>
      <c r="H13" s="131">
        <v>3023</v>
      </c>
      <c r="I13" s="1025"/>
      <c r="J13" s="1024"/>
    </row>
    <row r="14" spans="1:10" ht="20" customHeight="1" thickBot="1">
      <c r="A14" s="825" t="s">
        <v>217</v>
      </c>
      <c r="B14" s="85">
        <v>9432</v>
      </c>
      <c r="C14" s="86">
        <v>10024</v>
      </c>
      <c r="D14" s="85">
        <v>19456</v>
      </c>
      <c r="E14" s="446">
        <v>0.47898766587065167</v>
      </c>
      <c r="F14" s="131">
        <v>735</v>
      </c>
      <c r="G14" s="130">
        <v>548</v>
      </c>
      <c r="H14" s="131" t="s">
        <v>35</v>
      </c>
      <c r="I14" s="1025"/>
      <c r="J14" s="1024"/>
    </row>
    <row r="15" spans="1:10" ht="20" customHeight="1" thickBot="1">
      <c r="A15" s="825" t="s">
        <v>218</v>
      </c>
      <c r="B15" s="85">
        <v>4670</v>
      </c>
      <c r="C15" s="86">
        <v>5527</v>
      </c>
      <c r="D15" s="85">
        <v>10197</v>
      </c>
      <c r="E15" s="446">
        <v>0.26300585489154266</v>
      </c>
      <c r="F15" s="131">
        <v>1246</v>
      </c>
      <c r="G15" s="130">
        <v>569</v>
      </c>
      <c r="H15" s="131">
        <v>1815</v>
      </c>
      <c r="I15" s="1025"/>
      <c r="J15" s="1024"/>
    </row>
    <row r="16" spans="1:10" ht="20" customHeight="1" thickBot="1">
      <c r="A16" s="825" t="s">
        <v>219</v>
      </c>
      <c r="B16" s="85">
        <v>13902</v>
      </c>
      <c r="C16" s="86">
        <v>16144</v>
      </c>
      <c r="D16" s="85">
        <v>30046</v>
      </c>
      <c r="E16" s="446">
        <v>0.26862282301612844</v>
      </c>
      <c r="F16" s="131">
        <v>2232</v>
      </c>
      <c r="G16" s="130">
        <v>1643</v>
      </c>
      <c r="H16" s="131">
        <v>3875</v>
      </c>
      <c r="I16" s="1025"/>
      <c r="J16" s="1024"/>
    </row>
    <row r="17" spans="1:10" ht="20" customHeight="1" thickBot="1">
      <c r="A17" s="825" t="s">
        <v>220</v>
      </c>
      <c r="B17" s="85">
        <v>40223</v>
      </c>
      <c r="C17" s="86">
        <v>46769</v>
      </c>
      <c r="D17" s="85">
        <v>86992</v>
      </c>
      <c r="E17" s="446">
        <v>0.3152523700460963</v>
      </c>
      <c r="F17" s="131">
        <v>11334</v>
      </c>
      <c r="G17" s="130">
        <v>8544</v>
      </c>
      <c r="H17" s="131">
        <v>19878</v>
      </c>
      <c r="I17" s="1025"/>
      <c r="J17" s="1024"/>
    </row>
    <row r="18" spans="1:10" ht="20" customHeight="1" thickBot="1">
      <c r="A18" s="825" t="s">
        <v>221</v>
      </c>
      <c r="B18" s="85">
        <v>34661</v>
      </c>
      <c r="C18" s="86">
        <v>39625</v>
      </c>
      <c r="D18" s="85">
        <v>74286</v>
      </c>
      <c r="E18" s="446">
        <v>0.29001089209795861</v>
      </c>
      <c r="F18" s="131">
        <v>7760</v>
      </c>
      <c r="G18" s="130">
        <v>7820</v>
      </c>
      <c r="H18" s="131" t="s">
        <v>35</v>
      </c>
      <c r="I18" s="1025"/>
      <c r="J18" s="1024"/>
    </row>
    <row r="19" spans="1:10" ht="20" customHeight="1" thickBot="1">
      <c r="A19" s="825" t="s">
        <v>222</v>
      </c>
      <c r="B19" s="85">
        <v>22653</v>
      </c>
      <c r="C19" s="86">
        <v>26219</v>
      </c>
      <c r="D19" s="85">
        <v>48872</v>
      </c>
      <c r="E19" s="446">
        <v>0.27465900852548936</v>
      </c>
      <c r="F19" s="131">
        <v>12018</v>
      </c>
      <c r="G19" s="130">
        <v>10139</v>
      </c>
      <c r="H19" s="131" t="s">
        <v>35</v>
      </c>
      <c r="I19" s="1025"/>
      <c r="J19" s="1024"/>
    </row>
    <row r="20" spans="1:10" ht="20" customHeight="1" thickBot="1">
      <c r="A20" s="825" t="s">
        <v>223</v>
      </c>
      <c r="B20" s="85">
        <v>31608</v>
      </c>
      <c r="C20" s="86">
        <v>36171</v>
      </c>
      <c r="D20" s="85">
        <v>67779</v>
      </c>
      <c r="E20" s="446">
        <v>0.24863994365349837</v>
      </c>
      <c r="F20" s="131">
        <v>8597</v>
      </c>
      <c r="G20" s="130">
        <v>1992</v>
      </c>
      <c r="H20" s="131" t="s">
        <v>35</v>
      </c>
      <c r="I20" s="1025"/>
      <c r="J20" s="1024"/>
    </row>
    <row r="21" spans="1:10" ht="20" customHeight="1" thickBot="1">
      <c r="A21" s="825" t="s">
        <v>224</v>
      </c>
      <c r="B21" s="85">
        <v>13142</v>
      </c>
      <c r="C21" s="86">
        <v>14197</v>
      </c>
      <c r="D21" s="85">
        <v>27339</v>
      </c>
      <c r="E21" s="446">
        <v>0.361053882725832</v>
      </c>
      <c r="F21" s="131">
        <v>2342</v>
      </c>
      <c r="G21" s="130">
        <v>1482</v>
      </c>
      <c r="H21" s="131">
        <v>1482</v>
      </c>
      <c r="I21" s="1025"/>
      <c r="J21" s="1024"/>
    </row>
    <row r="22" spans="1:10" ht="20" customHeight="1" thickBot="1">
      <c r="A22" s="825" t="s">
        <v>225</v>
      </c>
      <c r="B22" s="85">
        <v>6640</v>
      </c>
      <c r="C22" s="86">
        <v>7049</v>
      </c>
      <c r="D22" s="85">
        <v>13689</v>
      </c>
      <c r="E22" s="446">
        <v>0.2551157329755116</v>
      </c>
      <c r="F22" s="131">
        <v>1664</v>
      </c>
      <c r="G22" s="130">
        <v>465</v>
      </c>
      <c r="H22" s="131">
        <v>7392</v>
      </c>
      <c r="I22" s="1025"/>
      <c r="J22" s="1024"/>
    </row>
    <row r="23" spans="1:10" ht="20" customHeight="1" thickBot="1">
      <c r="A23" s="825" t="s">
        <v>226</v>
      </c>
      <c r="B23" s="85">
        <v>3593</v>
      </c>
      <c r="C23" s="86">
        <v>3407</v>
      </c>
      <c r="D23" s="85">
        <v>7000</v>
      </c>
      <c r="E23" s="446">
        <v>0.44472681067344344</v>
      </c>
      <c r="F23" s="131">
        <v>345</v>
      </c>
      <c r="G23" s="130">
        <v>191</v>
      </c>
      <c r="H23" s="131">
        <v>76</v>
      </c>
      <c r="I23" s="1025"/>
      <c r="J23" s="1024"/>
    </row>
    <row r="24" spans="1:10" ht="20" customHeight="1" thickBot="1">
      <c r="A24" s="825" t="s">
        <v>227</v>
      </c>
      <c r="B24" s="85">
        <v>77265</v>
      </c>
      <c r="C24" s="86">
        <v>82220</v>
      </c>
      <c r="D24" s="85">
        <v>159485</v>
      </c>
      <c r="E24" s="446">
        <v>0.33371695211391383</v>
      </c>
      <c r="F24" s="131">
        <v>21113</v>
      </c>
      <c r="G24" s="130">
        <v>20203</v>
      </c>
      <c r="H24" s="131">
        <v>20203</v>
      </c>
      <c r="I24" s="1025"/>
      <c r="J24" s="1024"/>
    </row>
    <row r="25" spans="1:10" ht="20" customHeight="1" thickBot="1">
      <c r="A25" s="825" t="s">
        <v>228</v>
      </c>
      <c r="B25" s="85">
        <v>28324</v>
      </c>
      <c r="C25" s="86">
        <v>32163</v>
      </c>
      <c r="D25" s="85">
        <v>60487</v>
      </c>
      <c r="E25" s="446">
        <v>0.30761367623949182</v>
      </c>
      <c r="F25" s="131">
        <v>5426</v>
      </c>
      <c r="G25" s="130">
        <v>2126</v>
      </c>
      <c r="H25" s="131">
        <v>182</v>
      </c>
      <c r="I25" s="1025"/>
      <c r="J25" s="1024"/>
    </row>
    <row r="26" spans="1:10" ht="20" customHeight="1" thickBot="1">
      <c r="A26" s="825" t="s">
        <v>229</v>
      </c>
      <c r="B26" s="85">
        <v>72787</v>
      </c>
      <c r="C26" s="86">
        <v>81829</v>
      </c>
      <c r="D26" s="85">
        <v>154616</v>
      </c>
      <c r="E26" s="446">
        <v>0.25409325539317107</v>
      </c>
      <c r="F26" s="131">
        <v>19254</v>
      </c>
      <c r="G26" s="130">
        <v>4982</v>
      </c>
      <c r="H26" s="131">
        <v>9827</v>
      </c>
      <c r="I26" s="1025"/>
      <c r="J26" s="1024"/>
    </row>
    <row r="27" spans="1:10" ht="20" customHeight="1" thickBot="1">
      <c r="A27" s="825" t="s">
        <v>230</v>
      </c>
      <c r="B27" s="85">
        <v>44389</v>
      </c>
      <c r="C27" s="86">
        <v>47678</v>
      </c>
      <c r="D27" s="85">
        <v>92067</v>
      </c>
      <c r="E27" s="446">
        <v>0.37293566275504209</v>
      </c>
      <c r="F27" s="131">
        <v>7309</v>
      </c>
      <c r="G27" s="130">
        <v>2870</v>
      </c>
      <c r="H27" s="131" t="s">
        <v>35</v>
      </c>
      <c r="I27" s="1025"/>
      <c r="J27" s="1024"/>
    </row>
    <row r="28" spans="1:10" ht="20" customHeight="1" thickBot="1">
      <c r="A28" s="825" t="s">
        <v>231</v>
      </c>
      <c r="B28" s="85">
        <v>46820</v>
      </c>
      <c r="C28" s="86">
        <v>58202</v>
      </c>
      <c r="D28" s="85">
        <v>105022</v>
      </c>
      <c r="E28" s="446">
        <v>0.31753355324224547</v>
      </c>
      <c r="F28" s="131">
        <v>24600</v>
      </c>
      <c r="G28" s="130">
        <v>16167</v>
      </c>
      <c r="H28" s="131" t="s">
        <v>35</v>
      </c>
      <c r="I28" s="1025"/>
      <c r="J28" s="1024"/>
    </row>
    <row r="29" spans="1:10" ht="20" customHeight="1" thickBot="1">
      <c r="A29" s="825" t="s">
        <v>232</v>
      </c>
      <c r="B29" s="85">
        <v>69370</v>
      </c>
      <c r="C29" s="86">
        <v>84376</v>
      </c>
      <c r="D29" s="85">
        <v>153746</v>
      </c>
      <c r="E29" s="446">
        <v>0.22153027731269218</v>
      </c>
      <c r="F29" s="131">
        <v>31670</v>
      </c>
      <c r="G29" s="130">
        <v>24061</v>
      </c>
      <c r="H29" s="131">
        <v>55731</v>
      </c>
      <c r="I29" s="1025"/>
      <c r="J29" s="1024"/>
    </row>
    <row r="30" spans="1:10" ht="20" customHeight="1" thickBot="1">
      <c r="A30" s="825" t="s">
        <v>233</v>
      </c>
      <c r="B30" s="85">
        <v>41417.869557010723</v>
      </c>
      <c r="C30" s="86">
        <v>49234.130442989277</v>
      </c>
      <c r="D30" s="85">
        <v>90652</v>
      </c>
      <c r="E30" s="446">
        <v>0.28845994743239717</v>
      </c>
      <c r="F30" s="131">
        <v>8678</v>
      </c>
      <c r="G30" s="130">
        <v>4011</v>
      </c>
      <c r="H30" s="131" t="s">
        <v>35</v>
      </c>
      <c r="I30" s="1025"/>
      <c r="J30" s="1024"/>
    </row>
    <row r="31" spans="1:10" ht="20" customHeight="1" thickBot="1">
      <c r="A31" s="825" t="s">
        <v>234</v>
      </c>
      <c r="B31" s="1029">
        <v>21660</v>
      </c>
      <c r="C31" s="1030">
        <v>26583</v>
      </c>
      <c r="D31" s="1029">
        <v>48243</v>
      </c>
      <c r="E31" s="1028">
        <v>0.27933274660119972</v>
      </c>
      <c r="F31" s="1026">
        <v>10382</v>
      </c>
      <c r="G31" s="1027">
        <v>9007</v>
      </c>
      <c r="H31" s="1026" t="s">
        <v>35</v>
      </c>
      <c r="I31" s="1025"/>
      <c r="J31" s="1024"/>
    </row>
    <row r="32" spans="1:10" ht="20" customHeight="1" thickBot="1">
      <c r="A32" s="825" t="s">
        <v>235</v>
      </c>
      <c r="B32" s="111">
        <v>63970</v>
      </c>
      <c r="C32" s="112">
        <v>71657</v>
      </c>
      <c r="D32" s="111">
        <v>135627</v>
      </c>
      <c r="E32" s="443">
        <v>0.32411990048918982</v>
      </c>
      <c r="F32" s="123">
        <v>27340</v>
      </c>
      <c r="G32" s="124">
        <v>21430</v>
      </c>
      <c r="H32" s="123">
        <v>48770</v>
      </c>
      <c r="I32" s="1025"/>
      <c r="J32" s="1024"/>
    </row>
    <row r="33" spans="1:10" ht="20" customHeight="1" thickBot="1">
      <c r="A33" s="825" t="s">
        <v>236</v>
      </c>
      <c r="B33" s="85">
        <v>9874</v>
      </c>
      <c r="C33" s="86">
        <v>13046</v>
      </c>
      <c r="D33" s="85">
        <v>22920</v>
      </c>
      <c r="E33" s="446">
        <v>0.32487136964748903</v>
      </c>
      <c r="F33" s="131">
        <v>4444</v>
      </c>
      <c r="G33" s="130">
        <v>1384</v>
      </c>
      <c r="H33" s="131" t="s">
        <v>35</v>
      </c>
      <c r="I33" s="1025"/>
      <c r="J33" s="1024"/>
    </row>
    <row r="34" spans="1:10" ht="30" customHeight="1" thickBot="1">
      <c r="A34" s="830" t="s">
        <v>1731</v>
      </c>
      <c r="B34" s="92">
        <v>1080950.8695570107</v>
      </c>
      <c r="C34" s="93">
        <v>1234301.1304429893</v>
      </c>
      <c r="D34" s="92">
        <v>2315252</v>
      </c>
      <c r="E34" s="449">
        <v>0.29760312239746117</v>
      </c>
      <c r="F34" s="1023">
        <v>326200</v>
      </c>
      <c r="G34" s="1022">
        <v>228745</v>
      </c>
      <c r="H34" s="1021">
        <v>305101</v>
      </c>
      <c r="I34" s="286"/>
      <c r="J34" s="1020"/>
    </row>
    <row r="35" spans="1:10" ht="20" customHeight="1">
      <c r="A35" s="832" t="s">
        <v>1722</v>
      </c>
      <c r="B35" s="135"/>
      <c r="C35" s="135"/>
      <c r="D35" s="135"/>
      <c r="E35" s="833"/>
      <c r="F35" s="135"/>
      <c r="G35" s="135"/>
    </row>
    <row r="36" spans="1:10" ht="14.25" customHeight="1">
      <c r="A36" s="834"/>
      <c r="B36" s="136"/>
      <c r="C36" s="136"/>
      <c r="D36" s="136"/>
      <c r="E36" s="835"/>
      <c r="F36" s="136"/>
      <c r="G36" s="136"/>
    </row>
    <row r="37" spans="1:10" ht="20" customHeight="1">
      <c r="A37" s="834" t="s">
        <v>1730</v>
      </c>
      <c r="B37" s="136"/>
      <c r="C37" s="136"/>
      <c r="D37" s="136"/>
      <c r="E37" s="835"/>
      <c r="F37" s="136"/>
      <c r="G37" s="136"/>
    </row>
    <row r="38" spans="1:10" ht="15.75" customHeight="1">
      <c r="A38" s="834"/>
      <c r="B38" s="136"/>
      <c r="C38" s="136"/>
      <c r="D38" s="136"/>
      <c r="E38" s="835"/>
      <c r="F38" s="136"/>
      <c r="G38" s="136"/>
    </row>
    <row r="39" spans="1:10" ht="12.75" customHeight="1">
      <c r="A39" s="96" t="s">
        <v>1729</v>
      </c>
      <c r="B39" s="136"/>
      <c r="C39" s="136"/>
      <c r="D39" s="136"/>
      <c r="E39" s="835"/>
      <c r="F39" s="136"/>
      <c r="G39" s="136"/>
    </row>
    <row r="40" spans="1:10" ht="12.75" customHeight="1">
      <c r="A40" s="96" t="s">
        <v>1728</v>
      </c>
      <c r="B40" s="136"/>
      <c r="C40" s="136"/>
      <c r="D40" s="136"/>
      <c r="E40" s="835"/>
      <c r="F40" s="136"/>
      <c r="G40" s="136"/>
    </row>
    <row r="41" spans="1:10" ht="12.75" customHeight="1">
      <c r="A41" s="96" t="s">
        <v>1727</v>
      </c>
      <c r="B41" s="136"/>
      <c r="C41" s="136"/>
      <c r="D41" s="136"/>
      <c r="E41" s="835"/>
      <c r="F41" s="136"/>
      <c r="G41" s="136"/>
      <c r="H41" s="96"/>
    </row>
    <row r="43" spans="1:10">
      <c r="E43" s="767"/>
    </row>
    <row r="44" spans="1:10">
      <c r="A44" s="3" t="s">
        <v>677</v>
      </c>
    </row>
  </sheetData>
  <mergeCells count="1">
    <mergeCell ref="B3:D3"/>
  </mergeCells>
  <pageMargins left="0.56000000000000005" right="0.5" top="0.76" bottom="0.49" header="0.42" footer="0.4921259845"/>
  <pageSetup paperSize="9" scale="82" orientation="portrait" horizontalDpi="1200" verticalDpi="1200"/>
  <headerFooter alignWithMargins="0"/>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01E6A-E1F7-684D-9B47-9CA61A5DE557}">
  <sheetPr>
    <pageSetUpPr fitToPage="1"/>
  </sheetPr>
  <dimension ref="A1:K34"/>
  <sheetViews>
    <sheetView zoomScaleNormal="100" workbookViewId="0">
      <selection activeCell="H23" sqref="H23"/>
    </sheetView>
  </sheetViews>
  <sheetFormatPr baseColWidth="10" defaultColWidth="11.3984375" defaultRowHeight="13"/>
  <cols>
    <col min="1" max="4" width="17.59765625" style="3" customWidth="1"/>
    <col min="5" max="5" width="23.3984375" style="49" customWidth="1"/>
    <col min="6" max="6" width="19.59765625" style="3" customWidth="1"/>
    <col min="7" max="16384" width="11.3984375" style="3"/>
  </cols>
  <sheetData>
    <row r="1" spans="1:9" s="2" customFormat="1" ht="14" customHeight="1">
      <c r="E1" s="261"/>
    </row>
    <row r="2" spans="1:9" s="2" customFormat="1" ht="28" customHeight="1">
      <c r="A2" s="71" t="s">
        <v>1744</v>
      </c>
      <c r="E2" s="358"/>
      <c r="F2" s="437">
        <v>2010</v>
      </c>
    </row>
    <row r="3" spans="1:9" ht="27" customHeight="1">
      <c r="A3" s="72" t="s">
        <v>504</v>
      </c>
      <c r="B3" s="1819" t="s">
        <v>1713</v>
      </c>
      <c r="C3" s="1820"/>
      <c r="D3" s="1820"/>
      <c r="E3" s="74" t="s">
        <v>1745</v>
      </c>
      <c r="F3" s="105" t="s">
        <v>1746</v>
      </c>
    </row>
    <row r="4" spans="1:9" ht="15" customHeight="1">
      <c r="A4" s="75"/>
      <c r="B4" s="76" t="s">
        <v>1359</v>
      </c>
      <c r="C4" s="77" t="s">
        <v>1360</v>
      </c>
      <c r="D4" s="76" t="s">
        <v>190</v>
      </c>
      <c r="E4" s="77" t="s">
        <v>1747</v>
      </c>
      <c r="F4" s="105" t="s">
        <v>1748</v>
      </c>
    </row>
    <row r="5" spans="1:9" ht="15" customHeight="1">
      <c r="A5" s="75"/>
      <c r="B5" s="76"/>
      <c r="C5" s="77"/>
      <c r="D5" s="76"/>
      <c r="E5" s="77"/>
      <c r="F5" s="105" t="s">
        <v>1164</v>
      </c>
    </row>
    <row r="6" spans="1:9" ht="24" customHeight="1">
      <c r="A6" s="79"/>
      <c r="B6" s="82"/>
      <c r="C6" s="81"/>
      <c r="D6" s="82"/>
      <c r="E6" s="81"/>
      <c r="F6" s="895" t="s">
        <v>1749</v>
      </c>
    </row>
    <row r="7" spans="1:9" ht="25.5" customHeight="1" thickBot="1">
      <c r="A7" s="279" t="s">
        <v>1750</v>
      </c>
      <c r="B7" s="111">
        <v>343748.30950378469</v>
      </c>
      <c r="C7" s="112">
        <v>324029.69049621531</v>
      </c>
      <c r="D7" s="111">
        <v>667778</v>
      </c>
      <c r="E7" s="1036">
        <v>0.4438101137275961</v>
      </c>
      <c r="F7" s="1037">
        <v>381.82782523668732</v>
      </c>
      <c r="G7" s="88"/>
      <c r="H7" s="88"/>
      <c r="I7" s="88"/>
    </row>
    <row r="8" spans="1:9" ht="20" customHeight="1" thickBot="1">
      <c r="A8" s="89" t="s">
        <v>1751</v>
      </c>
      <c r="B8" s="111">
        <v>140262.99354057328</v>
      </c>
      <c r="C8" s="112">
        <v>147413.00645942672</v>
      </c>
      <c r="D8" s="318">
        <v>287676</v>
      </c>
      <c r="E8" s="1036">
        <v>0.43829330164316566</v>
      </c>
      <c r="F8" s="1037">
        <v>435.04232626975698</v>
      </c>
      <c r="G8" s="88"/>
      <c r="H8" s="88"/>
      <c r="I8" s="1038"/>
    </row>
    <row r="9" spans="1:9" ht="20" customHeight="1" thickBot="1">
      <c r="A9" s="89" t="s">
        <v>516</v>
      </c>
      <c r="B9" s="111">
        <v>71982.447983734324</v>
      </c>
      <c r="C9" s="112">
        <v>86986.552016265676</v>
      </c>
      <c r="D9" s="318">
        <v>158969</v>
      </c>
      <c r="E9" s="1036">
        <v>0.30623433614134987</v>
      </c>
      <c r="F9" s="1037">
        <v>259.57512792447602</v>
      </c>
      <c r="G9" s="88"/>
      <c r="H9" s="88"/>
      <c r="I9" s="1038"/>
    </row>
    <row r="10" spans="1:9" ht="20" customHeight="1" thickBot="1">
      <c r="A10" s="89" t="s">
        <v>517</v>
      </c>
      <c r="B10" s="111">
        <v>60115.669349429911</v>
      </c>
      <c r="C10" s="112">
        <v>78060.330650570089</v>
      </c>
      <c r="D10" s="318">
        <v>138176</v>
      </c>
      <c r="E10" s="1036">
        <v>0.26317633972786419</v>
      </c>
      <c r="F10" s="1037">
        <v>218.79740081412567</v>
      </c>
      <c r="G10" s="88"/>
      <c r="H10" s="88"/>
      <c r="I10" s="1038"/>
    </row>
    <row r="11" spans="1:9" ht="20" customHeight="1" thickBot="1">
      <c r="A11" s="89" t="s">
        <v>518</v>
      </c>
      <c r="B11" s="111">
        <v>66474.512988130053</v>
      </c>
      <c r="C11" s="112">
        <v>86157.487011869947</v>
      </c>
      <c r="D11" s="318">
        <v>152632</v>
      </c>
      <c r="E11" s="1036">
        <v>0.26907881862847938</v>
      </c>
      <c r="F11" s="1037">
        <v>240.54232486818168</v>
      </c>
      <c r="G11" s="88"/>
      <c r="H11" s="88"/>
      <c r="I11" s="1038"/>
    </row>
    <row r="12" spans="1:9" ht="20" customHeight="1" thickBot="1">
      <c r="A12" s="89" t="s">
        <v>519</v>
      </c>
      <c r="B12" s="111">
        <v>74745.936189470507</v>
      </c>
      <c r="C12" s="112">
        <v>91290.063810529493</v>
      </c>
      <c r="D12" s="318">
        <v>166036</v>
      </c>
      <c r="E12" s="1036">
        <v>0.25912677603815515</v>
      </c>
      <c r="F12" s="1037">
        <v>260.89470704172987</v>
      </c>
      <c r="G12" s="88"/>
      <c r="H12" s="88"/>
      <c r="I12" s="1038"/>
    </row>
    <row r="13" spans="1:9" ht="20" customHeight="1" thickBot="1">
      <c r="A13" s="89" t="s">
        <v>520</v>
      </c>
      <c r="B13" s="111">
        <v>67353.947276940904</v>
      </c>
      <c r="C13" s="112">
        <v>74041.052723059096</v>
      </c>
      <c r="D13" s="318">
        <v>141395</v>
      </c>
      <c r="E13" s="1036">
        <v>0.22349004533183281</v>
      </c>
      <c r="F13" s="1037">
        <v>231.07891119299717</v>
      </c>
      <c r="G13" s="88"/>
      <c r="H13" s="88"/>
      <c r="I13" s="1038"/>
    </row>
    <row r="14" spans="1:9" ht="20" customHeight="1" thickBot="1">
      <c r="A14" s="89" t="s">
        <v>521</v>
      </c>
      <c r="B14" s="111">
        <v>48560.2114684466</v>
      </c>
      <c r="C14" s="112">
        <v>50231.7885315534</v>
      </c>
      <c r="D14" s="318">
        <v>98792</v>
      </c>
      <c r="E14" s="1036">
        <v>0.18114408722023992</v>
      </c>
      <c r="F14" s="1037">
        <v>175.33650077673201</v>
      </c>
      <c r="G14" s="88"/>
      <c r="H14" s="88"/>
      <c r="I14" s="1038"/>
    </row>
    <row r="15" spans="1:9" ht="20" customHeight="1" thickBot="1">
      <c r="A15" s="89" t="s">
        <v>522</v>
      </c>
      <c r="B15" s="111">
        <v>36187.265009560229</v>
      </c>
      <c r="C15" s="112">
        <v>38712.734990439771</v>
      </c>
      <c r="D15" s="318">
        <v>74900</v>
      </c>
      <c r="E15" s="1036">
        <v>0.15740750470226023</v>
      </c>
      <c r="F15" s="1037">
        <v>143.81179393966462</v>
      </c>
      <c r="G15" s="88"/>
      <c r="H15" s="88"/>
      <c r="I15" s="1038"/>
    </row>
    <row r="16" spans="1:9" ht="20" customHeight="1" thickBot="1">
      <c r="A16" s="89" t="s">
        <v>523</v>
      </c>
      <c r="B16" s="111">
        <v>31263.364485981307</v>
      </c>
      <c r="C16" s="112">
        <v>36937.635514018693</v>
      </c>
      <c r="D16" s="318">
        <v>68201</v>
      </c>
      <c r="E16" s="1036">
        <v>0.15146387017826726</v>
      </c>
      <c r="F16" s="1037">
        <v>136.52258989077674</v>
      </c>
      <c r="G16" s="88"/>
      <c r="H16" s="88"/>
      <c r="I16" s="1038"/>
    </row>
    <row r="17" spans="1:11" ht="20" customHeight="1" thickBot="1">
      <c r="A17" s="89" t="s">
        <v>524</v>
      </c>
      <c r="B17" s="111">
        <v>26487.102564102563</v>
      </c>
      <c r="C17" s="112">
        <v>34072.897435897437</v>
      </c>
      <c r="D17" s="318">
        <v>60560</v>
      </c>
      <c r="E17" s="1036">
        <v>0.16108653613408272</v>
      </c>
      <c r="F17" s="1037">
        <v>127.11182293885517</v>
      </c>
      <c r="G17" s="88"/>
      <c r="H17" s="88"/>
      <c r="I17" s="1038"/>
      <c r="K17" s="1039"/>
    </row>
    <row r="18" spans="1:11" ht="20" customHeight="1" thickBot="1">
      <c r="A18" s="89" t="s">
        <v>525</v>
      </c>
      <c r="B18" s="111">
        <v>23810.044444444444</v>
      </c>
      <c r="C18" s="112">
        <v>35198.955555555556</v>
      </c>
      <c r="D18" s="318">
        <v>59009</v>
      </c>
      <c r="E18" s="1036">
        <v>0.20042320207049744</v>
      </c>
      <c r="F18" s="1037">
        <v>124.06547983860112</v>
      </c>
      <c r="G18" s="88"/>
      <c r="H18" s="88"/>
      <c r="I18" s="1038"/>
    </row>
    <row r="19" spans="1:11" ht="20" customHeight="1" thickBot="1">
      <c r="A19" s="89" t="s">
        <v>526</v>
      </c>
      <c r="B19" s="111">
        <v>21296.677044609667</v>
      </c>
      <c r="C19" s="112">
        <v>35284.322955390337</v>
      </c>
      <c r="D19" s="318">
        <v>56581</v>
      </c>
      <c r="E19" s="1036">
        <v>0.22817587540478523</v>
      </c>
      <c r="F19" s="1037">
        <v>122.65614168376699</v>
      </c>
      <c r="G19" s="88"/>
      <c r="H19" s="88"/>
      <c r="I19" s="1038"/>
    </row>
    <row r="20" spans="1:11" ht="20" customHeight="1" thickBot="1">
      <c r="A20" s="89" t="s">
        <v>527</v>
      </c>
      <c r="B20" s="111">
        <v>15005.938799076212</v>
      </c>
      <c r="C20" s="112">
        <v>31892.061200923788</v>
      </c>
      <c r="D20" s="318">
        <v>46898</v>
      </c>
      <c r="E20" s="1036">
        <v>0.25451940454029881</v>
      </c>
      <c r="F20" s="1037">
        <v>108.31835629369178</v>
      </c>
      <c r="G20" s="88"/>
      <c r="H20" s="88"/>
      <c r="I20" s="1038"/>
    </row>
    <row r="21" spans="1:11" ht="20" customHeight="1" thickBot="1">
      <c r="A21" s="89" t="s">
        <v>528</v>
      </c>
      <c r="B21" s="111">
        <v>8602.0033641715727</v>
      </c>
      <c r="C21" s="112">
        <v>24277.996635828425</v>
      </c>
      <c r="D21" s="318">
        <v>32880</v>
      </c>
      <c r="E21" s="1036">
        <v>0.29546291886451659</v>
      </c>
      <c r="F21" s="1037">
        <v>82.368406620900245</v>
      </c>
      <c r="G21" s="88"/>
      <c r="H21" s="88"/>
      <c r="I21" s="1038"/>
    </row>
    <row r="22" spans="1:11" ht="20" customHeight="1" thickBot="1">
      <c r="A22" s="89" t="s">
        <v>1752</v>
      </c>
      <c r="B22" s="111">
        <v>3552.4455445544554</v>
      </c>
      <c r="C22" s="112">
        <v>14598.554455445545</v>
      </c>
      <c r="D22" s="318">
        <v>18151</v>
      </c>
      <c r="E22" s="1036">
        <v>0.37441726143817816</v>
      </c>
      <c r="F22" s="1037">
        <v>49.451060497014879</v>
      </c>
      <c r="G22" s="88"/>
      <c r="H22" s="88"/>
      <c r="I22" s="1038"/>
    </row>
    <row r="23" spans="1:11" ht="20" customHeight="1" thickBot="1">
      <c r="A23" s="89" t="s">
        <v>1753</v>
      </c>
      <c r="B23" s="111">
        <v>41502</v>
      </c>
      <c r="C23" s="112">
        <v>45116</v>
      </c>
      <c r="D23" s="318">
        <v>86618</v>
      </c>
      <c r="E23" s="443" t="s">
        <v>35</v>
      </c>
      <c r="F23" s="1037">
        <v>882.44215499999996</v>
      </c>
      <c r="G23" s="88"/>
      <c r="H23" s="88"/>
      <c r="I23" s="1038"/>
    </row>
    <row r="24" spans="1:11" ht="30" customHeight="1" thickBot="1">
      <c r="A24" s="91" t="s">
        <v>190</v>
      </c>
      <c r="B24" s="435">
        <v>1080950.8695570109</v>
      </c>
      <c r="C24" s="436">
        <v>1234301.1304429893</v>
      </c>
      <c r="D24" s="435">
        <v>2315252</v>
      </c>
      <c r="E24" s="809">
        <v>0.29760323715946457</v>
      </c>
      <c r="F24" s="450">
        <v>3979.8429308279592</v>
      </c>
      <c r="G24" s="88"/>
      <c r="H24" s="88"/>
      <c r="I24" s="1038"/>
    </row>
    <row r="25" spans="1:11" ht="20" customHeight="1">
      <c r="A25" s="832" t="s">
        <v>1722</v>
      </c>
      <c r="B25" s="95"/>
      <c r="C25" s="95"/>
      <c r="D25" s="95"/>
      <c r="E25" s="292"/>
    </row>
    <row r="27" spans="1:11">
      <c r="A27" s="834" t="s">
        <v>1754</v>
      </c>
    </row>
    <row r="28" spans="1:11">
      <c r="A28" s="834"/>
    </row>
    <row r="29" spans="1:11">
      <c r="A29" s="3" t="s">
        <v>1755</v>
      </c>
      <c r="B29" s="4"/>
      <c r="C29" s="4"/>
      <c r="D29" s="4"/>
    </row>
    <row r="30" spans="1:11">
      <c r="A30" s="3" t="s">
        <v>1756</v>
      </c>
      <c r="B30" s="4"/>
      <c r="C30" s="4"/>
      <c r="D30" s="4"/>
    </row>
    <row r="31" spans="1:11">
      <c r="A31" s="3" t="s">
        <v>1757</v>
      </c>
      <c r="B31" s="4"/>
      <c r="C31" s="4"/>
      <c r="D31" s="4"/>
    </row>
    <row r="32" spans="1:11">
      <c r="A32" s="96"/>
    </row>
    <row r="34" spans="1:1">
      <c r="A34" s="3" t="s">
        <v>677</v>
      </c>
    </row>
  </sheetData>
  <mergeCells count="1">
    <mergeCell ref="B3:D3"/>
  </mergeCells>
  <pageMargins left="0.74" right="0.88" top="0.85" bottom="0.49" header="0.49" footer="0.4921259845"/>
  <pageSetup paperSize="9" scale="74" orientation="portrait" horizontalDpi="1200" verticalDpi="1200"/>
  <headerFooter alignWithMargins="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2031B-9707-D24A-9D18-78C3D2C2DBF8}">
  <sheetPr>
    <pageSetUpPr fitToPage="1"/>
  </sheetPr>
  <dimension ref="A1:O47"/>
  <sheetViews>
    <sheetView topLeftCell="A28" zoomScaleNormal="100" workbookViewId="0">
      <selection activeCell="O38" sqref="O38"/>
    </sheetView>
  </sheetViews>
  <sheetFormatPr baseColWidth="10" defaultColWidth="11.3984375" defaultRowHeight="13"/>
  <cols>
    <col min="1" max="1" width="17.19921875" style="3" customWidth="1"/>
    <col min="2" max="10" width="10.59765625" style="3" customWidth="1"/>
    <col min="11" max="11" width="11.3984375" style="248"/>
    <col min="12" max="12" width="13.3984375" style="3" customWidth="1"/>
    <col min="13" max="16384" width="11.3984375" style="3"/>
  </cols>
  <sheetData>
    <row r="1" spans="1:15" s="2" customFormat="1" ht="14" customHeight="1">
      <c r="K1" s="17"/>
    </row>
    <row r="2" spans="1:15" s="2" customFormat="1" ht="28" customHeight="1">
      <c r="A2" s="71" t="s">
        <v>1758</v>
      </c>
      <c r="I2" s="358"/>
      <c r="K2" s="437"/>
      <c r="L2" s="437">
        <v>2010</v>
      </c>
    </row>
    <row r="3" spans="1:15" ht="24" customHeight="1">
      <c r="A3" s="1040" t="s">
        <v>1759</v>
      </c>
      <c r="B3" s="1041" t="s">
        <v>1760</v>
      </c>
      <c r="C3" s="1042"/>
      <c r="D3" s="1043"/>
      <c r="E3" s="1042"/>
      <c r="F3" s="1043"/>
      <c r="G3" s="1044"/>
      <c r="H3" s="1045"/>
      <c r="I3" s="1046"/>
      <c r="J3" s="1047"/>
      <c r="K3" s="1048" t="s">
        <v>190</v>
      </c>
      <c r="L3" s="1049" t="s">
        <v>585</v>
      </c>
    </row>
    <row r="4" spans="1:15" ht="15" customHeight="1">
      <c r="A4" s="1050"/>
      <c r="B4" s="1051"/>
      <c r="C4" s="1052"/>
      <c r="D4" s="1051"/>
      <c r="E4" s="1052"/>
      <c r="F4" s="1053"/>
      <c r="G4" s="1048"/>
      <c r="H4" s="1051"/>
      <c r="I4" s="1054"/>
      <c r="J4" s="1055"/>
      <c r="K4" s="1048" t="s">
        <v>1720</v>
      </c>
      <c r="L4" s="78" t="s">
        <v>586</v>
      </c>
    </row>
    <row r="5" spans="1:15" ht="15" customHeight="1">
      <c r="A5" s="1050"/>
      <c r="B5" s="1051"/>
      <c r="C5" s="1056"/>
      <c r="D5" s="1057"/>
      <c r="E5" s="1056"/>
      <c r="F5" s="1057"/>
      <c r="G5" s="1052"/>
      <c r="H5" s="1051"/>
      <c r="I5" s="1052"/>
      <c r="J5" s="1058"/>
      <c r="K5" s="1059"/>
      <c r="L5" s="78" t="s">
        <v>210</v>
      </c>
    </row>
    <row r="6" spans="1:15" ht="18" customHeight="1">
      <c r="A6" s="328"/>
      <c r="B6" s="1060" t="s">
        <v>1761</v>
      </c>
      <c r="C6" s="1061" t="s">
        <v>1761</v>
      </c>
      <c r="D6" s="1060" t="s">
        <v>1761</v>
      </c>
      <c r="E6" s="1061" t="s">
        <v>1761</v>
      </c>
      <c r="F6" s="1060" t="s">
        <v>1762</v>
      </c>
      <c r="G6" s="1061" t="s">
        <v>1762</v>
      </c>
      <c r="H6" s="1060" t="s">
        <v>1762</v>
      </c>
      <c r="I6" s="1061" t="s">
        <v>1762</v>
      </c>
      <c r="J6" s="1062" t="s">
        <v>1720</v>
      </c>
      <c r="K6" s="1059"/>
      <c r="L6" s="78"/>
    </row>
    <row r="7" spans="1:15" ht="15.5" customHeight="1">
      <c r="A7" s="328"/>
      <c r="B7" s="1063" t="s">
        <v>1763</v>
      </c>
      <c r="C7" s="1064" t="s">
        <v>1764</v>
      </c>
      <c r="D7" s="1063" t="s">
        <v>1765</v>
      </c>
      <c r="E7" s="1064" t="s">
        <v>1764</v>
      </c>
      <c r="F7" s="1063" t="s">
        <v>1766</v>
      </c>
      <c r="G7" s="1064" t="s">
        <v>1767</v>
      </c>
      <c r="H7" s="1063" t="s">
        <v>1768</v>
      </c>
      <c r="I7" s="1064" t="s">
        <v>1767</v>
      </c>
      <c r="J7" s="1065" t="s">
        <v>1769</v>
      </c>
      <c r="K7" s="1048"/>
      <c r="L7" s="78"/>
    </row>
    <row r="8" spans="1:15" ht="16.25" customHeight="1">
      <c r="A8" s="328"/>
      <c r="B8" s="1065" t="s">
        <v>1770</v>
      </c>
      <c r="C8" s="1066" t="s">
        <v>1771</v>
      </c>
      <c r="D8" s="1065" t="s">
        <v>1772</v>
      </c>
      <c r="E8" s="1067" t="s">
        <v>1773</v>
      </c>
      <c r="F8" s="1065" t="s">
        <v>204</v>
      </c>
      <c r="G8" s="1067" t="s">
        <v>1771</v>
      </c>
      <c r="H8" s="1065" t="s">
        <v>1772</v>
      </c>
      <c r="I8" s="1067" t="s">
        <v>1773</v>
      </c>
      <c r="J8" s="1065" t="s">
        <v>1143</v>
      </c>
      <c r="K8" s="1048"/>
      <c r="L8" s="78"/>
    </row>
    <row r="9" spans="1:15" ht="18" customHeight="1">
      <c r="A9" s="328"/>
      <c r="B9" s="1068"/>
      <c r="C9" s="1069"/>
      <c r="D9" s="1068"/>
      <c r="E9" s="1069" t="s">
        <v>204</v>
      </c>
      <c r="F9" s="1068"/>
      <c r="G9" s="1070"/>
      <c r="H9" s="1068"/>
      <c r="I9" s="1069" t="s">
        <v>204</v>
      </c>
      <c r="J9" s="1071" t="s">
        <v>1663</v>
      </c>
      <c r="K9" s="1072"/>
      <c r="L9" s="82"/>
    </row>
    <row r="10" spans="1:15" ht="27" customHeight="1" thickBot="1">
      <c r="A10" s="821" t="s">
        <v>211</v>
      </c>
      <c r="B10" s="123">
        <v>208009</v>
      </c>
      <c r="C10" s="124">
        <v>14332</v>
      </c>
      <c r="D10" s="123">
        <v>6809</v>
      </c>
      <c r="E10" s="124">
        <v>1492</v>
      </c>
      <c r="F10" s="123">
        <v>22702</v>
      </c>
      <c r="G10" s="124">
        <v>13656</v>
      </c>
      <c r="H10" s="123">
        <v>18260</v>
      </c>
      <c r="I10" s="124">
        <v>7565</v>
      </c>
      <c r="J10" s="123" t="s">
        <v>1442</v>
      </c>
      <c r="K10" s="1073">
        <v>292825</v>
      </c>
      <c r="L10" s="87">
        <v>3.8773509225420444E-3</v>
      </c>
      <c r="O10" s="8"/>
    </row>
    <row r="11" spans="1:15" ht="20" customHeight="1" thickBot="1">
      <c r="A11" s="825" t="s">
        <v>212</v>
      </c>
      <c r="B11" s="123">
        <v>81123</v>
      </c>
      <c r="C11" s="124">
        <v>7649</v>
      </c>
      <c r="D11" s="123">
        <v>5107</v>
      </c>
      <c r="E11" s="124">
        <v>1496</v>
      </c>
      <c r="F11" s="123">
        <v>11857</v>
      </c>
      <c r="G11" s="124">
        <v>4754</v>
      </c>
      <c r="H11" s="123">
        <v>9763</v>
      </c>
      <c r="I11" s="124">
        <v>6466</v>
      </c>
      <c r="J11" s="123" t="s">
        <v>1442</v>
      </c>
      <c r="K11" s="1073">
        <v>128215</v>
      </c>
      <c r="L11" s="87">
        <v>-2.7665076632565566E-2</v>
      </c>
    </row>
    <row r="12" spans="1:15" ht="20" customHeight="1" thickBot="1">
      <c r="A12" s="825" t="s">
        <v>213</v>
      </c>
      <c r="B12" s="123">
        <v>23749</v>
      </c>
      <c r="C12" s="124">
        <v>4253</v>
      </c>
      <c r="D12" s="123">
        <v>2743</v>
      </c>
      <c r="E12" s="124">
        <v>840</v>
      </c>
      <c r="F12" s="123">
        <v>6066</v>
      </c>
      <c r="G12" s="124">
        <v>7404</v>
      </c>
      <c r="H12" s="123">
        <v>12000</v>
      </c>
      <c r="I12" s="124">
        <v>6453</v>
      </c>
      <c r="J12" s="123">
        <v>1923</v>
      </c>
      <c r="K12" s="1073">
        <v>65431</v>
      </c>
      <c r="L12" s="87">
        <v>5.2063737076519789E-2</v>
      </c>
    </row>
    <row r="13" spans="1:15" ht="20" customHeight="1" thickBot="1">
      <c r="A13" s="825" t="s">
        <v>214</v>
      </c>
      <c r="B13" s="123">
        <v>2981</v>
      </c>
      <c r="C13" s="124">
        <v>162</v>
      </c>
      <c r="D13" s="123">
        <v>93</v>
      </c>
      <c r="E13" s="124">
        <v>61</v>
      </c>
      <c r="F13" s="123">
        <v>1108</v>
      </c>
      <c r="G13" s="124">
        <v>573</v>
      </c>
      <c r="H13" s="123">
        <v>967</v>
      </c>
      <c r="I13" s="124">
        <v>433</v>
      </c>
      <c r="J13" s="123">
        <v>123</v>
      </c>
      <c r="K13" s="1073">
        <v>6501</v>
      </c>
      <c r="L13" s="87">
        <v>7.2823055469475317E-3</v>
      </c>
    </row>
    <row r="14" spans="1:15" ht="20" customHeight="1" thickBot="1">
      <c r="A14" s="825" t="s">
        <v>215</v>
      </c>
      <c r="B14" s="123">
        <v>6581</v>
      </c>
      <c r="C14" s="124">
        <v>792</v>
      </c>
      <c r="D14" s="123">
        <v>544</v>
      </c>
      <c r="E14" s="124">
        <v>171</v>
      </c>
      <c r="F14" s="123">
        <v>1237</v>
      </c>
      <c r="G14" s="124">
        <v>1074</v>
      </c>
      <c r="H14" s="123">
        <v>2137</v>
      </c>
      <c r="I14" s="124">
        <v>1399</v>
      </c>
      <c r="J14" s="123">
        <v>4581</v>
      </c>
      <c r="K14" s="1073">
        <v>18516</v>
      </c>
      <c r="L14" s="87">
        <v>3.4875922199865794E-2</v>
      </c>
    </row>
    <row r="15" spans="1:15" ht="20" customHeight="1" thickBot="1">
      <c r="A15" s="825" t="s">
        <v>216</v>
      </c>
      <c r="B15" s="123">
        <v>5390</v>
      </c>
      <c r="C15" s="124" t="s">
        <v>35</v>
      </c>
      <c r="D15" s="123" t="s">
        <v>35</v>
      </c>
      <c r="E15" s="124" t="s">
        <v>35</v>
      </c>
      <c r="F15" s="123">
        <v>1122</v>
      </c>
      <c r="G15" s="124">
        <v>554</v>
      </c>
      <c r="H15" s="123">
        <v>693</v>
      </c>
      <c r="I15" s="124">
        <v>321</v>
      </c>
      <c r="J15" s="123"/>
      <c r="K15" s="1073">
        <v>8080</v>
      </c>
      <c r="L15" s="87">
        <v>0.11772029326324529</v>
      </c>
    </row>
    <row r="16" spans="1:15" ht="20" customHeight="1" thickBot="1">
      <c r="A16" s="825" t="s">
        <v>217</v>
      </c>
      <c r="B16" s="123">
        <v>5072</v>
      </c>
      <c r="C16" s="124">
        <v>361</v>
      </c>
      <c r="D16" s="123">
        <v>172</v>
      </c>
      <c r="E16" s="124">
        <v>45</v>
      </c>
      <c r="F16" s="123">
        <v>1362</v>
      </c>
      <c r="G16" s="124">
        <v>837</v>
      </c>
      <c r="H16" s="123">
        <v>1175</v>
      </c>
      <c r="I16" s="124">
        <v>440</v>
      </c>
      <c r="J16" s="123" t="s">
        <v>1442</v>
      </c>
      <c r="K16" s="1073">
        <v>9464</v>
      </c>
      <c r="L16" s="87">
        <v>8.5819183111519148E-2</v>
      </c>
    </row>
    <row r="17" spans="1:12" ht="20" customHeight="1" thickBot="1">
      <c r="A17" s="825" t="s">
        <v>218</v>
      </c>
      <c r="B17" s="123" t="s">
        <v>35</v>
      </c>
      <c r="C17" s="124" t="s">
        <v>35</v>
      </c>
      <c r="D17" s="123" t="s">
        <v>35</v>
      </c>
      <c r="E17" s="124" t="s">
        <v>35</v>
      </c>
      <c r="F17" s="123" t="s">
        <v>35</v>
      </c>
      <c r="G17" s="124" t="s">
        <v>35</v>
      </c>
      <c r="H17" s="123" t="s">
        <v>35</v>
      </c>
      <c r="I17" s="124" t="s">
        <v>35</v>
      </c>
      <c r="J17" s="123">
        <v>4941</v>
      </c>
      <c r="K17" s="1073">
        <v>4941</v>
      </c>
      <c r="L17" s="87">
        <v>7.4597651152675137E-2</v>
      </c>
    </row>
    <row r="18" spans="1:12" ht="20" customHeight="1" thickBot="1">
      <c r="A18" s="825" t="s">
        <v>219</v>
      </c>
      <c r="B18" s="123">
        <v>7254</v>
      </c>
      <c r="C18" s="124">
        <v>625</v>
      </c>
      <c r="D18" s="123">
        <v>392</v>
      </c>
      <c r="E18" s="124">
        <v>102</v>
      </c>
      <c r="F18" s="123">
        <v>2049</v>
      </c>
      <c r="G18" s="124">
        <v>936</v>
      </c>
      <c r="H18" s="123">
        <v>1469</v>
      </c>
      <c r="I18" s="124">
        <v>634</v>
      </c>
      <c r="J18" s="123"/>
      <c r="K18" s="1073">
        <v>13461</v>
      </c>
      <c r="L18" s="87">
        <v>-2.1497405485544352E-3</v>
      </c>
    </row>
    <row r="19" spans="1:12" ht="20" customHeight="1" thickBot="1">
      <c r="A19" s="825" t="s">
        <v>220</v>
      </c>
      <c r="B19" s="123">
        <v>23112</v>
      </c>
      <c r="C19" s="124">
        <v>3257</v>
      </c>
      <c r="D19" s="123">
        <v>2285</v>
      </c>
      <c r="E19" s="124">
        <v>735</v>
      </c>
      <c r="F19" s="123">
        <v>4391</v>
      </c>
      <c r="G19" s="124">
        <v>2244</v>
      </c>
      <c r="H19" s="123">
        <v>4209</v>
      </c>
      <c r="I19" s="124">
        <v>2825</v>
      </c>
      <c r="J19" s="123" t="s">
        <v>1442</v>
      </c>
      <c r="K19" s="1073">
        <v>43058</v>
      </c>
      <c r="L19" s="87">
        <v>0.31126473185735604</v>
      </c>
    </row>
    <row r="20" spans="1:12" ht="20" customHeight="1" thickBot="1">
      <c r="A20" s="825" t="s">
        <v>221</v>
      </c>
      <c r="B20" s="123">
        <v>16618</v>
      </c>
      <c r="C20" s="124">
        <v>2671</v>
      </c>
      <c r="D20" s="123">
        <v>1497</v>
      </c>
      <c r="E20" s="124">
        <v>409</v>
      </c>
      <c r="F20" s="123">
        <v>4771</v>
      </c>
      <c r="G20" s="124">
        <v>2619</v>
      </c>
      <c r="H20" s="123">
        <v>4292</v>
      </c>
      <c r="I20" s="124">
        <v>2194</v>
      </c>
      <c r="J20" s="123" t="s">
        <v>1442</v>
      </c>
      <c r="K20" s="1073">
        <v>35071</v>
      </c>
      <c r="L20" s="87">
        <v>0.10910470889598689</v>
      </c>
    </row>
    <row r="21" spans="1:12" ht="20" customHeight="1" thickBot="1">
      <c r="A21" s="825" t="s">
        <v>222</v>
      </c>
      <c r="B21" s="123">
        <v>20025</v>
      </c>
      <c r="C21" s="124">
        <v>1851</v>
      </c>
      <c r="D21" s="123">
        <v>852</v>
      </c>
      <c r="E21" s="124">
        <v>206</v>
      </c>
      <c r="F21" s="123">
        <v>2792</v>
      </c>
      <c r="G21" s="124">
        <v>1433</v>
      </c>
      <c r="H21" s="123">
        <v>1867</v>
      </c>
      <c r="I21" s="124">
        <v>874</v>
      </c>
      <c r="J21" s="123" t="s">
        <v>1442</v>
      </c>
      <c r="K21" s="1073">
        <v>29900</v>
      </c>
      <c r="L21" s="87">
        <v>-6.4464677344321375E-3</v>
      </c>
    </row>
    <row r="22" spans="1:12" ht="20" customHeight="1" thickBot="1">
      <c r="A22" s="825" t="s">
        <v>223</v>
      </c>
      <c r="B22" s="123">
        <v>20405</v>
      </c>
      <c r="C22" s="124">
        <v>4139</v>
      </c>
      <c r="D22" s="123">
        <v>2693</v>
      </c>
      <c r="E22" s="124" t="s">
        <v>35</v>
      </c>
      <c r="F22" s="123" t="s">
        <v>35</v>
      </c>
      <c r="G22" s="124" t="s">
        <v>35</v>
      </c>
      <c r="H22" s="123">
        <v>3519</v>
      </c>
      <c r="I22" s="124">
        <v>1574</v>
      </c>
      <c r="J22" s="123">
        <v>101</v>
      </c>
      <c r="K22" s="1073">
        <v>32431</v>
      </c>
      <c r="L22" s="87">
        <v>5.9867237421675767E-3</v>
      </c>
    </row>
    <row r="23" spans="1:12" ht="20" customHeight="1" thickBot="1">
      <c r="A23" s="825" t="s">
        <v>224</v>
      </c>
      <c r="B23" s="123">
        <v>5795</v>
      </c>
      <c r="C23" s="124" t="s">
        <v>35</v>
      </c>
      <c r="D23" s="123" t="s">
        <v>35</v>
      </c>
      <c r="E23" s="124" t="s">
        <v>35</v>
      </c>
      <c r="F23" s="123">
        <v>2334</v>
      </c>
      <c r="G23" s="124">
        <v>1313</v>
      </c>
      <c r="H23" s="123">
        <v>1660</v>
      </c>
      <c r="I23" s="124">
        <v>735</v>
      </c>
      <c r="J23" s="123">
        <v>2416</v>
      </c>
      <c r="K23" s="1073">
        <v>14253</v>
      </c>
      <c r="L23" s="87">
        <v>0.24643637953651076</v>
      </c>
    </row>
    <row r="24" spans="1:12" ht="20" customHeight="1" thickBot="1">
      <c r="A24" s="825" t="s">
        <v>225</v>
      </c>
      <c r="B24" s="123">
        <v>2470</v>
      </c>
      <c r="C24" s="124">
        <v>323</v>
      </c>
      <c r="D24" s="123">
        <v>272</v>
      </c>
      <c r="E24" s="124">
        <v>96</v>
      </c>
      <c r="F24" s="123">
        <v>506</v>
      </c>
      <c r="G24" s="124">
        <v>341</v>
      </c>
      <c r="H24" s="123">
        <v>855</v>
      </c>
      <c r="I24" s="124">
        <v>726</v>
      </c>
      <c r="J24" s="123" t="s">
        <v>1442</v>
      </c>
      <c r="K24" s="1073">
        <v>5589</v>
      </c>
      <c r="L24" s="87">
        <v>-8.9591138621925359E-2</v>
      </c>
    </row>
    <row r="25" spans="1:12" ht="20" customHeight="1" thickBot="1">
      <c r="A25" s="825" t="s">
        <v>226</v>
      </c>
      <c r="B25" s="123">
        <v>958</v>
      </c>
      <c r="C25" s="124">
        <v>133</v>
      </c>
      <c r="D25" s="123">
        <v>47</v>
      </c>
      <c r="E25" s="124">
        <v>16</v>
      </c>
      <c r="F25" s="123">
        <v>399</v>
      </c>
      <c r="G25" s="124">
        <v>201</v>
      </c>
      <c r="H25" s="123">
        <v>417</v>
      </c>
      <c r="I25" s="124">
        <v>421</v>
      </c>
      <c r="J25" s="123" t="s">
        <v>1442</v>
      </c>
      <c r="K25" s="1073">
        <v>2592</v>
      </c>
      <c r="L25" s="87">
        <v>-7.030129124820661E-2</v>
      </c>
    </row>
    <row r="26" spans="1:12" ht="20" customHeight="1" thickBot="1">
      <c r="A26" s="825" t="s">
        <v>227</v>
      </c>
      <c r="B26" s="123">
        <v>20519</v>
      </c>
      <c r="C26" s="124">
        <v>2905</v>
      </c>
      <c r="D26" s="123">
        <v>2228</v>
      </c>
      <c r="E26" s="124">
        <v>753</v>
      </c>
      <c r="F26" s="123">
        <v>7173</v>
      </c>
      <c r="G26" s="124">
        <v>4938</v>
      </c>
      <c r="H26" s="123">
        <v>8823</v>
      </c>
      <c r="I26" s="124">
        <v>5772</v>
      </c>
      <c r="J26" s="123">
        <v>21736</v>
      </c>
      <c r="K26" s="1073">
        <v>74847</v>
      </c>
      <c r="L26" s="87">
        <v>9.5872560359595349E-2</v>
      </c>
    </row>
    <row r="27" spans="1:12" ht="20" customHeight="1" thickBot="1">
      <c r="A27" s="825" t="s">
        <v>228</v>
      </c>
      <c r="B27" s="123">
        <v>15566</v>
      </c>
      <c r="C27" s="124">
        <v>1554</v>
      </c>
      <c r="D27" s="123">
        <v>940</v>
      </c>
      <c r="E27" s="124">
        <v>207</v>
      </c>
      <c r="F27" s="123">
        <v>3587</v>
      </c>
      <c r="G27" s="124">
        <v>2328</v>
      </c>
      <c r="H27" s="123">
        <v>3809</v>
      </c>
      <c r="I27" s="124">
        <v>1692</v>
      </c>
      <c r="J27" s="123" t="s">
        <v>1442</v>
      </c>
      <c r="K27" s="1073">
        <v>29683</v>
      </c>
      <c r="L27" s="87">
        <v>6.1054512957998242E-2</v>
      </c>
    </row>
    <row r="28" spans="1:12" ht="20" customHeight="1" thickBot="1">
      <c r="A28" s="825" t="s">
        <v>229</v>
      </c>
      <c r="B28" s="123">
        <v>30143</v>
      </c>
      <c r="C28" s="124">
        <v>2711</v>
      </c>
      <c r="D28" s="123">
        <v>2258</v>
      </c>
      <c r="E28" s="124">
        <v>782</v>
      </c>
      <c r="F28" s="123">
        <v>8866</v>
      </c>
      <c r="G28" s="124">
        <v>5217</v>
      </c>
      <c r="H28" s="123">
        <v>11098</v>
      </c>
      <c r="I28" s="124">
        <v>6287</v>
      </c>
      <c r="J28" s="123" t="s">
        <v>1442</v>
      </c>
      <c r="K28" s="1073">
        <v>67362</v>
      </c>
      <c r="L28" s="87">
        <v>7.4936967414547029E-2</v>
      </c>
    </row>
    <row r="29" spans="1:12" ht="20" customHeight="1" thickBot="1">
      <c r="A29" s="825" t="s">
        <v>230</v>
      </c>
      <c r="B29" s="123">
        <v>31231</v>
      </c>
      <c r="C29" s="124">
        <v>1793</v>
      </c>
      <c r="D29" s="123">
        <v>1084</v>
      </c>
      <c r="E29" s="124">
        <v>314</v>
      </c>
      <c r="F29" s="123">
        <v>12745</v>
      </c>
      <c r="G29" s="124">
        <v>950</v>
      </c>
      <c r="H29" s="123">
        <v>1371</v>
      </c>
      <c r="I29" s="124">
        <v>1077</v>
      </c>
      <c r="J29" s="123" t="s">
        <v>1442</v>
      </c>
      <c r="K29" s="1073">
        <v>50565</v>
      </c>
      <c r="L29" s="87">
        <v>-7.0107222811358616E-3</v>
      </c>
    </row>
    <row r="30" spans="1:12" ht="20" customHeight="1" thickBot="1">
      <c r="A30" s="825" t="s">
        <v>231</v>
      </c>
      <c r="B30" s="123">
        <v>38166</v>
      </c>
      <c r="C30" s="124">
        <v>3568</v>
      </c>
      <c r="D30" s="123">
        <v>1710</v>
      </c>
      <c r="E30" s="124">
        <v>346</v>
      </c>
      <c r="F30" s="123">
        <v>7498</v>
      </c>
      <c r="G30" s="124">
        <v>3623</v>
      </c>
      <c r="H30" s="123">
        <v>4833</v>
      </c>
      <c r="I30" s="124">
        <v>1584</v>
      </c>
      <c r="J30" s="123" t="s">
        <v>1442</v>
      </c>
      <c r="K30" s="1073">
        <v>61328</v>
      </c>
      <c r="L30" s="87">
        <v>5.5795616919448454E-2</v>
      </c>
    </row>
    <row r="31" spans="1:12" ht="20" customHeight="1" thickBot="1">
      <c r="A31" s="825" t="s">
        <v>232</v>
      </c>
      <c r="B31" s="123">
        <v>48541</v>
      </c>
      <c r="C31" s="124">
        <v>5706</v>
      </c>
      <c r="D31" s="123">
        <v>3050</v>
      </c>
      <c r="E31" s="124">
        <v>880</v>
      </c>
      <c r="F31" s="123">
        <v>8219</v>
      </c>
      <c r="G31" s="124">
        <v>4488</v>
      </c>
      <c r="H31" s="123">
        <v>5948</v>
      </c>
      <c r="I31" s="124">
        <v>3278</v>
      </c>
      <c r="J31" s="123">
        <v>5408</v>
      </c>
      <c r="K31" s="1073">
        <v>85518</v>
      </c>
      <c r="L31" s="87">
        <v>3.1045416731972475E-2</v>
      </c>
    </row>
    <row r="32" spans="1:12" ht="20" customHeight="1" thickBot="1">
      <c r="A32" s="825" t="s">
        <v>233</v>
      </c>
      <c r="B32" s="123">
        <v>34772</v>
      </c>
      <c r="C32" s="124">
        <v>2911</v>
      </c>
      <c r="D32" s="123">
        <v>1738</v>
      </c>
      <c r="E32" s="124">
        <v>425</v>
      </c>
      <c r="F32" s="123">
        <v>4497</v>
      </c>
      <c r="G32" s="124">
        <v>1897</v>
      </c>
      <c r="H32" s="123">
        <v>4314</v>
      </c>
      <c r="I32" s="124">
        <v>2407</v>
      </c>
      <c r="J32" s="123" t="s">
        <v>1442</v>
      </c>
      <c r="K32" s="1073">
        <v>52961</v>
      </c>
      <c r="L32" s="87">
        <v>-8.9076856859479081E-3</v>
      </c>
    </row>
    <row r="33" spans="1:15" ht="20" customHeight="1" thickBot="1">
      <c r="A33" s="825" t="s">
        <v>234</v>
      </c>
      <c r="B33" s="123">
        <v>18507</v>
      </c>
      <c r="C33" s="124">
        <v>1857</v>
      </c>
      <c r="D33" s="123">
        <v>944</v>
      </c>
      <c r="E33" s="124">
        <v>246</v>
      </c>
      <c r="F33" s="123">
        <v>2966</v>
      </c>
      <c r="G33" s="124">
        <v>1492</v>
      </c>
      <c r="H33" s="123">
        <v>2001</v>
      </c>
      <c r="I33" s="124">
        <v>902</v>
      </c>
      <c r="J33" s="123">
        <v>107</v>
      </c>
      <c r="K33" s="1073">
        <v>29022</v>
      </c>
      <c r="L33" s="87">
        <v>1.8137168917733648E-2</v>
      </c>
    </row>
    <row r="34" spans="1:15" ht="20" customHeight="1" thickBot="1">
      <c r="A34" s="825" t="s">
        <v>235</v>
      </c>
      <c r="B34" s="123">
        <v>55544</v>
      </c>
      <c r="C34" s="124">
        <v>8668</v>
      </c>
      <c r="D34" s="123">
        <v>4527</v>
      </c>
      <c r="E34" s="124">
        <v>1506</v>
      </c>
      <c r="F34" s="123">
        <v>10251</v>
      </c>
      <c r="G34" s="124">
        <v>6279</v>
      </c>
      <c r="H34" s="123">
        <v>5650</v>
      </c>
      <c r="I34" s="124">
        <v>2771</v>
      </c>
      <c r="J34" s="123" t="s">
        <v>1442</v>
      </c>
      <c r="K34" s="1073">
        <v>95196</v>
      </c>
      <c r="L34" s="87">
        <v>3.9495954312669834E-2</v>
      </c>
    </row>
    <row r="35" spans="1:15" ht="20" customHeight="1" thickBot="1">
      <c r="A35" s="825" t="s">
        <v>236</v>
      </c>
      <c r="B35" s="123">
        <v>8625</v>
      </c>
      <c r="C35" s="124">
        <v>681</v>
      </c>
      <c r="D35" s="123">
        <v>478</v>
      </c>
      <c r="E35" s="124">
        <v>155</v>
      </c>
      <c r="F35" s="123">
        <v>1581</v>
      </c>
      <c r="G35" s="124">
        <v>407</v>
      </c>
      <c r="H35" s="123">
        <v>583</v>
      </c>
      <c r="I35" s="124">
        <v>638</v>
      </c>
      <c r="J35" s="123">
        <v>634</v>
      </c>
      <c r="K35" s="1073">
        <v>13782</v>
      </c>
      <c r="L35" s="87">
        <v>4.2261731273680603E-3</v>
      </c>
    </row>
    <row r="36" spans="1:15" ht="30" customHeight="1" thickBot="1">
      <c r="A36" s="1074" t="s">
        <v>1774</v>
      </c>
      <c r="B36" s="1075">
        <v>731156</v>
      </c>
      <c r="C36" s="1076">
        <v>72902</v>
      </c>
      <c r="D36" s="1075">
        <v>42463</v>
      </c>
      <c r="E36" s="1076">
        <v>11283</v>
      </c>
      <c r="F36" s="1075">
        <v>130079</v>
      </c>
      <c r="G36" s="1076">
        <v>69558</v>
      </c>
      <c r="H36" s="1075">
        <v>111713</v>
      </c>
      <c r="I36" s="1076">
        <v>59468</v>
      </c>
      <c r="J36" s="337">
        <v>41970</v>
      </c>
      <c r="K36" s="134">
        <v>1270592</v>
      </c>
      <c r="L36" s="772">
        <v>3.3490643540276865E-2</v>
      </c>
      <c r="O36" s="324"/>
    </row>
    <row r="37" spans="1:15" ht="19.5" customHeight="1">
      <c r="A37" s="832"/>
      <c r="B37" s="135"/>
      <c r="C37" s="135"/>
      <c r="D37" s="135"/>
      <c r="E37" s="135"/>
      <c r="F37" s="135"/>
      <c r="G37" s="135"/>
      <c r="H37" s="135"/>
      <c r="I37" s="135"/>
    </row>
    <row r="38" spans="1:15" ht="63.75" customHeight="1" thickBot="1">
      <c r="A38" s="1077" t="s">
        <v>1775</v>
      </c>
      <c r="B38" s="1078">
        <v>1433.9</v>
      </c>
      <c r="C38" s="1078">
        <v>162.9</v>
      </c>
      <c r="D38" s="1078">
        <v>118.9</v>
      </c>
      <c r="E38" s="1078">
        <v>44.8</v>
      </c>
      <c r="F38" s="1078">
        <v>414.6</v>
      </c>
      <c r="G38" s="1078">
        <v>198.7</v>
      </c>
      <c r="H38" s="1078">
        <v>354.7</v>
      </c>
      <c r="I38" s="1078">
        <v>265.5</v>
      </c>
      <c r="J38" s="1078">
        <v>985.8</v>
      </c>
      <c r="K38" s="1079">
        <v>3979.8</v>
      </c>
      <c r="L38" s="1080" t="s">
        <v>35</v>
      </c>
    </row>
    <row r="39" spans="1:15" ht="19.5" customHeight="1">
      <c r="A39" s="832" t="s">
        <v>1722</v>
      </c>
      <c r="B39" s="136"/>
      <c r="C39" s="136"/>
      <c r="D39" s="136"/>
      <c r="E39" s="136"/>
      <c r="F39" s="136"/>
      <c r="G39" s="136"/>
      <c r="H39" s="136"/>
      <c r="I39" s="136"/>
    </row>
    <row r="40" spans="1:15" ht="14.25" customHeight="1">
      <c r="A40" s="834"/>
      <c r="B40" s="136"/>
      <c r="C40" s="136"/>
      <c r="D40" s="136"/>
      <c r="E40" s="136"/>
      <c r="F40" s="136"/>
      <c r="G40" s="136"/>
      <c r="H40" s="136"/>
      <c r="I40" s="136"/>
    </row>
    <row r="41" spans="1:15" ht="14.25" customHeight="1">
      <c r="A41" s="834" t="s">
        <v>1776</v>
      </c>
      <c r="B41" s="136"/>
      <c r="C41" s="136"/>
      <c r="D41" s="136"/>
      <c r="E41" s="136"/>
      <c r="F41" s="136"/>
      <c r="G41" s="136"/>
      <c r="H41" s="136"/>
      <c r="I41" s="136"/>
    </row>
    <row r="42" spans="1:15" ht="13.5" customHeight="1">
      <c r="A42" s="834"/>
      <c r="B42" s="136"/>
      <c r="C42" s="136"/>
      <c r="D42" s="136"/>
      <c r="E42" s="136"/>
      <c r="F42" s="136"/>
      <c r="G42" s="136"/>
      <c r="H42" s="136"/>
      <c r="I42" s="136"/>
    </row>
    <row r="43" spans="1:15" ht="11.25" customHeight="1">
      <c r="A43" s="96" t="s">
        <v>1777</v>
      </c>
      <c r="B43" s="136"/>
      <c r="C43" s="136"/>
      <c r="D43" s="136"/>
      <c r="E43" s="136"/>
      <c r="F43" s="136"/>
      <c r="G43" s="136"/>
      <c r="H43" s="136"/>
      <c r="I43" s="136"/>
    </row>
    <row r="44" spans="1:15">
      <c r="A44" s="96" t="s">
        <v>1778</v>
      </c>
    </row>
    <row r="47" spans="1:15">
      <c r="A47" s="3" t="s">
        <v>677</v>
      </c>
    </row>
  </sheetData>
  <pageMargins left="0.43" right="0.47" top="0.83" bottom="0.49" header="0.47" footer="0.4921259845"/>
  <pageSetup paperSize="9" scale="68" orientation="portrait" horizontalDpi="1200" verticalDpi="1200"/>
  <headerFooter alignWithMargins="0"/>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5C82D-6C9D-8745-9F36-5079E2C5617C}">
  <sheetPr>
    <pageSetUpPr fitToPage="1"/>
  </sheetPr>
  <dimension ref="A1:O40"/>
  <sheetViews>
    <sheetView zoomScaleNormal="100" workbookViewId="0">
      <selection activeCell="A33" sqref="A33"/>
    </sheetView>
  </sheetViews>
  <sheetFormatPr baseColWidth="10" defaultColWidth="11.3984375" defaultRowHeight="13"/>
  <cols>
    <col min="1" max="1" width="12.3984375" style="3" customWidth="1"/>
    <col min="2" max="9" width="11.59765625" style="3" customWidth="1"/>
    <col min="10" max="10" width="13.59765625" style="3" customWidth="1"/>
    <col min="11" max="11" width="13.19921875" style="3" customWidth="1"/>
    <col min="12" max="16384" width="11.3984375" style="3"/>
  </cols>
  <sheetData>
    <row r="1" spans="1:15" s="2" customFormat="1" ht="14" customHeight="1"/>
    <row r="2" spans="1:15" s="2" customFormat="1" ht="28" customHeight="1">
      <c r="A2" s="71" t="s">
        <v>1779</v>
      </c>
      <c r="J2" s="358"/>
      <c r="K2" s="437">
        <v>2010</v>
      </c>
    </row>
    <row r="3" spans="1:15" ht="24" customHeight="1">
      <c r="A3" s="72" t="s">
        <v>1759</v>
      </c>
      <c r="B3" s="692" t="s">
        <v>1780</v>
      </c>
      <c r="C3" s="74"/>
      <c r="D3" s="73"/>
      <c r="E3" s="72"/>
      <c r="F3" s="692"/>
      <c r="G3" s="74"/>
      <c r="H3" s="692"/>
      <c r="I3" s="74"/>
      <c r="J3" s="692"/>
      <c r="K3" s="354" t="s">
        <v>190</v>
      </c>
    </row>
    <row r="4" spans="1:15" ht="15" customHeight="1">
      <c r="A4" s="328"/>
      <c r="B4" s="76" t="s">
        <v>1781</v>
      </c>
      <c r="C4" s="106" t="s">
        <v>1782</v>
      </c>
      <c r="D4" s="105" t="s">
        <v>1783</v>
      </c>
      <c r="E4" s="106" t="s">
        <v>1784</v>
      </c>
      <c r="F4" s="105" t="s">
        <v>1785</v>
      </c>
      <c r="G4" s="106" t="s">
        <v>1786</v>
      </c>
      <c r="H4" s="105" t="s">
        <v>1787</v>
      </c>
      <c r="I4" s="106" t="s">
        <v>1133</v>
      </c>
      <c r="J4" s="105" t="s">
        <v>1788</v>
      </c>
      <c r="K4" s="354" t="s">
        <v>1720</v>
      </c>
    </row>
    <row r="5" spans="1:15" ht="24" customHeight="1">
      <c r="A5" s="328"/>
      <c r="B5" s="76"/>
      <c r="C5" s="1016">
        <v>1200</v>
      </c>
      <c r="D5" s="895">
        <v>2400</v>
      </c>
      <c r="E5" s="1016">
        <v>3600</v>
      </c>
      <c r="F5" s="895">
        <v>4800</v>
      </c>
      <c r="G5" s="1016">
        <v>6000</v>
      </c>
      <c r="H5" s="895">
        <v>12000</v>
      </c>
      <c r="I5" s="1016">
        <v>12000</v>
      </c>
      <c r="J5" s="895" t="s">
        <v>1663</v>
      </c>
      <c r="K5" s="189"/>
    </row>
    <row r="6" spans="1:15" ht="30" customHeight="1" thickBot="1">
      <c r="A6" s="821" t="s">
        <v>211</v>
      </c>
      <c r="B6" s="85">
        <v>9820</v>
      </c>
      <c r="C6" s="86">
        <v>94325</v>
      </c>
      <c r="D6" s="85">
        <v>99537</v>
      </c>
      <c r="E6" s="86">
        <v>26648</v>
      </c>
      <c r="F6" s="85">
        <v>41018</v>
      </c>
      <c r="G6" s="86">
        <v>9010</v>
      </c>
      <c r="H6" s="85">
        <v>9878</v>
      </c>
      <c r="I6" s="86">
        <v>403</v>
      </c>
      <c r="J6" s="85">
        <v>2186</v>
      </c>
      <c r="K6" s="823">
        <v>292825</v>
      </c>
      <c r="M6" s="8"/>
      <c r="O6" s="8"/>
    </row>
    <row r="7" spans="1:15" ht="20" customHeight="1" thickBot="1">
      <c r="A7" s="825" t="s">
        <v>212</v>
      </c>
      <c r="B7" s="318">
        <v>6011</v>
      </c>
      <c r="C7" s="319">
        <v>52882</v>
      </c>
      <c r="D7" s="318">
        <v>45664</v>
      </c>
      <c r="E7" s="319">
        <v>12876</v>
      </c>
      <c r="F7" s="318">
        <v>6804</v>
      </c>
      <c r="G7" s="319">
        <v>3066</v>
      </c>
      <c r="H7" s="318">
        <v>912</v>
      </c>
      <c r="I7" s="319"/>
      <c r="J7" s="318"/>
      <c r="K7" s="823">
        <v>128215</v>
      </c>
      <c r="M7" s="8"/>
      <c r="O7" s="8"/>
    </row>
    <row r="8" spans="1:15" ht="20" customHeight="1" thickBot="1">
      <c r="A8" s="825" t="s">
        <v>213</v>
      </c>
      <c r="B8" s="318">
        <v>8408</v>
      </c>
      <c r="C8" s="319">
        <v>12475</v>
      </c>
      <c r="D8" s="318">
        <v>13219</v>
      </c>
      <c r="E8" s="319">
        <v>11710</v>
      </c>
      <c r="F8" s="318">
        <v>11705</v>
      </c>
      <c r="G8" s="319">
        <v>1947</v>
      </c>
      <c r="H8" s="318">
        <v>3945</v>
      </c>
      <c r="I8" s="319">
        <v>99</v>
      </c>
      <c r="J8" s="318">
        <v>1923</v>
      </c>
      <c r="K8" s="823">
        <v>65431</v>
      </c>
      <c r="M8" s="8"/>
      <c r="O8" s="8"/>
    </row>
    <row r="9" spans="1:15" ht="20" customHeight="1" thickBot="1">
      <c r="A9" s="825" t="s">
        <v>214</v>
      </c>
      <c r="B9" s="318">
        <v>1160</v>
      </c>
      <c r="C9" s="319">
        <v>1717</v>
      </c>
      <c r="D9" s="318">
        <v>1826</v>
      </c>
      <c r="E9" s="319">
        <v>1361</v>
      </c>
      <c r="F9" s="318">
        <v>178</v>
      </c>
      <c r="G9" s="319">
        <v>208</v>
      </c>
      <c r="H9" s="318">
        <v>51</v>
      </c>
      <c r="I9" s="319"/>
      <c r="J9" s="318"/>
      <c r="K9" s="823">
        <v>6501</v>
      </c>
      <c r="M9" s="8"/>
      <c r="O9" s="8"/>
    </row>
    <row r="10" spans="1:15" ht="20" customHeight="1" thickBot="1">
      <c r="A10" s="825" t="s">
        <v>215</v>
      </c>
      <c r="B10" s="318">
        <v>1608</v>
      </c>
      <c r="C10" s="319">
        <v>1958</v>
      </c>
      <c r="D10" s="318">
        <v>3770</v>
      </c>
      <c r="E10" s="319">
        <v>3491</v>
      </c>
      <c r="F10" s="318">
        <v>2025</v>
      </c>
      <c r="G10" s="319">
        <v>536</v>
      </c>
      <c r="H10" s="318">
        <v>543</v>
      </c>
      <c r="I10" s="319">
        <v>4</v>
      </c>
      <c r="J10" s="318">
        <v>4581</v>
      </c>
      <c r="K10" s="823">
        <v>18516</v>
      </c>
      <c r="M10" s="8"/>
      <c r="O10" s="8"/>
    </row>
    <row r="11" spans="1:15" ht="20" customHeight="1" thickBot="1">
      <c r="A11" s="825" t="s">
        <v>216</v>
      </c>
      <c r="B11" s="318">
        <v>1433</v>
      </c>
      <c r="C11" s="319">
        <v>1408</v>
      </c>
      <c r="D11" s="318">
        <v>1586</v>
      </c>
      <c r="E11" s="319">
        <v>2704</v>
      </c>
      <c r="F11" s="318">
        <v>429</v>
      </c>
      <c r="G11" s="319">
        <v>266</v>
      </c>
      <c r="H11" s="318">
        <v>254</v>
      </c>
      <c r="I11" s="319"/>
      <c r="J11" s="318"/>
      <c r="K11" s="823">
        <v>8080</v>
      </c>
      <c r="M11" s="8"/>
      <c r="O11" s="8"/>
    </row>
    <row r="12" spans="1:15" ht="20" customHeight="1" thickBot="1">
      <c r="A12" s="825" t="s">
        <v>217</v>
      </c>
      <c r="B12" s="318">
        <v>1792</v>
      </c>
      <c r="C12" s="319">
        <v>2496</v>
      </c>
      <c r="D12" s="318">
        <v>3228</v>
      </c>
      <c r="E12" s="319">
        <v>1549</v>
      </c>
      <c r="F12" s="318">
        <v>289</v>
      </c>
      <c r="G12" s="319">
        <v>50</v>
      </c>
      <c r="H12" s="318">
        <v>60</v>
      </c>
      <c r="I12" s="319"/>
      <c r="J12" s="318"/>
      <c r="K12" s="823">
        <v>9464</v>
      </c>
      <c r="M12" s="8"/>
      <c r="O12" s="8"/>
    </row>
    <row r="13" spans="1:15" ht="20" customHeight="1" thickBot="1">
      <c r="A13" s="825" t="s">
        <v>218</v>
      </c>
      <c r="B13" s="318">
        <v>1031</v>
      </c>
      <c r="C13" s="319">
        <v>960</v>
      </c>
      <c r="D13" s="318">
        <v>1320</v>
      </c>
      <c r="E13" s="319">
        <v>1090</v>
      </c>
      <c r="F13" s="318">
        <v>263</v>
      </c>
      <c r="G13" s="319">
        <v>117</v>
      </c>
      <c r="H13" s="318">
        <v>159</v>
      </c>
      <c r="I13" s="319">
        <v>1</v>
      </c>
      <c r="J13" s="318"/>
      <c r="K13" s="823">
        <v>4941</v>
      </c>
      <c r="M13" s="8"/>
      <c r="O13" s="8"/>
    </row>
    <row r="14" spans="1:15" ht="20" customHeight="1" thickBot="1">
      <c r="A14" s="825" t="s">
        <v>219</v>
      </c>
      <c r="B14" s="318">
        <v>1876</v>
      </c>
      <c r="C14" s="319">
        <v>1892</v>
      </c>
      <c r="D14" s="318">
        <v>3719</v>
      </c>
      <c r="E14" s="319">
        <v>3419</v>
      </c>
      <c r="F14" s="318">
        <v>1166</v>
      </c>
      <c r="G14" s="319">
        <v>696</v>
      </c>
      <c r="H14" s="318">
        <v>684</v>
      </c>
      <c r="I14" s="319">
        <v>9</v>
      </c>
      <c r="J14" s="318"/>
      <c r="K14" s="823">
        <v>13461</v>
      </c>
      <c r="M14" s="8"/>
      <c r="O14" s="8"/>
    </row>
    <row r="15" spans="1:15" ht="20" customHeight="1" thickBot="1">
      <c r="A15" s="825" t="s">
        <v>220</v>
      </c>
      <c r="B15" s="318">
        <v>874</v>
      </c>
      <c r="C15" s="319">
        <v>6044</v>
      </c>
      <c r="D15" s="318">
        <v>13605</v>
      </c>
      <c r="E15" s="319">
        <v>12605</v>
      </c>
      <c r="F15" s="318">
        <v>5087</v>
      </c>
      <c r="G15" s="319">
        <v>2326</v>
      </c>
      <c r="H15" s="318">
        <v>2449</v>
      </c>
      <c r="I15" s="319">
        <v>68</v>
      </c>
      <c r="J15" s="318"/>
      <c r="K15" s="823">
        <v>43058</v>
      </c>
      <c r="M15" s="8"/>
      <c r="O15" s="8"/>
    </row>
    <row r="16" spans="1:15" ht="20" customHeight="1" thickBot="1">
      <c r="A16" s="825" t="s">
        <v>221</v>
      </c>
      <c r="B16" s="318">
        <v>3978</v>
      </c>
      <c r="C16" s="319">
        <v>5427</v>
      </c>
      <c r="D16" s="318">
        <v>10570</v>
      </c>
      <c r="E16" s="319">
        <v>7498</v>
      </c>
      <c r="F16" s="318">
        <v>4164</v>
      </c>
      <c r="G16" s="319">
        <v>1659</v>
      </c>
      <c r="H16" s="318">
        <v>1745</v>
      </c>
      <c r="I16" s="319">
        <v>30</v>
      </c>
      <c r="J16" s="318"/>
      <c r="K16" s="823">
        <v>35071</v>
      </c>
      <c r="M16" s="8"/>
      <c r="O16" s="8"/>
    </row>
    <row r="17" spans="1:15" ht="20" customHeight="1" thickBot="1">
      <c r="A17" s="825" t="s">
        <v>222</v>
      </c>
      <c r="B17" s="318">
        <v>1942</v>
      </c>
      <c r="C17" s="319">
        <v>2070</v>
      </c>
      <c r="D17" s="318">
        <v>4465</v>
      </c>
      <c r="E17" s="319">
        <v>4244</v>
      </c>
      <c r="F17" s="318">
        <v>3719</v>
      </c>
      <c r="G17" s="319">
        <v>9104</v>
      </c>
      <c r="H17" s="318">
        <v>3771</v>
      </c>
      <c r="I17" s="319">
        <v>380</v>
      </c>
      <c r="J17" s="318">
        <v>205</v>
      </c>
      <c r="K17" s="823">
        <v>29900</v>
      </c>
      <c r="M17" s="8"/>
      <c r="O17" s="8"/>
    </row>
    <row r="18" spans="1:15" ht="20" customHeight="1" thickBot="1">
      <c r="A18" s="825" t="s">
        <v>223</v>
      </c>
      <c r="B18" s="133">
        <v>221</v>
      </c>
      <c r="C18" s="132">
        <v>3848</v>
      </c>
      <c r="D18" s="318">
        <v>17767</v>
      </c>
      <c r="E18" s="319">
        <v>6116</v>
      </c>
      <c r="F18" s="133">
        <v>2469</v>
      </c>
      <c r="G18" s="132">
        <v>1203</v>
      </c>
      <c r="H18" s="133">
        <v>731</v>
      </c>
      <c r="I18" s="132">
        <v>76</v>
      </c>
      <c r="J18" s="133"/>
      <c r="K18" s="823">
        <v>32431</v>
      </c>
      <c r="M18" s="8"/>
      <c r="O18" s="8"/>
    </row>
    <row r="19" spans="1:15" ht="20" customHeight="1" thickBot="1">
      <c r="A19" s="825" t="s">
        <v>224</v>
      </c>
      <c r="B19" s="318">
        <v>1566</v>
      </c>
      <c r="C19" s="319">
        <v>1502</v>
      </c>
      <c r="D19" s="318">
        <v>3330</v>
      </c>
      <c r="E19" s="319">
        <v>3111</v>
      </c>
      <c r="F19" s="318">
        <v>1164</v>
      </c>
      <c r="G19" s="319">
        <v>668</v>
      </c>
      <c r="H19" s="318">
        <v>493</v>
      </c>
      <c r="I19" s="319">
        <v>3</v>
      </c>
      <c r="J19" s="318">
        <v>2416</v>
      </c>
      <c r="K19" s="823">
        <v>14253</v>
      </c>
      <c r="M19" s="8"/>
      <c r="O19" s="8"/>
    </row>
    <row r="20" spans="1:15" ht="20" customHeight="1" thickBot="1">
      <c r="A20" s="825" t="s">
        <v>225</v>
      </c>
      <c r="B20" s="318">
        <v>297</v>
      </c>
      <c r="C20" s="319">
        <v>385</v>
      </c>
      <c r="D20" s="318">
        <v>1344</v>
      </c>
      <c r="E20" s="319">
        <v>1930</v>
      </c>
      <c r="F20" s="318">
        <v>509</v>
      </c>
      <c r="G20" s="319">
        <v>425</v>
      </c>
      <c r="H20" s="318">
        <v>693</v>
      </c>
      <c r="I20" s="319">
        <v>6</v>
      </c>
      <c r="J20" s="318"/>
      <c r="K20" s="823">
        <v>5589</v>
      </c>
      <c r="M20" s="8"/>
      <c r="O20" s="8"/>
    </row>
    <row r="21" spans="1:15" ht="20" customHeight="1" thickBot="1">
      <c r="A21" s="825" t="s">
        <v>226</v>
      </c>
      <c r="B21" s="318">
        <v>755</v>
      </c>
      <c r="C21" s="319">
        <v>496</v>
      </c>
      <c r="D21" s="318">
        <v>623</v>
      </c>
      <c r="E21" s="319">
        <v>430</v>
      </c>
      <c r="F21" s="318">
        <v>160</v>
      </c>
      <c r="G21" s="319">
        <v>90</v>
      </c>
      <c r="H21" s="318">
        <v>38</v>
      </c>
      <c r="I21" s="319"/>
      <c r="J21" s="318"/>
      <c r="K21" s="823">
        <v>2592</v>
      </c>
      <c r="M21" s="8"/>
      <c r="O21" s="8"/>
    </row>
    <row r="22" spans="1:15" ht="20" customHeight="1" thickBot="1">
      <c r="A22" s="825" t="s">
        <v>227</v>
      </c>
      <c r="B22" s="318">
        <v>11241</v>
      </c>
      <c r="C22" s="319">
        <v>9417</v>
      </c>
      <c r="D22" s="318">
        <v>15998</v>
      </c>
      <c r="E22" s="319">
        <v>9669</v>
      </c>
      <c r="F22" s="318">
        <v>3949</v>
      </c>
      <c r="G22" s="319">
        <v>1744</v>
      </c>
      <c r="H22" s="318">
        <v>1644</v>
      </c>
      <c r="I22" s="319">
        <v>72</v>
      </c>
      <c r="J22" s="318">
        <v>21113</v>
      </c>
      <c r="K22" s="823">
        <v>74847</v>
      </c>
      <c r="M22" s="8"/>
      <c r="O22" s="8"/>
    </row>
    <row r="23" spans="1:15" ht="20" customHeight="1" thickBot="1">
      <c r="A23" s="825" t="s">
        <v>228</v>
      </c>
      <c r="B23" s="318">
        <v>3189</v>
      </c>
      <c r="C23" s="319">
        <v>4226</v>
      </c>
      <c r="D23" s="318">
        <v>7853</v>
      </c>
      <c r="E23" s="319">
        <v>8344</v>
      </c>
      <c r="F23" s="318">
        <v>3378</v>
      </c>
      <c r="G23" s="319">
        <v>1166</v>
      </c>
      <c r="H23" s="318">
        <v>1517</v>
      </c>
      <c r="I23" s="319">
        <v>10</v>
      </c>
      <c r="J23" s="318"/>
      <c r="K23" s="823">
        <v>29683</v>
      </c>
      <c r="M23" s="8"/>
      <c r="O23" s="8"/>
    </row>
    <row r="24" spans="1:15" ht="20" customHeight="1" thickBot="1">
      <c r="A24" s="825" t="s">
        <v>229</v>
      </c>
      <c r="B24" s="318">
        <v>4341</v>
      </c>
      <c r="C24" s="319">
        <v>7395</v>
      </c>
      <c r="D24" s="318">
        <v>17078</v>
      </c>
      <c r="E24" s="319">
        <v>15705</v>
      </c>
      <c r="F24" s="318">
        <v>14569</v>
      </c>
      <c r="G24" s="319">
        <v>3205</v>
      </c>
      <c r="H24" s="318">
        <v>4918</v>
      </c>
      <c r="I24" s="319">
        <v>151</v>
      </c>
      <c r="J24" s="318"/>
      <c r="K24" s="823">
        <v>67362</v>
      </c>
      <c r="M24" s="8"/>
      <c r="O24" s="8"/>
    </row>
    <row r="25" spans="1:15" ht="20" customHeight="1" thickBot="1">
      <c r="A25" s="825" t="s">
        <v>230</v>
      </c>
      <c r="B25" s="318">
        <v>283</v>
      </c>
      <c r="C25" s="319">
        <v>9052</v>
      </c>
      <c r="D25" s="318">
        <v>33003</v>
      </c>
      <c r="E25" s="319">
        <v>5465</v>
      </c>
      <c r="F25" s="318">
        <v>1885</v>
      </c>
      <c r="G25" s="319">
        <v>705</v>
      </c>
      <c r="H25" s="318">
        <v>172</v>
      </c>
      <c r="I25" s="319"/>
      <c r="J25" s="318"/>
      <c r="K25" s="823">
        <v>50565</v>
      </c>
      <c r="M25" s="8"/>
      <c r="O25" s="8"/>
    </row>
    <row r="26" spans="1:15" ht="20" customHeight="1" thickBot="1">
      <c r="A26" s="825" t="s">
        <v>231</v>
      </c>
      <c r="B26" s="318">
        <v>4911</v>
      </c>
      <c r="C26" s="319">
        <v>4151</v>
      </c>
      <c r="D26" s="318">
        <v>7313</v>
      </c>
      <c r="E26" s="319">
        <v>18898</v>
      </c>
      <c r="F26" s="318">
        <v>15293</v>
      </c>
      <c r="G26" s="319">
        <v>2194</v>
      </c>
      <c r="H26" s="318">
        <v>8302</v>
      </c>
      <c r="I26" s="319">
        <v>266</v>
      </c>
      <c r="J26" s="318"/>
      <c r="K26" s="823">
        <v>61328</v>
      </c>
      <c r="M26" s="8"/>
      <c r="O26" s="8"/>
    </row>
    <row r="27" spans="1:15" ht="20" customHeight="1" thickBot="1">
      <c r="A27" s="825" t="s">
        <v>232</v>
      </c>
      <c r="B27" s="318">
        <v>4687</v>
      </c>
      <c r="C27" s="319">
        <v>5724</v>
      </c>
      <c r="D27" s="318">
        <v>7897</v>
      </c>
      <c r="E27" s="319">
        <v>16458</v>
      </c>
      <c r="F27" s="318">
        <v>23953</v>
      </c>
      <c r="G27" s="319">
        <v>12053</v>
      </c>
      <c r="H27" s="318">
        <v>14037</v>
      </c>
      <c r="I27" s="319">
        <v>709</v>
      </c>
      <c r="J27" s="318"/>
      <c r="K27" s="823">
        <v>85518</v>
      </c>
      <c r="M27" s="8"/>
      <c r="O27" s="8"/>
    </row>
    <row r="28" spans="1:15" ht="20" customHeight="1" thickBot="1">
      <c r="A28" s="825" t="s">
        <v>233</v>
      </c>
      <c r="B28" s="318">
        <v>53</v>
      </c>
      <c r="C28" s="319">
        <v>5405</v>
      </c>
      <c r="D28" s="318">
        <v>13403</v>
      </c>
      <c r="E28" s="319">
        <v>19910</v>
      </c>
      <c r="F28" s="318">
        <v>7363</v>
      </c>
      <c r="G28" s="319">
        <v>2583</v>
      </c>
      <c r="H28" s="318">
        <v>4208</v>
      </c>
      <c r="I28" s="319">
        <v>36</v>
      </c>
      <c r="J28" s="318"/>
      <c r="K28" s="823">
        <v>52961</v>
      </c>
      <c r="M28" s="8"/>
      <c r="O28" s="8"/>
    </row>
    <row r="29" spans="1:15" ht="20" customHeight="1" thickBot="1">
      <c r="A29" s="825" t="s">
        <v>234</v>
      </c>
      <c r="B29" s="318">
        <v>3522</v>
      </c>
      <c r="C29" s="319">
        <v>3921</v>
      </c>
      <c r="D29" s="318">
        <v>5680</v>
      </c>
      <c r="E29" s="319">
        <v>3381</v>
      </c>
      <c r="F29" s="318">
        <v>8907</v>
      </c>
      <c r="G29" s="319">
        <v>1301</v>
      </c>
      <c r="H29" s="318">
        <v>2222</v>
      </c>
      <c r="I29" s="319">
        <v>88</v>
      </c>
      <c r="J29" s="318"/>
      <c r="K29" s="823">
        <v>29022</v>
      </c>
      <c r="M29" s="8"/>
      <c r="O29" s="8"/>
    </row>
    <row r="30" spans="1:15" ht="20" customHeight="1" thickBot="1">
      <c r="A30" s="825" t="s">
        <v>235</v>
      </c>
      <c r="B30" s="318">
        <v>15239</v>
      </c>
      <c r="C30" s="319">
        <v>21246</v>
      </c>
      <c r="D30" s="318">
        <v>16191</v>
      </c>
      <c r="E30" s="319">
        <v>9157</v>
      </c>
      <c r="F30" s="318">
        <v>8581</v>
      </c>
      <c r="G30" s="319">
        <v>18280</v>
      </c>
      <c r="H30" s="318">
        <v>5894</v>
      </c>
      <c r="I30" s="319">
        <v>608</v>
      </c>
      <c r="J30" s="318"/>
      <c r="K30" s="823">
        <v>95196</v>
      </c>
      <c r="M30" s="8"/>
      <c r="O30" s="8"/>
    </row>
    <row r="31" spans="1:15" ht="20" customHeight="1" thickBot="1">
      <c r="A31" s="825" t="s">
        <v>236</v>
      </c>
      <c r="B31" s="318">
        <v>1907</v>
      </c>
      <c r="C31" s="319">
        <v>2257</v>
      </c>
      <c r="D31" s="318">
        <v>3318</v>
      </c>
      <c r="E31" s="319">
        <v>1585</v>
      </c>
      <c r="F31" s="318">
        <v>3222</v>
      </c>
      <c r="G31" s="319">
        <v>438</v>
      </c>
      <c r="H31" s="318">
        <v>970</v>
      </c>
      <c r="I31" s="319">
        <v>85</v>
      </c>
      <c r="J31" s="318"/>
      <c r="K31" s="823">
        <v>13782</v>
      </c>
      <c r="M31" s="8"/>
      <c r="O31" s="8"/>
    </row>
    <row r="32" spans="1:15" ht="30" customHeight="1" thickBot="1">
      <c r="A32" s="367" t="s">
        <v>0</v>
      </c>
      <c r="B32" s="366">
        <v>92145</v>
      </c>
      <c r="C32" s="367">
        <v>262679</v>
      </c>
      <c r="D32" s="366">
        <v>353307</v>
      </c>
      <c r="E32" s="367">
        <v>209354</v>
      </c>
      <c r="F32" s="366">
        <v>172249</v>
      </c>
      <c r="G32" s="367">
        <v>75040</v>
      </c>
      <c r="H32" s="366">
        <v>70290</v>
      </c>
      <c r="I32" s="402">
        <v>3104</v>
      </c>
      <c r="J32" s="403">
        <v>32424</v>
      </c>
      <c r="K32" s="402">
        <v>1270592</v>
      </c>
    </row>
    <row r="33" spans="1:8" ht="20" customHeight="1">
      <c r="A33" s="832" t="s">
        <v>1722</v>
      </c>
      <c r="B33" s="135"/>
      <c r="C33" s="135"/>
      <c r="D33" s="135"/>
      <c r="E33" s="135"/>
      <c r="F33" s="135"/>
      <c r="G33" s="135"/>
      <c r="H33" s="135"/>
    </row>
    <row r="34" spans="1:8" ht="14.25" customHeight="1">
      <c r="A34" s="834"/>
      <c r="B34" s="136"/>
      <c r="C34" s="136"/>
      <c r="D34" s="136"/>
      <c r="E34" s="136"/>
      <c r="F34" s="136"/>
      <c r="G34" s="136"/>
      <c r="H34" s="136"/>
    </row>
    <row r="35" spans="1:8" ht="20" customHeight="1">
      <c r="A35" s="834" t="s">
        <v>1776</v>
      </c>
      <c r="B35" s="136"/>
      <c r="C35" s="136"/>
      <c r="D35" s="136"/>
      <c r="E35" s="136"/>
      <c r="F35" s="136"/>
      <c r="G35" s="136"/>
      <c r="H35" s="136"/>
    </row>
    <row r="36" spans="1:8" ht="13.5" customHeight="1">
      <c r="A36" s="834"/>
      <c r="B36" s="136"/>
      <c r="C36" s="136"/>
      <c r="D36" s="136"/>
      <c r="E36" s="136"/>
      <c r="F36" s="136"/>
      <c r="G36" s="136"/>
      <c r="H36" s="136"/>
    </row>
    <row r="37" spans="1:8" ht="14.25" customHeight="1">
      <c r="A37" s="96" t="s">
        <v>1777</v>
      </c>
      <c r="B37" s="136"/>
      <c r="C37" s="136"/>
      <c r="D37" s="136"/>
      <c r="E37" s="136"/>
      <c r="F37" s="136"/>
      <c r="G37" s="136"/>
      <c r="H37" s="136"/>
    </row>
    <row r="38" spans="1:8" ht="11.25" customHeight="1">
      <c r="A38" s="96"/>
      <c r="B38" s="136"/>
      <c r="C38" s="136"/>
      <c r="D38" s="136"/>
      <c r="E38" s="136"/>
      <c r="F38" s="136"/>
      <c r="G38" s="136"/>
      <c r="H38" s="136"/>
    </row>
    <row r="39" spans="1:8" ht="11.25" customHeight="1">
      <c r="A39" s="96"/>
      <c r="B39" s="136"/>
      <c r="C39" s="136"/>
      <c r="D39" s="136"/>
      <c r="E39" s="136"/>
      <c r="F39" s="136"/>
      <c r="G39" s="136"/>
      <c r="H39" s="136"/>
    </row>
    <row r="40" spans="1:8">
      <c r="A40" s="899" t="s">
        <v>677</v>
      </c>
    </row>
  </sheetData>
  <pageMargins left="0.46" right="0.4" top="0.83" bottom="0.49" header="0.51" footer="0.4921259845"/>
  <pageSetup paperSize="9" scale="72" orientation="portrait"/>
  <headerFooter alignWithMargins="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09325-67B4-054F-A477-2411145124E1}">
  <sheetPr>
    <pageSetUpPr fitToPage="1"/>
  </sheetPr>
  <dimension ref="A1:P42"/>
  <sheetViews>
    <sheetView zoomScaleNormal="100" workbookViewId="0">
      <selection activeCell="K2" sqref="K2:K34"/>
    </sheetView>
  </sheetViews>
  <sheetFormatPr baseColWidth="10" defaultColWidth="11.3984375" defaultRowHeight="13"/>
  <cols>
    <col min="1" max="3" width="13.3984375" style="3" customWidth="1"/>
    <col min="4" max="4" width="15.59765625" style="3" customWidth="1"/>
    <col min="5" max="5" width="13.3984375" style="121" customWidth="1"/>
    <col min="6" max="6" width="13.796875" style="121" customWidth="1"/>
    <col min="7" max="8" width="14" style="121" customWidth="1"/>
    <col min="9" max="9" width="16.796875" style="3" customWidth="1"/>
    <col min="10" max="10" width="15.59765625" style="324" customWidth="1"/>
    <col min="11" max="11" width="17" style="3" customWidth="1"/>
    <col min="12" max="16384" width="11.3984375" style="3"/>
  </cols>
  <sheetData>
    <row r="1" spans="1:16" s="2" customFormat="1" ht="14" customHeight="1">
      <c r="A1" s="479"/>
      <c r="B1" s="479"/>
      <c r="C1" s="479"/>
      <c r="D1" s="479"/>
      <c r="E1" s="1081"/>
      <c r="F1" s="1081"/>
      <c r="G1" s="1081"/>
      <c r="H1" s="1081"/>
      <c r="I1" s="479"/>
      <c r="J1" s="818"/>
      <c r="K1" s="818"/>
    </row>
    <row r="2" spans="1:16" s="2" customFormat="1" ht="25.25" customHeight="1">
      <c r="A2" s="564" t="s">
        <v>1789</v>
      </c>
      <c r="B2" s="1082"/>
      <c r="C2" s="479"/>
      <c r="D2" s="479"/>
      <c r="E2" s="1081"/>
      <c r="F2" s="1081"/>
      <c r="G2" s="1081"/>
      <c r="H2" s="358"/>
      <c r="I2" s="358">
        <v>2010</v>
      </c>
      <c r="J2" s="454"/>
      <c r="K2" s="1035"/>
    </row>
    <row r="3" spans="1:16" ht="24" customHeight="1">
      <c r="A3" s="72" t="s">
        <v>203</v>
      </c>
      <c r="B3" s="73" t="s">
        <v>204</v>
      </c>
      <c r="C3" s="104" t="s">
        <v>205</v>
      </c>
      <c r="D3" s="103" t="s">
        <v>206</v>
      </c>
      <c r="E3" s="104" t="s">
        <v>1713</v>
      </c>
      <c r="F3" s="73" t="s">
        <v>190</v>
      </c>
      <c r="G3" s="104" t="s">
        <v>1741</v>
      </c>
      <c r="H3" s="103" t="s">
        <v>1741</v>
      </c>
      <c r="I3" s="74" t="s">
        <v>1741</v>
      </c>
      <c r="J3" s="457"/>
      <c r="K3" s="1034"/>
    </row>
    <row r="4" spans="1:16" ht="15" customHeight="1">
      <c r="A4" s="328"/>
      <c r="B4" s="105" t="s">
        <v>207</v>
      </c>
      <c r="C4" s="77" t="s">
        <v>206</v>
      </c>
      <c r="D4" s="105" t="s">
        <v>1790</v>
      </c>
      <c r="E4" s="106" t="s">
        <v>1791</v>
      </c>
      <c r="F4" s="76"/>
      <c r="G4" s="106" t="s">
        <v>1739</v>
      </c>
      <c r="H4" s="105" t="s">
        <v>1738</v>
      </c>
      <c r="I4" s="106" t="s">
        <v>1737</v>
      </c>
      <c r="J4" s="1025"/>
      <c r="K4" s="1033"/>
    </row>
    <row r="5" spans="1:16" ht="15" customHeight="1">
      <c r="A5" s="328"/>
      <c r="B5" s="76"/>
      <c r="C5" s="106" t="s">
        <v>208</v>
      </c>
      <c r="D5" s="105" t="s">
        <v>1792</v>
      </c>
      <c r="E5" s="106" t="s">
        <v>1663</v>
      </c>
      <c r="F5" s="76"/>
      <c r="G5" s="106" t="s">
        <v>1736</v>
      </c>
      <c r="H5" s="105" t="s">
        <v>1735</v>
      </c>
      <c r="I5" s="106" t="s">
        <v>1734</v>
      </c>
      <c r="J5" s="1025"/>
      <c r="K5" s="1033"/>
    </row>
    <row r="6" spans="1:16" ht="15" customHeight="1">
      <c r="A6" s="328"/>
      <c r="B6" s="440"/>
      <c r="C6" s="894"/>
      <c r="D6" s="440"/>
      <c r="E6" s="894"/>
      <c r="F6" s="440"/>
      <c r="G6" s="1083" t="s">
        <v>776</v>
      </c>
      <c r="H6" s="663"/>
      <c r="I6" s="106" t="s">
        <v>1733</v>
      </c>
      <c r="J6" s="1025"/>
      <c r="K6" s="1033"/>
    </row>
    <row r="7" spans="1:16" ht="24" customHeight="1">
      <c r="A7" s="329"/>
      <c r="B7" s="82"/>
      <c r="C7" s="81"/>
      <c r="D7" s="82"/>
      <c r="E7" s="81"/>
      <c r="F7" s="82"/>
      <c r="G7" s="1083"/>
      <c r="H7" s="1084"/>
      <c r="I7" s="1016" t="s">
        <v>1732</v>
      </c>
      <c r="J7" s="1025"/>
      <c r="K7" s="1031"/>
    </row>
    <row r="8" spans="1:16" ht="30" customHeight="1" thickBot="1">
      <c r="A8" s="821" t="s">
        <v>211</v>
      </c>
      <c r="B8" s="1085">
        <v>89.4</v>
      </c>
      <c r="C8" s="1086">
        <v>105</v>
      </c>
      <c r="D8" s="1085">
        <v>494.4</v>
      </c>
      <c r="E8" s="1087">
        <v>25.5</v>
      </c>
      <c r="F8" s="1017">
        <v>714.4</v>
      </c>
      <c r="G8" s="1087">
        <v>176.8</v>
      </c>
      <c r="H8" s="1017">
        <v>59.6</v>
      </c>
      <c r="I8" s="1087">
        <v>236.4</v>
      </c>
      <c r="J8" s="1025"/>
      <c r="K8" s="1024"/>
    </row>
    <row r="9" spans="1:16" ht="20" customHeight="1" thickBot="1">
      <c r="A9" s="825" t="s">
        <v>212</v>
      </c>
      <c r="B9" s="1085">
        <v>29</v>
      </c>
      <c r="C9" s="1086">
        <v>39.799999999999997</v>
      </c>
      <c r="D9" s="1085">
        <v>446.6</v>
      </c>
      <c r="E9" s="1087">
        <v>21.6</v>
      </c>
      <c r="F9" s="1017">
        <v>537</v>
      </c>
      <c r="G9" s="1087">
        <v>198.3</v>
      </c>
      <c r="H9" s="1017">
        <v>60.1</v>
      </c>
      <c r="I9" s="1087">
        <v>60.1</v>
      </c>
      <c r="J9" s="1025"/>
      <c r="K9" s="1024"/>
      <c r="P9" s="1088"/>
    </row>
    <row r="10" spans="1:16" ht="20" customHeight="1" thickBot="1">
      <c r="A10" s="825" t="s">
        <v>213</v>
      </c>
      <c r="B10" s="1085">
        <v>27.5</v>
      </c>
      <c r="C10" s="1086">
        <v>27.9</v>
      </c>
      <c r="D10" s="1085">
        <v>106.3</v>
      </c>
      <c r="E10" s="1087">
        <v>4.0999999999999996</v>
      </c>
      <c r="F10" s="1017">
        <v>165.8</v>
      </c>
      <c r="G10" s="1087">
        <v>54.1</v>
      </c>
      <c r="H10" s="1017">
        <v>18.899999999999999</v>
      </c>
      <c r="I10" s="1087">
        <v>6.3</v>
      </c>
      <c r="J10" s="1025"/>
      <c r="K10" s="1024"/>
    </row>
    <row r="11" spans="1:16" ht="20" customHeight="1" thickBot="1">
      <c r="A11" s="825" t="s">
        <v>214</v>
      </c>
      <c r="B11" s="1017" t="s">
        <v>35</v>
      </c>
      <c r="C11" s="1087" t="s">
        <v>35</v>
      </c>
      <c r="D11" s="1017" t="s">
        <v>35</v>
      </c>
      <c r="E11" s="1087">
        <v>13.1</v>
      </c>
      <c r="F11" s="1017">
        <v>13.1</v>
      </c>
      <c r="G11" s="1087">
        <v>3.4</v>
      </c>
      <c r="H11" s="1017">
        <v>0.7</v>
      </c>
      <c r="I11" s="1087" t="s">
        <v>35</v>
      </c>
      <c r="J11" s="1025"/>
      <c r="K11" s="1024"/>
    </row>
    <row r="12" spans="1:16" ht="20" customHeight="1" thickBot="1">
      <c r="A12" s="825" t="s">
        <v>215</v>
      </c>
      <c r="B12" s="1085">
        <v>5.3</v>
      </c>
      <c r="C12" s="1086">
        <v>5.7</v>
      </c>
      <c r="D12" s="1085">
        <v>23.5</v>
      </c>
      <c r="E12" s="1087">
        <v>14</v>
      </c>
      <c r="F12" s="1017">
        <v>48.5</v>
      </c>
      <c r="G12" s="1087">
        <v>12.7</v>
      </c>
      <c r="H12" s="1017">
        <v>3.3</v>
      </c>
      <c r="I12" s="1087">
        <v>5.6</v>
      </c>
      <c r="J12" s="1025"/>
      <c r="K12" s="1024"/>
    </row>
    <row r="13" spans="1:16" ht="20" customHeight="1" thickBot="1">
      <c r="A13" s="825" t="s">
        <v>216</v>
      </c>
      <c r="B13" s="1017" t="s">
        <v>35</v>
      </c>
      <c r="C13" s="1087" t="s">
        <v>35</v>
      </c>
      <c r="D13" s="1017" t="s">
        <v>35</v>
      </c>
      <c r="E13" s="1087">
        <v>17.7</v>
      </c>
      <c r="F13" s="1017">
        <v>17.7</v>
      </c>
      <c r="G13" s="1087">
        <v>3.2</v>
      </c>
      <c r="H13" s="1017" t="s">
        <v>35</v>
      </c>
      <c r="I13" s="1087" t="s">
        <v>35</v>
      </c>
      <c r="J13" s="1025"/>
      <c r="K13" s="1024"/>
    </row>
    <row r="14" spans="1:16" ht="20" customHeight="1" thickBot="1">
      <c r="A14" s="825" t="s">
        <v>217</v>
      </c>
      <c r="B14" s="1085">
        <v>2.7</v>
      </c>
      <c r="C14" s="1086">
        <v>4.3</v>
      </c>
      <c r="D14" s="1085">
        <v>7.7</v>
      </c>
      <c r="E14" s="1087">
        <v>2.7</v>
      </c>
      <c r="F14" s="1017">
        <v>17.399999999999999</v>
      </c>
      <c r="G14" s="1087">
        <v>2.5</v>
      </c>
      <c r="H14" s="1017">
        <v>1.2</v>
      </c>
      <c r="I14" s="1087" t="s">
        <v>35</v>
      </c>
      <c r="J14" s="1025"/>
      <c r="K14" s="1024"/>
    </row>
    <row r="15" spans="1:16" ht="20" customHeight="1" thickBot="1">
      <c r="A15" s="825" t="s">
        <v>218</v>
      </c>
      <c r="B15" s="1017" t="s">
        <v>35</v>
      </c>
      <c r="C15" s="1087" t="s">
        <v>35</v>
      </c>
      <c r="D15" s="1017" t="s">
        <v>35</v>
      </c>
      <c r="E15" s="1087">
        <v>14.9</v>
      </c>
      <c r="F15" s="1017">
        <v>14.9</v>
      </c>
      <c r="G15" s="1087">
        <v>4.2</v>
      </c>
      <c r="H15" s="1017">
        <v>2.1</v>
      </c>
      <c r="I15" s="1087" t="s">
        <v>35</v>
      </c>
      <c r="J15" s="1025"/>
      <c r="K15" s="1024"/>
    </row>
    <row r="16" spans="1:16" ht="20" customHeight="1" thickBot="1">
      <c r="A16" s="825" t="s">
        <v>219</v>
      </c>
      <c r="B16" s="1085">
        <v>3.1</v>
      </c>
      <c r="C16" s="1086">
        <v>5.4</v>
      </c>
      <c r="D16" s="1085">
        <v>24.6</v>
      </c>
      <c r="E16" s="1087">
        <v>9.5</v>
      </c>
      <c r="F16" s="1017">
        <v>42.6</v>
      </c>
      <c r="G16" s="1087">
        <v>7.8</v>
      </c>
      <c r="H16" s="1017">
        <v>3.9</v>
      </c>
      <c r="I16" s="1087">
        <v>11.7</v>
      </c>
      <c r="J16" s="1025"/>
      <c r="K16" s="1024"/>
    </row>
    <row r="17" spans="1:11" ht="20" customHeight="1" thickBot="1">
      <c r="A17" s="825" t="s">
        <v>220</v>
      </c>
      <c r="B17" s="1085">
        <v>17.3</v>
      </c>
      <c r="C17" s="1086">
        <v>19.2</v>
      </c>
      <c r="D17" s="1085">
        <v>108.7</v>
      </c>
      <c r="E17" s="1087"/>
      <c r="F17" s="1017">
        <v>145.19999999999999</v>
      </c>
      <c r="G17" s="1087">
        <v>77.3</v>
      </c>
      <c r="H17" s="1017" t="s">
        <v>35</v>
      </c>
      <c r="I17" s="1087" t="s">
        <v>35</v>
      </c>
      <c r="J17" s="1025"/>
      <c r="K17" s="1024"/>
    </row>
    <row r="18" spans="1:11" ht="20" customHeight="1" thickBot="1">
      <c r="A18" s="825" t="s">
        <v>221</v>
      </c>
      <c r="B18" s="1085">
        <v>9.9</v>
      </c>
      <c r="C18" s="1086">
        <v>13.2</v>
      </c>
      <c r="D18" s="1085">
        <v>64.5</v>
      </c>
      <c r="E18" s="1087">
        <v>37</v>
      </c>
      <c r="F18" s="1017">
        <v>124.6</v>
      </c>
      <c r="G18" s="1087">
        <v>35.6</v>
      </c>
      <c r="H18" s="1017">
        <v>19.2</v>
      </c>
      <c r="I18" s="1087" t="s">
        <v>35</v>
      </c>
      <c r="J18" s="1025"/>
      <c r="K18" s="1024"/>
    </row>
    <row r="19" spans="1:11" ht="20" customHeight="1" thickBot="1">
      <c r="A19" s="825" t="s">
        <v>222</v>
      </c>
      <c r="B19" s="1017" t="s">
        <v>35</v>
      </c>
      <c r="C19" s="1087" t="s">
        <v>35</v>
      </c>
      <c r="D19" s="1017" t="s">
        <v>35</v>
      </c>
      <c r="E19" s="1087">
        <v>132.19999999999999</v>
      </c>
      <c r="F19" s="1017">
        <v>132.19999999999999</v>
      </c>
      <c r="G19" s="1087">
        <v>58.4</v>
      </c>
      <c r="H19" s="1017">
        <v>26.5</v>
      </c>
      <c r="I19" s="1087" t="s">
        <v>35</v>
      </c>
      <c r="J19" s="1025"/>
      <c r="K19" s="1024"/>
    </row>
    <row r="20" spans="1:11" ht="20" customHeight="1" thickBot="1">
      <c r="A20" s="825" t="s">
        <v>223</v>
      </c>
      <c r="B20" s="1017" t="s">
        <v>35</v>
      </c>
      <c r="C20" s="1087" t="s">
        <v>35</v>
      </c>
      <c r="D20" s="1017" t="s">
        <v>35</v>
      </c>
      <c r="E20" s="1087">
        <v>121.1</v>
      </c>
      <c r="F20" s="1017">
        <v>121.1</v>
      </c>
      <c r="G20" s="1087">
        <v>41.3</v>
      </c>
      <c r="H20" s="1017" t="s">
        <v>35</v>
      </c>
      <c r="I20" s="1087" t="s">
        <v>35</v>
      </c>
      <c r="J20" s="1025"/>
      <c r="K20" s="1024"/>
    </row>
    <row r="21" spans="1:11" ht="20" customHeight="1" thickBot="1">
      <c r="A21" s="825" t="s">
        <v>224</v>
      </c>
      <c r="B21" s="1017" t="s">
        <v>35</v>
      </c>
      <c r="C21" s="1087" t="s">
        <v>35</v>
      </c>
      <c r="D21" s="1017" t="s">
        <v>35</v>
      </c>
      <c r="E21" s="1087">
        <v>41.4</v>
      </c>
      <c r="F21" s="1017">
        <v>41.4</v>
      </c>
      <c r="G21" s="1087">
        <v>10.7</v>
      </c>
      <c r="H21" s="1017" t="s">
        <v>35</v>
      </c>
      <c r="I21" s="1087" t="s">
        <v>35</v>
      </c>
      <c r="J21" s="1025"/>
      <c r="K21" s="1024"/>
    </row>
    <row r="22" spans="1:11" ht="20" customHeight="1" thickBot="1">
      <c r="A22" s="825" t="s">
        <v>225</v>
      </c>
      <c r="B22" s="1085">
        <v>3.3</v>
      </c>
      <c r="C22" s="1086">
        <v>3.4</v>
      </c>
      <c r="D22" s="1085">
        <v>11.2</v>
      </c>
      <c r="E22" s="1087">
        <v>5.9</v>
      </c>
      <c r="F22" s="1017">
        <v>23.9</v>
      </c>
      <c r="G22" s="1087">
        <v>5.2</v>
      </c>
      <c r="H22" s="1017">
        <v>0.9</v>
      </c>
      <c r="I22" s="1087" t="s">
        <v>35</v>
      </c>
      <c r="J22" s="1025"/>
      <c r="K22" s="1024"/>
    </row>
    <row r="23" spans="1:11" ht="20" customHeight="1" thickBot="1">
      <c r="A23" s="825" t="s">
        <v>226</v>
      </c>
      <c r="B23" s="1085">
        <v>0.5</v>
      </c>
      <c r="C23" s="1086">
        <v>0.8</v>
      </c>
      <c r="D23" s="1085">
        <v>4.0999999999999996</v>
      </c>
      <c r="E23" s="1087"/>
      <c r="F23" s="1017">
        <v>5.4</v>
      </c>
      <c r="G23" s="1087">
        <v>1</v>
      </c>
      <c r="H23" s="1017">
        <v>1</v>
      </c>
      <c r="I23" s="1087">
        <v>0.2</v>
      </c>
      <c r="J23" s="1025"/>
      <c r="K23" s="1024"/>
    </row>
    <row r="24" spans="1:11" ht="20" customHeight="1" thickBot="1">
      <c r="A24" s="825" t="s">
        <v>227</v>
      </c>
      <c r="B24" s="1085">
        <v>12.9</v>
      </c>
      <c r="C24" s="1086">
        <v>13.1</v>
      </c>
      <c r="D24" s="1085">
        <v>54.2</v>
      </c>
      <c r="E24" s="1087">
        <v>94.9</v>
      </c>
      <c r="F24" s="1017">
        <v>175.1</v>
      </c>
      <c r="G24" s="1087">
        <v>66.400000000000006</v>
      </c>
      <c r="H24" s="1017">
        <v>19.7</v>
      </c>
      <c r="I24" s="1087">
        <v>19.7</v>
      </c>
      <c r="J24" s="1025"/>
      <c r="K24" s="1024"/>
    </row>
    <row r="25" spans="1:11" ht="20" customHeight="1" thickBot="1">
      <c r="A25" s="825" t="s">
        <v>228</v>
      </c>
      <c r="B25" s="1085">
        <v>7.8</v>
      </c>
      <c r="C25" s="1086">
        <v>8.5</v>
      </c>
      <c r="D25" s="1085">
        <v>63.4</v>
      </c>
      <c r="E25" s="1087"/>
      <c r="F25" s="1017">
        <v>79.7</v>
      </c>
      <c r="G25" s="1087">
        <v>18.899999999999999</v>
      </c>
      <c r="H25" s="1017">
        <v>4.7</v>
      </c>
      <c r="I25" s="1087">
        <v>0.1</v>
      </c>
      <c r="J25" s="1025"/>
      <c r="K25" s="1024"/>
    </row>
    <row r="26" spans="1:11" ht="20" customHeight="1" thickBot="1">
      <c r="A26" s="825" t="s">
        <v>229</v>
      </c>
      <c r="B26" s="1085">
        <v>28.4</v>
      </c>
      <c r="C26" s="1086">
        <v>29.7</v>
      </c>
      <c r="D26" s="1085">
        <v>163.6</v>
      </c>
      <c r="E26" s="1087"/>
      <c r="F26" s="1017">
        <v>221.7</v>
      </c>
      <c r="G26" s="1087">
        <v>62.2</v>
      </c>
      <c r="H26" s="1017">
        <v>9.5</v>
      </c>
      <c r="I26" s="1087">
        <v>23.2</v>
      </c>
      <c r="J26" s="1025"/>
      <c r="K26" s="1024"/>
    </row>
    <row r="27" spans="1:11" ht="20" customHeight="1" thickBot="1">
      <c r="A27" s="825" t="s">
        <v>230</v>
      </c>
      <c r="B27" s="1085">
        <v>24.9</v>
      </c>
      <c r="C27" s="1086">
        <v>24</v>
      </c>
      <c r="D27" s="1085">
        <v>42</v>
      </c>
      <c r="E27" s="1087">
        <v>28.6</v>
      </c>
      <c r="F27" s="1017">
        <v>119.4</v>
      </c>
      <c r="G27" s="1087">
        <v>27.7</v>
      </c>
      <c r="H27" s="1017">
        <v>5.7</v>
      </c>
      <c r="I27" s="1087" t="s">
        <v>35</v>
      </c>
      <c r="J27" s="1025"/>
      <c r="K27" s="1024"/>
    </row>
    <row r="28" spans="1:11" ht="20" customHeight="1" thickBot="1">
      <c r="A28" s="825" t="s">
        <v>231</v>
      </c>
      <c r="B28" s="1085">
        <v>20.6</v>
      </c>
      <c r="C28" s="1086">
        <v>25.4</v>
      </c>
      <c r="D28" s="1085">
        <v>203.9</v>
      </c>
      <c r="E28" s="1087"/>
      <c r="F28" s="1017">
        <v>249.9</v>
      </c>
      <c r="G28" s="1087">
        <v>108.5</v>
      </c>
      <c r="H28" s="1017">
        <v>32.532001999999999</v>
      </c>
      <c r="I28" s="1087" t="s">
        <v>35</v>
      </c>
      <c r="J28" s="1025"/>
      <c r="K28" s="1024"/>
    </row>
    <row r="29" spans="1:11" ht="20" customHeight="1" thickBot="1">
      <c r="A29" s="825" t="s">
        <v>232</v>
      </c>
      <c r="B29" s="1085">
        <v>40.6</v>
      </c>
      <c r="C29" s="1086">
        <v>41.7</v>
      </c>
      <c r="D29" s="1085">
        <v>283.39999999999998</v>
      </c>
      <c r="E29" s="1087">
        <v>30.1</v>
      </c>
      <c r="F29" s="1017">
        <v>395.8</v>
      </c>
      <c r="G29" s="1087">
        <v>135.1</v>
      </c>
      <c r="H29" s="1017">
        <v>73.7</v>
      </c>
      <c r="I29" s="1087">
        <v>208.8</v>
      </c>
      <c r="J29" s="1025"/>
      <c r="K29" s="1024"/>
    </row>
    <row r="30" spans="1:11" ht="20" customHeight="1" thickBot="1">
      <c r="A30" s="825" t="s">
        <v>233</v>
      </c>
      <c r="B30" s="1085">
        <v>13.5</v>
      </c>
      <c r="C30" s="1086">
        <v>34.9</v>
      </c>
      <c r="D30" s="1085">
        <v>114.6</v>
      </c>
      <c r="E30" s="1087">
        <v>8.6</v>
      </c>
      <c r="F30" s="1017">
        <v>171.6</v>
      </c>
      <c r="G30" s="1087">
        <v>28.4</v>
      </c>
      <c r="H30" s="1017">
        <v>9.6999999999999993</v>
      </c>
      <c r="I30" s="1087" t="s">
        <v>35</v>
      </c>
      <c r="J30" s="1025"/>
      <c r="K30" s="1024"/>
    </row>
    <row r="31" spans="1:11" ht="20" customHeight="1" thickBot="1">
      <c r="A31" s="825" t="s">
        <v>234</v>
      </c>
      <c r="B31" s="1085">
        <v>8.8000000000000007</v>
      </c>
      <c r="C31" s="1086">
        <v>6.6</v>
      </c>
      <c r="D31" s="1085">
        <v>73.099999999999994</v>
      </c>
      <c r="E31" s="1087">
        <v>0.3</v>
      </c>
      <c r="F31" s="1017">
        <v>88.8</v>
      </c>
      <c r="G31" s="1087">
        <v>40</v>
      </c>
      <c r="H31" s="1017">
        <v>22.1</v>
      </c>
      <c r="I31" s="1087" t="s">
        <v>35</v>
      </c>
      <c r="J31" s="1025"/>
      <c r="K31" s="1024"/>
    </row>
    <row r="32" spans="1:11" ht="20" customHeight="1" thickBot="1">
      <c r="A32" s="825" t="s">
        <v>235</v>
      </c>
      <c r="B32" s="1085">
        <v>32.299999999999997</v>
      </c>
      <c r="C32" s="1086">
        <v>22.5</v>
      </c>
      <c r="D32" s="1085">
        <v>218.7</v>
      </c>
      <c r="E32" s="1087"/>
      <c r="F32" s="1017">
        <v>273.5</v>
      </c>
      <c r="G32" s="1087">
        <v>121.7</v>
      </c>
      <c r="H32" s="1017">
        <v>55.6</v>
      </c>
      <c r="I32" s="1087" t="s">
        <v>35</v>
      </c>
      <c r="J32" s="1025"/>
      <c r="K32" s="1024"/>
    </row>
    <row r="33" spans="1:11" ht="20" customHeight="1" thickBot="1">
      <c r="A33" s="825" t="s">
        <v>236</v>
      </c>
      <c r="B33" s="1085">
        <v>3.9784959999999998</v>
      </c>
      <c r="C33" s="1086">
        <v>3.9</v>
      </c>
      <c r="D33" s="1085">
        <v>30.4</v>
      </c>
      <c r="E33" s="1087">
        <v>0.8</v>
      </c>
      <c r="F33" s="1017">
        <v>39.1</v>
      </c>
      <c r="G33" s="1087">
        <v>17.100000000000001</v>
      </c>
      <c r="H33" s="1017">
        <v>3.1</v>
      </c>
      <c r="I33" s="1087" t="s">
        <v>35</v>
      </c>
      <c r="J33" s="1025"/>
      <c r="K33" s="1024"/>
    </row>
    <row r="34" spans="1:11" ht="30" customHeight="1" thickBot="1">
      <c r="A34" s="830" t="s">
        <v>1793</v>
      </c>
      <c r="B34" s="1089">
        <v>381.77849600000013</v>
      </c>
      <c r="C34" s="1090">
        <v>434.99999999999994</v>
      </c>
      <c r="D34" s="1089">
        <v>2538.8999999999996</v>
      </c>
      <c r="E34" s="1091">
        <v>623.99999999999989</v>
      </c>
      <c r="F34" s="1092">
        <v>3979.8</v>
      </c>
      <c r="G34" s="1091">
        <v>1318.5</v>
      </c>
      <c r="H34" s="1093">
        <v>433.73200199999997</v>
      </c>
      <c r="I34" s="1094">
        <v>572.1</v>
      </c>
      <c r="J34" s="286"/>
      <c r="K34" s="1020"/>
    </row>
    <row r="35" spans="1:11" ht="20" customHeight="1">
      <c r="A35" s="832" t="s">
        <v>1722</v>
      </c>
      <c r="B35" s="135"/>
      <c r="C35" s="135"/>
      <c r="D35" s="135"/>
      <c r="E35" s="135"/>
      <c r="F35" s="135"/>
      <c r="G35" s="135"/>
      <c r="H35" s="135"/>
    </row>
    <row r="36" spans="1:11" ht="14.25" customHeight="1">
      <c r="A36" s="834"/>
      <c r="B36" s="136"/>
      <c r="C36" s="136"/>
      <c r="D36" s="136"/>
      <c r="E36" s="136"/>
      <c r="F36" s="136"/>
      <c r="G36" s="136"/>
      <c r="H36" s="136"/>
    </row>
    <row r="37" spans="1:11" ht="20" customHeight="1">
      <c r="A37" s="834" t="s">
        <v>1794</v>
      </c>
      <c r="B37" s="136"/>
      <c r="C37" s="136"/>
      <c r="D37" s="136"/>
      <c r="E37" s="136"/>
      <c r="F37" s="136"/>
      <c r="G37" s="136"/>
      <c r="H37" s="136"/>
    </row>
    <row r="38" spans="1:11" ht="15.75" customHeight="1">
      <c r="A38" s="834"/>
      <c r="B38" s="136"/>
      <c r="C38" s="136"/>
      <c r="D38" s="136"/>
      <c r="E38" s="136"/>
      <c r="F38" s="136"/>
      <c r="G38" s="136"/>
      <c r="H38" s="136"/>
    </row>
    <row r="39" spans="1:11" ht="12.75" customHeight="1">
      <c r="A39" s="96" t="s">
        <v>1795</v>
      </c>
      <c r="B39" s="136"/>
      <c r="C39" s="136"/>
      <c r="D39" s="136"/>
      <c r="E39" s="136"/>
      <c r="F39" s="136"/>
      <c r="G39" s="136"/>
      <c r="H39" s="136"/>
    </row>
    <row r="40" spans="1:11">
      <c r="A40" s="96"/>
    </row>
    <row r="41" spans="1:11">
      <c r="E41" s="128"/>
    </row>
    <row r="42" spans="1:11">
      <c r="A42" s="3" t="s">
        <v>677</v>
      </c>
    </row>
  </sheetData>
  <pageMargins left="0.56000000000000005" right="0.5" top="0.76" bottom="0.49" header="0.42" footer="0.4921259845"/>
  <pageSetup paperSize="9" scale="72" orientation="portrait" horizontalDpi="1200" verticalDpi="1200"/>
  <headerFooter alignWithMargins="0"/>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469B2-7069-EF47-A4E6-E906138E9BE7}">
  <sheetPr>
    <pageSetUpPr fitToPage="1"/>
  </sheetPr>
  <dimension ref="A1:N46"/>
  <sheetViews>
    <sheetView zoomScaleNormal="100" workbookViewId="0">
      <selection activeCell="K29" sqref="K29"/>
    </sheetView>
  </sheetViews>
  <sheetFormatPr baseColWidth="10" defaultColWidth="11.3984375" defaultRowHeight="13"/>
  <cols>
    <col min="1" max="1" width="9.796875" style="3" customWidth="1"/>
    <col min="2" max="2" width="12" style="3" customWidth="1"/>
    <col min="3" max="3" width="11" style="3" customWidth="1"/>
    <col min="4" max="4" width="12.3984375" style="49" customWidth="1"/>
    <col min="5" max="5" width="16.59765625" style="3" customWidth="1"/>
    <col min="6" max="6" width="17.19921875" style="3" customWidth="1"/>
    <col min="7" max="7" width="18.796875" style="248" customWidth="1"/>
    <col min="8" max="8" width="16.796875" style="3" customWidth="1"/>
    <col min="9" max="13" width="11.3984375" style="3"/>
    <col min="14" max="14" width="17.59765625" style="3" customWidth="1"/>
    <col min="15" max="16384" width="11.3984375" style="3"/>
  </cols>
  <sheetData>
    <row r="1" spans="1:10" s="2" customFormat="1" ht="14" customHeight="1">
      <c r="D1" s="261"/>
      <c r="G1" s="17"/>
      <c r="J1" s="818"/>
    </row>
    <row r="2" spans="1:10" s="2" customFormat="1" ht="25.25" customHeight="1">
      <c r="A2" s="1807" t="s">
        <v>1461</v>
      </c>
      <c r="B2" s="1811"/>
      <c r="C2" s="1811"/>
      <c r="D2" s="1811"/>
      <c r="E2" s="1811"/>
      <c r="F2" s="1811"/>
      <c r="G2" s="1818"/>
      <c r="H2" s="358">
        <v>2010</v>
      </c>
      <c r="J2" s="454"/>
    </row>
    <row r="3" spans="1:10" ht="24" customHeight="1">
      <c r="A3" s="72" t="s">
        <v>203</v>
      </c>
      <c r="B3" s="73" t="s">
        <v>1462</v>
      </c>
      <c r="C3" s="74" t="s">
        <v>1463</v>
      </c>
      <c r="D3" s="73" t="s">
        <v>1462</v>
      </c>
      <c r="E3" s="72" t="s">
        <v>1474</v>
      </c>
      <c r="F3" s="692"/>
      <c r="G3" s="327"/>
      <c r="H3" s="73"/>
      <c r="J3" s="457"/>
    </row>
    <row r="4" spans="1:10" ht="15" customHeight="1">
      <c r="A4" s="328"/>
      <c r="B4" s="76" t="s">
        <v>1464</v>
      </c>
      <c r="C4" s="106" t="s">
        <v>1796</v>
      </c>
      <c r="D4" s="76" t="s">
        <v>1464</v>
      </c>
      <c r="E4" s="106" t="s">
        <v>1465</v>
      </c>
      <c r="F4" s="105" t="s">
        <v>1466</v>
      </c>
      <c r="G4" s="354" t="s">
        <v>190</v>
      </c>
      <c r="H4" s="819" t="s">
        <v>1467</v>
      </c>
      <c r="J4" s="820"/>
    </row>
    <row r="5" spans="1:10" ht="15" customHeight="1">
      <c r="A5" s="328"/>
      <c r="B5" s="76" t="s">
        <v>1797</v>
      </c>
      <c r="C5" s="77"/>
      <c r="D5" s="76" t="s">
        <v>1468</v>
      </c>
      <c r="E5" s="77" t="s">
        <v>1469</v>
      </c>
      <c r="F5" s="105" t="s">
        <v>1469</v>
      </c>
      <c r="G5" s="354" t="s">
        <v>1470</v>
      </c>
      <c r="H5" s="819" t="s">
        <v>1471</v>
      </c>
      <c r="J5" s="820"/>
    </row>
    <row r="6" spans="1:10" ht="15" customHeight="1">
      <c r="A6" s="328"/>
      <c r="B6" s="76"/>
      <c r="C6" s="77"/>
      <c r="D6" s="76" t="s">
        <v>1472</v>
      </c>
      <c r="E6" s="77" t="s">
        <v>1719</v>
      </c>
      <c r="F6" s="105" t="s">
        <v>1719</v>
      </c>
      <c r="G6" s="354" t="s">
        <v>1798</v>
      </c>
      <c r="H6" s="819" t="s">
        <v>506</v>
      </c>
      <c r="J6" s="820"/>
    </row>
    <row r="7" spans="1:10" ht="24" customHeight="1">
      <c r="A7" s="329"/>
      <c r="B7" s="82"/>
      <c r="C7" s="81"/>
      <c r="D7" s="82" t="s">
        <v>1473</v>
      </c>
      <c r="E7" s="81"/>
      <c r="F7" s="110"/>
      <c r="G7" s="355"/>
      <c r="H7" s="107"/>
      <c r="J7" s="461"/>
    </row>
    <row r="8" spans="1:10" ht="30" customHeight="1" thickBot="1">
      <c r="A8" s="821" t="s">
        <v>211</v>
      </c>
      <c r="B8" s="85">
        <v>1347351</v>
      </c>
      <c r="C8" s="86">
        <v>2861</v>
      </c>
      <c r="D8" s="822">
        <v>1350212</v>
      </c>
      <c r="E8" s="86">
        <v>345069805</v>
      </c>
      <c r="F8" s="85">
        <v>369284807.39999998</v>
      </c>
      <c r="G8" s="823">
        <v>714354612.39999998</v>
      </c>
      <c r="H8" s="87">
        <v>0.51694886683704988</v>
      </c>
      <c r="I8" s="8"/>
      <c r="J8" s="824"/>
    </row>
    <row r="9" spans="1:10" ht="20" customHeight="1" thickBot="1">
      <c r="A9" s="825" t="s">
        <v>212</v>
      </c>
      <c r="B9" s="318">
        <v>974591</v>
      </c>
      <c r="C9" s="319">
        <v>161</v>
      </c>
      <c r="D9" s="826">
        <v>974752</v>
      </c>
      <c r="E9" s="319">
        <v>249114571</v>
      </c>
      <c r="F9" s="827">
        <v>287838454</v>
      </c>
      <c r="G9" s="828">
        <v>536953025</v>
      </c>
      <c r="H9" s="301">
        <v>0.53605891129861871</v>
      </c>
      <c r="I9" s="8"/>
      <c r="J9" s="824"/>
    </row>
    <row r="10" spans="1:10" ht="20" customHeight="1" thickBot="1">
      <c r="A10" s="825" t="s">
        <v>213</v>
      </c>
      <c r="B10" s="318">
        <v>366425</v>
      </c>
      <c r="C10" s="319">
        <v>115</v>
      </c>
      <c r="D10" s="826">
        <v>366540</v>
      </c>
      <c r="E10" s="319">
        <v>93675576</v>
      </c>
      <c r="F10" s="827">
        <v>72167392</v>
      </c>
      <c r="G10" s="828">
        <v>165842968</v>
      </c>
      <c r="H10" s="301">
        <v>0.43515497141850479</v>
      </c>
      <c r="I10" s="8"/>
      <c r="J10" s="824"/>
    </row>
    <row r="11" spans="1:10" ht="20" customHeight="1" thickBot="1">
      <c r="A11" s="825" t="s">
        <v>214</v>
      </c>
      <c r="B11" s="318">
        <v>34648</v>
      </c>
      <c r="C11" s="319">
        <v>5</v>
      </c>
      <c r="D11" s="826">
        <v>34653</v>
      </c>
      <c r="E11" s="319">
        <v>8856168</v>
      </c>
      <c r="F11" s="318">
        <v>4270704</v>
      </c>
      <c r="G11" s="828">
        <v>13126872</v>
      </c>
      <c r="H11" s="301">
        <v>0.32534056856804883</v>
      </c>
      <c r="I11" s="8"/>
      <c r="J11" s="824"/>
    </row>
    <row r="12" spans="1:10" ht="20" customHeight="1" thickBot="1">
      <c r="A12" s="825" t="s">
        <v>215</v>
      </c>
      <c r="B12" s="318">
        <v>142033</v>
      </c>
      <c r="C12" s="319">
        <v>33</v>
      </c>
      <c r="D12" s="826">
        <v>142066</v>
      </c>
      <c r="E12" s="319">
        <v>36307400</v>
      </c>
      <c r="F12" s="318">
        <v>12196832</v>
      </c>
      <c r="G12" s="828">
        <v>48504232</v>
      </c>
      <c r="H12" s="301">
        <v>0.25145913041154844</v>
      </c>
      <c r="I12" s="8"/>
      <c r="J12" s="824"/>
    </row>
    <row r="13" spans="1:10" ht="20" customHeight="1" thickBot="1">
      <c r="A13" s="825" t="s">
        <v>216</v>
      </c>
      <c r="B13" s="318">
        <v>34137</v>
      </c>
      <c r="C13" s="319">
        <v>6</v>
      </c>
      <c r="D13" s="826">
        <v>34143</v>
      </c>
      <c r="E13" s="319">
        <v>8725829</v>
      </c>
      <c r="F13" s="318">
        <v>8951298</v>
      </c>
      <c r="G13" s="828">
        <v>17677127</v>
      </c>
      <c r="H13" s="301">
        <v>0.50637742207769398</v>
      </c>
      <c r="I13" s="8"/>
      <c r="J13" s="824"/>
    </row>
    <row r="14" spans="1:10" ht="20" customHeight="1" thickBot="1">
      <c r="A14" s="825" t="s">
        <v>217</v>
      </c>
      <c r="B14" s="318">
        <v>39913</v>
      </c>
      <c r="C14" s="319">
        <v>4</v>
      </c>
      <c r="D14" s="826">
        <v>39917</v>
      </c>
      <c r="E14" s="319">
        <v>10201473</v>
      </c>
      <c r="F14" s="318">
        <v>7174608.5500000007</v>
      </c>
      <c r="G14" s="828">
        <v>17376081.550000001</v>
      </c>
      <c r="H14" s="301">
        <v>0.41290140871835401</v>
      </c>
      <c r="I14" s="8"/>
      <c r="J14" s="824"/>
    </row>
    <row r="15" spans="1:10" ht="20" customHeight="1" thickBot="1">
      <c r="A15" s="825" t="s">
        <v>218</v>
      </c>
      <c r="B15" s="318">
        <v>38165</v>
      </c>
      <c r="C15" s="319">
        <v>5</v>
      </c>
      <c r="D15" s="826">
        <v>38170</v>
      </c>
      <c r="E15" s="319">
        <v>9754997</v>
      </c>
      <c r="F15" s="318">
        <v>5114854</v>
      </c>
      <c r="G15" s="828">
        <v>14869851</v>
      </c>
      <c r="H15" s="301">
        <v>0.34397479840248568</v>
      </c>
      <c r="I15" s="8"/>
      <c r="J15" s="824"/>
    </row>
    <row r="16" spans="1:10" ht="20" customHeight="1" thickBot="1">
      <c r="A16" s="825" t="s">
        <v>219</v>
      </c>
      <c r="B16" s="318">
        <v>110390</v>
      </c>
      <c r="C16" s="319">
        <v>83</v>
      </c>
      <c r="D16" s="826">
        <v>110473</v>
      </c>
      <c r="E16" s="319">
        <v>28233268</v>
      </c>
      <c r="F16" s="318">
        <v>14413052</v>
      </c>
      <c r="G16" s="828">
        <v>42646320</v>
      </c>
      <c r="H16" s="301">
        <v>0.3379670742985561</v>
      </c>
      <c r="I16" s="8"/>
      <c r="J16" s="824"/>
    </row>
    <row r="17" spans="1:14" ht="20" customHeight="1" thickBot="1">
      <c r="A17" s="825" t="s">
        <v>220</v>
      </c>
      <c r="B17" s="318">
        <v>268830</v>
      </c>
      <c r="C17" s="319">
        <v>12</v>
      </c>
      <c r="D17" s="826">
        <v>268842</v>
      </c>
      <c r="E17" s="319">
        <v>68707178</v>
      </c>
      <c r="F17" s="318">
        <v>76540929</v>
      </c>
      <c r="G17" s="828">
        <v>145248107</v>
      </c>
      <c r="H17" s="301">
        <v>0.52696679206979269</v>
      </c>
      <c r="I17" s="8"/>
      <c r="J17" s="824"/>
    </row>
    <row r="18" spans="1:14" ht="20" customHeight="1" thickBot="1">
      <c r="A18" s="825" t="s">
        <v>221</v>
      </c>
      <c r="B18" s="318">
        <v>250590</v>
      </c>
      <c r="C18" s="319">
        <v>137</v>
      </c>
      <c r="D18" s="826">
        <v>250727</v>
      </c>
      <c r="E18" s="319">
        <v>64077580</v>
      </c>
      <c r="F18" s="318">
        <v>60497474</v>
      </c>
      <c r="G18" s="828">
        <v>124575054</v>
      </c>
      <c r="H18" s="301">
        <v>0.48563072667823204</v>
      </c>
      <c r="I18" s="8"/>
      <c r="J18" s="824"/>
    </row>
    <row r="19" spans="1:14" ht="20" customHeight="1" thickBot="1">
      <c r="A19" s="825" t="s">
        <v>222</v>
      </c>
      <c r="B19" s="318">
        <v>190531</v>
      </c>
      <c r="C19" s="319">
        <v>3344</v>
      </c>
      <c r="D19" s="826">
        <v>193875</v>
      </c>
      <c r="E19" s="319">
        <v>49548077</v>
      </c>
      <c r="F19" s="318">
        <v>82652095</v>
      </c>
      <c r="G19" s="828">
        <v>132200172</v>
      </c>
      <c r="H19" s="301">
        <v>0.62520414118674517</v>
      </c>
      <c r="I19" s="8"/>
      <c r="J19" s="824"/>
    </row>
    <row r="20" spans="1:14" ht="20" customHeight="1" thickBot="1">
      <c r="A20" s="825" t="s">
        <v>223</v>
      </c>
      <c r="B20" s="133">
        <v>269249</v>
      </c>
      <c r="C20" s="132">
        <v>1668</v>
      </c>
      <c r="D20" s="826">
        <v>270917</v>
      </c>
      <c r="E20" s="319">
        <v>69237480</v>
      </c>
      <c r="F20" s="133">
        <v>51891355</v>
      </c>
      <c r="G20" s="334">
        <v>121128835</v>
      </c>
      <c r="H20" s="301">
        <v>0.42839803585991726</v>
      </c>
      <c r="I20" s="8"/>
      <c r="J20" s="824"/>
    </row>
    <row r="21" spans="1:14" ht="20" customHeight="1" thickBot="1">
      <c r="A21" s="825" t="s">
        <v>224</v>
      </c>
      <c r="B21" s="318">
        <v>75045</v>
      </c>
      <c r="C21" s="319">
        <v>1462</v>
      </c>
      <c r="D21" s="826">
        <v>76507</v>
      </c>
      <c r="E21" s="319">
        <v>19552674</v>
      </c>
      <c r="F21" s="318">
        <v>21836794.459999993</v>
      </c>
      <c r="G21" s="828">
        <v>41389468.459999993</v>
      </c>
      <c r="H21" s="301">
        <v>0.52759301514354351</v>
      </c>
      <c r="I21" s="8"/>
      <c r="J21" s="824"/>
    </row>
    <row r="22" spans="1:14" ht="20" customHeight="1" thickBot="1">
      <c r="A22" s="825" t="s">
        <v>225</v>
      </c>
      <c r="B22" s="318">
        <v>52517</v>
      </c>
      <c r="C22" s="319">
        <v>19</v>
      </c>
      <c r="D22" s="826">
        <v>52536</v>
      </c>
      <c r="E22" s="319">
        <v>13426475</v>
      </c>
      <c r="F22" s="318">
        <v>10459310</v>
      </c>
      <c r="G22" s="828">
        <v>23885785</v>
      </c>
      <c r="H22" s="301">
        <v>0.43788847634691513</v>
      </c>
      <c r="I22" s="8"/>
      <c r="J22" s="824"/>
    </row>
    <row r="23" spans="1:14" ht="20" customHeight="1" thickBot="1">
      <c r="A23" s="825" t="s">
        <v>226</v>
      </c>
      <c r="B23" s="318">
        <v>15147</v>
      </c>
      <c r="C23" s="319">
        <v>5</v>
      </c>
      <c r="D23" s="826">
        <v>15152</v>
      </c>
      <c r="E23" s="319">
        <v>3872353</v>
      </c>
      <c r="F23" s="318">
        <v>1585846.5</v>
      </c>
      <c r="G23" s="828">
        <v>5458199.5</v>
      </c>
      <c r="H23" s="301">
        <v>0.29054388722874641</v>
      </c>
      <c r="I23" s="8"/>
      <c r="J23" s="824"/>
    </row>
    <row r="24" spans="1:14" ht="20" customHeight="1" thickBot="1">
      <c r="A24" s="825" t="s">
        <v>227</v>
      </c>
      <c r="B24" s="318">
        <v>470268</v>
      </c>
      <c r="C24" s="319">
        <v>370</v>
      </c>
      <c r="D24" s="826">
        <v>470638</v>
      </c>
      <c r="E24" s="319">
        <v>120279603</v>
      </c>
      <c r="F24" s="318">
        <v>54832828</v>
      </c>
      <c r="G24" s="828">
        <v>175112431</v>
      </c>
      <c r="H24" s="301">
        <v>0.31312927178767797</v>
      </c>
      <c r="I24" s="8"/>
      <c r="J24" s="824"/>
    </row>
    <row r="25" spans="1:14" ht="20" customHeight="1" thickBot="1">
      <c r="A25" s="825" t="s">
        <v>228</v>
      </c>
      <c r="B25" s="318">
        <v>193035</v>
      </c>
      <c r="C25" s="319">
        <v>59</v>
      </c>
      <c r="D25" s="826">
        <v>193094</v>
      </c>
      <c r="E25" s="319">
        <v>49348479</v>
      </c>
      <c r="F25" s="318">
        <v>30316141.75</v>
      </c>
      <c r="G25" s="828">
        <v>79664620.75</v>
      </c>
      <c r="H25" s="301">
        <v>0.38054711695843979</v>
      </c>
      <c r="I25" s="8"/>
      <c r="J25" s="824"/>
    </row>
    <row r="26" spans="1:14" ht="20" customHeight="1" thickBot="1">
      <c r="A26" s="825" t="s">
        <v>229</v>
      </c>
      <c r="B26" s="318">
        <v>587471</v>
      </c>
      <c r="C26" s="319">
        <v>3032</v>
      </c>
      <c r="D26" s="826">
        <v>590503</v>
      </c>
      <c r="E26" s="319">
        <v>150913157</v>
      </c>
      <c r="F26" s="318">
        <v>70783158</v>
      </c>
      <c r="G26" s="828">
        <v>221696315</v>
      </c>
      <c r="H26" s="301">
        <v>0.31927981301809188</v>
      </c>
      <c r="I26" s="8"/>
      <c r="J26" s="824"/>
    </row>
    <row r="27" spans="1:14" ht="20" customHeight="1" thickBot="1">
      <c r="A27" s="825" t="s">
        <v>230</v>
      </c>
      <c r="B27" s="318">
        <v>240656</v>
      </c>
      <c r="C27" s="319">
        <v>1347</v>
      </c>
      <c r="D27" s="826">
        <v>242003</v>
      </c>
      <c r="E27" s="319">
        <v>61848012</v>
      </c>
      <c r="F27" s="318">
        <v>57596223.349999994</v>
      </c>
      <c r="G27" s="828">
        <v>119444235.34999999</v>
      </c>
      <c r="H27" s="301">
        <v>0.48220178379667611</v>
      </c>
      <c r="I27" s="8"/>
      <c r="J27" s="824"/>
    </row>
    <row r="28" spans="1:14" ht="20" customHeight="1" thickBot="1">
      <c r="A28" s="825" t="s">
        <v>231</v>
      </c>
      <c r="B28" s="318">
        <v>331600</v>
      </c>
      <c r="C28" s="319">
        <v>199</v>
      </c>
      <c r="D28" s="826">
        <v>331799</v>
      </c>
      <c r="E28" s="319">
        <v>84796918</v>
      </c>
      <c r="F28" s="318">
        <v>165124526.34999999</v>
      </c>
      <c r="G28" s="828">
        <v>249921444.34999999</v>
      </c>
      <c r="H28" s="301">
        <v>0.66070571406730905</v>
      </c>
      <c r="I28" s="8"/>
      <c r="J28" s="824"/>
    </row>
    <row r="29" spans="1:14" ht="20" customHeight="1" thickBot="1">
      <c r="A29" s="825" t="s">
        <v>232</v>
      </c>
      <c r="B29" s="318">
        <v>690870</v>
      </c>
      <c r="C29" s="319">
        <v>260</v>
      </c>
      <c r="D29" s="826">
        <v>691130</v>
      </c>
      <c r="E29" s="319">
        <v>176630110</v>
      </c>
      <c r="F29" s="318">
        <v>219165597.68000001</v>
      </c>
      <c r="G29" s="828">
        <v>395795707.68000001</v>
      </c>
      <c r="H29" s="301">
        <v>0.55373414473002558</v>
      </c>
      <c r="I29" s="8"/>
      <c r="J29" s="824"/>
    </row>
    <row r="30" spans="1:14" ht="20" customHeight="1" thickBot="1">
      <c r="A30" s="825" t="s">
        <v>233</v>
      </c>
      <c r="B30" s="318">
        <v>301045</v>
      </c>
      <c r="C30" s="319">
        <v>25</v>
      </c>
      <c r="D30" s="826">
        <v>301070</v>
      </c>
      <c r="E30" s="319">
        <v>76943596</v>
      </c>
      <c r="F30" s="318">
        <v>94674856.069999993</v>
      </c>
      <c r="G30" s="828">
        <v>171618452.06999999</v>
      </c>
      <c r="H30" s="301">
        <v>0.55165895582943414</v>
      </c>
      <c r="I30" s="8"/>
      <c r="J30" s="824"/>
    </row>
    <row r="31" spans="1:14" ht="20" customHeight="1" thickBot="1">
      <c r="A31" s="825" t="s">
        <v>234</v>
      </c>
      <c r="B31" s="318">
        <v>171095</v>
      </c>
      <c r="C31" s="319">
        <v>85</v>
      </c>
      <c r="D31" s="826">
        <v>171180</v>
      </c>
      <c r="E31" s="319">
        <v>43747981</v>
      </c>
      <c r="F31" s="318">
        <v>45013473.700000003</v>
      </c>
      <c r="G31" s="828">
        <v>88761454.700000003</v>
      </c>
      <c r="H31" s="301">
        <v>0.50712861626861105</v>
      </c>
      <c r="I31" s="8"/>
      <c r="J31" s="824"/>
      <c r="K31" s="829"/>
      <c r="L31" s="829"/>
      <c r="M31" s="829"/>
      <c r="N31" s="829"/>
    </row>
    <row r="32" spans="1:14" ht="20" customHeight="1" thickBot="1">
      <c r="A32" s="825" t="s">
        <v>235</v>
      </c>
      <c r="B32" s="318">
        <v>446957</v>
      </c>
      <c r="C32" s="319">
        <v>4066</v>
      </c>
      <c r="D32" s="826">
        <v>451023</v>
      </c>
      <c r="E32" s="319">
        <v>115266654</v>
      </c>
      <c r="F32" s="318">
        <v>158224906.22000003</v>
      </c>
      <c r="G32" s="828">
        <v>273491560.22000003</v>
      </c>
      <c r="H32" s="301">
        <v>0.5785367054570969</v>
      </c>
      <c r="J32" s="824"/>
    </row>
    <row r="33" spans="1:12" ht="20" customHeight="1" thickBot="1">
      <c r="A33" s="825" t="s">
        <v>236</v>
      </c>
      <c r="B33" s="318">
        <v>68497</v>
      </c>
      <c r="C33" s="319">
        <v>22</v>
      </c>
      <c r="D33" s="826">
        <v>68519</v>
      </c>
      <c r="E33" s="319">
        <v>17511204</v>
      </c>
      <c r="F33" s="318">
        <v>21588796</v>
      </c>
      <c r="G33" s="828">
        <v>39100000</v>
      </c>
      <c r="H33" s="301">
        <v>0.55214312020460354</v>
      </c>
      <c r="J33" s="824"/>
      <c r="K33" s="9"/>
      <c r="L33" s="9"/>
    </row>
    <row r="34" spans="1:12" s="248" customFormat="1" ht="30" customHeight="1" thickBot="1">
      <c r="A34" s="830" t="s">
        <v>0</v>
      </c>
      <c r="B34" s="435">
        <v>7711056</v>
      </c>
      <c r="C34" s="436">
        <v>19385</v>
      </c>
      <c r="D34" s="704">
        <v>7730441</v>
      </c>
      <c r="E34" s="367">
        <v>1975646618</v>
      </c>
      <c r="F34" s="366">
        <v>2004196313.0299997</v>
      </c>
      <c r="G34" s="367">
        <v>3979842931.0299997</v>
      </c>
      <c r="H34" s="772">
        <v>0.50358678665524759</v>
      </c>
      <c r="J34" s="831"/>
    </row>
    <row r="35" spans="1:12" ht="20" customHeight="1">
      <c r="A35" s="832" t="s">
        <v>1722</v>
      </c>
      <c r="B35" s="135"/>
      <c r="C35" s="135"/>
      <c r="D35" s="833"/>
      <c r="E35" s="135"/>
      <c r="F35" s="135"/>
      <c r="G35" s="356"/>
      <c r="H35" s="136"/>
    </row>
    <row r="36" spans="1:12" ht="14.25" customHeight="1">
      <c r="A36" s="834"/>
      <c r="B36" s="136"/>
      <c r="C36" s="136"/>
      <c r="D36" s="835"/>
      <c r="E36" s="136"/>
      <c r="F36" s="136"/>
      <c r="G36" s="357"/>
      <c r="H36" s="136"/>
    </row>
    <row r="37" spans="1:12" ht="15.75" customHeight="1">
      <c r="A37" s="834" t="s">
        <v>1799</v>
      </c>
      <c r="B37" s="136"/>
      <c r="C37" s="136"/>
      <c r="D37" s="835"/>
      <c r="E37" s="136"/>
      <c r="F37" s="136"/>
      <c r="G37" s="357"/>
      <c r="H37" s="136"/>
    </row>
    <row r="38" spans="1:12" ht="15.75" customHeight="1">
      <c r="A38" s="834" t="s">
        <v>1800</v>
      </c>
      <c r="B38" s="136"/>
      <c r="C38" s="136"/>
      <c r="D38" s="835"/>
      <c r="E38" s="136"/>
      <c r="F38" s="136"/>
      <c r="G38" s="357"/>
      <c r="H38" s="136"/>
    </row>
    <row r="39" spans="1:12" ht="13.5" customHeight="1">
      <c r="A39" s="834"/>
      <c r="B39" s="136"/>
      <c r="C39" s="136"/>
      <c r="D39" s="835"/>
      <c r="E39" s="136"/>
      <c r="F39" s="136"/>
      <c r="G39" s="357"/>
      <c r="H39" s="136"/>
    </row>
    <row r="40" spans="1:12">
      <c r="A40" s="3" t="s">
        <v>1801</v>
      </c>
    </row>
    <row r="41" spans="1:12">
      <c r="A41" s="3" t="s">
        <v>1802</v>
      </c>
    </row>
    <row r="42" spans="1:12">
      <c r="A42" s="3" t="s">
        <v>1803</v>
      </c>
    </row>
    <row r="43" spans="1:12">
      <c r="A43" s="836" t="s">
        <v>1804</v>
      </c>
    </row>
    <row r="46" spans="1:12">
      <c r="A46" s="3" t="s">
        <v>677</v>
      </c>
    </row>
  </sheetData>
  <mergeCells count="1">
    <mergeCell ref="A2:G2"/>
  </mergeCells>
  <pageMargins left="0.56000000000000005" right="0.51" top="0.81" bottom="0.49" header="0.42" footer="0.4921259845"/>
  <pageSetup paperSize="9" scale="81" orientation="portrait" horizontalDpi="1200" verticalDpi="1200"/>
  <headerFooter alignWithMargins="0"/>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14523-1416-C54E-AD80-5BDB26795C1B}">
  <sheetPr>
    <pageSetUpPr fitToPage="1"/>
  </sheetPr>
  <dimension ref="A1:K44"/>
  <sheetViews>
    <sheetView zoomScaleNormal="100" workbookViewId="0">
      <selection activeCell="K19" sqref="K19"/>
    </sheetView>
  </sheetViews>
  <sheetFormatPr baseColWidth="10" defaultColWidth="11.3984375" defaultRowHeight="13"/>
  <cols>
    <col min="1" max="1" width="11.796875" style="3" customWidth="1"/>
    <col min="2" max="2" width="18.3984375" style="3" customWidth="1"/>
    <col min="3" max="3" width="17.796875" style="3" customWidth="1"/>
    <col min="4" max="4" width="17.3984375" style="248" customWidth="1"/>
    <col min="5" max="5" width="16" style="49" customWidth="1"/>
    <col min="6" max="6" width="13.3984375" style="49" customWidth="1"/>
    <col min="7" max="7" width="14.59765625" style="49" customWidth="1"/>
    <col min="8" max="8" width="14.796875" style="3" customWidth="1"/>
    <col min="9" max="9" width="11.59765625" style="3" customWidth="1"/>
    <col min="10" max="16384" width="11.3984375" style="3"/>
  </cols>
  <sheetData>
    <row r="1" spans="1:9" s="2" customFormat="1" ht="14" customHeight="1">
      <c r="D1" s="17"/>
      <c r="E1" s="261"/>
      <c r="F1" s="261"/>
      <c r="G1" s="261"/>
    </row>
    <row r="2" spans="1:9" s="2" customFormat="1" ht="28" customHeight="1">
      <c r="A2" s="71" t="s">
        <v>1805</v>
      </c>
      <c r="D2" s="17"/>
      <c r="E2" s="261"/>
      <c r="F2" s="261"/>
      <c r="G2" s="358"/>
      <c r="H2" s="358">
        <v>2010</v>
      </c>
    </row>
    <row r="3" spans="1:9" ht="24" customHeight="1">
      <c r="A3" s="72" t="s">
        <v>203</v>
      </c>
      <c r="B3" s="73" t="s">
        <v>1806</v>
      </c>
      <c r="C3" s="74" t="s">
        <v>1806</v>
      </c>
      <c r="D3" s="651" t="s">
        <v>190</v>
      </c>
      <c r="E3" s="277" t="s">
        <v>585</v>
      </c>
      <c r="F3" s="299" t="s">
        <v>190</v>
      </c>
      <c r="G3" s="277" t="s">
        <v>190</v>
      </c>
      <c r="H3" s="1095"/>
    </row>
    <row r="4" spans="1:9" ht="15" customHeight="1">
      <c r="A4" s="328"/>
      <c r="B4" s="105" t="s">
        <v>1807</v>
      </c>
      <c r="C4" s="106" t="s">
        <v>1807</v>
      </c>
      <c r="D4" s="1096" t="s">
        <v>1806</v>
      </c>
      <c r="E4" s="75" t="s">
        <v>586</v>
      </c>
      <c r="F4" s="819" t="s">
        <v>1806</v>
      </c>
      <c r="G4" s="75" t="s">
        <v>1806</v>
      </c>
      <c r="H4" s="819" t="s">
        <v>1808</v>
      </c>
    </row>
    <row r="5" spans="1:9" ht="15" customHeight="1">
      <c r="A5" s="328"/>
      <c r="B5" s="76" t="s">
        <v>1809</v>
      </c>
      <c r="C5" s="77" t="s">
        <v>1810</v>
      </c>
      <c r="D5" s="1096" t="s">
        <v>1811</v>
      </c>
      <c r="E5" s="75" t="s">
        <v>210</v>
      </c>
      <c r="F5" s="819" t="s">
        <v>1717</v>
      </c>
      <c r="G5" s="75" t="s">
        <v>1715</v>
      </c>
      <c r="H5" s="819" t="s">
        <v>1812</v>
      </c>
    </row>
    <row r="6" spans="1:9" ht="15" customHeight="1">
      <c r="A6" s="328"/>
      <c r="B6" s="76" t="s">
        <v>1719</v>
      </c>
      <c r="C6" s="77" t="s">
        <v>1813</v>
      </c>
      <c r="D6" s="1096" t="s">
        <v>1719</v>
      </c>
      <c r="E6" s="75"/>
      <c r="F6" s="819" t="s">
        <v>1719</v>
      </c>
      <c r="G6" s="75" t="s">
        <v>1814</v>
      </c>
      <c r="H6" s="819" t="s">
        <v>1815</v>
      </c>
    </row>
    <row r="7" spans="1:9" ht="24" customHeight="1">
      <c r="A7" s="329"/>
      <c r="B7" s="82"/>
      <c r="C7" s="81" t="s">
        <v>1719</v>
      </c>
      <c r="D7" s="265"/>
      <c r="E7" s="108"/>
      <c r="F7" s="107"/>
      <c r="G7" s="108"/>
      <c r="H7" s="107"/>
    </row>
    <row r="8" spans="1:9" ht="30" customHeight="1" thickBot="1">
      <c r="A8" s="821" t="s">
        <v>211</v>
      </c>
      <c r="B8" s="85">
        <v>698661211.39999998</v>
      </c>
      <c r="C8" s="86">
        <v>15693401</v>
      </c>
      <c r="D8" s="1097">
        <v>714354612.39999998</v>
      </c>
      <c r="E8" s="788">
        <v>0.17643264583314425</v>
      </c>
      <c r="F8" s="822">
        <v>2439.5274051054384</v>
      </c>
      <c r="G8" s="798">
        <v>1602.0906826586886</v>
      </c>
      <c r="H8" s="87">
        <v>0.57705530089586721</v>
      </c>
      <c r="I8" s="88"/>
    </row>
    <row r="9" spans="1:9" ht="20" customHeight="1" thickBot="1">
      <c r="A9" s="825" t="s">
        <v>212</v>
      </c>
      <c r="B9" s="318">
        <v>494427838</v>
      </c>
      <c r="C9" s="319">
        <v>42525187</v>
      </c>
      <c r="D9" s="1098">
        <v>536953025</v>
      </c>
      <c r="E9" s="788">
        <v>0.14897045813736881</v>
      </c>
      <c r="F9" s="826">
        <v>4187.9111258433104</v>
      </c>
      <c r="G9" s="798">
        <v>2052.0550052356821</v>
      </c>
      <c r="H9" s="301">
        <v>0.66907667164489348</v>
      </c>
      <c r="I9" s="88"/>
    </row>
    <row r="10" spans="1:9" ht="20" customHeight="1" thickBot="1">
      <c r="A10" s="825" t="s">
        <v>213</v>
      </c>
      <c r="B10" s="318">
        <v>162186129</v>
      </c>
      <c r="C10" s="319">
        <v>3656839</v>
      </c>
      <c r="D10" s="1098">
        <v>165842968</v>
      </c>
      <c r="E10" s="788">
        <v>0.1115861586782024</v>
      </c>
      <c r="F10" s="1099">
        <v>2534.6237716067308</v>
      </c>
      <c r="G10" s="761">
        <v>1228.8669492278966</v>
      </c>
      <c r="H10" s="1100">
        <v>0.51162199380480977</v>
      </c>
      <c r="I10" s="88"/>
    </row>
    <row r="11" spans="1:9" ht="20" customHeight="1" thickBot="1">
      <c r="A11" s="825" t="s">
        <v>214</v>
      </c>
      <c r="B11" s="318">
        <v>12880789</v>
      </c>
      <c r="C11" s="319">
        <v>246083</v>
      </c>
      <c r="D11" s="1098">
        <v>13126872</v>
      </c>
      <c r="E11" s="788">
        <v>-0.12341276028841451</v>
      </c>
      <c r="F11" s="1101">
        <v>2019.2081218274111</v>
      </c>
      <c r="G11" s="1102">
        <v>963.58158995815904</v>
      </c>
      <c r="H11" s="1103">
        <v>0.43436862927957709</v>
      </c>
      <c r="I11" s="88"/>
    </row>
    <row r="12" spans="1:9" ht="20" customHeight="1" thickBot="1">
      <c r="A12" s="825" t="s">
        <v>215</v>
      </c>
      <c r="B12" s="318">
        <v>48378296.149999999</v>
      </c>
      <c r="C12" s="319">
        <v>125935.85</v>
      </c>
      <c r="D12" s="1098">
        <v>48504232</v>
      </c>
      <c r="E12" s="788">
        <v>0.19856272003444442</v>
      </c>
      <c r="F12" s="1101">
        <v>2619.5847915316481</v>
      </c>
      <c r="G12" s="1102">
        <v>1316.833143291524</v>
      </c>
      <c r="H12" s="1103">
        <v>0.55392090856403819</v>
      </c>
      <c r="I12" s="88"/>
    </row>
    <row r="13" spans="1:9" ht="20" customHeight="1" thickBot="1">
      <c r="A13" s="825" t="s">
        <v>216</v>
      </c>
      <c r="B13" s="318">
        <v>17671678</v>
      </c>
      <c r="C13" s="319">
        <v>5449</v>
      </c>
      <c r="D13" s="1098">
        <v>17677127</v>
      </c>
      <c r="E13" s="788">
        <v>0.19184107479465382</v>
      </c>
      <c r="F13" s="1101">
        <v>2187.7632425742572</v>
      </c>
      <c r="G13" s="1102">
        <v>1284.3948993678703</v>
      </c>
      <c r="H13" s="1103">
        <v>0.58409154017129561</v>
      </c>
      <c r="I13" s="88"/>
    </row>
    <row r="14" spans="1:9" ht="20" customHeight="1" thickBot="1">
      <c r="A14" s="825" t="s">
        <v>217</v>
      </c>
      <c r="B14" s="318">
        <v>17175562.350000001</v>
      </c>
      <c r="C14" s="319">
        <v>200519.2</v>
      </c>
      <c r="D14" s="1098">
        <v>17376081.550000001</v>
      </c>
      <c r="E14" s="788">
        <v>0.23434076382716587</v>
      </c>
      <c r="F14" s="1101">
        <v>1836.0187605663568</v>
      </c>
      <c r="G14" s="1102">
        <v>893.09629677220403</v>
      </c>
      <c r="H14" s="1103">
        <v>0.4358874631365397</v>
      </c>
      <c r="I14" s="88"/>
    </row>
    <row r="15" spans="1:9" ht="20" customHeight="1" thickBot="1">
      <c r="A15" s="825" t="s">
        <v>218</v>
      </c>
      <c r="B15" s="318">
        <v>14869851</v>
      </c>
      <c r="C15" s="319">
        <v>0</v>
      </c>
      <c r="D15" s="1098">
        <v>14869851</v>
      </c>
      <c r="E15" s="788">
        <v>0.13204307044522626</v>
      </c>
      <c r="F15" s="1101">
        <v>3009.4820886460229</v>
      </c>
      <c r="G15" s="1102">
        <v>1458.2574286554868</v>
      </c>
      <c r="H15" s="1103">
        <v>0.59881906655680028</v>
      </c>
      <c r="I15" s="88"/>
    </row>
    <row r="16" spans="1:9" ht="20" customHeight="1" thickBot="1">
      <c r="A16" s="825" t="s">
        <v>219</v>
      </c>
      <c r="B16" s="318">
        <v>40810463</v>
      </c>
      <c r="C16" s="319">
        <v>1835857</v>
      </c>
      <c r="D16" s="1098">
        <v>42646320</v>
      </c>
      <c r="E16" s="788">
        <v>0.12679727122958273</v>
      </c>
      <c r="F16" s="1101">
        <v>3168.1390684198795</v>
      </c>
      <c r="G16" s="1102">
        <v>1419.3676362910205</v>
      </c>
      <c r="H16" s="1103">
        <v>0.60969994131295624</v>
      </c>
      <c r="I16" s="88"/>
    </row>
    <row r="17" spans="1:9" ht="20" customHeight="1" thickBot="1">
      <c r="A17" s="825" t="s">
        <v>220</v>
      </c>
      <c r="B17" s="318">
        <v>145248107</v>
      </c>
      <c r="C17" s="319">
        <v>0</v>
      </c>
      <c r="D17" s="1098">
        <v>145248107</v>
      </c>
      <c r="E17" s="788">
        <v>0.11287073655196754</v>
      </c>
      <c r="F17" s="1101">
        <v>3373.3129035254774</v>
      </c>
      <c r="G17" s="1102">
        <v>1669.6720043222365</v>
      </c>
      <c r="H17" s="1103">
        <v>0.64181054919358627</v>
      </c>
      <c r="I17" s="88"/>
    </row>
    <row r="18" spans="1:9" ht="20" customHeight="1" thickBot="1">
      <c r="A18" s="825" t="s">
        <v>221</v>
      </c>
      <c r="B18" s="318">
        <v>122230662.7</v>
      </c>
      <c r="C18" s="319">
        <v>2344391.2999999998</v>
      </c>
      <c r="D18" s="1098">
        <v>124575054</v>
      </c>
      <c r="E18" s="788">
        <v>0.16924994218515585</v>
      </c>
      <c r="F18" s="1101">
        <v>3552.0816058852042</v>
      </c>
      <c r="G18" s="1102">
        <v>1676.9654309021889</v>
      </c>
      <c r="H18" s="1103">
        <v>0.62584742940385385</v>
      </c>
      <c r="I18" s="88"/>
    </row>
    <row r="19" spans="1:9" ht="20" customHeight="1" thickBot="1">
      <c r="A19" s="825" t="s">
        <v>222</v>
      </c>
      <c r="B19" s="318">
        <v>132578084</v>
      </c>
      <c r="C19" s="319">
        <v>-377912</v>
      </c>
      <c r="D19" s="1098">
        <v>132200172</v>
      </c>
      <c r="E19" s="788">
        <v>4.2656036131817704E-2</v>
      </c>
      <c r="F19" s="1101">
        <v>4421.4104347826087</v>
      </c>
      <c r="G19" s="1102">
        <v>2705.0288917989851</v>
      </c>
      <c r="H19" s="1103">
        <v>0.68248481355111767</v>
      </c>
      <c r="I19" s="88"/>
    </row>
    <row r="20" spans="1:9" ht="20" customHeight="1" thickBot="1">
      <c r="A20" s="825" t="s">
        <v>223</v>
      </c>
      <c r="B20" s="318">
        <v>117781608</v>
      </c>
      <c r="C20" s="319">
        <v>3347227</v>
      </c>
      <c r="D20" s="267">
        <v>121128835</v>
      </c>
      <c r="E20" s="788">
        <v>0.24324602640615089</v>
      </c>
      <c r="F20" s="1101">
        <v>3734.9707070395607</v>
      </c>
      <c r="G20" s="1102">
        <v>1787.1145192463744</v>
      </c>
      <c r="H20" s="1103">
        <v>0.59317186418801804</v>
      </c>
      <c r="I20" s="88"/>
    </row>
    <row r="21" spans="1:9" ht="20" customHeight="1" thickBot="1">
      <c r="A21" s="825" t="s">
        <v>224</v>
      </c>
      <c r="B21" s="318">
        <v>39430940.709999993</v>
      </c>
      <c r="C21" s="319">
        <v>1958527.75</v>
      </c>
      <c r="D21" s="1098">
        <v>41389468.459999993</v>
      </c>
      <c r="E21" s="788">
        <v>0.14831792873301461</v>
      </c>
      <c r="F21" s="1101">
        <v>2903.9127524030023</v>
      </c>
      <c r="G21" s="1102">
        <v>1513.9349815282196</v>
      </c>
      <c r="H21" s="1103">
        <v>0.55964761301045574</v>
      </c>
      <c r="I21" s="88"/>
    </row>
    <row r="22" spans="1:9" ht="20" customHeight="1" thickBot="1">
      <c r="A22" s="825" t="s">
        <v>225</v>
      </c>
      <c r="B22" s="318">
        <v>23814995</v>
      </c>
      <c r="C22" s="319">
        <v>70790</v>
      </c>
      <c r="D22" s="1098">
        <v>23885785</v>
      </c>
      <c r="E22" s="788">
        <v>-1.1618408940419411E-2</v>
      </c>
      <c r="F22" s="1101">
        <v>4273.7135444623364</v>
      </c>
      <c r="G22" s="1102">
        <v>1744.8889619402439</v>
      </c>
      <c r="H22" s="1103">
        <v>0.79683077624283205</v>
      </c>
      <c r="I22" s="88"/>
    </row>
    <row r="23" spans="1:9" ht="20" customHeight="1" thickBot="1">
      <c r="A23" s="825" t="s">
        <v>226</v>
      </c>
      <c r="B23" s="318">
        <v>5430040.5</v>
      </c>
      <c r="C23" s="319">
        <v>28159</v>
      </c>
      <c r="D23" s="1098">
        <v>5458199.5</v>
      </c>
      <c r="E23" s="788">
        <v>0.19517724413149579</v>
      </c>
      <c r="F23" s="1101">
        <v>2105.7868441358023</v>
      </c>
      <c r="G23" s="1102">
        <v>779.74278571428567</v>
      </c>
      <c r="H23" s="1103">
        <v>0.39796720110384626</v>
      </c>
      <c r="I23" s="88"/>
    </row>
    <row r="24" spans="1:9" ht="20" customHeight="1" thickBot="1">
      <c r="A24" s="825" t="s">
        <v>227</v>
      </c>
      <c r="B24" s="318">
        <v>173787342</v>
      </c>
      <c r="C24" s="319">
        <v>1325089</v>
      </c>
      <c r="D24" s="1098">
        <v>175112431</v>
      </c>
      <c r="E24" s="788">
        <v>0.11411794786840213</v>
      </c>
      <c r="F24" s="1101">
        <v>2339.6052079575666</v>
      </c>
      <c r="G24" s="1102">
        <v>1097.9868388876696</v>
      </c>
      <c r="H24" s="1103">
        <v>0.45959546693552794</v>
      </c>
      <c r="I24" s="88"/>
    </row>
    <row r="25" spans="1:9" ht="20" customHeight="1" thickBot="1">
      <c r="A25" s="825" t="s">
        <v>228</v>
      </c>
      <c r="B25" s="318">
        <v>72570531.75</v>
      </c>
      <c r="C25" s="319">
        <v>7094089</v>
      </c>
      <c r="D25" s="1098">
        <v>79664620.75</v>
      </c>
      <c r="E25" s="788">
        <v>0.24492574118948116</v>
      </c>
      <c r="F25" s="1101">
        <v>2683.8466714954689</v>
      </c>
      <c r="G25" s="1102">
        <v>1317.0535941607288</v>
      </c>
      <c r="H25" s="1103">
        <v>0.5208357076692135</v>
      </c>
      <c r="I25" s="88"/>
    </row>
    <row r="26" spans="1:9" ht="20" customHeight="1" thickBot="1">
      <c r="A26" s="825" t="s">
        <v>229</v>
      </c>
      <c r="B26" s="318">
        <v>200477689</v>
      </c>
      <c r="C26" s="319">
        <v>21218626</v>
      </c>
      <c r="D26" s="1098">
        <v>221696315</v>
      </c>
      <c r="E26" s="788">
        <v>0.13509598962082919</v>
      </c>
      <c r="F26" s="1101">
        <v>3291.1183604999851</v>
      </c>
      <c r="G26" s="1102">
        <v>1433.8510568117142</v>
      </c>
      <c r="H26" s="1103">
        <v>0.54546423315664005</v>
      </c>
      <c r="I26" s="88"/>
    </row>
    <row r="27" spans="1:9" ht="20" customHeight="1" thickBot="1">
      <c r="A27" s="825" t="s">
        <v>230</v>
      </c>
      <c r="B27" s="318">
        <v>113895315</v>
      </c>
      <c r="C27" s="319">
        <v>5548920.3499999996</v>
      </c>
      <c r="D27" s="1098">
        <v>119444235.34999999</v>
      </c>
      <c r="E27" s="788">
        <v>0.10950502819528132</v>
      </c>
      <c r="F27" s="1101">
        <v>2362.1919380994759</v>
      </c>
      <c r="G27" s="1102">
        <v>1297.3620879359596</v>
      </c>
      <c r="H27" s="1103">
        <v>0.52075823433594559</v>
      </c>
      <c r="I27" s="88"/>
    </row>
    <row r="28" spans="1:9" ht="20" customHeight="1" thickBot="1">
      <c r="A28" s="825" t="s">
        <v>231</v>
      </c>
      <c r="B28" s="318">
        <v>248379704.19999999</v>
      </c>
      <c r="C28" s="319">
        <v>1541740.15</v>
      </c>
      <c r="D28" s="1098">
        <v>249921444.34999999</v>
      </c>
      <c r="E28" s="788">
        <v>3.76504996086807E-2</v>
      </c>
      <c r="F28" s="1101">
        <v>4075.1605196647533</v>
      </c>
      <c r="G28" s="1102">
        <v>2379.7056269162649</v>
      </c>
      <c r="H28" s="1103">
        <v>0.73032947937333181</v>
      </c>
      <c r="I28" s="88"/>
    </row>
    <row r="29" spans="1:9" ht="20" customHeight="1" thickBot="1">
      <c r="A29" s="825" t="s">
        <v>232</v>
      </c>
      <c r="B29" s="318">
        <v>394267550.68000001</v>
      </c>
      <c r="C29" s="319">
        <v>1528157</v>
      </c>
      <c r="D29" s="1098">
        <v>395795707.68000001</v>
      </c>
      <c r="E29" s="788">
        <v>8.8327532527755645E-2</v>
      </c>
      <c r="F29" s="1104">
        <v>4628.2152024135266</v>
      </c>
      <c r="G29" s="840">
        <v>2574.3480004683047</v>
      </c>
      <c r="H29" s="300">
        <v>0.81960019996929212</v>
      </c>
      <c r="I29" s="88"/>
    </row>
    <row r="30" spans="1:9" ht="20" customHeight="1" thickBot="1">
      <c r="A30" s="825" t="s">
        <v>233</v>
      </c>
      <c r="B30" s="318">
        <v>170513793.47999999</v>
      </c>
      <c r="C30" s="319">
        <v>1104658.5900000001</v>
      </c>
      <c r="D30" s="1098">
        <v>171618452.06999999</v>
      </c>
      <c r="E30" s="788">
        <v>7.3298560468630272E-2</v>
      </c>
      <c r="F30" s="826">
        <v>3240.4684970072317</v>
      </c>
      <c r="G30" s="798">
        <v>1893.1568202576887</v>
      </c>
      <c r="H30" s="301">
        <v>0.73713055283098816</v>
      </c>
      <c r="I30" s="88"/>
    </row>
    <row r="31" spans="1:9" ht="20" customHeight="1" thickBot="1">
      <c r="A31" s="825" t="s">
        <v>234</v>
      </c>
      <c r="B31" s="318">
        <v>88465851.400000006</v>
      </c>
      <c r="C31" s="319">
        <v>295603.3</v>
      </c>
      <c r="D31" s="1098">
        <v>88761454.700000003</v>
      </c>
      <c r="E31" s="788">
        <v>5.0527766747837856E-2</v>
      </c>
      <c r="F31" s="826">
        <v>3058.4196368272346</v>
      </c>
      <c r="G31" s="798">
        <v>1839.8825674191075</v>
      </c>
      <c r="H31" s="301">
        <v>0.61853406961844304</v>
      </c>
      <c r="I31" s="88"/>
    </row>
    <row r="32" spans="1:9" ht="20" customHeight="1" thickBot="1">
      <c r="A32" s="825" t="s">
        <v>235</v>
      </c>
      <c r="B32" s="318">
        <v>238275853.65000004</v>
      </c>
      <c r="C32" s="319">
        <v>35215706.57</v>
      </c>
      <c r="D32" s="1098">
        <v>273491560.22000003</v>
      </c>
      <c r="E32" s="788">
        <v>0.1079871951710573</v>
      </c>
      <c r="F32" s="826">
        <v>2872.9312179083158</v>
      </c>
      <c r="G32" s="798">
        <v>2016.4978965840137</v>
      </c>
      <c r="H32" s="301">
        <v>0.55675748839182582</v>
      </c>
      <c r="I32" s="88"/>
    </row>
    <row r="33" spans="1:11" ht="20" customHeight="1" thickBot="1">
      <c r="A33" s="825" t="s">
        <v>236</v>
      </c>
      <c r="B33" s="318">
        <v>39418525.799999997</v>
      </c>
      <c r="C33" s="319">
        <v>-318525.8</v>
      </c>
      <c r="D33" s="1098">
        <v>39100000</v>
      </c>
      <c r="E33" s="788">
        <v>4.5888001711939443E-2</v>
      </c>
      <c r="F33" s="826">
        <v>2837.0338122188364</v>
      </c>
      <c r="G33" s="798">
        <v>1705.9336823734729</v>
      </c>
      <c r="H33" s="301">
        <v>0.60027499757147351</v>
      </c>
      <c r="I33" s="9"/>
      <c r="J33" s="9"/>
      <c r="K33" s="9"/>
    </row>
    <row r="34" spans="1:11" ht="30" customHeight="1" thickBot="1">
      <c r="A34" s="830" t="s">
        <v>0</v>
      </c>
      <c r="B34" s="366">
        <v>3833628412.7700005</v>
      </c>
      <c r="C34" s="367">
        <v>146214518.25999999</v>
      </c>
      <c r="D34" s="366">
        <v>3979842931.0299997</v>
      </c>
      <c r="E34" s="794">
        <v>0.12348326128604863</v>
      </c>
      <c r="F34" s="704">
        <v>3132.2745074972922</v>
      </c>
      <c r="G34" s="1105">
        <v>1718.9674951279601</v>
      </c>
      <c r="H34" s="772">
        <v>0.60644499645080241</v>
      </c>
      <c r="I34" s="88"/>
    </row>
    <row r="35" spans="1:11" ht="20" customHeight="1">
      <c r="A35" s="832" t="s">
        <v>1722</v>
      </c>
      <c r="B35" s="135"/>
      <c r="C35" s="135"/>
      <c r="D35" s="356"/>
      <c r="E35" s="833"/>
      <c r="F35" s="833"/>
      <c r="G35" s="833"/>
    </row>
    <row r="36" spans="1:11" ht="8.25" customHeight="1">
      <c r="A36" s="834"/>
      <c r="B36" s="136"/>
      <c r="C36" s="136"/>
      <c r="D36" s="357"/>
      <c r="E36" s="835"/>
      <c r="F36" s="835"/>
      <c r="G36" s="835"/>
    </row>
    <row r="37" spans="1:11" ht="14.25" customHeight="1">
      <c r="A37" s="834" t="s">
        <v>1816</v>
      </c>
      <c r="B37" s="136"/>
      <c r="C37" s="136"/>
      <c r="D37" s="357"/>
      <c r="E37" s="835"/>
      <c r="F37" s="835"/>
      <c r="G37" s="835"/>
    </row>
    <row r="38" spans="1:11" ht="12.75" customHeight="1">
      <c r="A38" s="834"/>
      <c r="B38" s="136"/>
      <c r="C38" s="136"/>
      <c r="D38" s="357"/>
      <c r="E38" s="835"/>
      <c r="F38" s="835"/>
      <c r="G38" s="835"/>
    </row>
    <row r="39" spans="1:11" ht="14.25" customHeight="1">
      <c r="A39" s="96" t="s">
        <v>1817</v>
      </c>
      <c r="B39" s="136"/>
      <c r="C39" s="136"/>
      <c r="D39" s="357"/>
      <c r="E39" s="835"/>
      <c r="F39" s="835"/>
      <c r="G39" s="835"/>
    </row>
    <row r="40" spans="1:11" ht="13.5" customHeight="1">
      <c r="A40" s="3" t="s">
        <v>1818</v>
      </c>
      <c r="B40" s="136"/>
      <c r="C40" s="136"/>
      <c r="D40" s="357"/>
      <c r="E40" s="835"/>
      <c r="F40" s="835"/>
      <c r="G40" s="835"/>
    </row>
    <row r="41" spans="1:11" ht="14.25" customHeight="1">
      <c r="A41" s="836" t="s">
        <v>1819</v>
      </c>
      <c r="B41" s="136"/>
      <c r="C41" s="136"/>
      <c r="D41" s="357"/>
      <c r="E41" s="835"/>
      <c r="F41" s="835"/>
      <c r="G41" s="835"/>
    </row>
    <row r="44" spans="1:11">
      <c r="A44" s="3" t="s">
        <v>677</v>
      </c>
    </row>
  </sheetData>
  <pageMargins left="0.59055118110236227" right="0.55118110236220474" top="0.86614173228346458" bottom="0.47244094488188981" header="0.43307086614173229" footer="0.51181102362204722"/>
  <pageSetup paperSize="9" scale="74" orientation="portrait"/>
  <headerFooter alignWithMargins="0"/>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AFBD0-5CB7-7944-A9C5-BDAEDCE42DA9}">
  <sheetPr>
    <pageSetUpPr fitToPage="1"/>
  </sheetPr>
  <dimension ref="A1:M45"/>
  <sheetViews>
    <sheetView topLeftCell="A16" zoomScaleNormal="100" workbookViewId="0">
      <selection activeCell="O23" sqref="O23"/>
    </sheetView>
  </sheetViews>
  <sheetFormatPr baseColWidth="10" defaultColWidth="11.3984375" defaultRowHeight="13"/>
  <cols>
    <col min="1" max="1" width="14.59765625" style="3" customWidth="1"/>
    <col min="2" max="3" width="19.3984375" style="3" customWidth="1"/>
    <col min="4" max="4" width="19" style="49" customWidth="1"/>
    <col min="5" max="5" width="7.3984375" style="49" customWidth="1"/>
    <col min="6" max="6" width="16.796875" style="49" customWidth="1"/>
    <col min="7" max="7" width="14.59765625" style="49" customWidth="1"/>
    <col min="8" max="8" width="18.59765625" style="49" customWidth="1"/>
    <col min="9" max="9" width="13" style="3" customWidth="1"/>
    <col min="10" max="16384" width="11.3984375" style="3"/>
  </cols>
  <sheetData>
    <row r="1" spans="1:13" s="2" customFormat="1" ht="14" customHeight="1">
      <c r="D1" s="261"/>
      <c r="E1" s="261"/>
      <c r="F1" s="261"/>
      <c r="G1" s="261"/>
      <c r="H1" s="261"/>
      <c r="K1" s="818"/>
    </row>
    <row r="2" spans="1:13" s="2" customFormat="1" ht="28.5" customHeight="1">
      <c r="A2" s="1807" t="s">
        <v>1820</v>
      </c>
      <c r="B2" s="1811"/>
      <c r="C2" s="1811"/>
      <c r="D2" s="1811"/>
      <c r="E2" s="1821"/>
      <c r="F2" s="1811"/>
      <c r="G2" s="1811"/>
      <c r="H2" s="1811"/>
      <c r="K2" s="454"/>
    </row>
    <row r="3" spans="1:13" ht="24" customHeight="1">
      <c r="A3" s="72" t="s">
        <v>203</v>
      </c>
      <c r="B3" s="1106" t="s">
        <v>1821</v>
      </c>
      <c r="C3" s="327"/>
      <c r="D3" s="1107"/>
      <c r="E3" s="1108"/>
      <c r="F3" s="276" t="s">
        <v>1822</v>
      </c>
      <c r="G3" s="1109"/>
      <c r="H3" s="1109"/>
      <c r="K3" s="457"/>
    </row>
    <row r="4" spans="1:13" ht="15" customHeight="1">
      <c r="A4" s="328"/>
      <c r="B4" s="1110">
        <v>2010</v>
      </c>
      <c r="C4" s="1111">
        <v>2011</v>
      </c>
      <c r="D4" s="1110">
        <v>2012</v>
      </c>
      <c r="E4" s="820"/>
      <c r="F4" s="77" t="s">
        <v>1462</v>
      </c>
      <c r="G4" s="77" t="s">
        <v>1463</v>
      </c>
      <c r="H4" s="77" t="s">
        <v>1823</v>
      </c>
      <c r="K4" s="820"/>
    </row>
    <row r="5" spans="1:13" ht="15" customHeight="1">
      <c r="A5" s="328"/>
      <c r="B5" s="1110"/>
      <c r="C5" s="1111"/>
      <c r="D5" s="1110"/>
      <c r="E5" s="1112"/>
      <c r="F5" s="77" t="s">
        <v>1464</v>
      </c>
      <c r="G5" s="106" t="s">
        <v>1824</v>
      </c>
      <c r="H5" s="77" t="s">
        <v>1825</v>
      </c>
      <c r="K5" s="820"/>
    </row>
    <row r="6" spans="1:13" ht="24" customHeight="1">
      <c r="A6" s="329"/>
      <c r="B6" s="82"/>
      <c r="C6" s="81"/>
      <c r="D6" s="80"/>
      <c r="E6" s="1113"/>
      <c r="F6" s="81" t="s">
        <v>1826</v>
      </c>
      <c r="G6" s="360"/>
      <c r="H6" s="81" t="s">
        <v>1827</v>
      </c>
      <c r="K6" s="461"/>
    </row>
    <row r="7" spans="1:13" ht="30" customHeight="1" thickBot="1">
      <c r="A7" s="821" t="s">
        <v>211</v>
      </c>
      <c r="B7" s="123">
        <v>345069805.33357358</v>
      </c>
      <c r="C7" s="124">
        <v>370346571.35829043</v>
      </c>
      <c r="D7" s="123">
        <v>376506253</v>
      </c>
      <c r="E7" s="1025"/>
      <c r="F7" s="124">
        <v>1366821</v>
      </c>
      <c r="G7" s="124">
        <v>2657.7000778821975</v>
      </c>
      <c r="H7" s="124">
        <v>1369478.7000778823</v>
      </c>
      <c r="J7" s="8"/>
      <c r="K7" s="824"/>
    </row>
    <row r="8" spans="1:13" ht="20" customHeight="1" thickBot="1">
      <c r="A8" s="825" t="s">
        <v>212</v>
      </c>
      <c r="B8" s="123">
        <v>249114570.81444359</v>
      </c>
      <c r="C8" s="124">
        <v>264981951.64171341</v>
      </c>
      <c r="D8" s="123">
        <v>269361820.93321735</v>
      </c>
      <c r="E8" s="1025"/>
      <c r="F8" s="124">
        <v>979554</v>
      </c>
      <c r="G8" s="124">
        <v>204.696666666667</v>
      </c>
      <c r="H8" s="124">
        <v>979758.69666666666</v>
      </c>
      <c r="J8" s="8"/>
      <c r="K8" s="824"/>
    </row>
    <row r="9" spans="1:13" ht="20" customHeight="1" thickBot="1">
      <c r="A9" s="825" t="s">
        <v>213</v>
      </c>
      <c r="B9" s="123">
        <v>93675575.722159237</v>
      </c>
      <c r="C9" s="124">
        <v>100373906.7093851</v>
      </c>
      <c r="D9" s="123">
        <v>102246580.54377936</v>
      </c>
      <c r="E9" s="1025"/>
      <c r="F9" s="124">
        <v>370931</v>
      </c>
      <c r="G9" s="124">
        <v>973.88297535463323</v>
      </c>
      <c r="H9" s="124">
        <v>371904.88297535462</v>
      </c>
      <c r="J9" s="8"/>
      <c r="K9" s="824"/>
    </row>
    <row r="10" spans="1:13" ht="20" customHeight="1" thickBot="1">
      <c r="A10" s="825" t="s">
        <v>214</v>
      </c>
      <c r="B10" s="123">
        <v>8856167.7456757352</v>
      </c>
      <c r="C10" s="124">
        <v>9405414.6021322366</v>
      </c>
      <c r="D10" s="123">
        <v>9561102.7813750785</v>
      </c>
      <c r="E10" s="1025"/>
      <c r="F10" s="124">
        <v>34772</v>
      </c>
      <c r="G10" s="124">
        <v>4.9166666666666661</v>
      </c>
      <c r="H10" s="124">
        <v>34776.916666666664</v>
      </c>
      <c r="J10" s="8"/>
      <c r="K10" s="824"/>
    </row>
    <row r="11" spans="1:13" ht="20" customHeight="1" thickBot="1">
      <c r="A11" s="825" t="s">
        <v>215</v>
      </c>
      <c r="B11" s="123">
        <v>36307399.848704845</v>
      </c>
      <c r="C11" s="124">
        <v>38872315.652005136</v>
      </c>
      <c r="D11" s="123">
        <v>39514487.213442281</v>
      </c>
      <c r="E11" s="1025"/>
      <c r="F11" s="124">
        <v>143699</v>
      </c>
      <c r="G11" s="124">
        <v>28.356600000000036</v>
      </c>
      <c r="H11" s="124">
        <v>143727.3566</v>
      </c>
      <c r="J11" s="8"/>
      <c r="K11" s="824"/>
    </row>
    <row r="12" spans="1:13" ht="20" customHeight="1" thickBot="1">
      <c r="A12" s="825" t="s">
        <v>216</v>
      </c>
      <c r="B12" s="123">
        <v>8725828.5095260628</v>
      </c>
      <c r="C12" s="124">
        <v>9378310.2402629312</v>
      </c>
      <c r="D12" s="123">
        <v>9534835.368457742</v>
      </c>
      <c r="E12" s="1025"/>
      <c r="F12" s="124">
        <v>34667</v>
      </c>
      <c r="G12" s="124">
        <v>14.373333333333337</v>
      </c>
      <c r="H12" s="124">
        <v>34681.373333333337</v>
      </c>
      <c r="J12" s="8"/>
      <c r="K12" s="824"/>
    </row>
    <row r="13" spans="1:13" ht="20" customHeight="1" thickBot="1">
      <c r="A13" s="825" t="s">
        <v>217</v>
      </c>
      <c r="B13" s="123">
        <v>10201473.116444126</v>
      </c>
      <c r="C13" s="124">
        <v>10863606.012118598</v>
      </c>
      <c r="D13" s="123">
        <v>11043942.824504595</v>
      </c>
      <c r="E13" s="1025"/>
      <c r="F13" s="124">
        <v>40164</v>
      </c>
      <c r="G13" s="124">
        <v>6.5</v>
      </c>
      <c r="H13" s="124">
        <v>40170.5</v>
      </c>
      <c r="J13" s="8"/>
      <c r="K13" s="824"/>
    </row>
    <row r="14" spans="1:13" ht="20" customHeight="1" thickBot="1">
      <c r="A14" s="825" t="s">
        <v>218</v>
      </c>
      <c r="B14" s="123">
        <v>9754997.3408490699</v>
      </c>
      <c r="C14" s="124">
        <v>10348559.130425604</v>
      </c>
      <c r="D14" s="123">
        <v>10519039.947404668</v>
      </c>
      <c r="E14" s="1025"/>
      <c r="F14" s="124">
        <v>38259</v>
      </c>
      <c r="G14" s="124">
        <v>2.253333333333333</v>
      </c>
      <c r="H14" s="124">
        <v>38261.253333333334</v>
      </c>
      <c r="J14" s="8"/>
      <c r="K14" s="824"/>
    </row>
    <row r="15" spans="1:13" ht="20" customHeight="1" thickBot="1">
      <c r="A15" s="825" t="s">
        <v>219</v>
      </c>
      <c r="B15" s="123">
        <v>28233267.519927148</v>
      </c>
      <c r="C15" s="124">
        <v>30085399.040669605</v>
      </c>
      <c r="D15" s="123">
        <v>30588372.558514494</v>
      </c>
      <c r="E15" s="1025"/>
      <c r="F15" s="124">
        <v>111151</v>
      </c>
      <c r="G15" s="124">
        <v>109.10333333333332</v>
      </c>
      <c r="H15" s="124">
        <v>111260.10333333333</v>
      </c>
      <c r="J15" s="8"/>
      <c r="K15" s="824"/>
    </row>
    <row r="16" spans="1:13" ht="20" customHeight="1" thickBot="1">
      <c r="A16" s="825" t="s">
        <v>220</v>
      </c>
      <c r="B16" s="123">
        <v>68707178.284216553</v>
      </c>
      <c r="C16" s="124">
        <v>74103757.166999117</v>
      </c>
      <c r="D16" s="123">
        <v>75325252.195997879</v>
      </c>
      <c r="E16" s="1025"/>
      <c r="F16" s="124">
        <v>273855</v>
      </c>
      <c r="G16" s="124">
        <v>128.0413306277996</v>
      </c>
      <c r="H16" s="124">
        <v>273983.04133062781</v>
      </c>
      <c r="J16" s="8"/>
      <c r="K16" s="824"/>
      <c r="M16" s="3" t="s">
        <v>1365</v>
      </c>
    </row>
    <row r="17" spans="1:13" ht="20" customHeight="1" thickBot="1">
      <c r="A17" s="825" t="s">
        <v>221</v>
      </c>
      <c r="B17" s="123">
        <v>64077579.729606099</v>
      </c>
      <c r="C17" s="124">
        <v>68217118.159618378</v>
      </c>
      <c r="D17" s="123">
        <v>69356451.784193873</v>
      </c>
      <c r="E17" s="1025"/>
      <c r="F17" s="124">
        <v>252083</v>
      </c>
      <c r="G17" s="124">
        <v>189.52537156603393</v>
      </c>
      <c r="H17" s="124">
        <v>252272.52537156604</v>
      </c>
      <c r="J17" s="8"/>
      <c r="K17" s="824"/>
    </row>
    <row r="18" spans="1:13" ht="20" customHeight="1" thickBot="1">
      <c r="A18" s="825" t="s">
        <v>222</v>
      </c>
      <c r="B18" s="123">
        <v>49548077.271603703</v>
      </c>
      <c r="C18" s="124">
        <v>53078830.824146628</v>
      </c>
      <c r="D18" s="123">
        <v>54009025.807229131</v>
      </c>
      <c r="E18" s="1025"/>
      <c r="F18" s="124">
        <v>192068</v>
      </c>
      <c r="G18" s="124">
        <v>4380.8231843611993</v>
      </c>
      <c r="H18" s="124">
        <v>196448.82318436119</v>
      </c>
      <c r="J18" s="8"/>
      <c r="K18" s="824"/>
    </row>
    <row r="19" spans="1:13" ht="20" customHeight="1" thickBot="1">
      <c r="A19" s="825" t="s">
        <v>223</v>
      </c>
      <c r="B19" s="123">
        <v>69237480.078354925</v>
      </c>
      <c r="C19" s="124">
        <v>73855991.062036753</v>
      </c>
      <c r="D19" s="123">
        <v>75117035.937170118</v>
      </c>
      <c r="E19" s="1025"/>
      <c r="F19" s="124">
        <v>271125</v>
      </c>
      <c r="G19" s="124">
        <v>2100.6894176242313</v>
      </c>
      <c r="H19" s="124">
        <v>273225.68941762421</v>
      </c>
      <c r="J19" s="8"/>
      <c r="K19" s="824"/>
    </row>
    <row r="20" spans="1:13" ht="20" customHeight="1" thickBot="1">
      <c r="A20" s="825" t="s">
        <v>224</v>
      </c>
      <c r="B20" s="123">
        <v>19552674.392358914</v>
      </c>
      <c r="C20" s="124">
        <v>20954663.788335964</v>
      </c>
      <c r="D20" s="123">
        <v>21303526.674897671</v>
      </c>
      <c r="E20" s="1025"/>
      <c r="F20" s="124">
        <v>75691</v>
      </c>
      <c r="G20" s="124">
        <v>1797.0250552514767</v>
      </c>
      <c r="H20" s="124">
        <v>77488.025055251477</v>
      </c>
      <c r="J20" s="8"/>
      <c r="K20" s="824"/>
    </row>
    <row r="21" spans="1:13" ht="20" customHeight="1" thickBot="1">
      <c r="A21" s="825" t="s">
        <v>225</v>
      </c>
      <c r="B21" s="123">
        <v>13426474.72619457</v>
      </c>
      <c r="C21" s="124">
        <v>14256616.682659976</v>
      </c>
      <c r="D21" s="123">
        <v>14494731.06510172</v>
      </c>
      <c r="E21" s="1025"/>
      <c r="F21" s="124">
        <v>52681</v>
      </c>
      <c r="G21" s="124">
        <v>41.166666666666636</v>
      </c>
      <c r="H21" s="124">
        <v>52722.166666666664</v>
      </c>
      <c r="J21" s="8"/>
      <c r="K21" s="824"/>
    </row>
    <row r="22" spans="1:13" ht="20" customHeight="1" thickBot="1">
      <c r="A22" s="825" t="s">
        <v>226</v>
      </c>
      <c r="B22" s="123">
        <v>3872353.1492938199</v>
      </c>
      <c r="C22" s="124">
        <v>4198314.7432190785</v>
      </c>
      <c r="D22" s="123">
        <v>4267895.1232418986</v>
      </c>
      <c r="E22" s="1025"/>
      <c r="F22" s="124">
        <v>15517</v>
      </c>
      <c r="G22" s="124">
        <v>6.7566666666666668</v>
      </c>
      <c r="H22" s="124">
        <v>15523.756666666666</v>
      </c>
      <c r="J22" s="8"/>
      <c r="K22" s="824"/>
    </row>
    <row r="23" spans="1:13" ht="20" customHeight="1" thickBot="1">
      <c r="A23" s="825" t="s">
        <v>227</v>
      </c>
      <c r="B23" s="123">
        <v>120279602.79021546</v>
      </c>
      <c r="C23" s="124">
        <v>128396170.33319716</v>
      </c>
      <c r="D23" s="123">
        <v>130529439.00935213</v>
      </c>
      <c r="E23" s="1025"/>
      <c r="F23" s="124">
        <v>474316</v>
      </c>
      <c r="G23" s="124">
        <v>463.06333333333328</v>
      </c>
      <c r="H23" s="124">
        <v>474779.06333333335</v>
      </c>
      <c r="J23" s="8"/>
      <c r="K23" s="824"/>
    </row>
    <row r="24" spans="1:13" ht="20" customHeight="1" thickBot="1">
      <c r="A24" s="825" t="s">
        <v>228</v>
      </c>
      <c r="B24" s="123">
        <v>49348479.343303911</v>
      </c>
      <c r="C24" s="124">
        <v>52733045.120100595</v>
      </c>
      <c r="D24" s="123">
        <v>53557056.441309474</v>
      </c>
      <c r="E24" s="1025"/>
      <c r="F24" s="124">
        <v>194753</v>
      </c>
      <c r="G24" s="124">
        <v>51.86</v>
      </c>
      <c r="H24" s="124">
        <v>194804.86</v>
      </c>
      <c r="J24" s="8"/>
      <c r="K24" s="824"/>
    </row>
    <row r="25" spans="1:13" ht="20" customHeight="1" thickBot="1">
      <c r="A25" s="825" t="s">
        <v>229</v>
      </c>
      <c r="B25" s="123">
        <v>150913156.79233426</v>
      </c>
      <c r="C25" s="124">
        <v>162323757.35885891</v>
      </c>
      <c r="D25" s="123">
        <v>165058508.17374232</v>
      </c>
      <c r="E25" s="1025"/>
      <c r="F25" s="124">
        <v>596795</v>
      </c>
      <c r="G25" s="124">
        <v>3577.7932999999998</v>
      </c>
      <c r="H25" s="124">
        <v>600372.79330000002</v>
      </c>
      <c r="J25" s="8"/>
      <c r="K25" s="824"/>
    </row>
    <row r="26" spans="1:13" ht="20" customHeight="1" thickBot="1">
      <c r="A26" s="825" t="s">
        <v>230</v>
      </c>
      <c r="B26" s="123">
        <v>61848012.090057567</v>
      </c>
      <c r="C26" s="124">
        <v>66419901.359883122</v>
      </c>
      <c r="D26" s="123">
        <v>67533118.133922219</v>
      </c>
      <c r="E26" s="1025"/>
      <c r="F26" s="124">
        <v>244069</v>
      </c>
      <c r="G26" s="124">
        <v>1571.4533333333334</v>
      </c>
      <c r="H26" s="124">
        <v>245640.45333333334</v>
      </c>
      <c r="J26" s="8"/>
      <c r="K26" s="824"/>
    </row>
    <row r="27" spans="1:13" ht="20" customHeight="1" thickBot="1">
      <c r="A27" s="825" t="s">
        <v>231</v>
      </c>
      <c r="B27" s="123">
        <v>84796918.069069445</v>
      </c>
      <c r="C27" s="124">
        <v>90359705.926820606</v>
      </c>
      <c r="D27" s="123">
        <v>91889480.857132003</v>
      </c>
      <c r="E27" s="1025"/>
      <c r="F27" s="124">
        <v>333567</v>
      </c>
      <c r="G27" s="124">
        <v>665.66033043786683</v>
      </c>
      <c r="H27" s="124">
        <v>334232.66033043788</v>
      </c>
      <c r="J27" s="8"/>
      <c r="K27" s="824"/>
    </row>
    <row r="28" spans="1:13" ht="20" customHeight="1" thickBot="1">
      <c r="A28" s="825" t="s">
        <v>232</v>
      </c>
      <c r="B28" s="123">
        <v>176630110.3531836</v>
      </c>
      <c r="C28" s="124">
        <v>190723890.9093914</v>
      </c>
      <c r="D28" s="123">
        <v>194120154.98151946</v>
      </c>
      <c r="E28" s="1025"/>
      <c r="F28" s="124">
        <v>704916</v>
      </c>
      <c r="G28" s="124">
        <v>1163.6863582932081</v>
      </c>
      <c r="H28" s="124">
        <v>706079.68635829317</v>
      </c>
      <c r="J28" s="8"/>
      <c r="K28" s="824"/>
    </row>
    <row r="29" spans="1:13" ht="20" customHeight="1" thickBot="1">
      <c r="A29" s="825" t="s">
        <v>233</v>
      </c>
      <c r="B29" s="123">
        <v>76943595.740357071</v>
      </c>
      <c r="C29" s="124">
        <v>82543266.28399384</v>
      </c>
      <c r="D29" s="123">
        <v>83912392.884855643</v>
      </c>
      <c r="E29" s="1025"/>
      <c r="F29" s="124">
        <v>305178</v>
      </c>
      <c r="G29" s="124">
        <v>39.333333333333343</v>
      </c>
      <c r="H29" s="124">
        <v>305217.33333333331</v>
      </c>
      <c r="J29" s="8"/>
      <c r="K29" s="824"/>
    </row>
    <row r="30" spans="1:13" ht="20" customHeight="1" thickBot="1">
      <c r="A30" s="825" t="s">
        <v>234</v>
      </c>
      <c r="B30" s="123">
        <v>43747981.262943245</v>
      </c>
      <c r="C30" s="124">
        <v>46610491.968294173</v>
      </c>
      <c r="D30" s="123">
        <v>47387442.045141116</v>
      </c>
      <c r="E30" s="1025"/>
      <c r="F30" s="124">
        <v>172263</v>
      </c>
      <c r="G30" s="124">
        <v>100.91666666666663</v>
      </c>
      <c r="H30" s="124">
        <v>172363.91666666666</v>
      </c>
      <c r="J30" s="8"/>
      <c r="K30" s="824"/>
    </row>
    <row r="31" spans="1:13" ht="20" customHeight="1" thickBot="1">
      <c r="A31" s="825" t="s">
        <v>235</v>
      </c>
      <c r="B31" s="123">
        <v>115266653.54104716</v>
      </c>
      <c r="C31" s="124">
        <v>123915140.30983615</v>
      </c>
      <c r="D31" s="123">
        <v>125668337.19398467</v>
      </c>
      <c r="E31" s="1025"/>
      <c r="F31" s="124">
        <v>453674</v>
      </c>
      <c r="G31" s="124">
        <v>3423.6162652680205</v>
      </c>
      <c r="H31" s="124">
        <v>457097.61626526801</v>
      </c>
      <c r="K31" s="824"/>
    </row>
    <row r="32" spans="1:13" ht="20" customHeight="1" thickBot="1">
      <c r="A32" s="825" t="s">
        <v>236</v>
      </c>
      <c r="B32" s="123">
        <v>17511204.160273444</v>
      </c>
      <c r="C32" s="124">
        <v>18588994.615605265</v>
      </c>
      <c r="D32" s="123">
        <v>18895436.850854356</v>
      </c>
      <c r="E32" s="1025"/>
      <c r="F32" s="124">
        <v>68709</v>
      </c>
      <c r="G32" s="124">
        <v>19.999966666666662</v>
      </c>
      <c r="H32" s="124">
        <v>68728.99996666667</v>
      </c>
      <c r="K32" s="824"/>
      <c r="L32" s="9"/>
      <c r="M32" s="9"/>
    </row>
    <row r="33" spans="1:11" s="248" customFormat="1" ht="30" customHeight="1" thickBot="1">
      <c r="A33" s="830" t="s">
        <v>0</v>
      </c>
      <c r="B33" s="435">
        <v>1975646617.7257173</v>
      </c>
      <c r="C33" s="436">
        <v>2115935690.9999998</v>
      </c>
      <c r="D33" s="435">
        <v>2151301721</v>
      </c>
      <c r="E33" s="286"/>
      <c r="F33" s="436">
        <v>7801278</v>
      </c>
      <c r="G33" s="436">
        <v>23723.193566666669</v>
      </c>
      <c r="H33" s="436">
        <v>7825001.1935666688</v>
      </c>
      <c r="I33" s="241"/>
      <c r="K33" s="831"/>
    </row>
    <row r="34" spans="1:11" ht="20" customHeight="1">
      <c r="A34" s="832" t="s">
        <v>1828</v>
      </c>
      <c r="B34" s="135"/>
      <c r="C34" s="135"/>
      <c r="D34" s="833"/>
      <c r="E34" s="835"/>
      <c r="F34" s="833"/>
      <c r="G34" s="833"/>
      <c r="H34" s="833"/>
      <c r="I34" s="136"/>
    </row>
    <row r="35" spans="1:11" ht="14.25" customHeight="1">
      <c r="A35" s="834"/>
      <c r="B35" s="136"/>
      <c r="C35" s="136"/>
      <c r="D35" s="835"/>
      <c r="E35" s="835"/>
      <c r="F35" s="835"/>
      <c r="G35" s="835"/>
      <c r="H35" s="835"/>
      <c r="I35" s="136"/>
    </row>
    <row r="36" spans="1:11" ht="15.75" customHeight="1">
      <c r="A36" s="834" t="s">
        <v>1829</v>
      </c>
      <c r="B36" s="136"/>
      <c r="C36" s="136"/>
      <c r="D36" s="835"/>
      <c r="E36" s="835"/>
      <c r="F36" s="835"/>
      <c r="G36" s="835"/>
      <c r="H36" s="835"/>
      <c r="I36" s="136"/>
    </row>
    <row r="37" spans="1:11" ht="15.75" customHeight="1">
      <c r="A37" s="834"/>
      <c r="B37" s="136"/>
      <c r="C37" s="136"/>
      <c r="D37" s="835"/>
      <c r="E37" s="835"/>
      <c r="F37" s="835"/>
      <c r="G37" s="835"/>
      <c r="H37" s="835"/>
      <c r="I37" s="136"/>
    </row>
    <row r="38" spans="1:11" ht="15.75" customHeight="1">
      <c r="A38" s="3" t="s">
        <v>1830</v>
      </c>
      <c r="B38" s="136"/>
      <c r="C38" s="136"/>
      <c r="D38" s="835"/>
      <c r="E38" s="835"/>
      <c r="F38" s="835"/>
      <c r="G38" s="835"/>
      <c r="H38" s="835"/>
      <c r="I38" s="136"/>
    </row>
    <row r="39" spans="1:11" ht="15.75" customHeight="1">
      <c r="A39" s="836" t="s">
        <v>1819</v>
      </c>
      <c r="B39" s="136"/>
      <c r="C39" s="136"/>
      <c r="D39" s="835"/>
      <c r="E39" s="835"/>
      <c r="F39" s="835"/>
      <c r="G39" s="835"/>
      <c r="H39" s="835"/>
      <c r="I39" s="136"/>
    </row>
    <row r="40" spans="1:11" ht="15.75" customHeight="1">
      <c r="A40" s="3" t="s">
        <v>1831</v>
      </c>
      <c r="B40" s="136"/>
      <c r="C40" s="136"/>
      <c r="D40" s="835"/>
      <c r="E40" s="835"/>
      <c r="F40" s="835"/>
      <c r="G40" s="835"/>
      <c r="H40" s="835"/>
      <c r="I40" s="136"/>
    </row>
    <row r="41" spans="1:11" ht="15.75" customHeight="1">
      <c r="A41" s="3" t="s">
        <v>1832</v>
      </c>
      <c r="B41" s="136"/>
      <c r="C41" s="136"/>
      <c r="D41" s="835"/>
      <c r="E41" s="835"/>
      <c r="F41" s="835"/>
      <c r="G41" s="835"/>
      <c r="H41" s="835"/>
      <c r="I41" s="136"/>
    </row>
    <row r="42" spans="1:11" ht="15.75" customHeight="1">
      <c r="A42" s="3" t="s">
        <v>1833</v>
      </c>
      <c r="B42" s="136"/>
      <c r="C42" s="136"/>
      <c r="D42" s="835"/>
      <c r="E42" s="835"/>
      <c r="F42" s="835"/>
      <c r="G42" s="835"/>
      <c r="H42" s="835"/>
      <c r="I42" s="136"/>
    </row>
    <row r="43" spans="1:11" ht="15.75" customHeight="1">
      <c r="B43" s="136"/>
      <c r="C43" s="136"/>
      <c r="D43" s="835"/>
      <c r="E43" s="835"/>
      <c r="F43" s="835"/>
      <c r="G43" s="835"/>
      <c r="H43" s="835"/>
      <c r="I43" s="136"/>
    </row>
    <row r="45" spans="1:11">
      <c r="A45" s="3" t="s">
        <v>677</v>
      </c>
    </row>
  </sheetData>
  <mergeCells count="1">
    <mergeCell ref="A2:H2"/>
  </mergeCells>
  <pageMargins left="0.56000000000000005" right="0.51" top="0.81" bottom="0.49" header="0.42" footer="0.4921259845"/>
  <pageSetup paperSize="9" scale="71" orientation="portrait" horizontalDpi="1200" verticalDpi="1200"/>
  <headerFooter alignWithMargins="0"/>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6AD80-5187-F341-AD15-7016F74B2190}">
  <sheetPr>
    <pageSetUpPr fitToPage="1"/>
  </sheetPr>
  <dimension ref="A1:B10"/>
  <sheetViews>
    <sheetView workbookViewId="0">
      <selection activeCell="B8" sqref="B8"/>
    </sheetView>
  </sheetViews>
  <sheetFormatPr baseColWidth="10" defaultColWidth="11.59765625" defaultRowHeight="13"/>
  <cols>
    <col min="1" max="1" width="5.59765625" style="474" customWidth="1"/>
    <col min="2" max="16384" width="11.59765625" style="474"/>
  </cols>
  <sheetData>
    <row r="1" spans="1:2" ht="16">
      <c r="A1" s="473" t="s">
        <v>748</v>
      </c>
    </row>
    <row r="2" spans="1:2" ht="16">
      <c r="A2" s="473"/>
    </row>
    <row r="3" spans="1:2">
      <c r="A3" s="474">
        <v>5.01</v>
      </c>
      <c r="B3" s="475" t="s">
        <v>749</v>
      </c>
    </row>
    <row r="4" spans="1:2">
      <c r="A4" s="474">
        <v>5.0199999999999996</v>
      </c>
      <c r="B4" s="475" t="s">
        <v>750</v>
      </c>
    </row>
    <row r="5" spans="1:2">
      <c r="A5" s="474">
        <v>5.03</v>
      </c>
      <c r="B5" s="474" t="s">
        <v>751</v>
      </c>
    </row>
    <row r="6" spans="1:2">
      <c r="A6" s="474">
        <v>5.04</v>
      </c>
      <c r="B6" s="474" t="s">
        <v>752</v>
      </c>
    </row>
    <row r="7" spans="1:2">
      <c r="A7" s="474">
        <v>5.05</v>
      </c>
      <c r="B7" s="474" t="s">
        <v>753</v>
      </c>
    </row>
    <row r="10" spans="1:2">
      <c r="A10" s="476" t="s">
        <v>677</v>
      </c>
    </row>
  </sheetData>
  <pageMargins left="0.54" right="0.51" top="0.78" bottom="0.984251969" header="0.36" footer="0.4921259845"/>
  <pageSetup paperSize="9" orientation="portrait"/>
  <headerFooter alignWithMargins="0"/>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DF07D-9981-444C-AE02-5792108243E9}">
  <dimension ref="A1:AD109"/>
  <sheetViews>
    <sheetView topLeftCell="O1" zoomScaleNormal="100" workbookViewId="0">
      <selection activeCell="AB2" sqref="AB2"/>
    </sheetView>
  </sheetViews>
  <sheetFormatPr baseColWidth="10" defaultColWidth="11.3984375" defaultRowHeight="13"/>
  <cols>
    <col min="1" max="1" width="7.59765625" style="49" customWidth="1"/>
    <col min="2" max="2" width="40.796875" style="49" customWidth="1"/>
    <col min="3" max="3" width="10.59765625" style="49" customWidth="1"/>
    <col min="4" max="4" width="11.59765625" style="49" customWidth="1"/>
    <col min="5" max="5" width="11.3984375" style="3" customWidth="1"/>
    <col min="6" max="6" width="11" style="3" customWidth="1"/>
    <col min="7" max="7" width="11.3984375" style="3" customWidth="1"/>
    <col min="8" max="9" width="11.19921875" style="8" customWidth="1"/>
    <col min="10" max="11" width="10.59765625" style="3" customWidth="1"/>
    <col min="12" max="12" width="10.796875" style="3" customWidth="1"/>
    <col min="13" max="14" width="10.59765625" style="3" customWidth="1"/>
    <col min="15" max="15" width="10.796875" style="3" customWidth="1"/>
    <col min="16" max="16" width="10.59765625" style="3" customWidth="1"/>
    <col min="17" max="17" width="3" style="3" customWidth="1"/>
    <col min="18" max="18" width="10.59765625" style="3" customWidth="1"/>
    <col min="19" max="19" width="11.796875" style="525" customWidth="1"/>
    <col min="20" max="20" width="11.3984375" style="3"/>
    <col min="21" max="22" width="12.19921875" style="3" customWidth="1"/>
    <col min="23" max="28" width="11.3984375" style="3"/>
    <col min="29" max="29" width="11.796875" style="3" customWidth="1"/>
    <col min="30" max="30" width="12.3984375" style="3" customWidth="1"/>
    <col min="31" max="16384" width="11.3984375" style="3"/>
  </cols>
  <sheetData>
    <row r="1" spans="1:30" s="2" customFormat="1" ht="14" customHeight="1">
      <c r="A1" s="261"/>
      <c r="B1" s="261"/>
      <c r="C1" s="261"/>
      <c r="D1" s="261"/>
      <c r="H1" s="100"/>
      <c r="I1" s="100"/>
      <c r="S1" s="477"/>
    </row>
    <row r="2" spans="1:30" s="2" customFormat="1" ht="28.5" customHeight="1">
      <c r="A2" s="1822" t="s">
        <v>754</v>
      </c>
      <c r="B2" s="1810"/>
      <c r="C2" s="478"/>
      <c r="D2" s="478"/>
      <c r="E2" s="479"/>
      <c r="F2" s="479"/>
      <c r="G2" s="479"/>
      <c r="H2" s="46"/>
      <c r="I2" s="100"/>
      <c r="J2" s="17"/>
      <c r="P2" s="480">
        <v>2010</v>
      </c>
      <c r="V2" s="480"/>
      <c r="AD2" s="480">
        <v>2010</v>
      </c>
    </row>
    <row r="3" spans="1:30" s="2" customFormat="1" ht="12" customHeight="1">
      <c r="A3" s="261"/>
      <c r="B3" s="261"/>
      <c r="C3" s="261"/>
      <c r="D3" s="261"/>
      <c r="H3" s="100"/>
      <c r="I3" s="100"/>
      <c r="S3" s="481"/>
      <c r="U3" s="482"/>
      <c r="W3" s="482"/>
      <c r="X3" s="482"/>
      <c r="Y3" s="482"/>
      <c r="Z3" s="482"/>
      <c r="AA3" s="482"/>
      <c r="AB3" s="482"/>
      <c r="AC3" s="482"/>
      <c r="AD3" s="482"/>
    </row>
    <row r="4" spans="1:30" ht="18" customHeight="1">
      <c r="A4" s="483" t="s">
        <v>755</v>
      </c>
      <c r="B4" s="483" t="s">
        <v>756</v>
      </c>
      <c r="C4" s="484" t="s">
        <v>757</v>
      </c>
      <c r="D4" s="485" t="s">
        <v>421</v>
      </c>
      <c r="E4" s="485" t="s">
        <v>758</v>
      </c>
      <c r="F4" s="485" t="s">
        <v>759</v>
      </c>
      <c r="G4" s="485" t="s">
        <v>760</v>
      </c>
      <c r="H4" s="486" t="s">
        <v>761</v>
      </c>
      <c r="I4" s="486" t="s">
        <v>762</v>
      </c>
      <c r="J4" s="485" t="s">
        <v>763</v>
      </c>
      <c r="K4" s="485" t="s">
        <v>764</v>
      </c>
      <c r="L4" s="485" t="s">
        <v>764</v>
      </c>
      <c r="M4" s="484" t="s">
        <v>765</v>
      </c>
      <c r="N4" s="487" t="s">
        <v>761</v>
      </c>
      <c r="O4" s="487" t="s">
        <v>762</v>
      </c>
      <c r="P4" s="487" t="s">
        <v>714</v>
      </c>
      <c r="Q4" s="485"/>
      <c r="R4" s="486" t="s">
        <v>766</v>
      </c>
      <c r="S4" s="488" t="s">
        <v>767</v>
      </c>
      <c r="T4" s="486" t="s">
        <v>421</v>
      </c>
      <c r="U4" s="489" t="s">
        <v>758</v>
      </c>
      <c r="V4" s="486" t="s">
        <v>759</v>
      </c>
      <c r="W4" s="489" t="s">
        <v>760</v>
      </c>
      <c r="X4" s="489" t="s">
        <v>768</v>
      </c>
      <c r="Y4" s="489" t="s">
        <v>764</v>
      </c>
      <c r="Z4" s="489" t="s">
        <v>764</v>
      </c>
      <c r="AA4" s="489" t="s">
        <v>769</v>
      </c>
      <c r="AB4" s="489" t="s">
        <v>770</v>
      </c>
      <c r="AC4" s="489" t="s">
        <v>771</v>
      </c>
      <c r="AD4" s="489" t="s">
        <v>772</v>
      </c>
    </row>
    <row r="5" spans="1:30" ht="15" customHeight="1">
      <c r="A5" s="490" t="s">
        <v>773</v>
      </c>
      <c r="B5" s="490"/>
      <c r="C5" s="491" t="s">
        <v>774</v>
      </c>
      <c r="D5" s="488" t="s">
        <v>775</v>
      </c>
      <c r="E5" s="488" t="s">
        <v>776</v>
      </c>
      <c r="F5" s="488" t="s">
        <v>777</v>
      </c>
      <c r="G5" s="488" t="s">
        <v>776</v>
      </c>
      <c r="H5" s="492" t="s">
        <v>778</v>
      </c>
      <c r="I5" s="492" t="s">
        <v>779</v>
      </c>
      <c r="J5" s="488" t="s">
        <v>780</v>
      </c>
      <c r="K5" s="488" t="s">
        <v>781</v>
      </c>
      <c r="L5" s="488" t="s">
        <v>782</v>
      </c>
      <c r="M5" s="491" t="s">
        <v>758</v>
      </c>
      <c r="N5" s="493" t="s">
        <v>783</v>
      </c>
      <c r="O5" s="493" t="s">
        <v>779</v>
      </c>
      <c r="P5" s="493" t="s">
        <v>731</v>
      </c>
      <c r="Q5" s="488"/>
      <c r="R5" s="492" t="s">
        <v>190</v>
      </c>
      <c r="S5" s="488" t="s">
        <v>190</v>
      </c>
      <c r="T5" s="492" t="s">
        <v>717</v>
      </c>
      <c r="U5" s="489" t="s">
        <v>776</v>
      </c>
      <c r="V5" s="492" t="s">
        <v>777</v>
      </c>
      <c r="W5" s="489" t="s">
        <v>776</v>
      </c>
      <c r="X5" s="489" t="s">
        <v>784</v>
      </c>
      <c r="Y5" s="489" t="s">
        <v>781</v>
      </c>
      <c r="Z5" s="489" t="s">
        <v>714</v>
      </c>
      <c r="AA5" s="489" t="s">
        <v>785</v>
      </c>
      <c r="AB5" s="489" t="s">
        <v>786</v>
      </c>
      <c r="AC5" s="489" t="s">
        <v>787</v>
      </c>
      <c r="AD5" s="489" t="s">
        <v>787</v>
      </c>
    </row>
    <row r="6" spans="1:30" ht="15" customHeight="1">
      <c r="A6" s="490"/>
      <c r="B6" s="490"/>
      <c r="C6" s="491" t="s">
        <v>788</v>
      </c>
      <c r="D6" s="488" t="s">
        <v>789</v>
      </c>
      <c r="E6" s="488" t="s">
        <v>790</v>
      </c>
      <c r="F6" s="488" t="s">
        <v>790</v>
      </c>
      <c r="G6" s="488" t="s">
        <v>790</v>
      </c>
      <c r="H6" s="492" t="s">
        <v>791</v>
      </c>
      <c r="I6" s="492" t="s">
        <v>792</v>
      </c>
      <c r="J6" s="488" t="s">
        <v>733</v>
      </c>
      <c r="K6" s="488" t="s">
        <v>793</v>
      </c>
      <c r="L6" s="488" t="s">
        <v>794</v>
      </c>
      <c r="M6" s="491" t="s">
        <v>795</v>
      </c>
      <c r="N6" s="493" t="s">
        <v>796</v>
      </c>
      <c r="O6" s="493" t="s">
        <v>792</v>
      </c>
      <c r="P6" s="493" t="s">
        <v>421</v>
      </c>
      <c r="Q6" s="488"/>
      <c r="R6" s="492" t="s">
        <v>717</v>
      </c>
      <c r="S6" s="488" t="s">
        <v>717</v>
      </c>
      <c r="T6" s="492"/>
      <c r="U6" s="489" t="s">
        <v>717</v>
      </c>
      <c r="V6" s="492" t="s">
        <v>717</v>
      </c>
      <c r="W6" s="489" t="s">
        <v>717</v>
      </c>
      <c r="X6" s="489" t="s">
        <v>717</v>
      </c>
      <c r="Y6" s="489" t="s">
        <v>797</v>
      </c>
      <c r="Z6" s="489" t="s">
        <v>798</v>
      </c>
      <c r="AA6" s="489" t="s">
        <v>799</v>
      </c>
      <c r="AB6" s="489" t="s">
        <v>800</v>
      </c>
      <c r="AC6" s="489" t="s">
        <v>786</v>
      </c>
      <c r="AD6" s="489" t="s">
        <v>786</v>
      </c>
    </row>
    <row r="7" spans="1:30" ht="15" customHeight="1">
      <c r="A7" s="490"/>
      <c r="B7" s="490"/>
      <c r="C7" s="491" t="s">
        <v>801</v>
      </c>
      <c r="D7" s="488" t="s">
        <v>420</v>
      </c>
      <c r="E7" s="488" t="s">
        <v>789</v>
      </c>
      <c r="F7" s="488" t="s">
        <v>789</v>
      </c>
      <c r="G7" s="488" t="s">
        <v>789</v>
      </c>
      <c r="H7" s="492" t="s">
        <v>789</v>
      </c>
      <c r="I7" s="492" t="s">
        <v>802</v>
      </c>
      <c r="J7" s="488" t="s">
        <v>803</v>
      </c>
      <c r="K7" s="488" t="s">
        <v>733</v>
      </c>
      <c r="L7" s="488" t="s">
        <v>789</v>
      </c>
      <c r="M7" s="491" t="s">
        <v>421</v>
      </c>
      <c r="N7" s="493" t="s">
        <v>804</v>
      </c>
      <c r="O7" s="493" t="s">
        <v>805</v>
      </c>
      <c r="P7" s="493"/>
      <c r="Q7" s="488"/>
      <c r="R7" s="492"/>
      <c r="S7" s="488"/>
      <c r="T7" s="492"/>
      <c r="U7" s="488"/>
      <c r="V7" s="492"/>
      <c r="W7" s="489"/>
      <c r="X7" s="489"/>
      <c r="Y7" s="489" t="s">
        <v>798</v>
      </c>
      <c r="Z7" s="489"/>
      <c r="AA7" s="489" t="s">
        <v>421</v>
      </c>
      <c r="AB7" s="489" t="s">
        <v>717</v>
      </c>
      <c r="AC7" s="489" t="s">
        <v>800</v>
      </c>
      <c r="AD7" s="489" t="s">
        <v>800</v>
      </c>
    </row>
    <row r="8" spans="1:30" ht="15" customHeight="1">
      <c r="A8" s="490"/>
      <c r="B8" s="490"/>
      <c r="C8" s="494"/>
      <c r="D8" s="488"/>
      <c r="E8" s="488" t="s">
        <v>420</v>
      </c>
      <c r="F8" s="488" t="s">
        <v>420</v>
      </c>
      <c r="G8" s="488" t="s">
        <v>420</v>
      </c>
      <c r="H8" s="492" t="s">
        <v>420</v>
      </c>
      <c r="I8" s="492" t="s">
        <v>733</v>
      </c>
      <c r="J8" s="488" t="s">
        <v>420</v>
      </c>
      <c r="K8" s="488" t="s">
        <v>806</v>
      </c>
      <c r="L8" s="488" t="s">
        <v>420</v>
      </c>
      <c r="M8" s="491" t="s">
        <v>506</v>
      </c>
      <c r="N8" s="493"/>
      <c r="O8" s="493" t="s">
        <v>807</v>
      </c>
      <c r="P8" s="493"/>
      <c r="Q8" s="488"/>
      <c r="R8" s="492"/>
      <c r="S8" s="488"/>
      <c r="T8" s="492"/>
      <c r="U8" s="488"/>
      <c r="V8" s="492"/>
      <c r="W8" s="489"/>
      <c r="X8" s="489"/>
      <c r="Y8" s="489"/>
      <c r="Z8" s="489"/>
      <c r="AA8" s="489" t="s">
        <v>717</v>
      </c>
      <c r="AB8" s="489"/>
      <c r="AC8" s="489" t="s">
        <v>808</v>
      </c>
      <c r="AD8" s="489" t="s">
        <v>809</v>
      </c>
    </row>
    <row r="9" spans="1:30" ht="15" customHeight="1">
      <c r="A9" s="490"/>
      <c r="B9" s="490"/>
      <c r="C9" s="491"/>
      <c r="D9" s="488"/>
      <c r="E9" s="488"/>
      <c r="F9" s="488"/>
      <c r="G9" s="488"/>
      <c r="H9" s="492"/>
      <c r="I9" s="492" t="s">
        <v>810</v>
      </c>
      <c r="J9" s="488"/>
      <c r="K9" s="488" t="s">
        <v>420</v>
      </c>
      <c r="L9" s="488"/>
      <c r="M9" s="495"/>
      <c r="N9" s="493"/>
      <c r="O9" s="493" t="s">
        <v>767</v>
      </c>
      <c r="P9" s="493"/>
      <c r="Q9" s="488"/>
      <c r="R9" s="492"/>
      <c r="S9" s="488"/>
      <c r="T9" s="492"/>
      <c r="U9" s="488"/>
      <c r="V9" s="492"/>
      <c r="W9" s="16"/>
      <c r="X9" s="16"/>
      <c r="Y9" s="16"/>
      <c r="Z9" s="16"/>
      <c r="AA9" s="16"/>
      <c r="AB9" s="16"/>
      <c r="AC9" s="16"/>
      <c r="AD9" s="16"/>
    </row>
    <row r="10" spans="1:30" ht="21" customHeight="1">
      <c r="A10" s="496">
        <v>0</v>
      </c>
      <c r="B10" s="496"/>
      <c r="C10" s="497">
        <v>1</v>
      </c>
      <c r="D10" s="498" t="s">
        <v>344</v>
      </c>
      <c r="E10" s="498" t="s">
        <v>811</v>
      </c>
      <c r="F10" s="498" t="s">
        <v>364</v>
      </c>
      <c r="G10" s="498" t="s">
        <v>362</v>
      </c>
      <c r="H10" s="499" t="s">
        <v>812</v>
      </c>
      <c r="I10" s="499" t="s">
        <v>348</v>
      </c>
      <c r="J10" s="498">
        <v>7</v>
      </c>
      <c r="K10" s="498" t="s">
        <v>356</v>
      </c>
      <c r="L10" s="498" t="s">
        <v>358</v>
      </c>
      <c r="M10" s="497">
        <v>15</v>
      </c>
      <c r="N10" s="500" t="s">
        <v>813</v>
      </c>
      <c r="O10" s="500" t="s">
        <v>366</v>
      </c>
      <c r="P10" s="500" t="s">
        <v>814</v>
      </c>
      <c r="Q10" s="496"/>
      <c r="R10" s="499">
        <v>2</v>
      </c>
      <c r="S10" s="498">
        <v>14</v>
      </c>
      <c r="T10" s="499" t="s">
        <v>342</v>
      </c>
      <c r="U10" s="498" t="s">
        <v>815</v>
      </c>
      <c r="V10" s="499" t="s">
        <v>381</v>
      </c>
      <c r="W10" s="498" t="s">
        <v>377</v>
      </c>
      <c r="X10" s="498" t="s">
        <v>816</v>
      </c>
      <c r="Y10" s="498" t="s">
        <v>370</v>
      </c>
      <c r="Z10" s="498" t="s">
        <v>372</v>
      </c>
      <c r="AA10" s="498">
        <v>10</v>
      </c>
      <c r="AB10" s="498" t="s">
        <v>817</v>
      </c>
      <c r="AC10" s="498" t="s">
        <v>818</v>
      </c>
      <c r="AD10" s="498" t="s">
        <v>819</v>
      </c>
    </row>
    <row r="11" spans="1:30" ht="14" thickBot="1">
      <c r="A11" s="501">
        <v>8</v>
      </c>
      <c r="B11" s="502" t="s">
        <v>1364</v>
      </c>
      <c r="C11" s="503">
        <v>858004.62</v>
      </c>
      <c r="D11" s="504">
        <v>2779.5357355068791</v>
      </c>
      <c r="E11" s="504">
        <v>2876.7976133741563</v>
      </c>
      <c r="F11" s="504">
        <v>443.7934452147822</v>
      </c>
      <c r="G11" s="504">
        <v>3320.5910585889383</v>
      </c>
      <c r="H11" s="504">
        <v>-239.2511085080171</v>
      </c>
      <c r="I11" s="505">
        <v>132.1017769228329</v>
      </c>
      <c r="J11" s="504">
        <v>20.404310317116924</v>
      </c>
      <c r="K11" s="505">
        <v>704.07546290368464</v>
      </c>
      <c r="L11" s="504">
        <v>346.04745825261409</v>
      </c>
      <c r="M11" s="506">
        <v>1.0349921307450074</v>
      </c>
      <c r="N11" s="506">
        <v>-8.5174271254069539E-2</v>
      </c>
      <c r="O11" s="506">
        <v>4.7372833308944359E-2</v>
      </c>
      <c r="P11" s="506">
        <v>0.12449829438494646</v>
      </c>
      <c r="Q11" s="504"/>
      <c r="R11" s="507">
        <v>2410.10053174</v>
      </c>
      <c r="S11" s="507">
        <v>2392.5935392299998</v>
      </c>
      <c r="T11" s="507">
        <v>2384.8545025200001</v>
      </c>
      <c r="U11" s="507">
        <v>2468.3056430799998</v>
      </c>
      <c r="V11" s="507">
        <v>380.77682632</v>
      </c>
      <c r="W11" s="507">
        <v>2849.0824693999998</v>
      </c>
      <c r="X11" s="507">
        <v>-205.27855643999999</v>
      </c>
      <c r="Y11" s="507">
        <v>604.1</v>
      </c>
      <c r="Z11" s="507">
        <v>296.91031792000001</v>
      </c>
      <c r="AA11" s="507" t="s">
        <v>35</v>
      </c>
      <c r="AB11" s="507">
        <v>238.48545025199999</v>
      </c>
      <c r="AC11" s="507">
        <v>58.424867668000019</v>
      </c>
      <c r="AD11" s="507" t="s">
        <v>1365</v>
      </c>
    </row>
    <row r="12" spans="1:30" ht="14" thickBot="1">
      <c r="A12" s="501">
        <v>32</v>
      </c>
      <c r="B12" s="502" t="s">
        <v>1366</v>
      </c>
      <c r="C12" s="503">
        <v>36612.94</v>
      </c>
      <c r="D12" s="504">
        <v>2598.9376665736208</v>
      </c>
      <c r="E12" s="504">
        <v>2456.4229018483634</v>
      </c>
      <c r="F12" s="504">
        <v>415.03081779283502</v>
      </c>
      <c r="G12" s="504">
        <v>2871.4537196411984</v>
      </c>
      <c r="H12" s="504">
        <v>-62.142207099457188</v>
      </c>
      <c r="I12" s="505">
        <v>117.93199672028523</v>
      </c>
      <c r="J12" s="504">
        <v>76.885212987539418</v>
      </c>
      <c r="K12" s="505">
        <v>516.21093525950107</v>
      </c>
      <c r="L12" s="504">
        <v>545.38628392038436</v>
      </c>
      <c r="M12" s="506">
        <v>0.94516422361404862</v>
      </c>
      <c r="N12" s="506">
        <v>-2.3811131993548465E-2</v>
      </c>
      <c r="O12" s="506">
        <v>4.6559862131629944E-2</v>
      </c>
      <c r="P12" s="506">
        <v>0.2098496977957186</v>
      </c>
      <c r="Q12" s="504"/>
      <c r="R12" s="507">
        <v>95.55231984000001</v>
      </c>
      <c r="S12" s="507">
        <v>92.737326149999987</v>
      </c>
      <c r="T12" s="508">
        <v>95.15474884999999</v>
      </c>
      <c r="U12" s="508">
        <v>89.936864320000026</v>
      </c>
      <c r="V12" s="508">
        <v>15.195498430000002</v>
      </c>
      <c r="W12" s="507">
        <v>105.13236275000003</v>
      </c>
      <c r="X12" s="507">
        <v>-2.2752089</v>
      </c>
      <c r="Y12" s="508">
        <v>18.899999999999999</v>
      </c>
      <c r="Z12" s="507">
        <v>19.968195290000001</v>
      </c>
      <c r="AA12" s="507">
        <v>35.923873710000002</v>
      </c>
      <c r="AB12" s="508">
        <v>19.030949769999999</v>
      </c>
      <c r="AC12" s="508">
        <v>0.93724552000000116</v>
      </c>
      <c r="AD12" s="508" t="s">
        <v>1365</v>
      </c>
    </row>
    <row r="13" spans="1:30" ht="14" thickBot="1">
      <c r="A13" s="501">
        <v>57</v>
      </c>
      <c r="B13" s="502" t="s">
        <v>1367</v>
      </c>
      <c r="C13" s="503">
        <v>14443.16</v>
      </c>
      <c r="D13" s="504">
        <v>2838.1620753353141</v>
      </c>
      <c r="E13" s="504">
        <v>2476.9795875694795</v>
      </c>
      <c r="F13" s="504">
        <v>335.38118735789124</v>
      </c>
      <c r="G13" s="504">
        <v>2812.3607749273706</v>
      </c>
      <c r="H13" s="504">
        <v>207.88111881333441</v>
      </c>
      <c r="I13" s="505">
        <v>155.51899999723054</v>
      </c>
      <c r="J13" s="504">
        <v>-69.251143101648111</v>
      </c>
      <c r="K13" s="505">
        <v>730.39507974709136</v>
      </c>
      <c r="L13" s="504">
        <v>381.74792219985102</v>
      </c>
      <c r="M13" s="506">
        <v>0.87274071100285466</v>
      </c>
      <c r="N13" s="506">
        <v>7.3214112177473881E-2</v>
      </c>
      <c r="O13" s="506">
        <v>5.3468500042235079E-2</v>
      </c>
      <c r="P13" s="506">
        <v>0.13450532847203572</v>
      </c>
      <c r="Q13" s="504"/>
      <c r="R13" s="507">
        <v>41.009310510000006</v>
      </c>
      <c r="S13" s="507">
        <v>42.00951585</v>
      </c>
      <c r="T13" s="508">
        <v>40.992028959999992</v>
      </c>
      <c r="U13" s="508">
        <v>35.775412500000002</v>
      </c>
      <c r="V13" s="508">
        <v>4.8439641500000006</v>
      </c>
      <c r="W13" s="507">
        <v>40.61937665</v>
      </c>
      <c r="X13" s="507">
        <v>3.002460259999999</v>
      </c>
      <c r="Y13" s="508">
        <v>10.549213</v>
      </c>
      <c r="Z13" s="507">
        <v>5.5136463200000003</v>
      </c>
      <c r="AA13" s="507" t="s">
        <v>35</v>
      </c>
      <c r="AB13" s="508">
        <v>8.1984057919999991</v>
      </c>
      <c r="AC13" s="508" t="s">
        <v>1365</v>
      </c>
      <c r="AD13" s="508">
        <v>-2.6847594719999988</v>
      </c>
    </row>
    <row r="14" spans="1:30" ht="14" thickBot="1">
      <c r="A14" s="501">
        <v>62</v>
      </c>
      <c r="B14" s="502" t="s">
        <v>1368</v>
      </c>
      <c r="C14" s="503">
        <v>42757.58</v>
      </c>
      <c r="D14" s="504">
        <v>3671.914914267832</v>
      </c>
      <c r="E14" s="504">
        <v>4531.0780659242173</v>
      </c>
      <c r="F14" s="504">
        <v>584.09012741132676</v>
      </c>
      <c r="G14" s="504">
        <v>5115.1681933355449</v>
      </c>
      <c r="H14" s="504">
        <v>-1163.9633346882588</v>
      </c>
      <c r="I14" s="505">
        <v>285.67711900439645</v>
      </c>
      <c r="J14" s="504">
        <v>2.7576745456595062</v>
      </c>
      <c r="K14" s="505">
        <v>1759.4863413691794</v>
      </c>
      <c r="L14" s="504">
        <v>1763.7688066069218</v>
      </c>
      <c r="M14" s="506">
        <v>1.2339823148728106</v>
      </c>
      <c r="N14" s="506">
        <v>-0.32427587964967375</v>
      </c>
      <c r="O14" s="506">
        <v>7.9649781830306077E-2</v>
      </c>
      <c r="P14" s="506">
        <v>0.48034032590284342</v>
      </c>
      <c r="Q14" s="504"/>
      <c r="R14" s="507">
        <v>153.47504555</v>
      </c>
      <c r="S14" s="507">
        <v>153.35713405999999</v>
      </c>
      <c r="T14" s="508">
        <v>157.00219569999999</v>
      </c>
      <c r="U14" s="508">
        <v>193.73793289000002</v>
      </c>
      <c r="V14" s="508">
        <v>24.974280349999997</v>
      </c>
      <c r="W14" s="507">
        <v>218.71221324000001</v>
      </c>
      <c r="X14" s="507">
        <v>-49.768255400000001</v>
      </c>
      <c r="Y14" s="508">
        <v>75.231378000000007</v>
      </c>
      <c r="Z14" s="507">
        <v>75.414485849999991</v>
      </c>
      <c r="AA14" s="507" t="s">
        <v>35</v>
      </c>
      <c r="AB14" s="508">
        <v>31.40043914</v>
      </c>
      <c r="AC14" s="508">
        <v>44.014046709999988</v>
      </c>
      <c r="AD14" s="508" t="s">
        <v>1365</v>
      </c>
    </row>
    <row r="15" spans="1:30" ht="14" thickBot="1">
      <c r="A15" s="501">
        <v>97</v>
      </c>
      <c r="B15" s="502" t="s">
        <v>952</v>
      </c>
      <c r="C15" s="503">
        <v>1086.08</v>
      </c>
      <c r="D15" s="504">
        <v>2177.5657410135536</v>
      </c>
      <c r="E15" s="504">
        <v>1916.5036185179731</v>
      </c>
      <c r="F15" s="504">
        <v>396.84502983205664</v>
      </c>
      <c r="G15" s="504">
        <v>2313.3486483500301</v>
      </c>
      <c r="H15" s="504">
        <v>105.80146029758399</v>
      </c>
      <c r="I15" s="505">
        <v>165.93819055686507</v>
      </c>
      <c r="J15" s="504">
        <v>-3.6252670153212003</v>
      </c>
      <c r="K15" s="505">
        <v>451.16381850324103</v>
      </c>
      <c r="L15" s="504">
        <v>603.43810769004142</v>
      </c>
      <c r="M15" s="506">
        <v>0.88011286291909219</v>
      </c>
      <c r="N15" s="506">
        <v>5.3078950123057703E-2</v>
      </c>
      <c r="O15" s="506">
        <v>8.309748137683258E-2</v>
      </c>
      <c r="P15" s="506">
        <v>0.27711590806400616</v>
      </c>
      <c r="Q15" s="504"/>
      <c r="R15" s="507">
        <v>2.1648666699999999</v>
      </c>
      <c r="S15" s="507">
        <v>2.1688040000000002</v>
      </c>
      <c r="T15" s="508">
        <v>2.3650106000000002</v>
      </c>
      <c r="U15" s="508">
        <v>2.0814762500000001</v>
      </c>
      <c r="V15" s="508">
        <v>0.43100545000000007</v>
      </c>
      <c r="W15" s="507">
        <v>2.5124817000000004</v>
      </c>
      <c r="X15" s="507">
        <v>0.11490885000000001</v>
      </c>
      <c r="Y15" s="508">
        <v>0.49</v>
      </c>
      <c r="Z15" s="507">
        <v>0.6553820600000001</v>
      </c>
      <c r="AA15" s="507" t="s">
        <v>35</v>
      </c>
      <c r="AB15" s="508">
        <v>0.47300212000000003</v>
      </c>
      <c r="AC15" s="508">
        <v>0.18237994000000007</v>
      </c>
      <c r="AD15" s="508" t="s">
        <v>1365</v>
      </c>
    </row>
    <row r="16" spans="1:30" ht="14" thickBot="1">
      <c r="A16" s="501">
        <v>134</v>
      </c>
      <c r="B16" s="502" t="s">
        <v>955</v>
      </c>
      <c r="C16" s="503">
        <v>3680.16</v>
      </c>
      <c r="D16" s="504">
        <v>2373.2622630537799</v>
      </c>
      <c r="E16" s="504">
        <v>2106.6925079344378</v>
      </c>
      <c r="F16" s="504">
        <v>383.83087963566805</v>
      </c>
      <c r="G16" s="504">
        <v>2490.523387570106</v>
      </c>
      <c r="H16" s="504">
        <v>33.250728229207432</v>
      </c>
      <c r="I16" s="505">
        <v>101.82598039215685</v>
      </c>
      <c r="J16" s="504">
        <v>54.768741032998548</v>
      </c>
      <c r="K16" s="505">
        <v>679.31829050910835</v>
      </c>
      <c r="L16" s="504">
        <v>914.47770749097856</v>
      </c>
      <c r="M16" s="506">
        <v>0.88767791943215957</v>
      </c>
      <c r="N16" s="506">
        <v>1.4804742233041781E-2</v>
      </c>
      <c r="O16" s="506">
        <v>4.6470790731774701E-2</v>
      </c>
      <c r="P16" s="506">
        <v>0.38532517949123762</v>
      </c>
      <c r="Q16" s="504"/>
      <c r="R16" s="507">
        <v>8.2654596800000011</v>
      </c>
      <c r="S16" s="507">
        <v>8.0639019500000018</v>
      </c>
      <c r="T16" s="508">
        <v>8.7339848499999988</v>
      </c>
      <c r="U16" s="508">
        <v>7.7529655000000002</v>
      </c>
      <c r="V16" s="508">
        <v>1.41255905</v>
      </c>
      <c r="W16" s="507">
        <v>9.1655245500000007</v>
      </c>
      <c r="X16" s="507">
        <v>0.12236800000000002</v>
      </c>
      <c r="Y16" s="508">
        <v>2.5</v>
      </c>
      <c r="Z16" s="507">
        <v>3.3654242799999996</v>
      </c>
      <c r="AA16" s="507" t="s">
        <v>35</v>
      </c>
      <c r="AB16" s="508">
        <v>1.7467969699999999</v>
      </c>
      <c r="AC16" s="508">
        <v>1.6186273099999997</v>
      </c>
      <c r="AD16" s="508" t="s">
        <v>1365</v>
      </c>
    </row>
    <row r="17" spans="1:30" ht="14" thickBot="1">
      <c r="A17" s="501">
        <v>160</v>
      </c>
      <c r="B17" s="502" t="s">
        <v>1369</v>
      </c>
      <c r="C17" s="503">
        <v>58189</v>
      </c>
      <c r="D17" s="504">
        <v>2593.4188231452672</v>
      </c>
      <c r="E17" s="504">
        <v>1830.8395337606762</v>
      </c>
      <c r="F17" s="504">
        <v>391.54695097011472</v>
      </c>
      <c r="G17" s="504">
        <v>2222.3864847307914</v>
      </c>
      <c r="H17" s="504">
        <v>451.56412724054371</v>
      </c>
      <c r="I17" s="505">
        <v>161.37814982213129</v>
      </c>
      <c r="J17" s="504">
        <v>-35.129244358899413</v>
      </c>
      <c r="K17" s="505">
        <v>489.04432109161519</v>
      </c>
      <c r="L17" s="504">
        <v>260.32165615494335</v>
      </c>
      <c r="M17" s="506">
        <v>0.70595598266702486</v>
      </c>
      <c r="N17" s="506">
        <v>0.17522970110873068</v>
      </c>
      <c r="O17" s="506">
        <v>6.1780687834980169E-2</v>
      </c>
      <c r="P17" s="506">
        <v>0.10037779236877303</v>
      </c>
      <c r="Q17" s="504"/>
      <c r="R17" s="507">
        <v>149.95211903999999</v>
      </c>
      <c r="S17" s="507">
        <v>151.99625464000002</v>
      </c>
      <c r="T17" s="508">
        <v>150.90844789999997</v>
      </c>
      <c r="U17" s="508">
        <v>106.53472162999999</v>
      </c>
      <c r="V17" s="508">
        <v>22.783725530000005</v>
      </c>
      <c r="W17" s="507">
        <v>129.31844716000001</v>
      </c>
      <c r="X17" s="507">
        <v>26.276064999999999</v>
      </c>
      <c r="Y17" s="508">
        <v>28.457000000000001</v>
      </c>
      <c r="Z17" s="507">
        <v>15.14785685</v>
      </c>
      <c r="AA17" s="507">
        <v>10.029787900000001</v>
      </c>
      <c r="AB17" s="508">
        <v>22.636267184999994</v>
      </c>
      <c r="AC17" s="508" t="s">
        <v>1365</v>
      </c>
      <c r="AD17" s="508">
        <v>-7.488410334999994</v>
      </c>
    </row>
    <row r="18" spans="1:30" ht="14" thickBot="1">
      <c r="A18" s="501">
        <v>182</v>
      </c>
      <c r="B18" s="502" t="s">
        <v>1370</v>
      </c>
      <c r="C18" s="503">
        <v>60179.83</v>
      </c>
      <c r="D18" s="504">
        <v>2599.642328667263</v>
      </c>
      <c r="E18" s="504">
        <v>2318.0520126095407</v>
      </c>
      <c r="F18" s="504">
        <v>428.84354276175253</v>
      </c>
      <c r="G18" s="504">
        <v>2746.8955553712926</v>
      </c>
      <c r="H18" s="504">
        <v>53.23974826781663</v>
      </c>
      <c r="I18" s="505">
        <v>122.03957987252539</v>
      </c>
      <c r="J18" s="504">
        <v>62.235234629276945</v>
      </c>
      <c r="K18" s="505">
        <v>481.88903159081701</v>
      </c>
      <c r="L18" s="504">
        <v>108.43133588114158</v>
      </c>
      <c r="M18" s="506">
        <v>0.89168113130313476</v>
      </c>
      <c r="N18" s="506">
        <v>2.0451699676608429E-2</v>
      </c>
      <c r="O18" s="506">
        <v>4.8028943465434459E-2</v>
      </c>
      <c r="P18" s="506">
        <v>4.1710097841317337E-2</v>
      </c>
      <c r="Q18" s="504"/>
      <c r="R18" s="507">
        <v>156.65979115000002</v>
      </c>
      <c r="S18" s="507">
        <v>152.91448531000003</v>
      </c>
      <c r="T18" s="508">
        <v>156.4460334</v>
      </c>
      <c r="U18" s="508">
        <v>139.49997605000001</v>
      </c>
      <c r="V18" s="508">
        <v>25.807731499999999</v>
      </c>
      <c r="W18" s="507">
        <v>165.30770755</v>
      </c>
      <c r="X18" s="507">
        <v>3.2039589999999993</v>
      </c>
      <c r="Y18" s="508">
        <v>29</v>
      </c>
      <c r="Z18" s="507">
        <v>6.5253793600000005</v>
      </c>
      <c r="AA18" s="507" t="s">
        <v>35</v>
      </c>
      <c r="AB18" s="508">
        <v>23.466905010000001</v>
      </c>
      <c r="AC18" s="508" t="s">
        <v>1365</v>
      </c>
      <c r="AD18" s="508">
        <v>-16.941525650000003</v>
      </c>
    </row>
    <row r="19" spans="1:30" ht="14" thickBot="1">
      <c r="A19" s="501">
        <v>194</v>
      </c>
      <c r="B19" s="502" t="s">
        <v>1371</v>
      </c>
      <c r="C19" s="503">
        <v>21168.41</v>
      </c>
      <c r="D19" s="504">
        <v>2712.0017469427326</v>
      </c>
      <c r="E19" s="504">
        <v>1879.9250439688196</v>
      </c>
      <c r="F19" s="504">
        <v>366.02946560464392</v>
      </c>
      <c r="G19" s="504">
        <v>2245.9545095734634</v>
      </c>
      <c r="H19" s="504">
        <v>497.23106270145001</v>
      </c>
      <c r="I19" s="505">
        <v>88.611783785366967</v>
      </c>
      <c r="J19" s="504">
        <v>213.60210426763271</v>
      </c>
      <c r="K19" s="505">
        <v>465.74116808962032</v>
      </c>
      <c r="L19" s="504">
        <v>365.01356644169311</v>
      </c>
      <c r="M19" s="506">
        <v>0.69318725405987602</v>
      </c>
      <c r="N19" s="506">
        <v>0.18435420877639022</v>
      </c>
      <c r="O19" s="506">
        <v>3.5679506297721597E-2</v>
      </c>
      <c r="P19" s="506">
        <v>0.13459193632643365</v>
      </c>
      <c r="Q19" s="504"/>
      <c r="R19" s="507">
        <v>57.094389490000012</v>
      </c>
      <c r="S19" s="507">
        <v>52.572772569999991</v>
      </c>
      <c r="T19" s="508">
        <v>57.408764900000008</v>
      </c>
      <c r="U19" s="508">
        <v>39.795024099999999</v>
      </c>
      <c r="V19" s="508">
        <v>7.7482617999999999</v>
      </c>
      <c r="W19" s="507">
        <v>47.543285900000001</v>
      </c>
      <c r="X19" s="507">
        <v>10.525591000000002</v>
      </c>
      <c r="Y19" s="508">
        <v>9.859</v>
      </c>
      <c r="Z19" s="507">
        <v>7.7267568300000002</v>
      </c>
      <c r="AA19" s="507">
        <v>9.1177863000000006</v>
      </c>
      <c r="AB19" s="508">
        <v>11.481752980000003</v>
      </c>
      <c r="AC19" s="508" t="s">
        <v>1365</v>
      </c>
      <c r="AD19" s="508">
        <v>-3.7549961500000029</v>
      </c>
    </row>
    <row r="20" spans="1:30" ht="14" thickBot="1">
      <c r="A20" s="501">
        <v>216</v>
      </c>
      <c r="B20" s="502" t="s">
        <v>1372</v>
      </c>
      <c r="C20" s="503">
        <v>1926.17</v>
      </c>
      <c r="D20" s="504">
        <v>2769.0272405862411</v>
      </c>
      <c r="E20" s="504">
        <v>2666.087121074464</v>
      </c>
      <c r="F20" s="504">
        <v>455.79668980411907</v>
      </c>
      <c r="G20" s="504">
        <v>3121.8838108785826</v>
      </c>
      <c r="H20" s="504">
        <v>-18.759507208605683</v>
      </c>
      <c r="I20" s="505">
        <v>144.91381342249127</v>
      </c>
      <c r="J20" s="504">
        <v>-44.439504301281808</v>
      </c>
      <c r="K20" s="505">
        <v>867.00550834038518</v>
      </c>
      <c r="L20" s="504">
        <v>1206.2096907334242</v>
      </c>
      <c r="M20" s="506">
        <v>0.96282444679381951</v>
      </c>
      <c r="N20" s="506">
        <v>-6.6787640881069508E-3</v>
      </c>
      <c r="O20" s="506">
        <v>5.0788702833633501E-2</v>
      </c>
      <c r="P20" s="506">
        <v>0.43560773727818336</v>
      </c>
      <c r="Q20" s="504"/>
      <c r="R20" s="507">
        <v>5.4102824300000005</v>
      </c>
      <c r="S20" s="507">
        <v>5.4958804699999995</v>
      </c>
      <c r="T20" s="508">
        <v>5.3336171999999999</v>
      </c>
      <c r="U20" s="508">
        <v>5.1353370300000005</v>
      </c>
      <c r="V20" s="508">
        <v>0.87794190999999999</v>
      </c>
      <c r="W20" s="507">
        <v>6.0132789400000002</v>
      </c>
      <c r="X20" s="507">
        <v>-3.6134000000000013E-2</v>
      </c>
      <c r="Y20" s="508">
        <v>1.67</v>
      </c>
      <c r="Z20" s="507">
        <v>2.3233649199999999</v>
      </c>
      <c r="AA20" s="507">
        <v>0.51637220000000006</v>
      </c>
      <c r="AB20" s="508">
        <v>1.0667234400000001</v>
      </c>
      <c r="AC20" s="508">
        <v>1.2566414799999999</v>
      </c>
      <c r="AD20" s="508" t="s">
        <v>1365</v>
      </c>
    </row>
    <row r="21" spans="1:30" ht="14" thickBot="1">
      <c r="A21" s="501">
        <v>246</v>
      </c>
      <c r="B21" s="502" t="s">
        <v>1373</v>
      </c>
      <c r="C21" s="503">
        <v>7702</v>
      </c>
      <c r="D21" s="504">
        <v>2428.2394832511031</v>
      </c>
      <c r="E21" s="504">
        <v>2157.9834913009608</v>
      </c>
      <c r="F21" s="504">
        <v>344.28025188262797</v>
      </c>
      <c r="G21" s="504">
        <v>2502.2637431835892</v>
      </c>
      <c r="H21" s="504">
        <v>135.21007530511554</v>
      </c>
      <c r="I21" s="505">
        <v>123.18229031420411</v>
      </c>
      <c r="J21" s="504">
        <v>104.54283562710984</v>
      </c>
      <c r="K21" s="505">
        <v>489.48325110360946</v>
      </c>
      <c r="L21" s="504">
        <v>245.89597117631786</v>
      </c>
      <c r="M21" s="506">
        <v>0.88870290850048117</v>
      </c>
      <c r="N21" s="506">
        <v>5.5849947509454274E-2</v>
      </c>
      <c r="O21" s="506">
        <v>5.3178108865222277E-2</v>
      </c>
      <c r="P21" s="506">
        <v>0.1012651235071322</v>
      </c>
      <c r="Q21" s="504"/>
      <c r="R21" s="507">
        <v>18.646176880000002</v>
      </c>
      <c r="S21" s="507">
        <v>17.84098796</v>
      </c>
      <c r="T21" s="508">
        <v>18.702300499999996</v>
      </c>
      <c r="U21" s="508">
        <v>16.62078885</v>
      </c>
      <c r="V21" s="508">
        <v>2.6516465000000005</v>
      </c>
      <c r="W21" s="507">
        <v>19.272435350000002</v>
      </c>
      <c r="X21" s="507">
        <v>1.041388</v>
      </c>
      <c r="Y21" s="508">
        <v>3.77</v>
      </c>
      <c r="Z21" s="507">
        <v>1.8938907700000001</v>
      </c>
      <c r="AA21" s="507">
        <v>1.3622918499999999</v>
      </c>
      <c r="AB21" s="508">
        <v>3.7404600999999995</v>
      </c>
      <c r="AC21" s="508" t="s">
        <v>1365</v>
      </c>
      <c r="AD21" s="508">
        <v>-1.8465693299999995</v>
      </c>
    </row>
    <row r="22" spans="1:30" ht="14" thickBot="1">
      <c r="A22" s="501">
        <v>261</v>
      </c>
      <c r="B22" s="502" t="s">
        <v>1374</v>
      </c>
      <c r="C22" s="503">
        <v>18004.420000000002</v>
      </c>
      <c r="D22" s="504">
        <v>2579.9056120663708</v>
      </c>
      <c r="E22" s="504">
        <v>2090.0966457125519</v>
      </c>
      <c r="F22" s="504">
        <v>404.07643234272467</v>
      </c>
      <c r="G22" s="504">
        <v>2494.1730780552766</v>
      </c>
      <c r="H22" s="504">
        <v>355.39112062482428</v>
      </c>
      <c r="I22" s="505">
        <v>122.14563201702698</v>
      </c>
      <c r="J22" s="504">
        <v>-16.650729098743493</v>
      </c>
      <c r="K22" s="505">
        <v>454.33288048157056</v>
      </c>
      <c r="L22" s="504">
        <v>45.035292444855209</v>
      </c>
      <c r="M22" s="506">
        <v>0.81014461767013746</v>
      </c>
      <c r="N22" s="506">
        <v>0.14022157303456839</v>
      </c>
      <c r="O22" s="506">
        <v>4.7878702894400875E-2</v>
      </c>
      <c r="P22" s="506">
        <v>1.7456178332347701E-2</v>
      </c>
      <c r="Q22" s="504"/>
      <c r="R22" s="507">
        <v>45.632143909999996</v>
      </c>
      <c r="S22" s="507">
        <v>45.931930629999997</v>
      </c>
      <c r="T22" s="508">
        <v>46.449704200000006</v>
      </c>
      <c r="U22" s="508">
        <v>37.630977849999994</v>
      </c>
      <c r="V22" s="508">
        <v>7.2751618000000002</v>
      </c>
      <c r="W22" s="507">
        <v>44.906139649999993</v>
      </c>
      <c r="X22" s="507">
        <v>6.3986109999999998</v>
      </c>
      <c r="Y22" s="508">
        <v>8.18</v>
      </c>
      <c r="Z22" s="507">
        <v>0.81083432000000011</v>
      </c>
      <c r="AA22" s="507">
        <v>14.2176215</v>
      </c>
      <c r="AB22" s="508">
        <v>9.2899408400000016</v>
      </c>
      <c r="AC22" s="508" t="s">
        <v>1365</v>
      </c>
      <c r="AD22" s="508">
        <v>-8.479106520000002</v>
      </c>
    </row>
    <row r="23" spans="1:30" ht="14" thickBot="1">
      <c r="A23" s="501">
        <v>263</v>
      </c>
      <c r="B23" s="502" t="s">
        <v>1375</v>
      </c>
      <c r="C23" s="503">
        <v>61973.83</v>
      </c>
      <c r="D23" s="504">
        <v>3110.6859572822914</v>
      </c>
      <c r="E23" s="504">
        <v>2829.4580034830828</v>
      </c>
      <c r="F23" s="504">
        <v>490.29902153860741</v>
      </c>
      <c r="G23" s="504">
        <v>3319.75702502169</v>
      </c>
      <c r="H23" s="504">
        <v>88.764967406403628</v>
      </c>
      <c r="I23" s="505">
        <v>163.89790416374137</v>
      </c>
      <c r="J23" s="504">
        <v>26.666851798573664</v>
      </c>
      <c r="K23" s="505">
        <v>671.17039563312449</v>
      </c>
      <c r="L23" s="504">
        <v>428.70544276511549</v>
      </c>
      <c r="M23" s="506">
        <v>0.90959294584500305</v>
      </c>
      <c r="N23" s="506">
        <v>2.8635000473809381E-2</v>
      </c>
      <c r="O23" s="506">
        <v>5.3331180924803018E-2</v>
      </c>
      <c r="P23" s="506">
        <v>0.13781701163419979</v>
      </c>
      <c r="Q23" s="504"/>
      <c r="R23" s="507">
        <v>192.11122433999998</v>
      </c>
      <c r="S23" s="507">
        <v>190.4585774</v>
      </c>
      <c r="T23" s="508">
        <v>192.7811227</v>
      </c>
      <c r="U23" s="508">
        <v>175.35234929999999</v>
      </c>
      <c r="V23" s="508">
        <v>30.385708209999997</v>
      </c>
      <c r="W23" s="507">
        <v>205.73805750999998</v>
      </c>
      <c r="X23" s="507">
        <v>5.5011049999999999</v>
      </c>
      <c r="Y23" s="508">
        <v>41.594999999999999</v>
      </c>
      <c r="Z23" s="507">
        <v>26.568518229999999</v>
      </c>
      <c r="AA23" s="507">
        <v>26.696819000000001</v>
      </c>
      <c r="AB23" s="508">
        <v>28.917168404999998</v>
      </c>
      <c r="AC23" s="508" t="s">
        <v>1365</v>
      </c>
      <c r="AD23" s="508">
        <v>-2.3486501749999995</v>
      </c>
    </row>
    <row r="24" spans="1:30" ht="14" thickBot="1">
      <c r="A24" s="501">
        <v>290</v>
      </c>
      <c r="B24" s="502" t="s">
        <v>1376</v>
      </c>
      <c r="C24" s="503">
        <v>528865.57999999996</v>
      </c>
      <c r="D24" s="504">
        <v>2732.2247655065776</v>
      </c>
      <c r="E24" s="504">
        <v>2726.3251473086984</v>
      </c>
      <c r="F24" s="504">
        <v>421.57545976049346</v>
      </c>
      <c r="G24" s="504">
        <v>3147.9006070691921</v>
      </c>
      <c r="H24" s="504">
        <v>-213.91272806976778</v>
      </c>
      <c r="I24" s="505">
        <v>150.68744740393203</v>
      </c>
      <c r="J24" s="504">
        <v>82.299373878708465</v>
      </c>
      <c r="K24" s="505">
        <v>659.92839301434594</v>
      </c>
      <c r="L24" s="504">
        <v>508.59798843403649</v>
      </c>
      <c r="M24" s="506">
        <v>0.99784072735436713</v>
      </c>
      <c r="N24" s="506">
        <v>-7.7818653528202331E-2</v>
      </c>
      <c r="O24" s="506">
        <v>5.6510000658720895E-2</v>
      </c>
      <c r="P24" s="506">
        <v>0.18614793147874059</v>
      </c>
      <c r="Q24" s="504"/>
      <c r="R24" s="507">
        <v>1453.7784177799999</v>
      </c>
      <c r="S24" s="507">
        <v>1410.2531116799998</v>
      </c>
      <c r="T24" s="508">
        <v>1444.9796352999999</v>
      </c>
      <c r="U24" s="508">
        <v>1441.8595303000002</v>
      </c>
      <c r="V24" s="508">
        <v>222.95675004</v>
      </c>
      <c r="W24" s="507">
        <v>1664.8162803400003</v>
      </c>
      <c r="X24" s="507">
        <v>-113.131079</v>
      </c>
      <c r="Y24" s="508">
        <v>349.01341232999999</v>
      </c>
      <c r="Z24" s="507">
        <v>268.97997013999998</v>
      </c>
      <c r="AA24" s="507">
        <v>496.18324571000005</v>
      </c>
      <c r="AB24" s="508">
        <v>144.49796352999999</v>
      </c>
      <c r="AC24" s="508">
        <v>124.48200660999998</v>
      </c>
      <c r="AD24" s="508" t="s">
        <v>1365</v>
      </c>
    </row>
    <row r="25" spans="1:30" ht="14" thickBot="1">
      <c r="A25" s="501">
        <v>294</v>
      </c>
      <c r="B25" s="502" t="s">
        <v>1377</v>
      </c>
      <c r="C25" s="503">
        <v>5326.42</v>
      </c>
      <c r="D25" s="504">
        <v>2253.0725797064442</v>
      </c>
      <c r="E25" s="504">
        <v>1896.1416767735177</v>
      </c>
      <c r="F25" s="504">
        <v>347.1723972198962</v>
      </c>
      <c r="G25" s="504">
        <v>2243.3140739934138</v>
      </c>
      <c r="H25" s="504">
        <v>133.79894000097624</v>
      </c>
      <c r="I25" s="505">
        <v>102.97949466996593</v>
      </c>
      <c r="J25" s="504">
        <v>147.51009120572539</v>
      </c>
      <c r="K25" s="505">
        <v>474.52134829773092</v>
      </c>
      <c r="L25" s="504">
        <v>670.34504601589811</v>
      </c>
      <c r="M25" s="506">
        <v>0.84158037954577058</v>
      </c>
      <c r="N25" s="506">
        <v>5.8353552176223629E-2</v>
      </c>
      <c r="O25" s="506">
        <v>4.8000332370283727E-2</v>
      </c>
      <c r="P25" s="506">
        <v>0.29752483433234017</v>
      </c>
      <c r="Q25" s="504"/>
      <c r="R25" s="507">
        <v>12.212955740000002</v>
      </c>
      <c r="S25" s="507">
        <v>11.42725504</v>
      </c>
      <c r="T25" s="508">
        <v>12.000810849999999</v>
      </c>
      <c r="U25" s="508">
        <v>10.09964695</v>
      </c>
      <c r="V25" s="508">
        <v>1.8491859999999998</v>
      </c>
      <c r="W25" s="507">
        <v>11.94883295</v>
      </c>
      <c r="X25" s="507">
        <v>0.71266934999999998</v>
      </c>
      <c r="Y25" s="508">
        <v>2.5274999999999999</v>
      </c>
      <c r="Z25" s="507">
        <v>3.5705392600000003</v>
      </c>
      <c r="AA25" s="507" t="s">
        <v>35</v>
      </c>
      <c r="AB25" s="508">
        <v>2.4001621699999998</v>
      </c>
      <c r="AC25" s="508">
        <v>1.1703770900000006</v>
      </c>
      <c r="AD25" s="508" t="s">
        <v>1365</v>
      </c>
    </row>
    <row r="26" spans="1:30" ht="14" thickBot="1">
      <c r="A26" s="501">
        <v>312</v>
      </c>
      <c r="B26" s="502" t="s">
        <v>1378</v>
      </c>
      <c r="C26" s="503">
        <v>149363.83000000002</v>
      </c>
      <c r="D26" s="504">
        <v>2759.4633968612079</v>
      </c>
      <c r="E26" s="504">
        <v>2587.1420386716113</v>
      </c>
      <c r="F26" s="504">
        <v>426.83023359805378</v>
      </c>
      <c r="G26" s="504">
        <v>3013.9722722696652</v>
      </c>
      <c r="H26" s="504">
        <v>-15.933248364078505</v>
      </c>
      <c r="I26" s="505">
        <v>114.3308232655791</v>
      </c>
      <c r="J26" s="504">
        <v>81.89371576773307</v>
      </c>
      <c r="K26" s="505">
        <v>777.42382476400064</v>
      </c>
      <c r="L26" s="504">
        <v>307.61805030039733</v>
      </c>
      <c r="M26" s="506">
        <v>0.93755258417792164</v>
      </c>
      <c r="N26" s="506">
        <v>-5.7514917500987436E-3</v>
      </c>
      <c r="O26" s="506">
        <v>4.2527660946659586E-2</v>
      </c>
      <c r="P26" s="506">
        <v>0.11147748893871975</v>
      </c>
      <c r="Q26" s="504"/>
      <c r="R26" s="507">
        <v>413.77978155999995</v>
      </c>
      <c r="S26" s="507">
        <v>401.54782252000012</v>
      </c>
      <c r="T26" s="508">
        <v>412.16402169999998</v>
      </c>
      <c r="U26" s="508">
        <v>386.42544365000003</v>
      </c>
      <c r="V26" s="508">
        <v>63.75299845</v>
      </c>
      <c r="W26" s="507">
        <v>450.17844210000004</v>
      </c>
      <c r="X26" s="507">
        <v>-2.3798509999999999</v>
      </c>
      <c r="Y26" s="508">
        <v>116.119</v>
      </c>
      <c r="Z26" s="507">
        <v>45.947010169999999</v>
      </c>
      <c r="AA26" s="507">
        <v>104.02373421000001</v>
      </c>
      <c r="AB26" s="508">
        <v>61.824603254999992</v>
      </c>
      <c r="AC26" s="508" t="s">
        <v>1365</v>
      </c>
      <c r="AD26" s="508">
        <v>-15.877593084999994</v>
      </c>
    </row>
    <row r="27" spans="1:30" ht="14" thickBot="1">
      <c r="A27" s="501">
        <v>343</v>
      </c>
      <c r="B27" s="502" t="s">
        <v>1379</v>
      </c>
      <c r="C27" s="503">
        <v>98944.25</v>
      </c>
      <c r="D27" s="504">
        <v>2883.1091771376296</v>
      </c>
      <c r="E27" s="504">
        <v>2623.812861889397</v>
      </c>
      <c r="F27" s="504">
        <v>454.24442218724192</v>
      </c>
      <c r="G27" s="504">
        <v>3078.057284076639</v>
      </c>
      <c r="H27" s="504">
        <v>86.89829878946982</v>
      </c>
      <c r="I27" s="505">
        <v>158.19810559987064</v>
      </c>
      <c r="J27" s="504">
        <v>7.9040273689476654</v>
      </c>
      <c r="K27" s="505">
        <v>690.08759983526068</v>
      </c>
      <c r="L27" s="504">
        <v>485.14160327659266</v>
      </c>
      <c r="M27" s="506">
        <v>0.9100636502757542</v>
      </c>
      <c r="N27" s="506">
        <v>2.9847122794792191E-2</v>
      </c>
      <c r="O27" s="506">
        <v>5.4484517269509085E-2</v>
      </c>
      <c r="P27" s="506">
        <v>0.16827028512262049</v>
      </c>
      <c r="Q27" s="504"/>
      <c r="R27" s="507">
        <v>288.07088238000006</v>
      </c>
      <c r="S27" s="507">
        <v>287.28882432</v>
      </c>
      <c r="T27" s="508">
        <v>285.26707519999991</v>
      </c>
      <c r="U27" s="508">
        <v>259.61119575999999</v>
      </c>
      <c r="V27" s="508">
        <v>44.944873670000007</v>
      </c>
      <c r="W27" s="507">
        <v>304.55606942999998</v>
      </c>
      <c r="X27" s="507">
        <v>8.5980869999999996</v>
      </c>
      <c r="Y27" s="508">
        <v>68.280199999999994</v>
      </c>
      <c r="Z27" s="507">
        <v>48.001972080000002</v>
      </c>
      <c r="AA27" s="507">
        <v>25.872198899999997</v>
      </c>
      <c r="AB27" s="508">
        <v>42.790061279999989</v>
      </c>
      <c r="AC27" s="508">
        <v>5.2119108000000125</v>
      </c>
      <c r="AD27" s="508" t="s">
        <v>1365</v>
      </c>
    </row>
    <row r="28" spans="1:30" ht="14" thickBot="1">
      <c r="A28" s="501">
        <v>360</v>
      </c>
      <c r="B28" s="502" t="s">
        <v>1380</v>
      </c>
      <c r="C28" s="503">
        <v>16885.34</v>
      </c>
      <c r="D28" s="504">
        <v>2159.3917149432586</v>
      </c>
      <c r="E28" s="504">
        <v>1832.3748174451921</v>
      </c>
      <c r="F28" s="504">
        <v>363.27739625023844</v>
      </c>
      <c r="G28" s="504">
        <v>2195.6522136954304</v>
      </c>
      <c r="H28" s="504">
        <v>113.10901053813544</v>
      </c>
      <c r="I28" s="505">
        <v>83.231151993385978</v>
      </c>
      <c r="J28" s="504">
        <v>111.40794618290185</v>
      </c>
      <c r="K28" s="505">
        <v>561.20250169673818</v>
      </c>
      <c r="L28" s="504">
        <v>1017.1055785669701</v>
      </c>
      <c r="M28" s="506">
        <v>0.84856064083460681</v>
      </c>
      <c r="N28" s="506">
        <v>5.2321526398220762E-2</v>
      </c>
      <c r="O28" s="506">
        <v>4.059267207609106E-2</v>
      </c>
      <c r="P28" s="506">
        <v>0.4710148564192746</v>
      </c>
      <c r="Q28" s="504"/>
      <c r="R28" s="507">
        <v>36.502836050000006</v>
      </c>
      <c r="S28" s="507">
        <v>34.621675000000003</v>
      </c>
      <c r="T28" s="508">
        <v>36.462063300000004</v>
      </c>
      <c r="U28" s="508">
        <v>30.940271800000001</v>
      </c>
      <c r="V28" s="508">
        <v>6.1340623500000007</v>
      </c>
      <c r="W28" s="507">
        <v>37.074334149999999</v>
      </c>
      <c r="X28" s="507">
        <v>1.9098840999999998</v>
      </c>
      <c r="Y28" s="508">
        <v>9.4760950500000014</v>
      </c>
      <c r="Z28" s="507">
        <v>17.174173510000003</v>
      </c>
      <c r="AA28" s="507">
        <v>6.7848831000000001</v>
      </c>
      <c r="AB28" s="508">
        <v>7.292412660000001</v>
      </c>
      <c r="AC28" s="508">
        <v>9.8817608500000027</v>
      </c>
      <c r="AD28" s="508" t="s">
        <v>1365</v>
      </c>
    </row>
    <row r="29" spans="1:30" ht="14" thickBot="1">
      <c r="A29" s="501">
        <v>376</v>
      </c>
      <c r="B29" s="502" t="s">
        <v>1381</v>
      </c>
      <c r="C29" s="503">
        <v>307623</v>
      </c>
      <c r="D29" s="504">
        <v>3009.9052743130392</v>
      </c>
      <c r="E29" s="504">
        <v>2846.8953475520357</v>
      </c>
      <c r="F29" s="504">
        <v>458.96579173208767</v>
      </c>
      <c r="G29" s="504">
        <v>3305.8611392841231</v>
      </c>
      <c r="H29" s="504">
        <v>-94.882506509591309</v>
      </c>
      <c r="I29" s="505">
        <v>184.81357187206424</v>
      </c>
      <c r="J29" s="504">
        <v>29.317383030527626</v>
      </c>
      <c r="K29" s="505">
        <v>854.12989275834389</v>
      </c>
      <c r="L29" s="504">
        <v>371.81957386151231</v>
      </c>
      <c r="M29" s="506">
        <v>0.94584217378794166</v>
      </c>
      <c r="N29" s="506">
        <v>-3.1224757885091714E-2</v>
      </c>
      <c r="O29" s="506">
        <v>6.1412562129154857E-2</v>
      </c>
      <c r="P29" s="506">
        <v>0.12353198522048971</v>
      </c>
      <c r="Q29" s="504"/>
      <c r="R29" s="507">
        <v>934.77238182000008</v>
      </c>
      <c r="S29" s="507">
        <v>925.75368049999986</v>
      </c>
      <c r="T29" s="508">
        <v>925.91609019999999</v>
      </c>
      <c r="U29" s="508">
        <v>875.77048749999983</v>
      </c>
      <c r="V29" s="508">
        <v>141.18843375</v>
      </c>
      <c r="W29" s="507">
        <v>1016.9589212499998</v>
      </c>
      <c r="X29" s="507">
        <v>-29.188041300000009</v>
      </c>
      <c r="Y29" s="508">
        <v>262.75</v>
      </c>
      <c r="Z29" s="507">
        <v>114.38025277</v>
      </c>
      <c r="AA29" s="507" t="s">
        <v>35</v>
      </c>
      <c r="AB29" s="508">
        <v>92.591609019999993</v>
      </c>
      <c r="AC29" s="508">
        <v>21.788643750000006</v>
      </c>
      <c r="AD29" s="508" t="s">
        <v>1365</v>
      </c>
    </row>
    <row r="30" spans="1:30" ht="14" thickBot="1">
      <c r="A30" s="501">
        <v>411</v>
      </c>
      <c r="B30" s="502" t="s">
        <v>1382</v>
      </c>
      <c r="C30" s="503">
        <v>21466.61</v>
      </c>
      <c r="D30" s="504">
        <v>2976.2762541453908</v>
      </c>
      <c r="E30" s="504">
        <v>2616.1089813435842</v>
      </c>
      <c r="F30" s="504">
        <v>370.25312659986832</v>
      </c>
      <c r="G30" s="504">
        <v>2986.3621079434524</v>
      </c>
      <c r="H30" s="504">
        <v>88.825761962415086</v>
      </c>
      <c r="I30" s="505">
        <v>199.26393035509571</v>
      </c>
      <c r="J30" s="504">
        <v>164.5401719228141</v>
      </c>
      <c r="K30" s="505">
        <v>642.57933600135277</v>
      </c>
      <c r="L30" s="504">
        <v>234.14209462975288</v>
      </c>
      <c r="M30" s="506">
        <v>0.87898728409361815</v>
      </c>
      <c r="N30" s="506">
        <v>2.9466071134476763E-2</v>
      </c>
      <c r="O30" s="506">
        <v>6.9917912171119451E-2</v>
      </c>
      <c r="P30" s="506">
        <v>7.8669476431711322E-2</v>
      </c>
      <c r="Q30" s="504"/>
      <c r="R30" s="507">
        <v>64.71130749999999</v>
      </c>
      <c r="S30" s="507">
        <v>61.179187809999995</v>
      </c>
      <c r="T30" s="508">
        <v>63.890561599999991</v>
      </c>
      <c r="U30" s="508">
        <v>56.158991220000004</v>
      </c>
      <c r="V30" s="508">
        <v>7.9480794699999997</v>
      </c>
      <c r="W30" s="507">
        <v>64.10707069</v>
      </c>
      <c r="X30" s="507">
        <v>1.9067879899999993</v>
      </c>
      <c r="Y30" s="508">
        <v>13.794</v>
      </c>
      <c r="Z30" s="507">
        <v>5.0262370299999999</v>
      </c>
      <c r="AA30" s="507">
        <v>24.088698100000002</v>
      </c>
      <c r="AB30" s="508">
        <v>12.77811232</v>
      </c>
      <c r="AC30" s="508" t="s">
        <v>1365</v>
      </c>
      <c r="AD30" s="508">
        <v>-7.7518752900000001</v>
      </c>
    </row>
    <row r="31" spans="1:30" ht="14" thickBot="1">
      <c r="A31" s="501">
        <v>445</v>
      </c>
      <c r="B31" s="502" t="s">
        <v>1383</v>
      </c>
      <c r="C31" s="503">
        <v>78338.92</v>
      </c>
      <c r="D31" s="504">
        <v>2706.8343136463973</v>
      </c>
      <c r="E31" s="504">
        <v>2060.8963091398246</v>
      </c>
      <c r="F31" s="504">
        <v>419.80242055928267</v>
      </c>
      <c r="G31" s="504">
        <v>2480.6987296991074</v>
      </c>
      <c r="H31" s="504">
        <v>528.48666984431236</v>
      </c>
      <c r="I31" s="505">
        <v>126.16390154472384</v>
      </c>
      <c r="J31" s="504">
        <v>-70.27647177163027</v>
      </c>
      <c r="K31" s="505">
        <v>528.76654413923507</v>
      </c>
      <c r="L31" s="504">
        <v>306.80588473775236</v>
      </c>
      <c r="M31" s="506">
        <v>0.76136773453398976</v>
      </c>
      <c r="N31" s="506">
        <v>0.19492887222672678</v>
      </c>
      <c r="O31" s="506">
        <v>4.5358983721569407E-2</v>
      </c>
      <c r="P31" s="506">
        <v>0.11334490744077046</v>
      </c>
      <c r="Q31" s="504"/>
      <c r="R31" s="507">
        <v>212.39067603000004</v>
      </c>
      <c r="S31" s="507">
        <v>217.89605893000001</v>
      </c>
      <c r="T31" s="508">
        <v>212.05047675000003</v>
      </c>
      <c r="U31" s="508">
        <v>161.44839108999997</v>
      </c>
      <c r="V31" s="508">
        <v>32.886868239999998</v>
      </c>
      <c r="W31" s="507">
        <v>194.33525932999999</v>
      </c>
      <c r="X31" s="507">
        <v>41.401074950000002</v>
      </c>
      <c r="Y31" s="508">
        <v>41.423000000000002</v>
      </c>
      <c r="Z31" s="507">
        <v>24.034841660000001</v>
      </c>
      <c r="AA31" s="507">
        <v>24.163995499999999</v>
      </c>
      <c r="AB31" s="508">
        <v>31.807571512500004</v>
      </c>
      <c r="AC31" s="508" t="s">
        <v>1365</v>
      </c>
      <c r="AD31" s="508">
        <v>-7.772729852500003</v>
      </c>
    </row>
    <row r="32" spans="1:30" ht="14" thickBot="1">
      <c r="A32" s="501">
        <v>455</v>
      </c>
      <c r="B32" s="502" t="s">
        <v>1384</v>
      </c>
      <c r="C32" s="503">
        <v>143787</v>
      </c>
      <c r="D32" s="504">
        <v>2599.968196012157</v>
      </c>
      <c r="E32" s="504">
        <v>2181.5155820067175</v>
      </c>
      <c r="F32" s="504">
        <v>381.51074721636866</v>
      </c>
      <c r="G32" s="504">
        <v>2563.0263292230861</v>
      </c>
      <c r="H32" s="504">
        <v>179.73912071327732</v>
      </c>
      <c r="I32" s="505">
        <v>178.05098117354143</v>
      </c>
      <c r="J32" s="504">
        <v>41.641042862011155</v>
      </c>
      <c r="K32" s="505">
        <v>523.62993281729234</v>
      </c>
      <c r="L32" s="504">
        <v>394.37761522251662</v>
      </c>
      <c r="M32" s="506">
        <v>0.83905471818952859</v>
      </c>
      <c r="N32" s="506">
        <v>6.8681544434655281E-2</v>
      </c>
      <c r="O32" s="506">
        <v>6.913656247389674E-2</v>
      </c>
      <c r="P32" s="506">
        <v>0.15168555362616157</v>
      </c>
      <c r="Q32" s="504"/>
      <c r="R32" s="507">
        <v>376.28957186000002</v>
      </c>
      <c r="S32" s="507">
        <v>370.30213122999999</v>
      </c>
      <c r="T32" s="508">
        <v>373.84162700000002</v>
      </c>
      <c r="U32" s="508">
        <v>313.67358098999995</v>
      </c>
      <c r="V32" s="508">
        <v>54.856285809999996</v>
      </c>
      <c r="W32" s="507">
        <v>368.52986679999992</v>
      </c>
      <c r="X32" s="507">
        <v>25.844148950000005</v>
      </c>
      <c r="Y32" s="508">
        <v>75.29117715000001</v>
      </c>
      <c r="Z32" s="507">
        <v>56.706374159999996</v>
      </c>
      <c r="AA32" s="507" t="s">
        <v>35</v>
      </c>
      <c r="AB32" s="508">
        <v>56.07624405</v>
      </c>
      <c r="AC32" s="508">
        <v>0.63013010999999608</v>
      </c>
      <c r="AD32" s="508" t="s">
        <v>1365</v>
      </c>
    </row>
    <row r="33" spans="1:30" ht="14" thickBot="1">
      <c r="A33" s="501">
        <v>484</v>
      </c>
      <c r="B33" s="502" t="s">
        <v>1385</v>
      </c>
      <c r="C33" s="503">
        <v>26280.33</v>
      </c>
      <c r="D33" s="504">
        <v>2773.2534637122139</v>
      </c>
      <c r="E33" s="504">
        <v>2554.4836552661245</v>
      </c>
      <c r="F33" s="504">
        <v>416.24850829498712</v>
      </c>
      <c r="G33" s="504">
        <v>2970.7321635611115</v>
      </c>
      <c r="H33" s="504">
        <v>-61.062855755616397</v>
      </c>
      <c r="I33" s="505">
        <v>153.46862501346061</v>
      </c>
      <c r="J33" s="504">
        <v>42.368541034302098</v>
      </c>
      <c r="K33" s="505">
        <v>589.79472479987874</v>
      </c>
      <c r="L33" s="504">
        <v>458.02192514325355</v>
      </c>
      <c r="M33" s="506">
        <v>0.92111438377029953</v>
      </c>
      <c r="N33" s="506">
        <v>-2.2196587347782421E-2</v>
      </c>
      <c r="O33" s="506">
        <v>5.6659060164242513E-2</v>
      </c>
      <c r="P33" s="506">
        <v>0.1651568928467706</v>
      </c>
      <c r="Q33" s="504"/>
      <c r="R33" s="507">
        <v>72.297239879999992</v>
      </c>
      <c r="S33" s="507">
        <v>71.183780639999981</v>
      </c>
      <c r="T33" s="508">
        <v>72.88201620000001</v>
      </c>
      <c r="U33" s="508">
        <v>67.132673439999991</v>
      </c>
      <c r="V33" s="508">
        <v>10.93914816</v>
      </c>
      <c r="W33" s="507">
        <v>78.071821599999993</v>
      </c>
      <c r="X33" s="507">
        <v>-1.6047519999999984</v>
      </c>
      <c r="Y33" s="508">
        <v>15.5</v>
      </c>
      <c r="Z33" s="507">
        <v>12.03696734</v>
      </c>
      <c r="AA33" s="507" t="s">
        <v>35</v>
      </c>
      <c r="AB33" s="508">
        <v>14.576403240000001</v>
      </c>
      <c r="AC33" s="508" t="s">
        <v>1365</v>
      </c>
      <c r="AD33" s="508">
        <v>-2.5394359000000009</v>
      </c>
    </row>
    <row r="34" spans="1:30" ht="14" thickBot="1">
      <c r="A34" s="501">
        <v>509</v>
      </c>
      <c r="B34" s="502" t="s">
        <v>1386</v>
      </c>
      <c r="C34" s="503">
        <v>139987.16</v>
      </c>
      <c r="D34" s="504">
        <v>3435.2581594626245</v>
      </c>
      <c r="E34" s="504">
        <v>3265.577046780576</v>
      </c>
      <c r="F34" s="504">
        <v>389.24528999659685</v>
      </c>
      <c r="G34" s="504">
        <v>3654.8223367771725</v>
      </c>
      <c r="H34" s="504">
        <v>-25.403520365724944</v>
      </c>
      <c r="I34" s="505">
        <v>358.1548140558034</v>
      </c>
      <c r="J34" s="504">
        <v>8.5716735020554502</v>
      </c>
      <c r="K34" s="505">
        <v>725.10740270750534</v>
      </c>
      <c r="L34" s="504">
        <v>424.51825024523674</v>
      </c>
      <c r="M34" s="506">
        <v>0.95060600839717047</v>
      </c>
      <c r="N34" s="506">
        <v>-7.2966399034051369E-3</v>
      </c>
      <c r="O34" s="506">
        <v>0.10312652176524023</v>
      </c>
      <c r="P34" s="506">
        <v>0.12357681156389246</v>
      </c>
      <c r="Q34" s="504"/>
      <c r="R34" s="507">
        <v>487.37044955999994</v>
      </c>
      <c r="S34" s="507">
        <v>486.17052531000002</v>
      </c>
      <c r="T34" s="508">
        <v>480.89203360999994</v>
      </c>
      <c r="U34" s="508">
        <v>457.13885653999995</v>
      </c>
      <c r="V34" s="508">
        <v>54.489342690000008</v>
      </c>
      <c r="W34" s="507">
        <v>511.62819922999995</v>
      </c>
      <c r="X34" s="507">
        <v>-3.5561666699999961</v>
      </c>
      <c r="Y34" s="508">
        <v>101.505726</v>
      </c>
      <c r="Z34" s="507">
        <v>59.427104219999997</v>
      </c>
      <c r="AA34" s="507">
        <v>20.78975032</v>
      </c>
      <c r="AB34" s="508">
        <v>72.133805041499983</v>
      </c>
      <c r="AC34" s="508" t="s">
        <v>1365</v>
      </c>
      <c r="AD34" s="508">
        <v>-12.706700821499986</v>
      </c>
    </row>
    <row r="35" spans="1:30" ht="14" thickBot="1">
      <c r="A35" s="501">
        <v>556</v>
      </c>
      <c r="B35" s="502" t="s">
        <v>1387</v>
      </c>
      <c r="C35" s="503">
        <v>2849.17</v>
      </c>
      <c r="D35" s="504">
        <v>2825.1234570067777</v>
      </c>
      <c r="E35" s="504">
        <v>2438.6746596377193</v>
      </c>
      <c r="F35" s="504">
        <v>327.61736926894503</v>
      </c>
      <c r="G35" s="504">
        <v>2766.2920289066642</v>
      </c>
      <c r="H35" s="504">
        <v>259.88340464064976</v>
      </c>
      <c r="I35" s="505">
        <v>190.6993440194864</v>
      </c>
      <c r="J35" s="504">
        <v>-18.995858442985156</v>
      </c>
      <c r="K35" s="505">
        <v>649.3119048705413</v>
      </c>
      <c r="L35" s="504">
        <v>656.82787267870992</v>
      </c>
      <c r="M35" s="506">
        <v>0.8632099434767706</v>
      </c>
      <c r="N35" s="506">
        <v>9.1134066952077736E-2</v>
      </c>
      <c r="O35" s="506">
        <v>6.6430575668086411E-2</v>
      </c>
      <c r="P35" s="506">
        <v>0.232495281241486</v>
      </c>
      <c r="Q35" s="504"/>
      <c r="R35" s="507">
        <v>8.1248651000000027</v>
      </c>
      <c r="S35" s="507">
        <v>8.1789875299999988</v>
      </c>
      <c r="T35" s="508">
        <v>8.0492570000000008</v>
      </c>
      <c r="U35" s="508">
        <v>6.9481986800000008</v>
      </c>
      <c r="V35" s="508">
        <v>0.9334375800000001</v>
      </c>
      <c r="W35" s="507">
        <v>7.8816362600000005</v>
      </c>
      <c r="X35" s="507">
        <v>0.740452</v>
      </c>
      <c r="Y35" s="508">
        <v>1.85</v>
      </c>
      <c r="Z35" s="507">
        <v>1.87141427</v>
      </c>
      <c r="AA35" s="507">
        <v>1.8267532</v>
      </c>
      <c r="AB35" s="508">
        <v>1.6098514000000004</v>
      </c>
      <c r="AC35" s="508">
        <v>0.26156286999999967</v>
      </c>
      <c r="AD35" s="508" t="s">
        <v>1365</v>
      </c>
    </row>
    <row r="36" spans="1:30" ht="14" thickBot="1">
      <c r="A36" s="501">
        <v>558</v>
      </c>
      <c r="B36" s="502" t="s">
        <v>1388</v>
      </c>
      <c r="C36" s="503">
        <v>1780.17</v>
      </c>
      <c r="D36" s="504">
        <v>2074.2011717981986</v>
      </c>
      <c r="E36" s="504">
        <v>1511.8000247167402</v>
      </c>
      <c r="F36" s="504">
        <v>365.95370105102324</v>
      </c>
      <c r="G36" s="504">
        <v>1877.7537257677634</v>
      </c>
      <c r="H36" s="504">
        <v>194.59489824005573</v>
      </c>
      <c r="I36" s="505">
        <v>156.16188341562884</v>
      </c>
      <c r="J36" s="504">
        <v>101.26728346169185</v>
      </c>
      <c r="K36" s="505">
        <v>814.5289494823528</v>
      </c>
      <c r="L36" s="504">
        <v>2139.2850682799958</v>
      </c>
      <c r="M36" s="506">
        <v>0.72885891941045766</v>
      </c>
      <c r="N36" s="506">
        <v>9.476900258065056E-2</v>
      </c>
      <c r="O36" s="506">
        <v>7.9997156881372239E-2</v>
      </c>
      <c r="P36" s="506">
        <v>1.0313778129945674</v>
      </c>
      <c r="Q36" s="504"/>
      <c r="R36" s="507">
        <v>3.6553302300000001</v>
      </c>
      <c r="S36" s="507">
        <v>3.4750572499999999</v>
      </c>
      <c r="T36" s="508">
        <v>3.6924307000000001</v>
      </c>
      <c r="U36" s="508">
        <v>2.6912610499999996</v>
      </c>
      <c r="V36" s="508">
        <v>0.65145980000000003</v>
      </c>
      <c r="W36" s="507">
        <v>3.3427208499999996</v>
      </c>
      <c r="X36" s="507">
        <v>0.346412</v>
      </c>
      <c r="Y36" s="508">
        <v>1.45</v>
      </c>
      <c r="Z36" s="507">
        <v>3.8082910999999999</v>
      </c>
      <c r="AA36" s="507" t="s">
        <v>35</v>
      </c>
      <c r="AB36" s="508">
        <v>0.73848614000000012</v>
      </c>
      <c r="AC36" s="508">
        <v>3.0698049599999999</v>
      </c>
      <c r="AD36" s="508" t="s">
        <v>1365</v>
      </c>
    </row>
    <row r="37" spans="1:30" ht="14" thickBot="1">
      <c r="A37" s="501">
        <v>749</v>
      </c>
      <c r="B37" s="502" t="s">
        <v>1389</v>
      </c>
      <c r="C37" s="503">
        <v>72592.33</v>
      </c>
      <c r="D37" s="504">
        <v>2834.2903430706797</v>
      </c>
      <c r="E37" s="504">
        <v>2304.3365310081654</v>
      </c>
      <c r="F37" s="504">
        <v>435.09360933861745</v>
      </c>
      <c r="G37" s="504">
        <v>2739.430140346783</v>
      </c>
      <c r="H37" s="504">
        <v>406.66701220363086</v>
      </c>
      <c r="I37" s="505">
        <v>137.86380641040176</v>
      </c>
      <c r="J37" s="504">
        <v>-58.033653830921246</v>
      </c>
      <c r="K37" s="505">
        <v>639.58272175586603</v>
      </c>
      <c r="L37" s="504">
        <v>667.17345882133827</v>
      </c>
      <c r="M37" s="506">
        <v>0.81302063376881828</v>
      </c>
      <c r="N37" s="506">
        <v>0.14237798658423989</v>
      </c>
      <c r="O37" s="506">
        <v>4.7306254294997345E-2</v>
      </c>
      <c r="P37" s="506">
        <v>0.23539347704883343</v>
      </c>
      <c r="Q37" s="504"/>
      <c r="R37" s="507">
        <v>207.34178546999996</v>
      </c>
      <c r="S37" s="507">
        <v>211.55458362000002</v>
      </c>
      <c r="T37" s="508">
        <v>205.7477399</v>
      </c>
      <c r="U37" s="508">
        <v>167.27715788999998</v>
      </c>
      <c r="V37" s="508">
        <v>31.584458869999999</v>
      </c>
      <c r="W37" s="507">
        <v>198.86161675999998</v>
      </c>
      <c r="X37" s="507">
        <v>29.52090595</v>
      </c>
      <c r="Y37" s="508">
        <v>46.428800000000003</v>
      </c>
      <c r="Z37" s="507">
        <v>48.431675890000001</v>
      </c>
      <c r="AA37" s="507">
        <v>47.237597799999996</v>
      </c>
      <c r="AB37" s="508">
        <v>30.862160984999999</v>
      </c>
      <c r="AC37" s="508">
        <v>17.569514905000002</v>
      </c>
      <c r="AD37" s="508" t="s">
        <v>1365</v>
      </c>
    </row>
    <row r="38" spans="1:30" ht="14" thickBot="1">
      <c r="A38" s="501">
        <v>762</v>
      </c>
      <c r="B38" s="502" t="s">
        <v>1390</v>
      </c>
      <c r="C38" s="503">
        <v>24087.25</v>
      </c>
      <c r="D38" s="504">
        <v>2839.7909267350992</v>
      </c>
      <c r="E38" s="504">
        <v>2887.7122502568782</v>
      </c>
      <c r="F38" s="504">
        <v>459.56615844482036</v>
      </c>
      <c r="G38" s="504">
        <v>3347.2784087016985</v>
      </c>
      <c r="H38" s="504">
        <v>-162.4129072434587</v>
      </c>
      <c r="I38" s="505">
        <v>189.0408087266085</v>
      </c>
      <c r="J38" s="504">
        <v>93.790612460949248</v>
      </c>
      <c r="K38" s="505">
        <v>481.58257999564086</v>
      </c>
      <c r="L38" s="504">
        <v>233.63680660930575</v>
      </c>
      <c r="M38" s="506">
        <v>1.0168749477542962</v>
      </c>
      <c r="N38" s="506">
        <v>-5.7730880547359982E-2</v>
      </c>
      <c r="O38" s="506">
        <v>6.9513446079609451E-2</v>
      </c>
      <c r="P38" s="506">
        <v>8.2272537886413144E-2</v>
      </c>
      <c r="Q38" s="504"/>
      <c r="R38" s="507">
        <v>67.764085059999985</v>
      </c>
      <c r="S38" s="507">
        <v>65.504927129999999</v>
      </c>
      <c r="T38" s="508">
        <v>68.402754000000016</v>
      </c>
      <c r="U38" s="508">
        <v>69.557046899999989</v>
      </c>
      <c r="V38" s="508">
        <v>11.069684949999999</v>
      </c>
      <c r="W38" s="507">
        <v>80.626731849999985</v>
      </c>
      <c r="X38" s="507">
        <v>-3.9120803000000004</v>
      </c>
      <c r="Y38" s="508">
        <v>11.6</v>
      </c>
      <c r="Z38" s="507">
        <v>5.6276681699999997</v>
      </c>
      <c r="AA38" s="507">
        <v>16.093681</v>
      </c>
      <c r="AB38" s="508">
        <v>13.680550800000004</v>
      </c>
      <c r="AC38" s="508" t="s">
        <v>1365</v>
      </c>
      <c r="AD38" s="508">
        <v>-8.0528826300000045</v>
      </c>
    </row>
    <row r="39" spans="1:30" ht="14" thickBot="1">
      <c r="A39" s="501">
        <v>774</v>
      </c>
      <c r="B39" s="502" t="s">
        <v>1391</v>
      </c>
      <c r="C39" s="503">
        <v>24126.42</v>
      </c>
      <c r="D39" s="504">
        <v>2347.0632029119938</v>
      </c>
      <c r="E39" s="504">
        <v>1633.428245881486</v>
      </c>
      <c r="F39" s="504">
        <v>375.25931240523869</v>
      </c>
      <c r="G39" s="504">
        <v>2008.6875582867244</v>
      </c>
      <c r="H39" s="504">
        <v>505.17105314422935</v>
      </c>
      <c r="I39" s="505">
        <v>133.92112505709508</v>
      </c>
      <c r="J39" s="504">
        <v>34.470216053604297</v>
      </c>
      <c r="K39" s="505">
        <v>418.6282092411555</v>
      </c>
      <c r="L39" s="504">
        <v>330.02938521338837</v>
      </c>
      <c r="M39" s="506">
        <v>0.69594557311234595</v>
      </c>
      <c r="N39" s="506">
        <v>0.21722270932031626</v>
      </c>
      <c r="O39" s="506">
        <v>5.8452247274140771E-2</v>
      </c>
      <c r="P39" s="506">
        <v>0.14061376140357959</v>
      </c>
      <c r="Q39" s="504"/>
      <c r="R39" s="507">
        <v>56.108171369999994</v>
      </c>
      <c r="S39" s="507">
        <v>55.276528460000002</v>
      </c>
      <c r="T39" s="508">
        <v>56.626232599999994</v>
      </c>
      <c r="U39" s="508">
        <v>39.408775900000002</v>
      </c>
      <c r="V39" s="508">
        <v>9.0536637799999991</v>
      </c>
      <c r="W39" s="507">
        <v>48.462439680000003</v>
      </c>
      <c r="X39" s="507">
        <v>12.187968999999999</v>
      </c>
      <c r="Y39" s="508">
        <v>10.1</v>
      </c>
      <c r="Z39" s="507">
        <v>7.9624275599999992</v>
      </c>
      <c r="AA39" s="507">
        <v>1.2097708</v>
      </c>
      <c r="AB39" s="508">
        <v>11.32524652</v>
      </c>
      <c r="AC39" s="508" t="s">
        <v>1365</v>
      </c>
      <c r="AD39" s="508">
        <v>-3.3628189600000011</v>
      </c>
    </row>
    <row r="40" spans="1:30" ht="14" thickBot="1">
      <c r="A40" s="501">
        <v>780</v>
      </c>
      <c r="B40" s="502" t="s">
        <v>1392</v>
      </c>
      <c r="C40" s="503">
        <v>4863.58</v>
      </c>
      <c r="D40" s="504">
        <v>1908.4597971041915</v>
      </c>
      <c r="E40" s="504">
        <v>1435.7971083029372</v>
      </c>
      <c r="F40" s="504">
        <v>356.87647782086447</v>
      </c>
      <c r="G40" s="504">
        <v>1792.6735861238019</v>
      </c>
      <c r="H40" s="504">
        <v>379.55847338791591</v>
      </c>
      <c r="I40" s="505">
        <v>88.587704941627351</v>
      </c>
      <c r="J40" s="504">
        <v>3.7155099741342932</v>
      </c>
      <c r="K40" s="505">
        <v>285.79770457152961</v>
      </c>
      <c r="L40" s="504">
        <v>444.42699821941864</v>
      </c>
      <c r="M40" s="506">
        <v>0.75233290765755156</v>
      </c>
      <c r="N40" s="506">
        <v>0.19885987242035433</v>
      </c>
      <c r="O40" s="506">
        <v>4.650376947674064E-2</v>
      </c>
      <c r="P40" s="506">
        <v>0.23287207773188179</v>
      </c>
      <c r="Q40" s="504"/>
      <c r="R40" s="507">
        <v>9.2829839300000021</v>
      </c>
      <c r="S40" s="507">
        <v>9.2649132499999993</v>
      </c>
      <c r="T40" s="508">
        <v>9.281946900000003</v>
      </c>
      <c r="U40" s="508">
        <v>6.9831140999999999</v>
      </c>
      <c r="V40" s="508">
        <v>1.7356973</v>
      </c>
      <c r="W40" s="507">
        <v>8.7188113999999999</v>
      </c>
      <c r="X40" s="507">
        <v>1.8460129999999999</v>
      </c>
      <c r="Y40" s="508">
        <v>1.39</v>
      </c>
      <c r="Z40" s="507">
        <v>2.1615062599999999</v>
      </c>
      <c r="AA40" s="507">
        <v>1.19431785</v>
      </c>
      <c r="AB40" s="508">
        <v>1.8563893800000006</v>
      </c>
      <c r="AC40" s="508">
        <v>0.30511687999999926</v>
      </c>
      <c r="AD40" s="508" t="s">
        <v>1365</v>
      </c>
    </row>
    <row r="41" spans="1:30" ht="14" thickBot="1">
      <c r="A41" s="501">
        <v>790</v>
      </c>
      <c r="B41" s="502" t="s">
        <v>1393</v>
      </c>
      <c r="C41" s="503">
        <v>6110.32</v>
      </c>
      <c r="D41" s="504">
        <v>2377.1834699328351</v>
      </c>
      <c r="E41" s="504">
        <v>1713.5308134434861</v>
      </c>
      <c r="F41" s="504">
        <v>368.26653104911043</v>
      </c>
      <c r="G41" s="504">
        <v>2081.797344492596</v>
      </c>
      <c r="H41" s="504">
        <v>617.71412135534649</v>
      </c>
      <c r="I41" s="505">
        <v>193.2851601880098</v>
      </c>
      <c r="J41" s="504">
        <v>-255.96824879875359</v>
      </c>
      <c r="K41" s="505">
        <v>399.65173673391905</v>
      </c>
      <c r="L41" s="504">
        <v>492.5481906021289</v>
      </c>
      <c r="M41" s="506">
        <v>0.72082396462730747</v>
      </c>
      <c r="N41" s="506">
        <v>0.25666591720479787</v>
      </c>
      <c r="O41" s="506">
        <v>7.2591175593391011E-2</v>
      </c>
      <c r="P41" s="506">
        <v>0.20719822295249485</v>
      </c>
      <c r="Q41" s="504"/>
      <c r="R41" s="507">
        <v>14.705618070000002</v>
      </c>
      <c r="S41" s="507">
        <v>16.269665979999999</v>
      </c>
      <c r="T41" s="508">
        <v>14.5253517</v>
      </c>
      <c r="U41" s="508">
        <v>10.4702216</v>
      </c>
      <c r="V41" s="508">
        <v>2.2502263500000002</v>
      </c>
      <c r="W41" s="507">
        <v>12.720447950000001</v>
      </c>
      <c r="X41" s="507">
        <v>3.7744309500000002</v>
      </c>
      <c r="Y41" s="508">
        <v>2.4420000000000002</v>
      </c>
      <c r="Z41" s="507">
        <v>3.0096270600000001</v>
      </c>
      <c r="AA41" s="507" t="s">
        <v>35</v>
      </c>
      <c r="AB41" s="508">
        <v>2.90507034</v>
      </c>
      <c r="AC41" s="508">
        <v>0.10455672000000016</v>
      </c>
      <c r="AD41" s="508" t="s">
        <v>1365</v>
      </c>
    </row>
    <row r="42" spans="1:30" ht="14" thickBot="1">
      <c r="A42" s="501">
        <v>820</v>
      </c>
      <c r="B42" s="502" t="s">
        <v>1394</v>
      </c>
      <c r="C42" s="503">
        <v>2539.67</v>
      </c>
      <c r="D42" s="504">
        <v>2249.5129091574886</v>
      </c>
      <c r="E42" s="504">
        <v>2290.2281792516351</v>
      </c>
      <c r="F42" s="504">
        <v>350.64354817751911</v>
      </c>
      <c r="G42" s="504">
        <v>2640.8717274291544</v>
      </c>
      <c r="H42" s="504">
        <v>-68.17773569006998</v>
      </c>
      <c r="I42" s="505">
        <v>95.811172317663335</v>
      </c>
      <c r="J42" s="504">
        <v>19.337437541097849</v>
      </c>
      <c r="K42" s="505">
        <v>940.27964263073545</v>
      </c>
      <c r="L42" s="504">
        <v>470.8989711261699</v>
      </c>
      <c r="M42" s="506">
        <v>1.0180995938847026</v>
      </c>
      <c r="N42" s="506">
        <v>-3.0239860817066054E-2</v>
      </c>
      <c r="O42" s="506">
        <v>4.2864166756815231E-2</v>
      </c>
      <c r="P42" s="506">
        <v>0.20933374919041295</v>
      </c>
      <c r="Q42" s="504"/>
      <c r="R42" s="507">
        <v>5.7258514199999997</v>
      </c>
      <c r="S42" s="507">
        <v>5.6767406999999999</v>
      </c>
      <c r="T42" s="508">
        <v>5.7130204499999993</v>
      </c>
      <c r="U42" s="508">
        <v>5.8164237999999999</v>
      </c>
      <c r="V42" s="508">
        <v>0.8905189</v>
      </c>
      <c r="W42" s="507">
        <v>6.7069426999999999</v>
      </c>
      <c r="X42" s="507">
        <v>-0.17314895000000002</v>
      </c>
      <c r="Y42" s="508">
        <v>2.3879999999999999</v>
      </c>
      <c r="Z42" s="507">
        <v>1.1959279899999999</v>
      </c>
      <c r="AA42" s="507">
        <v>0.70300320000000005</v>
      </c>
      <c r="AB42" s="508">
        <v>1.1426040899999999</v>
      </c>
      <c r="AC42" s="508">
        <v>5.3323900000000091E-2</v>
      </c>
      <c r="AD42" s="508" t="s">
        <v>1365</v>
      </c>
    </row>
    <row r="43" spans="1:30" ht="14" thickBot="1">
      <c r="A43" s="501">
        <v>829</v>
      </c>
      <c r="B43" s="502" t="s">
        <v>1395</v>
      </c>
      <c r="C43" s="503">
        <v>14354.92</v>
      </c>
      <c r="D43" s="504">
        <v>2056.0692570909487</v>
      </c>
      <c r="E43" s="504">
        <v>2170.664159047908</v>
      </c>
      <c r="F43" s="504">
        <v>370.78247388351866</v>
      </c>
      <c r="G43" s="504">
        <v>2541.4466329314264</v>
      </c>
      <c r="H43" s="504">
        <v>-58.515881662872431</v>
      </c>
      <c r="I43" s="505">
        <v>117.65387407244346</v>
      </c>
      <c r="J43" s="504">
        <v>49.939401264514196</v>
      </c>
      <c r="K43" s="505">
        <v>428.42454015766026</v>
      </c>
      <c r="L43" s="504">
        <v>311.29242656873043</v>
      </c>
      <c r="M43" s="506">
        <v>1.0557349425666211</v>
      </c>
      <c r="N43" s="506">
        <v>-2.7154064041536561E-2</v>
      </c>
      <c r="O43" s="506">
        <v>5.5892069110999282E-2</v>
      </c>
      <c r="P43" s="506">
        <v>0.1514017222402157</v>
      </c>
      <c r="Q43" s="504"/>
      <c r="R43" s="507">
        <v>30.934257159999994</v>
      </c>
      <c r="S43" s="507">
        <v>30.21738105</v>
      </c>
      <c r="T43" s="508">
        <v>29.514709700000001</v>
      </c>
      <c r="U43" s="508">
        <v>31.159710349999997</v>
      </c>
      <c r="V43" s="508">
        <v>5.3225527499999998</v>
      </c>
      <c r="W43" s="507">
        <v>36.482263099999997</v>
      </c>
      <c r="X43" s="507">
        <v>-0.8399908000000007</v>
      </c>
      <c r="Y43" s="508">
        <v>6.15</v>
      </c>
      <c r="Z43" s="507">
        <v>4.4685778799999998</v>
      </c>
      <c r="AA43" s="507" t="s">
        <v>35</v>
      </c>
      <c r="AB43" s="508">
        <v>5.9029419400000007</v>
      </c>
      <c r="AC43" s="508" t="s">
        <v>1365</v>
      </c>
      <c r="AD43" s="508">
        <v>-1.4343640600000009</v>
      </c>
    </row>
    <row r="44" spans="1:30" ht="14" thickBot="1">
      <c r="A44" s="501">
        <v>881</v>
      </c>
      <c r="B44" s="502" t="s">
        <v>961</v>
      </c>
      <c r="C44" s="503">
        <v>139463.29999999999</v>
      </c>
      <c r="D44" s="504">
        <v>2600.2278588703984</v>
      </c>
      <c r="E44" s="504">
        <v>2474.523132967598</v>
      </c>
      <c r="F44" s="504">
        <v>429.08782453878553</v>
      </c>
      <c r="G44" s="504">
        <v>2903.6109575063833</v>
      </c>
      <c r="H44" s="504">
        <v>-25.827564599432247</v>
      </c>
      <c r="I44" s="505">
        <v>208.87677381791482</v>
      </c>
      <c r="J44" s="504">
        <v>-55.235648088063265</v>
      </c>
      <c r="K44" s="505">
        <v>501.30604825785713</v>
      </c>
      <c r="L44" s="504">
        <v>271.95562373757116</v>
      </c>
      <c r="M44" s="506">
        <v>0.95165626524845803</v>
      </c>
      <c r="N44" s="506">
        <v>-9.6656869474732853E-3</v>
      </c>
      <c r="O44" s="506">
        <v>7.6586724823319213E-2</v>
      </c>
      <c r="P44" s="506">
        <v>0.10458915083530995</v>
      </c>
      <c r="Q44" s="504"/>
      <c r="R44" s="507">
        <v>372.65818866000001</v>
      </c>
      <c r="S44" s="507">
        <v>380.36153441999994</v>
      </c>
      <c r="T44" s="508">
        <v>362.63635794999999</v>
      </c>
      <c r="U44" s="508">
        <v>345.10516204999999</v>
      </c>
      <c r="V44" s="508">
        <v>59.842004000000003</v>
      </c>
      <c r="W44" s="507">
        <v>404.94716604999996</v>
      </c>
      <c r="X44" s="507">
        <v>-3.6019973899999989</v>
      </c>
      <c r="Y44" s="508">
        <v>69.913795800000003</v>
      </c>
      <c r="Z44" s="507">
        <v>37.927828740000002</v>
      </c>
      <c r="AA44" s="507" t="s">
        <v>35</v>
      </c>
      <c r="AB44" s="508">
        <v>54.395453692499999</v>
      </c>
      <c r="AC44" s="508" t="s">
        <v>1365</v>
      </c>
      <c r="AD44" s="508">
        <v>-16.467624952499996</v>
      </c>
    </row>
    <row r="45" spans="1:30" ht="14" thickBot="1">
      <c r="A45" s="501">
        <v>901</v>
      </c>
      <c r="B45" s="502" t="s">
        <v>1396</v>
      </c>
      <c r="C45" s="503">
        <v>2360.67</v>
      </c>
      <c r="D45" s="504">
        <v>2035.6145077456827</v>
      </c>
      <c r="E45" s="504">
        <v>2083.6337141574218</v>
      </c>
      <c r="F45" s="504">
        <v>347.73824803975145</v>
      </c>
      <c r="G45" s="504">
        <v>2431.3719621971732</v>
      </c>
      <c r="H45" s="504">
        <v>29.68955847280645</v>
      </c>
      <c r="I45" s="505">
        <v>84.316418643859578</v>
      </c>
      <c r="J45" s="504">
        <v>-105.99127789991822</v>
      </c>
      <c r="K45" s="505">
        <v>762.49539325699914</v>
      </c>
      <c r="L45" s="504">
        <v>1305.6999834792664</v>
      </c>
      <c r="M45" s="506">
        <v>1.0235895383084677</v>
      </c>
      <c r="N45" s="506">
        <v>1.437422160120669E-2</v>
      </c>
      <c r="O45" s="506">
        <v>3.882930126553448E-2</v>
      </c>
      <c r="P45" s="506">
        <v>0.64142792189334941</v>
      </c>
      <c r="Q45" s="504"/>
      <c r="R45" s="507">
        <v>4.8758988100000007</v>
      </c>
      <c r="S45" s="507">
        <v>5.1261092399999999</v>
      </c>
      <c r="T45" s="508">
        <v>4.8054141000000001</v>
      </c>
      <c r="U45" s="508">
        <v>4.9187716000000004</v>
      </c>
      <c r="V45" s="508">
        <v>0.82089525000000008</v>
      </c>
      <c r="W45" s="507">
        <v>5.7396668500000008</v>
      </c>
      <c r="X45" s="507">
        <v>7.0087250000000004E-2</v>
      </c>
      <c r="Y45" s="508">
        <v>1.8</v>
      </c>
      <c r="Z45" s="507">
        <v>3.0823267799999998</v>
      </c>
      <c r="AA45" s="507">
        <v>1.4307741999999999</v>
      </c>
      <c r="AB45" s="508">
        <v>0.96108282000000023</v>
      </c>
      <c r="AC45" s="508">
        <v>2.1212439599999997</v>
      </c>
      <c r="AD45" s="508" t="s">
        <v>1365</v>
      </c>
    </row>
    <row r="46" spans="1:30" ht="14" thickBot="1">
      <c r="A46" s="501">
        <v>923</v>
      </c>
      <c r="B46" s="502" t="s">
        <v>1397</v>
      </c>
      <c r="C46" s="503">
        <v>19440</v>
      </c>
      <c r="D46" s="504">
        <v>2176.6540534979426</v>
      </c>
      <c r="E46" s="504">
        <v>2301.6321676954735</v>
      </c>
      <c r="F46" s="504">
        <v>376.0193600823045</v>
      </c>
      <c r="G46" s="504">
        <v>2677.6515277777776</v>
      </c>
      <c r="H46" s="504">
        <v>-190.15488683127569</v>
      </c>
      <c r="I46" s="505">
        <v>111.02765689300409</v>
      </c>
      <c r="J46" s="504">
        <v>-25.589046296296225</v>
      </c>
      <c r="K46" s="505">
        <v>630.14403292181066</v>
      </c>
      <c r="L46" s="504">
        <v>912.35347736625533</v>
      </c>
      <c r="M46" s="506">
        <v>1.0574175367907857</v>
      </c>
      <c r="N46" s="506">
        <v>-8.6503154291653228E-2</v>
      </c>
      <c r="O46" s="506">
        <v>4.9926295242737978E-2</v>
      </c>
      <c r="P46" s="506">
        <v>0.41915410301424716</v>
      </c>
      <c r="Q46" s="504"/>
      <c r="R46" s="507">
        <v>42.733828960000011</v>
      </c>
      <c r="S46" s="507">
        <v>43.23128002</v>
      </c>
      <c r="T46" s="508">
        <v>42.314154800000004</v>
      </c>
      <c r="U46" s="508">
        <v>44.743729340000002</v>
      </c>
      <c r="V46" s="508">
        <v>7.3098163599999992</v>
      </c>
      <c r="W46" s="507">
        <v>52.053545700000001</v>
      </c>
      <c r="X46" s="507">
        <v>-3.6966109999999999</v>
      </c>
      <c r="Y46" s="508">
        <v>12.25</v>
      </c>
      <c r="Z46" s="507">
        <v>17.736151600000003</v>
      </c>
      <c r="AA46" s="507" t="s">
        <v>35</v>
      </c>
      <c r="AB46" s="508">
        <v>8.4628309600000016</v>
      </c>
      <c r="AC46" s="508">
        <v>9.2733206400000014</v>
      </c>
      <c r="AD46" s="508" t="s">
        <v>1365</v>
      </c>
    </row>
    <row r="47" spans="1:30" ht="14" thickBot="1">
      <c r="A47" s="501">
        <v>941</v>
      </c>
      <c r="B47" s="502" t="s">
        <v>1398</v>
      </c>
      <c r="C47" s="503">
        <v>37021.25</v>
      </c>
      <c r="D47" s="504">
        <v>2281.6154046662386</v>
      </c>
      <c r="E47" s="504">
        <v>2070.7371180065502</v>
      </c>
      <c r="F47" s="504">
        <v>351.47231171286762</v>
      </c>
      <c r="G47" s="504">
        <v>2422.209429719418</v>
      </c>
      <c r="H47" s="504">
        <v>232.43186980450415</v>
      </c>
      <c r="I47" s="505">
        <v>59.337784110477088</v>
      </c>
      <c r="J47" s="504">
        <v>-89.058204679744776</v>
      </c>
      <c r="K47" s="505">
        <v>554.9070331228686</v>
      </c>
      <c r="L47" s="504">
        <v>531.89462268291857</v>
      </c>
      <c r="M47" s="506">
        <v>0.90757500750196052</v>
      </c>
      <c r="N47" s="506">
        <v>0.10013137797801346</v>
      </c>
      <c r="O47" s="506">
        <v>2.461814415762208E-2</v>
      </c>
      <c r="P47" s="506">
        <v>0.23312194579117759</v>
      </c>
      <c r="Q47" s="504"/>
      <c r="R47" s="507">
        <v>85.936282250000005</v>
      </c>
      <c r="S47" s="507">
        <v>89.233328310000005</v>
      </c>
      <c r="T47" s="508">
        <v>84.468254299999998</v>
      </c>
      <c r="U47" s="508">
        <v>76.661276529999995</v>
      </c>
      <c r="V47" s="508">
        <v>13.01194432</v>
      </c>
      <c r="W47" s="507">
        <v>89.673220849999993</v>
      </c>
      <c r="X47" s="507">
        <v>8.6049183599999992</v>
      </c>
      <c r="Y47" s="508">
        <v>20.543351999999999</v>
      </c>
      <c r="Z47" s="507">
        <v>19.6914038</v>
      </c>
      <c r="AA47" s="507">
        <v>13.368005800000001</v>
      </c>
      <c r="AB47" s="508">
        <v>16.893650860000001</v>
      </c>
      <c r="AC47" s="508">
        <v>2.7977529399999987</v>
      </c>
      <c r="AD47" s="508" t="s">
        <v>1365</v>
      </c>
    </row>
    <row r="48" spans="1:30" ht="14" thickBot="1">
      <c r="A48" s="501">
        <v>966</v>
      </c>
      <c r="B48" s="502" t="s">
        <v>1399</v>
      </c>
      <c r="C48" s="503">
        <v>6881</v>
      </c>
      <c r="D48" s="504">
        <v>1919.2211015840719</v>
      </c>
      <c r="E48" s="504">
        <v>1826.1700188926027</v>
      </c>
      <c r="F48" s="504">
        <v>337.7568304025578</v>
      </c>
      <c r="G48" s="504">
        <v>2163.9268492951605</v>
      </c>
      <c r="H48" s="504">
        <v>211.82448771980816</v>
      </c>
      <c r="I48" s="505">
        <v>59.141748292399363</v>
      </c>
      <c r="J48" s="504">
        <v>-17.280008719662838</v>
      </c>
      <c r="K48" s="505">
        <v>300.10172939979651</v>
      </c>
      <c r="L48" s="504">
        <v>255.24533498038076</v>
      </c>
      <c r="M48" s="506">
        <v>0.95151622571538663</v>
      </c>
      <c r="N48" s="506">
        <v>0.10189194060364155</v>
      </c>
      <c r="O48" s="506">
        <v>2.8213883876888807E-2</v>
      </c>
      <c r="P48" s="506">
        <v>0.13299423123771845</v>
      </c>
      <c r="Q48" s="504"/>
      <c r="R48" s="507">
        <v>14.30500088</v>
      </c>
      <c r="S48" s="507">
        <v>14.423904620000002</v>
      </c>
      <c r="T48" s="508">
        <v>13.206160399999998</v>
      </c>
      <c r="U48" s="508">
        <v>12.5658759</v>
      </c>
      <c r="V48" s="508">
        <v>2.3241047500000001</v>
      </c>
      <c r="W48" s="507">
        <v>14.88998065</v>
      </c>
      <c r="X48" s="507">
        <v>1.4575643</v>
      </c>
      <c r="Y48" s="508">
        <v>2.0649999999999999</v>
      </c>
      <c r="Z48" s="507">
        <v>1.75634315</v>
      </c>
      <c r="AA48" s="507">
        <v>2.60734785</v>
      </c>
      <c r="AB48" s="508">
        <v>2.64123208</v>
      </c>
      <c r="AC48" s="508" t="s">
        <v>1365</v>
      </c>
      <c r="AD48" s="508">
        <v>-0.88488893000000002</v>
      </c>
    </row>
    <row r="49" spans="1:30" ht="14" thickBot="1">
      <c r="A49" s="501">
        <v>994</v>
      </c>
      <c r="B49" s="502" t="s">
        <v>1400</v>
      </c>
      <c r="C49" s="503">
        <v>177130.67</v>
      </c>
      <c r="D49" s="504">
        <v>2799.9387686502851</v>
      </c>
      <c r="E49" s="504">
        <v>2127.2513338881399</v>
      </c>
      <c r="F49" s="504">
        <v>428.30537229944423</v>
      </c>
      <c r="G49" s="504">
        <v>2555.556706187584</v>
      </c>
      <c r="H49" s="504">
        <v>516.6441633173971</v>
      </c>
      <c r="I49" s="505">
        <v>163.63530669194665</v>
      </c>
      <c r="J49" s="504">
        <v>9.9232320410688875</v>
      </c>
      <c r="K49" s="505">
        <v>566.55355055112693</v>
      </c>
      <c r="L49" s="504">
        <v>323.68714548417842</v>
      </c>
      <c r="M49" s="506">
        <v>0.75974923369970149</v>
      </c>
      <c r="N49" s="506">
        <v>0.18169655190876255</v>
      </c>
      <c r="O49" s="506">
        <v>5.774979566140117E-2</v>
      </c>
      <c r="P49" s="506">
        <v>0.11560508004973707</v>
      </c>
      <c r="Q49" s="504"/>
      <c r="R49" s="507">
        <v>503.66132894999987</v>
      </c>
      <c r="S49" s="507">
        <v>501.90362023</v>
      </c>
      <c r="T49" s="508">
        <v>495.95503005</v>
      </c>
      <c r="U49" s="508">
        <v>376.80145402999995</v>
      </c>
      <c r="V49" s="508">
        <v>75.866017560000003</v>
      </c>
      <c r="W49" s="507">
        <v>452.66747158999993</v>
      </c>
      <c r="X49" s="507">
        <v>91.51352679999998</v>
      </c>
      <c r="Y49" s="508">
        <v>100.35401</v>
      </c>
      <c r="Z49" s="507">
        <v>57.334920950000004</v>
      </c>
      <c r="AA49" s="507">
        <v>5.5767600000000001E-2</v>
      </c>
      <c r="AB49" s="508">
        <v>49.595503005000005</v>
      </c>
      <c r="AC49" s="508">
        <v>7.7394179449999996</v>
      </c>
      <c r="AD49" s="508" t="s">
        <v>1365</v>
      </c>
    </row>
    <row r="50" spans="1:30" ht="14" thickBot="1">
      <c r="A50" s="501">
        <v>1003</v>
      </c>
      <c r="B50" s="502" t="s">
        <v>1401</v>
      </c>
      <c r="C50" s="503">
        <v>169.75</v>
      </c>
      <c r="D50" s="504">
        <v>2032.2742268041234</v>
      </c>
      <c r="E50" s="504">
        <v>1902.5796759941088</v>
      </c>
      <c r="F50" s="504">
        <v>321.3926362297496</v>
      </c>
      <c r="G50" s="504">
        <v>2223.9723122238584</v>
      </c>
      <c r="H50" s="504">
        <v>-720.53019145802659</v>
      </c>
      <c r="I50" s="505">
        <v>233.11104565537553</v>
      </c>
      <c r="J50" s="504">
        <v>449.8397643593521</v>
      </c>
      <c r="K50" s="505">
        <v>2002.9455081001474</v>
      </c>
      <c r="L50" s="504">
        <v>7801.0075405007374</v>
      </c>
      <c r="M50" s="506">
        <v>0.93618255395878969</v>
      </c>
      <c r="N50" s="506">
        <v>-0.38304744921591316</v>
      </c>
      <c r="O50" s="506">
        <v>0.16287723186171163</v>
      </c>
      <c r="P50" s="506">
        <v>3.838560484412727</v>
      </c>
      <c r="Q50" s="504"/>
      <c r="R50" s="507">
        <v>0.31930769999999997</v>
      </c>
      <c r="S50" s="507">
        <v>0.24294740000000001</v>
      </c>
      <c r="T50" s="508">
        <v>0.34497854999999994</v>
      </c>
      <c r="U50" s="508">
        <v>0.32296289999999994</v>
      </c>
      <c r="V50" s="508">
        <v>5.4556399999999991E-2</v>
      </c>
      <c r="W50" s="507">
        <v>0.37751929999999995</v>
      </c>
      <c r="X50" s="507">
        <v>-0.12231000000000002</v>
      </c>
      <c r="Y50" s="508">
        <v>0.34</v>
      </c>
      <c r="Z50" s="507">
        <v>1.3242210300000001</v>
      </c>
      <c r="AA50" s="507" t="s">
        <v>35</v>
      </c>
      <c r="AB50" s="508">
        <v>6.8995709999999988E-2</v>
      </c>
      <c r="AC50" s="508">
        <v>1.2552253200000001</v>
      </c>
      <c r="AD50" s="508" t="s">
        <v>1365</v>
      </c>
    </row>
    <row r="51" spans="1:30" ht="14" thickBot="1">
      <c r="A51" s="501">
        <v>1040</v>
      </c>
      <c r="B51" s="502" t="s">
        <v>1402</v>
      </c>
      <c r="C51" s="503">
        <v>3882.42</v>
      </c>
      <c r="D51" s="504">
        <v>1903.3957943756727</v>
      </c>
      <c r="E51" s="504">
        <v>1362.6694947996352</v>
      </c>
      <c r="F51" s="504">
        <v>298.50787653061758</v>
      </c>
      <c r="G51" s="504">
        <v>1661.1773713302528</v>
      </c>
      <c r="H51" s="504">
        <v>353.72139026689541</v>
      </c>
      <c r="I51" s="505">
        <v>104.32821539143112</v>
      </c>
      <c r="J51" s="504">
        <v>53.960519469815246</v>
      </c>
      <c r="K51" s="505">
        <v>399.23552835602538</v>
      </c>
      <c r="L51" s="504">
        <v>732.0111425348108</v>
      </c>
      <c r="M51" s="506">
        <v>0.71591494466162797</v>
      </c>
      <c r="N51" s="506">
        <v>0.1830257871185374</v>
      </c>
      <c r="O51" s="506">
        <v>5.5532991077320029E-2</v>
      </c>
      <c r="P51" s="506">
        <v>0.38458167486648021</v>
      </c>
      <c r="Q51" s="504"/>
      <c r="R51" s="507">
        <v>7.5032869500000006</v>
      </c>
      <c r="S51" s="507">
        <v>7.2937895499999987</v>
      </c>
      <c r="T51" s="508">
        <v>7.3897818999999991</v>
      </c>
      <c r="U51" s="508">
        <v>5.2904552999999996</v>
      </c>
      <c r="V51" s="508">
        <v>1.1589329500000003</v>
      </c>
      <c r="W51" s="507">
        <v>6.4493882500000002</v>
      </c>
      <c r="X51" s="507">
        <v>1.3732949999999999</v>
      </c>
      <c r="Y51" s="508">
        <v>1.55</v>
      </c>
      <c r="Z51" s="507">
        <v>2.8419747000000002</v>
      </c>
      <c r="AA51" s="507" t="s">
        <v>35</v>
      </c>
      <c r="AB51" s="508">
        <v>1.47795638</v>
      </c>
      <c r="AC51" s="508">
        <v>1.3640183200000002</v>
      </c>
      <c r="AD51" s="508" t="s">
        <v>1365</v>
      </c>
    </row>
    <row r="52" spans="1:30" ht="14" thickBot="1">
      <c r="A52" s="501">
        <v>1060</v>
      </c>
      <c r="B52" s="502" t="s">
        <v>1403</v>
      </c>
      <c r="C52" s="503">
        <v>229211.83</v>
      </c>
      <c r="D52" s="504">
        <v>3089.5769618435488</v>
      </c>
      <c r="E52" s="504">
        <v>3636.5873309418625</v>
      </c>
      <c r="F52" s="504">
        <v>502.02211783746066</v>
      </c>
      <c r="G52" s="504">
        <v>4138.6094487793234</v>
      </c>
      <c r="H52" s="504">
        <v>-683.45025210958795</v>
      </c>
      <c r="I52" s="505">
        <v>178.37817524514327</v>
      </c>
      <c r="J52" s="504">
        <v>-4.6393931761724634</v>
      </c>
      <c r="K52" s="505">
        <v>757.59769031118503</v>
      </c>
      <c r="L52" s="504">
        <v>198.55819387681692</v>
      </c>
      <c r="M52" s="506">
        <v>1.1770502485789875</v>
      </c>
      <c r="N52" s="506">
        <v>-0.21741737114460327</v>
      </c>
      <c r="O52" s="506">
        <v>5.6661564116546333E-2</v>
      </c>
      <c r="P52" s="506">
        <v>6.4267113695182829E-2</v>
      </c>
      <c r="Q52" s="504"/>
      <c r="R52" s="507">
        <v>720.52606548999984</v>
      </c>
      <c r="S52" s="507">
        <v>721.58946929000024</v>
      </c>
      <c r="T52" s="508">
        <v>708.16758935000007</v>
      </c>
      <c r="U52" s="508">
        <v>833.54883708</v>
      </c>
      <c r="V52" s="508">
        <v>115.06940833</v>
      </c>
      <c r="W52" s="507">
        <v>948.61824540999999</v>
      </c>
      <c r="X52" s="507">
        <v>-156.65488300000001</v>
      </c>
      <c r="Y52" s="508">
        <v>173.650353</v>
      </c>
      <c r="Z52" s="507">
        <v>45.51188698</v>
      </c>
      <c r="AA52" s="507" t="s">
        <v>35</v>
      </c>
      <c r="AB52" s="508">
        <v>70.816758934999996</v>
      </c>
      <c r="AC52" s="508" t="s">
        <v>1365</v>
      </c>
      <c r="AD52" s="508">
        <v>-25.304871954999996</v>
      </c>
    </row>
    <row r="53" spans="1:30" ht="14" thickBot="1">
      <c r="A53" s="501">
        <v>1097</v>
      </c>
      <c r="B53" s="502" t="s">
        <v>1404</v>
      </c>
      <c r="C53" s="503">
        <v>13090.83</v>
      </c>
      <c r="D53" s="504">
        <v>2219.2786630030332</v>
      </c>
      <c r="E53" s="504">
        <v>1516.1427831543144</v>
      </c>
      <c r="F53" s="504">
        <v>375.38533461972992</v>
      </c>
      <c r="G53" s="504">
        <v>1891.5281177740444</v>
      </c>
      <c r="H53" s="504">
        <v>502.06831805164376</v>
      </c>
      <c r="I53" s="505">
        <v>104.49592042674143</v>
      </c>
      <c r="J53" s="504">
        <v>35.528256038769136</v>
      </c>
      <c r="K53" s="505">
        <v>386.53011306387748</v>
      </c>
      <c r="L53" s="504">
        <v>286.34528826667218</v>
      </c>
      <c r="M53" s="506">
        <v>0.68316917944082545</v>
      </c>
      <c r="N53" s="506">
        <v>0.23020851983182403</v>
      </c>
      <c r="O53" s="506">
        <v>4.8706958770633843E-2</v>
      </c>
      <c r="P53" s="506">
        <v>0.12902628815400852</v>
      </c>
      <c r="Q53" s="504"/>
      <c r="R53" s="507">
        <v>28.550164020000008</v>
      </c>
      <c r="S53" s="507">
        <v>28.085069660000006</v>
      </c>
      <c r="T53" s="508">
        <v>29.052199700000003</v>
      </c>
      <c r="U53" s="508">
        <v>19.847567429999994</v>
      </c>
      <c r="V53" s="508">
        <v>4.9141055999999992</v>
      </c>
      <c r="W53" s="507">
        <v>24.761673029999994</v>
      </c>
      <c r="X53" s="507">
        <v>6.5724910000000003</v>
      </c>
      <c r="Y53" s="508">
        <v>5.0599999999999996</v>
      </c>
      <c r="Z53" s="507">
        <v>3.7484974900000001</v>
      </c>
      <c r="AA53" s="507">
        <v>0.37333369999999999</v>
      </c>
      <c r="AB53" s="508">
        <v>5.8104399400000011</v>
      </c>
      <c r="AC53" s="508" t="s">
        <v>1365</v>
      </c>
      <c r="AD53" s="508">
        <v>-2.061942450000001</v>
      </c>
    </row>
    <row r="54" spans="1:30" ht="14" thickBot="1">
      <c r="A54" s="501">
        <v>1113</v>
      </c>
      <c r="B54" s="502" t="s">
        <v>1405</v>
      </c>
      <c r="C54" s="503">
        <v>7271.09</v>
      </c>
      <c r="D54" s="504">
        <v>2077.2118554439562</v>
      </c>
      <c r="E54" s="504">
        <v>1525.3193056336804</v>
      </c>
      <c r="F54" s="504">
        <v>314.07954653291318</v>
      </c>
      <c r="G54" s="504">
        <v>1839.398852166594</v>
      </c>
      <c r="H54" s="504">
        <v>165.67020900580243</v>
      </c>
      <c r="I54" s="505">
        <v>51.457580637841104</v>
      </c>
      <c r="J54" s="504">
        <v>5.9917481423005343</v>
      </c>
      <c r="K54" s="505">
        <v>229.12658212180017</v>
      </c>
      <c r="L54" s="504">
        <v>457.33271627775196</v>
      </c>
      <c r="M54" s="506">
        <v>0.73431089931252036</v>
      </c>
      <c r="N54" s="506">
        <v>0.15921852391118432</v>
      </c>
      <c r="O54" s="506">
        <v>4.9740095088975117E-2</v>
      </c>
      <c r="P54" s="506">
        <v>0.22016662146385044</v>
      </c>
      <c r="Q54" s="504"/>
      <c r="R54" s="507">
        <v>7.5657214400000017</v>
      </c>
      <c r="S54" s="507">
        <v>7.5221548999999994</v>
      </c>
      <c r="T54" s="508">
        <v>15.103594349999998</v>
      </c>
      <c r="U54" s="508">
        <v>11.090733949999999</v>
      </c>
      <c r="V54" s="508">
        <v>2.2837006500000001</v>
      </c>
      <c r="W54" s="507">
        <v>13.374434599999999</v>
      </c>
      <c r="X54" s="507">
        <v>1.2046030000000001</v>
      </c>
      <c r="Y54" s="508">
        <v>1.6659999999999999</v>
      </c>
      <c r="Z54" s="507">
        <v>3.3253073399999997</v>
      </c>
      <c r="AA54" s="507" t="s">
        <v>35</v>
      </c>
      <c r="AB54" s="508">
        <v>3.0207188699999996</v>
      </c>
      <c r="AC54" s="508">
        <v>0.30458847000000011</v>
      </c>
      <c r="AD54" s="508" t="s">
        <v>1365</v>
      </c>
    </row>
    <row r="55" spans="1:30" ht="14" thickBot="1">
      <c r="A55" s="501">
        <v>1142</v>
      </c>
      <c r="B55" s="502" t="s">
        <v>1406</v>
      </c>
      <c r="C55" s="503">
        <v>870.67</v>
      </c>
      <c r="D55" s="504">
        <v>3687.7069383348453</v>
      </c>
      <c r="E55" s="504">
        <v>8236.7659963016977</v>
      </c>
      <c r="F55" s="504">
        <v>714.24035512880869</v>
      </c>
      <c r="G55" s="504">
        <v>8951.0063514305057</v>
      </c>
      <c r="H55" s="504">
        <v>-4809.7603569664725</v>
      </c>
      <c r="I55" s="505">
        <v>246.61697313563116</v>
      </c>
      <c r="J55" s="504">
        <v>203.15398486223253</v>
      </c>
      <c r="K55" s="505">
        <v>2297.0815578807124</v>
      </c>
      <c r="L55" s="504">
        <v>17354.76790287939</v>
      </c>
      <c r="M55" s="506">
        <v>2.2335739075895611</v>
      </c>
      <c r="N55" s="506">
        <v>-1.2516963017930833</v>
      </c>
      <c r="O55" s="506">
        <v>6.7762345479338709E-2</v>
      </c>
      <c r="P55" s="506">
        <v>4.7061136345926116</v>
      </c>
      <c r="Q55" s="504"/>
      <c r="R55" s="507">
        <v>3.34563108</v>
      </c>
      <c r="S55" s="507">
        <v>3.1687509999999999</v>
      </c>
      <c r="T55" s="509">
        <v>3.2107758</v>
      </c>
      <c r="U55" s="509">
        <v>7.1715050499999995</v>
      </c>
      <c r="V55" s="509">
        <v>0.62186764999999999</v>
      </c>
      <c r="W55" s="507">
        <v>7.793372699999999</v>
      </c>
      <c r="X55" s="507">
        <v>-4.1877140499999994</v>
      </c>
      <c r="Y55" s="509">
        <v>2</v>
      </c>
      <c r="Z55" s="507">
        <v>15.110275769999999</v>
      </c>
      <c r="AA55" s="507" t="s">
        <v>35</v>
      </c>
      <c r="AB55" s="509">
        <v>0.64215516000000006</v>
      </c>
      <c r="AC55" s="509">
        <v>14.46812061</v>
      </c>
      <c r="AD55" s="509" t="s">
        <v>1365</v>
      </c>
    </row>
    <row r="56" spans="1:30" ht="14" thickBot="1">
      <c r="A56" s="501">
        <v>1147</v>
      </c>
      <c r="B56" s="502" t="s">
        <v>1407</v>
      </c>
      <c r="C56" s="503">
        <v>379</v>
      </c>
      <c r="D56" s="504">
        <v>2445.3973614775723</v>
      </c>
      <c r="E56" s="504">
        <v>2475.9992084432715</v>
      </c>
      <c r="F56" s="504">
        <v>380.01569920844332</v>
      </c>
      <c r="G56" s="504">
        <v>2856.0149076517155</v>
      </c>
      <c r="H56" s="504">
        <v>-330.50923482849612</v>
      </c>
      <c r="I56" s="505">
        <v>245.83416886543537</v>
      </c>
      <c r="J56" s="504">
        <v>137.48522427440633</v>
      </c>
      <c r="K56" s="505">
        <v>1543.5356200527704</v>
      </c>
      <c r="L56" s="504">
        <v>3255.4998680738786</v>
      </c>
      <c r="M56" s="506">
        <v>1.012514059043234</v>
      </c>
      <c r="N56" s="506">
        <v>-0.13178780084085043</v>
      </c>
      <c r="O56" s="506">
        <v>0.10370980891005085</v>
      </c>
      <c r="P56" s="506">
        <v>1.3312764294907151</v>
      </c>
      <c r="Q56" s="504"/>
      <c r="R56" s="507">
        <v>0.95049010000000012</v>
      </c>
      <c r="S56" s="507">
        <v>0.89838320000000005</v>
      </c>
      <c r="T56" s="508">
        <v>0.92680560000000001</v>
      </c>
      <c r="U56" s="508">
        <v>0.93840370000000006</v>
      </c>
      <c r="V56" s="508">
        <v>0.14402595000000001</v>
      </c>
      <c r="W56" s="507">
        <v>1.0824296500000001</v>
      </c>
      <c r="X56" s="507">
        <v>-0.12526300000000001</v>
      </c>
      <c r="Y56" s="508">
        <v>0.58499999999999996</v>
      </c>
      <c r="Z56" s="507">
        <v>1.23383445</v>
      </c>
      <c r="AA56" s="507" t="s">
        <v>35</v>
      </c>
      <c r="AB56" s="508">
        <v>0.18536111999999999</v>
      </c>
      <c r="AC56" s="508">
        <v>1.04847333</v>
      </c>
      <c r="AD56" s="508" t="s">
        <v>1365</v>
      </c>
    </row>
    <row r="57" spans="1:30" ht="14" thickBot="1">
      <c r="A57" s="501">
        <v>1159</v>
      </c>
      <c r="B57" s="502" t="s">
        <v>1408</v>
      </c>
      <c r="C57" s="503">
        <v>16105</v>
      </c>
      <c r="D57" s="504">
        <v>3225.5791623719342</v>
      </c>
      <c r="E57" s="504">
        <v>3519.8433908724001</v>
      </c>
      <c r="F57" s="504">
        <v>477.40050046569388</v>
      </c>
      <c r="G57" s="504">
        <v>3997.2438913380938</v>
      </c>
      <c r="H57" s="504">
        <v>296.47569015833596</v>
      </c>
      <c r="I57" s="505">
        <v>177.65472772430923</v>
      </c>
      <c r="J57" s="504">
        <v>1.9072070785469559</v>
      </c>
      <c r="K57" s="505">
        <v>1018.3172927662216</v>
      </c>
      <c r="L57" s="504">
        <v>658.55808630859985</v>
      </c>
      <c r="M57" s="506">
        <v>1.0912283387533042</v>
      </c>
      <c r="N57" s="506">
        <v>7.9666668743173547E-2</v>
      </c>
      <c r="O57" s="506">
        <v>4.7762490785607389E-2</v>
      </c>
      <c r="P57" s="506">
        <v>0.20416739232167169</v>
      </c>
      <c r="Q57" s="504"/>
      <c r="R57" s="507">
        <v>59.933985760000006</v>
      </c>
      <c r="S57" s="507">
        <v>59.90327018</v>
      </c>
      <c r="T57" s="508">
        <v>51.947952409999999</v>
      </c>
      <c r="U57" s="508">
        <v>56.687077809999998</v>
      </c>
      <c r="V57" s="508">
        <v>7.6885350600000004</v>
      </c>
      <c r="W57" s="507">
        <v>64.375612869999998</v>
      </c>
      <c r="X57" s="507">
        <v>4.7747409900000006</v>
      </c>
      <c r="Y57" s="508">
        <v>16.399999999999999</v>
      </c>
      <c r="Z57" s="507">
        <v>10.60607798</v>
      </c>
      <c r="AA57" s="507" t="s">
        <v>35</v>
      </c>
      <c r="AB57" s="508">
        <v>10.389590482000001</v>
      </c>
      <c r="AC57" s="508">
        <v>0.21648749799999933</v>
      </c>
      <c r="AD57" s="508" t="s">
        <v>1365</v>
      </c>
    </row>
    <row r="58" spans="1:30" ht="14" thickBot="1">
      <c r="A58" s="501">
        <v>1215</v>
      </c>
      <c r="B58" s="502" t="s">
        <v>1409</v>
      </c>
      <c r="C58" s="503">
        <v>11543.34</v>
      </c>
      <c r="D58" s="504">
        <v>2614.192348141873</v>
      </c>
      <c r="E58" s="504">
        <v>2099.4297984812019</v>
      </c>
      <c r="F58" s="504">
        <v>416.10761530025104</v>
      </c>
      <c r="G58" s="504">
        <v>2515.5374137814529</v>
      </c>
      <c r="H58" s="504">
        <v>316.42566189681673</v>
      </c>
      <c r="I58" s="505">
        <v>144.30297556859628</v>
      </c>
      <c r="J58" s="504">
        <v>7.4894354666846965</v>
      </c>
      <c r="K58" s="505">
        <v>563.09525665881802</v>
      </c>
      <c r="L58" s="504">
        <v>723.08775796260011</v>
      </c>
      <c r="M58" s="506">
        <v>0.80308926004371628</v>
      </c>
      <c r="N58" s="506">
        <v>0.12023324416367975</v>
      </c>
      <c r="O58" s="506">
        <v>5.498773423586964E-2</v>
      </c>
      <c r="P58" s="506">
        <v>0.27660082414232434</v>
      </c>
      <c r="Q58" s="504"/>
      <c r="R58" s="507">
        <v>30.379359930000007</v>
      </c>
      <c r="S58" s="507">
        <v>30.292906830000003</v>
      </c>
      <c r="T58" s="508">
        <v>30.176511100000006</v>
      </c>
      <c r="U58" s="508">
        <v>24.234431969999999</v>
      </c>
      <c r="V58" s="508">
        <v>4.8032716799999999</v>
      </c>
      <c r="W58" s="507">
        <v>29.037703649999997</v>
      </c>
      <c r="X58" s="507">
        <v>3.652609</v>
      </c>
      <c r="Y58" s="508">
        <v>6.5</v>
      </c>
      <c r="Z58" s="507">
        <v>8.3468478400000006</v>
      </c>
      <c r="AA58" s="507">
        <v>0.98278130000000008</v>
      </c>
      <c r="AB58" s="508">
        <v>6.0353022200000019</v>
      </c>
      <c r="AC58" s="508">
        <v>2.3115456199999986</v>
      </c>
      <c r="AD58" s="508" t="s">
        <v>1365</v>
      </c>
    </row>
    <row r="59" spans="1:30" ht="14" thickBot="1">
      <c r="A59" s="501">
        <v>1318</v>
      </c>
      <c r="B59" s="502" t="s">
        <v>1410</v>
      </c>
      <c r="C59" s="503">
        <v>4845.75</v>
      </c>
      <c r="D59" s="504">
        <v>2458.4430480317797</v>
      </c>
      <c r="E59" s="504">
        <v>2528.5828179332402</v>
      </c>
      <c r="F59" s="504">
        <v>451.64819274622096</v>
      </c>
      <c r="G59" s="504">
        <v>2980.2310106794612</v>
      </c>
      <c r="H59" s="504">
        <v>-386.25847392044574</v>
      </c>
      <c r="I59" s="505">
        <v>163.27149770417375</v>
      </c>
      <c r="J59" s="504">
        <v>109.18179641954289</v>
      </c>
      <c r="K59" s="505">
        <v>980.24041686013527</v>
      </c>
      <c r="L59" s="504">
        <v>2219.0799772996957</v>
      </c>
      <c r="M59" s="506">
        <v>1.0285301585316831</v>
      </c>
      <c r="N59" s="506">
        <v>-0.15543979888529344</v>
      </c>
      <c r="O59" s="506">
        <v>6.8723972682082912E-2</v>
      </c>
      <c r="P59" s="506">
        <v>0.90263631654037413</v>
      </c>
      <c r="Q59" s="504"/>
      <c r="R59" s="507">
        <v>12.041394889999999</v>
      </c>
      <c r="S59" s="507">
        <v>11.5123272</v>
      </c>
      <c r="T59" s="508">
        <v>11.913000399999998</v>
      </c>
      <c r="U59" s="508">
        <v>12.252880189999999</v>
      </c>
      <c r="V59" s="508">
        <v>2.1885742300000004</v>
      </c>
      <c r="W59" s="507">
        <v>14.441454419999999</v>
      </c>
      <c r="X59" s="507">
        <v>-1.871712</v>
      </c>
      <c r="Y59" s="508">
        <v>4.75</v>
      </c>
      <c r="Z59" s="507">
        <v>10.753106800000001</v>
      </c>
      <c r="AA59" s="507">
        <v>1.0517409499999999</v>
      </c>
      <c r="AB59" s="508">
        <v>2.3826000799999996</v>
      </c>
      <c r="AC59" s="508">
        <v>8.3705067200000016</v>
      </c>
      <c r="AD59" s="508" t="s">
        <v>1365</v>
      </c>
    </row>
    <row r="60" spans="1:30" ht="14" thickBot="1">
      <c r="A60" s="501">
        <v>1322</v>
      </c>
      <c r="B60" s="502" t="s">
        <v>1411</v>
      </c>
      <c r="C60" s="503">
        <v>8312.24</v>
      </c>
      <c r="D60" s="504">
        <v>2139.0838751046649</v>
      </c>
      <c r="E60" s="504">
        <v>1852.5430389401652</v>
      </c>
      <c r="F60" s="504">
        <v>373.19874666756493</v>
      </c>
      <c r="G60" s="504">
        <v>2225.74178560773</v>
      </c>
      <c r="H60" s="504">
        <v>45.870956565257984</v>
      </c>
      <c r="I60" s="505">
        <v>159.68987541264451</v>
      </c>
      <c r="J60" s="504">
        <v>46.890510861091613</v>
      </c>
      <c r="K60" s="505">
        <v>518.78626940511833</v>
      </c>
      <c r="L60" s="504">
        <v>430.56170057649922</v>
      </c>
      <c r="M60" s="506">
        <v>0.86604506747054066</v>
      </c>
      <c r="N60" s="506">
        <v>2.1693741818012494E-2</v>
      </c>
      <c r="O60" s="506">
        <v>7.7234852989518266E-2</v>
      </c>
      <c r="P60" s="506">
        <v>0.2012832248363482</v>
      </c>
      <c r="Q60" s="504"/>
      <c r="R60" s="507">
        <v>17.576055030000006</v>
      </c>
      <c r="S60" s="507">
        <v>17.186289850000001</v>
      </c>
      <c r="T60" s="508">
        <v>17.780578549999998</v>
      </c>
      <c r="U60" s="508">
        <v>15.398782349999999</v>
      </c>
      <c r="V60" s="508">
        <v>3.10211755</v>
      </c>
      <c r="W60" s="507">
        <v>18.5008999</v>
      </c>
      <c r="X60" s="507">
        <v>0.38129040000000003</v>
      </c>
      <c r="Y60" s="508">
        <v>4.3122759800000008</v>
      </c>
      <c r="Z60" s="507">
        <v>3.5789321899999997</v>
      </c>
      <c r="AA60" s="507" t="s">
        <v>35</v>
      </c>
      <c r="AB60" s="508">
        <v>3.5561157099999994</v>
      </c>
      <c r="AC60" s="508">
        <v>2.2816480000000361E-2</v>
      </c>
      <c r="AD60" s="508" t="s">
        <v>1365</v>
      </c>
    </row>
    <row r="61" spans="1:30" ht="14" thickBot="1">
      <c r="A61" s="501">
        <v>1328</v>
      </c>
      <c r="B61" s="502" t="s">
        <v>1412</v>
      </c>
      <c r="C61" s="503">
        <v>6879.03</v>
      </c>
      <c r="D61" s="504">
        <v>2692.6237565470719</v>
      </c>
      <c r="E61" s="504">
        <v>2930.9973702687735</v>
      </c>
      <c r="F61" s="504">
        <v>445.39447567462275</v>
      </c>
      <c r="G61" s="504">
        <v>3376.3918459433962</v>
      </c>
      <c r="H61" s="504">
        <v>-314.4867808397405</v>
      </c>
      <c r="I61" s="505">
        <v>200.89408390427138</v>
      </c>
      <c r="J61" s="504">
        <v>-54.002988793478124</v>
      </c>
      <c r="K61" s="505">
        <v>821.15147775195055</v>
      </c>
      <c r="L61" s="504">
        <v>699.51395763646917</v>
      </c>
      <c r="M61" s="506">
        <v>1.0885283779964059</v>
      </c>
      <c r="N61" s="506">
        <v>-0.11961449478951526</v>
      </c>
      <c r="O61" s="506">
        <v>7.4871848578738048E-2</v>
      </c>
      <c r="P61" s="506">
        <v>0.2597889719778384</v>
      </c>
      <c r="Q61" s="504"/>
      <c r="R61" s="507">
        <v>18.08613583</v>
      </c>
      <c r="S61" s="507">
        <v>18.45762401</v>
      </c>
      <c r="T61" s="508">
        <v>18.522639600000002</v>
      </c>
      <c r="U61" s="508">
        <v>20.162418840000001</v>
      </c>
      <c r="V61" s="508">
        <v>3.0638819599999998</v>
      </c>
      <c r="W61" s="507">
        <v>23.226300800000001</v>
      </c>
      <c r="X61" s="507">
        <v>-2.1633640000000001</v>
      </c>
      <c r="Y61" s="508">
        <v>5.6487256500000003</v>
      </c>
      <c r="Z61" s="507">
        <v>4.8119775000000002</v>
      </c>
      <c r="AA61" s="507">
        <v>5.8048227499999996</v>
      </c>
      <c r="AB61" s="508">
        <v>3.7045279200000003</v>
      </c>
      <c r="AC61" s="508">
        <v>1.1074495799999999</v>
      </c>
      <c r="AD61" s="508" t="s">
        <v>1365</v>
      </c>
    </row>
    <row r="62" spans="1:30" ht="14" thickBot="1">
      <c r="A62" s="501">
        <v>1331</v>
      </c>
      <c r="B62" s="502" t="s">
        <v>1413</v>
      </c>
      <c r="C62" s="503">
        <v>1464.51</v>
      </c>
      <c r="D62" s="504">
        <v>2053.2784344251663</v>
      </c>
      <c r="E62" s="504">
        <v>1703.6174215266537</v>
      </c>
      <c r="F62" s="504">
        <v>319.93362967818592</v>
      </c>
      <c r="G62" s="504">
        <v>2023.5510512048395</v>
      </c>
      <c r="H62" s="504">
        <v>104.83144532983727</v>
      </c>
      <c r="I62" s="505">
        <v>139.08403493318582</v>
      </c>
      <c r="J62" s="504">
        <v>-11.416480597606038</v>
      </c>
      <c r="K62" s="505">
        <v>450.66267898477992</v>
      </c>
      <c r="L62" s="504">
        <v>500.4888870680295</v>
      </c>
      <c r="M62" s="506">
        <v>0.82970599260377309</v>
      </c>
      <c r="N62" s="506">
        <v>5.4467263800310313E-2</v>
      </c>
      <c r="O62" s="506">
        <v>7.1837761277461207E-2</v>
      </c>
      <c r="P62" s="506">
        <v>0.24375110490465257</v>
      </c>
      <c r="Q62" s="504"/>
      <c r="R62" s="507">
        <v>2.8186967600000004</v>
      </c>
      <c r="S62" s="507">
        <v>2.8354163100000003</v>
      </c>
      <c r="T62" s="508">
        <v>3.0070468000000004</v>
      </c>
      <c r="U62" s="508">
        <v>2.4949647499999998</v>
      </c>
      <c r="V62" s="508">
        <v>0.46854600000000002</v>
      </c>
      <c r="W62" s="507">
        <v>2.9635107499999997</v>
      </c>
      <c r="X62" s="507">
        <v>0.15352669999999999</v>
      </c>
      <c r="Y62" s="508">
        <v>0.66</v>
      </c>
      <c r="Z62" s="507">
        <v>0.73297097999999994</v>
      </c>
      <c r="AA62" s="507" t="s">
        <v>35</v>
      </c>
      <c r="AB62" s="508">
        <v>0.60140936000000011</v>
      </c>
      <c r="AC62" s="508">
        <v>0.13156161999999982</v>
      </c>
      <c r="AD62" s="508" t="s">
        <v>1365</v>
      </c>
    </row>
    <row r="63" spans="1:30" ht="14" thickBot="1">
      <c r="A63" s="501">
        <v>1362</v>
      </c>
      <c r="B63" s="502" t="s">
        <v>967</v>
      </c>
      <c r="C63" s="503">
        <v>846.09</v>
      </c>
      <c r="D63" s="504">
        <v>2022.7210462243966</v>
      </c>
      <c r="E63" s="504">
        <v>2102.5908000330933</v>
      </c>
      <c r="F63" s="504">
        <v>309.06239288964531</v>
      </c>
      <c r="G63" s="504">
        <v>2411.653192922739</v>
      </c>
      <c r="H63" s="504">
        <v>113.44301433653631</v>
      </c>
      <c r="I63" s="505">
        <v>81.084411823801261</v>
      </c>
      <c r="J63" s="504">
        <v>-280.42484842038078</v>
      </c>
      <c r="K63" s="505">
        <v>525.94877613492656</v>
      </c>
      <c r="L63" s="504">
        <v>1489.2616151946011</v>
      </c>
      <c r="M63" s="506">
        <v>1.0394862919717878</v>
      </c>
      <c r="N63" s="506">
        <v>5.5761791306951511E-2</v>
      </c>
      <c r="O63" s="506">
        <v>3.5027981351035131E-2</v>
      </c>
      <c r="P63" s="506">
        <v>0.73626643573737016</v>
      </c>
      <c r="Q63" s="504"/>
      <c r="R63" s="507">
        <v>1.7213041</v>
      </c>
      <c r="S63" s="507">
        <v>1.9585687599999999</v>
      </c>
      <c r="T63" s="508">
        <v>1.7114040499999998</v>
      </c>
      <c r="U63" s="508">
        <v>1.7789810500000001</v>
      </c>
      <c r="V63" s="508">
        <v>0.26149460000000002</v>
      </c>
      <c r="W63" s="507">
        <v>2.0404756500000003</v>
      </c>
      <c r="X63" s="507">
        <v>9.5982999999999999E-2</v>
      </c>
      <c r="Y63" s="508">
        <v>0.44500000000000001</v>
      </c>
      <c r="Z63" s="507">
        <v>1.26004936</v>
      </c>
      <c r="AA63" s="507" t="s">
        <v>35</v>
      </c>
      <c r="AB63" s="508">
        <v>0.34228080999999999</v>
      </c>
      <c r="AC63" s="508">
        <v>0.91776855000000002</v>
      </c>
      <c r="AD63" s="508" t="s">
        <v>1365</v>
      </c>
    </row>
    <row r="64" spans="1:30" ht="14" thickBot="1">
      <c r="A64" s="501">
        <v>1384</v>
      </c>
      <c r="B64" s="502" t="s">
        <v>1414</v>
      </c>
      <c r="C64" s="503">
        <v>584107.25</v>
      </c>
      <c r="D64" s="504">
        <v>2700.2576950722664</v>
      </c>
      <c r="E64" s="504">
        <v>2460.1208824064415</v>
      </c>
      <c r="F64" s="504">
        <v>445.8156449179495</v>
      </c>
      <c r="G64" s="504">
        <v>2905.9365273243907</v>
      </c>
      <c r="H64" s="504">
        <v>68.719030109624612</v>
      </c>
      <c r="I64" s="505">
        <v>145.56188737599132</v>
      </c>
      <c r="J64" s="504">
        <v>39.467123700313614</v>
      </c>
      <c r="K64" s="505">
        <v>444.0799440171304</v>
      </c>
      <c r="L64" s="504">
        <v>331.25492612872034</v>
      </c>
      <c r="M64" s="506">
        <v>0.91106892756789337</v>
      </c>
      <c r="N64" s="506">
        <v>2.5335547666783559E-2</v>
      </c>
      <c r="O64" s="506">
        <v>5.4458633539327617E-2</v>
      </c>
      <c r="P64" s="506">
        <v>0.12267530122522437</v>
      </c>
      <c r="Q64" s="504"/>
      <c r="R64" s="507">
        <v>1584.3069282700001</v>
      </c>
      <c r="S64" s="507">
        <v>1561.2538951899999</v>
      </c>
      <c r="T64" s="508">
        <v>1577.2400965600002</v>
      </c>
      <c r="U64" s="508">
        <v>1436.97444329</v>
      </c>
      <c r="V64" s="508">
        <v>260.40415035999996</v>
      </c>
      <c r="W64" s="507">
        <v>1697.3785936499999</v>
      </c>
      <c r="X64" s="507">
        <v>40.139283700000028</v>
      </c>
      <c r="Y64" s="508">
        <v>259.39031488000001</v>
      </c>
      <c r="Z64" s="507">
        <v>193.48840394999999</v>
      </c>
      <c r="AA64" s="507">
        <v>975.25109869000005</v>
      </c>
      <c r="AB64" s="508">
        <v>157.72400965600002</v>
      </c>
      <c r="AC64" s="508">
        <v>35.76439429399997</v>
      </c>
      <c r="AD64" s="508" t="s">
        <v>1365</v>
      </c>
    </row>
    <row r="65" spans="1:30" ht="14" thickBot="1">
      <c r="A65" s="501">
        <v>1386</v>
      </c>
      <c r="B65" s="502" t="s">
        <v>1415</v>
      </c>
      <c r="C65" s="503">
        <v>12956</v>
      </c>
      <c r="D65" s="504">
        <v>2897.1190722445194</v>
      </c>
      <c r="E65" s="504">
        <v>3645.8811075949366</v>
      </c>
      <c r="F65" s="504">
        <v>491.28054183389935</v>
      </c>
      <c r="G65" s="504">
        <v>4137.1616494288355</v>
      </c>
      <c r="H65" s="504">
        <v>-917.48873108984253</v>
      </c>
      <c r="I65" s="505">
        <v>186.06235334979937</v>
      </c>
      <c r="J65" s="504">
        <v>-13.097384223525781</v>
      </c>
      <c r="K65" s="505">
        <v>933.93022537820309</v>
      </c>
      <c r="L65" s="504">
        <v>615.09796001852419</v>
      </c>
      <c r="M65" s="506">
        <v>1.2584505561141193</v>
      </c>
      <c r="N65" s="506">
        <v>-0.31497126408520271</v>
      </c>
      <c r="O65" s="506">
        <v>6.3588761322620591E-2</v>
      </c>
      <c r="P65" s="506">
        <v>0.21231366218647757</v>
      </c>
      <c r="Q65" s="504"/>
      <c r="R65" s="507">
        <v>37.739899969999989</v>
      </c>
      <c r="S65" s="507">
        <v>37.909589679999996</v>
      </c>
      <c r="T65" s="508">
        <v>37.535074699999996</v>
      </c>
      <c r="U65" s="508">
        <v>47.236035629999996</v>
      </c>
      <c r="V65" s="508">
        <v>6.3650306999999993</v>
      </c>
      <c r="W65" s="507">
        <v>53.601066329999995</v>
      </c>
      <c r="X65" s="507">
        <v>-11.886984</v>
      </c>
      <c r="Y65" s="508">
        <v>12.1</v>
      </c>
      <c r="Z65" s="507">
        <v>7.9692091700000001</v>
      </c>
      <c r="AA65" s="507">
        <v>14.38947465</v>
      </c>
      <c r="AB65" s="508">
        <v>7.5070149399999995</v>
      </c>
      <c r="AC65" s="508">
        <v>0.46219423000000059</v>
      </c>
      <c r="AD65" s="508" t="s">
        <v>1365</v>
      </c>
    </row>
    <row r="66" spans="1:30" ht="14" thickBot="1">
      <c r="A66" s="501">
        <v>1395</v>
      </c>
      <c r="B66" s="502" t="s">
        <v>1416</v>
      </c>
      <c r="C66" s="503">
        <v>16948.43</v>
      </c>
      <c r="D66" s="504">
        <v>2949.2856046253246</v>
      </c>
      <c r="E66" s="504">
        <v>2097.4423707682658</v>
      </c>
      <c r="F66" s="504">
        <v>311.99155319991286</v>
      </c>
      <c r="G66" s="504">
        <v>2409.433923968179</v>
      </c>
      <c r="H66" s="504">
        <v>587.56998966865967</v>
      </c>
      <c r="I66" s="505">
        <v>279.88716299975869</v>
      </c>
      <c r="J66" s="504">
        <v>-8.0034410266909735</v>
      </c>
      <c r="K66" s="505">
        <v>610.82938065649728</v>
      </c>
      <c r="L66" s="504">
        <v>263.3320519953765</v>
      </c>
      <c r="M66" s="506">
        <v>0.71116963629391317</v>
      </c>
      <c r="N66" s="506">
        <v>0.19911596925401492</v>
      </c>
      <c r="O66" s="506">
        <v>9.4591728884913767E-2</v>
      </c>
      <c r="P66" s="506">
        <v>8.9286724752054014E-2</v>
      </c>
      <c r="Q66" s="504"/>
      <c r="R66" s="507">
        <v>50.013009390000001</v>
      </c>
      <c r="S66" s="507">
        <v>50.148655130000002</v>
      </c>
      <c r="T66" s="508">
        <v>49.985760619999986</v>
      </c>
      <c r="U66" s="508">
        <v>35.548355199999996</v>
      </c>
      <c r="V66" s="508">
        <v>5.2877669999999997</v>
      </c>
      <c r="W66" s="507">
        <v>40.836122199999998</v>
      </c>
      <c r="X66" s="507">
        <v>9.9583888400000014</v>
      </c>
      <c r="Y66" s="508">
        <v>10.352599</v>
      </c>
      <c r="Z66" s="507">
        <v>4.4630648499999994</v>
      </c>
      <c r="AA66" s="507" t="s">
        <v>35</v>
      </c>
      <c r="AB66" s="508">
        <v>9.9971521239999976</v>
      </c>
      <c r="AC66" s="508" t="s">
        <v>1365</v>
      </c>
      <c r="AD66" s="508">
        <v>-5.5340872739999982</v>
      </c>
    </row>
    <row r="67" spans="1:30" ht="14" thickBot="1">
      <c r="A67" s="501">
        <v>1401</v>
      </c>
      <c r="B67" s="502" t="s">
        <v>1417</v>
      </c>
      <c r="C67" s="503">
        <v>9343.49</v>
      </c>
      <c r="D67" s="504">
        <v>2417.6375690453997</v>
      </c>
      <c r="E67" s="504">
        <v>2200.5844058269449</v>
      </c>
      <c r="F67" s="504">
        <v>404.50847595491621</v>
      </c>
      <c r="G67" s="504">
        <v>2605.0928817818613</v>
      </c>
      <c r="H67" s="504">
        <v>45.864125717478167</v>
      </c>
      <c r="I67" s="505">
        <v>143.15701520523916</v>
      </c>
      <c r="J67" s="504">
        <v>48.234227253413906</v>
      </c>
      <c r="K67" s="505">
        <v>615.40173960693483</v>
      </c>
      <c r="L67" s="504">
        <v>501.0891808093121</v>
      </c>
      <c r="M67" s="506">
        <v>0.91022096694826027</v>
      </c>
      <c r="N67" s="506">
        <v>1.8860435897875692E-2</v>
      </c>
      <c r="O67" s="506">
        <v>6.0060934595858449E-2</v>
      </c>
      <c r="P67" s="506">
        <v>0.20726397836676835</v>
      </c>
      <c r="Q67" s="504"/>
      <c r="R67" s="507">
        <v>22.721160970000003</v>
      </c>
      <c r="S67" s="507">
        <v>22.27048495</v>
      </c>
      <c r="T67" s="508">
        <v>22.58917245</v>
      </c>
      <c r="U67" s="508">
        <v>20.56113839</v>
      </c>
      <c r="V67" s="508">
        <v>3.7795209000000001</v>
      </c>
      <c r="W67" s="507">
        <v>24.340659290000001</v>
      </c>
      <c r="X67" s="507">
        <v>0.42853100000000011</v>
      </c>
      <c r="Y67" s="508">
        <v>5.75</v>
      </c>
      <c r="Z67" s="507">
        <v>4.6819217499999999</v>
      </c>
      <c r="AA67" s="507">
        <v>13.10649825</v>
      </c>
      <c r="AB67" s="508">
        <v>4.5178344900000003</v>
      </c>
      <c r="AC67" s="508">
        <v>0.16408725999999962</v>
      </c>
      <c r="AD67" s="508" t="s">
        <v>1365</v>
      </c>
    </row>
    <row r="68" spans="1:30" ht="14" thickBot="1">
      <c r="A68" s="501">
        <v>1423</v>
      </c>
      <c r="B68" s="502" t="s">
        <v>1418</v>
      </c>
      <c r="C68" s="503">
        <v>3902.18</v>
      </c>
      <c r="D68" s="504">
        <v>2765.6004336037809</v>
      </c>
      <c r="E68" s="504">
        <v>2549.2154898031358</v>
      </c>
      <c r="F68" s="504">
        <v>438.49827532302453</v>
      </c>
      <c r="G68" s="504">
        <v>2987.7137651261601</v>
      </c>
      <c r="H68" s="504">
        <v>130.40608070360668</v>
      </c>
      <c r="I68" s="505">
        <v>105.72992532379335</v>
      </c>
      <c r="J68" s="504">
        <v>1.7385102686191405</v>
      </c>
      <c r="K68" s="505">
        <v>589.4141223623717</v>
      </c>
      <c r="L68" s="504">
        <v>559.32748873706487</v>
      </c>
      <c r="M68" s="506">
        <v>0.92175842136433295</v>
      </c>
      <c r="N68" s="506">
        <v>4.6868220233327353E-2</v>
      </c>
      <c r="O68" s="506">
        <v>3.8023315875264668E-2</v>
      </c>
      <c r="P68" s="506">
        <v>0.20224450428228347</v>
      </c>
      <c r="Q68" s="504"/>
      <c r="R68" s="507">
        <v>10.857421030000001</v>
      </c>
      <c r="S68" s="507">
        <v>10.85063705</v>
      </c>
      <c r="T68" s="508">
        <v>10.791870700000002</v>
      </c>
      <c r="U68" s="508">
        <v>9.9474977000000013</v>
      </c>
      <c r="V68" s="508">
        <v>1.7110992</v>
      </c>
      <c r="W68" s="507">
        <v>11.658596900000001</v>
      </c>
      <c r="X68" s="507">
        <v>0.50886799999999999</v>
      </c>
      <c r="Y68" s="508">
        <v>2.2999999999999998</v>
      </c>
      <c r="Z68" s="507">
        <v>2.18259654</v>
      </c>
      <c r="AA68" s="507">
        <v>3.0785288000000004</v>
      </c>
      <c r="AB68" s="508">
        <v>2.1583741400000007</v>
      </c>
      <c r="AC68" s="508">
        <v>2.4222399999999311E-2</v>
      </c>
      <c r="AD68" s="508" t="s">
        <v>1365</v>
      </c>
    </row>
    <row r="69" spans="1:30" ht="14" thickBot="1">
      <c r="A69" s="501">
        <v>1442</v>
      </c>
      <c r="B69" s="502" t="s">
        <v>1419</v>
      </c>
      <c r="C69" s="503">
        <v>2118.58</v>
      </c>
      <c r="D69" s="504">
        <v>2889.3140216560146</v>
      </c>
      <c r="E69" s="504">
        <v>1768.8998291308326</v>
      </c>
      <c r="F69" s="504">
        <v>387.96309320393851</v>
      </c>
      <c r="G69" s="504">
        <v>2156.8629223347707</v>
      </c>
      <c r="H69" s="504">
        <v>765.63688885951922</v>
      </c>
      <c r="I69" s="505">
        <v>135.56874415882336</v>
      </c>
      <c r="J69" s="504">
        <v>180.36745839194182</v>
      </c>
      <c r="K69" s="505">
        <v>556.97684297973171</v>
      </c>
      <c r="L69" s="504">
        <v>422.86414013159759</v>
      </c>
      <c r="M69" s="506">
        <v>0.61222138399376369</v>
      </c>
      <c r="N69" s="506">
        <v>0.26053570321068087</v>
      </c>
      <c r="O69" s="506">
        <v>4.9148761276053748E-2</v>
      </c>
      <c r="P69" s="506">
        <v>0.14635451078080891</v>
      </c>
      <c r="Q69" s="504"/>
      <c r="R69" s="507">
        <v>6.2258760699999991</v>
      </c>
      <c r="S69" s="507">
        <v>5.8437531800000002</v>
      </c>
      <c r="T69" s="508">
        <v>6.1212428999999995</v>
      </c>
      <c r="U69" s="508">
        <v>3.7475557999999993</v>
      </c>
      <c r="V69" s="508">
        <v>0.82193084999999999</v>
      </c>
      <c r="W69" s="507">
        <v>4.5694866499999991</v>
      </c>
      <c r="X69" s="507">
        <v>1.622063</v>
      </c>
      <c r="Y69" s="508">
        <v>1.18</v>
      </c>
      <c r="Z69" s="507">
        <v>0.89587150999999998</v>
      </c>
      <c r="AA69" s="507" t="s">
        <v>35</v>
      </c>
      <c r="AB69" s="508">
        <v>1.2242485799999998</v>
      </c>
      <c r="AC69" s="508" t="s">
        <v>1365</v>
      </c>
      <c r="AD69" s="508">
        <v>-0.32837706999999983</v>
      </c>
    </row>
    <row r="70" spans="1:30" ht="14" thickBot="1">
      <c r="A70" s="501">
        <v>1479</v>
      </c>
      <c r="B70" s="502" t="s">
        <v>1420</v>
      </c>
      <c r="C70" s="503">
        <v>277755</v>
      </c>
      <c r="D70" s="504">
        <v>3110.4976893305252</v>
      </c>
      <c r="E70" s="504">
        <v>2669.7494161761269</v>
      </c>
      <c r="F70" s="504">
        <v>485.18224147180075</v>
      </c>
      <c r="G70" s="504">
        <v>3154.9316576479282</v>
      </c>
      <c r="H70" s="504">
        <v>215.14009468776439</v>
      </c>
      <c r="I70" s="505">
        <v>156.76393782290145</v>
      </c>
      <c r="J70" s="504">
        <v>66.777838418750349</v>
      </c>
      <c r="K70" s="505">
        <v>656.41302586812128</v>
      </c>
      <c r="L70" s="504">
        <v>595.17042087451182</v>
      </c>
      <c r="M70" s="506">
        <v>0.85830297361536989</v>
      </c>
      <c r="N70" s="506">
        <v>6.8683844139035694E-2</v>
      </c>
      <c r="O70" s="506">
        <v>5.1137350027256542E-2</v>
      </c>
      <c r="P70" s="506">
        <v>0.1913425053862074</v>
      </c>
      <c r="Q70" s="504"/>
      <c r="R70" s="507">
        <v>870.01881954999976</v>
      </c>
      <c r="S70" s="507">
        <v>851.47094103999996</v>
      </c>
      <c r="T70" s="508">
        <v>863.95628570000008</v>
      </c>
      <c r="U70" s="508">
        <v>741.53624909000018</v>
      </c>
      <c r="V70" s="508">
        <v>134.76179348000002</v>
      </c>
      <c r="W70" s="507">
        <v>876.29804257000023</v>
      </c>
      <c r="X70" s="507">
        <v>59.756236999999999</v>
      </c>
      <c r="Y70" s="508">
        <v>182.322</v>
      </c>
      <c r="Z70" s="507">
        <v>165.31156025000001</v>
      </c>
      <c r="AA70" s="507">
        <v>123.37131795000001</v>
      </c>
      <c r="AB70" s="508">
        <v>86.395628570000014</v>
      </c>
      <c r="AC70" s="508">
        <v>78.91593168</v>
      </c>
      <c r="AD70" s="508" t="s">
        <v>1365</v>
      </c>
    </row>
    <row r="71" spans="1:30" ht="14" thickBot="1">
      <c r="A71" s="501">
        <v>1507</v>
      </c>
      <c r="B71" s="502" t="s">
        <v>1421</v>
      </c>
      <c r="C71" s="503">
        <v>9114.17</v>
      </c>
      <c r="D71" s="504">
        <v>2192.5792694233264</v>
      </c>
      <c r="E71" s="504">
        <v>1737.5795492074426</v>
      </c>
      <c r="F71" s="504">
        <v>337.58602264386116</v>
      </c>
      <c r="G71" s="504">
        <v>2075.1655718513039</v>
      </c>
      <c r="H71" s="504">
        <v>308.16607546271359</v>
      </c>
      <c r="I71" s="505">
        <v>179.41491216424535</v>
      </c>
      <c r="J71" s="504">
        <v>-19.296001720398021</v>
      </c>
      <c r="K71" s="505">
        <v>521.16649129871394</v>
      </c>
      <c r="L71" s="504">
        <v>494.10239769501771</v>
      </c>
      <c r="M71" s="506">
        <v>0.7924819747403915</v>
      </c>
      <c r="N71" s="506">
        <v>0.14012571157361065</v>
      </c>
      <c r="O71" s="506">
        <v>8.0871898125423003E-2</v>
      </c>
      <c r="P71" s="506">
        <v>0.22535212504539109</v>
      </c>
      <c r="Q71" s="504"/>
      <c r="R71" s="507">
        <v>20.043987420000001</v>
      </c>
      <c r="S71" s="507">
        <v>20.219854460000001</v>
      </c>
      <c r="T71" s="508">
        <v>19.9835402</v>
      </c>
      <c r="U71" s="508">
        <v>15.836595399999998</v>
      </c>
      <c r="V71" s="508">
        <v>3.0768163999999998</v>
      </c>
      <c r="W71" s="507">
        <v>18.913411799999999</v>
      </c>
      <c r="X71" s="507">
        <v>2.808678</v>
      </c>
      <c r="Y71" s="508">
        <v>4.75</v>
      </c>
      <c r="Z71" s="507">
        <v>4.5033332499999998</v>
      </c>
      <c r="AA71" s="507" t="s">
        <v>35</v>
      </c>
      <c r="AB71" s="508">
        <v>3.9967080400000001</v>
      </c>
      <c r="AC71" s="508">
        <v>0.50662520999999971</v>
      </c>
      <c r="AD71" s="508" t="s">
        <v>1365</v>
      </c>
    </row>
    <row r="72" spans="1:30" ht="14" thickBot="1">
      <c r="A72" s="501">
        <v>1509</v>
      </c>
      <c r="B72" s="502" t="s">
        <v>1422</v>
      </c>
      <c r="C72" s="503">
        <v>334832.75</v>
      </c>
      <c r="D72" s="504">
        <v>2885.6144097314259</v>
      </c>
      <c r="E72" s="504">
        <v>2352.2886528572844</v>
      </c>
      <c r="F72" s="504">
        <v>446.34646380917042</v>
      </c>
      <c r="G72" s="504">
        <v>2798.6351166664549</v>
      </c>
      <c r="H72" s="504">
        <v>309.91513822945939</v>
      </c>
      <c r="I72" s="505">
        <v>170.8592256283174</v>
      </c>
      <c r="J72" s="504">
        <v>21.007366633042896</v>
      </c>
      <c r="K72" s="505">
        <v>524.95211415251345</v>
      </c>
      <c r="L72" s="504">
        <v>168.66790652945389</v>
      </c>
      <c r="M72" s="506">
        <v>0.81517774686889644</v>
      </c>
      <c r="N72" s="506">
        <v>0.10685861014858497</v>
      </c>
      <c r="O72" s="506">
        <v>5.934202352753877E-2</v>
      </c>
      <c r="P72" s="506">
        <v>5.8451297567907685E-2</v>
      </c>
      <c r="Q72" s="504"/>
      <c r="R72" s="507">
        <v>971.09383937999985</v>
      </c>
      <c r="S72" s="507">
        <v>964.05988503999993</v>
      </c>
      <c r="T72" s="508">
        <v>966.19820825000011</v>
      </c>
      <c r="U72" s="508">
        <v>787.62327842999991</v>
      </c>
      <c r="V72" s="508">
        <v>149.45141393</v>
      </c>
      <c r="W72" s="507">
        <v>937.07469235999997</v>
      </c>
      <c r="X72" s="507">
        <v>103.769738</v>
      </c>
      <c r="Y72" s="508">
        <v>175.77116000000001</v>
      </c>
      <c r="Z72" s="507">
        <v>56.475538979999996</v>
      </c>
      <c r="AA72" s="507" t="s">
        <v>35</v>
      </c>
      <c r="AB72" s="508">
        <v>96.619820825000019</v>
      </c>
      <c r="AC72" s="508" t="s">
        <v>1365</v>
      </c>
      <c r="AD72" s="508">
        <v>-40.144281845000023</v>
      </c>
    </row>
    <row r="73" spans="1:30" ht="14" thickBot="1">
      <c r="A73" s="501">
        <v>1520</v>
      </c>
      <c r="B73" s="502" t="s">
        <v>1423</v>
      </c>
      <c r="C73" s="503">
        <v>5436.16</v>
      </c>
      <c r="D73" s="504">
        <v>3851.7408428008007</v>
      </c>
      <c r="E73" s="504">
        <v>4052.1548942635986</v>
      </c>
      <c r="F73" s="504">
        <v>435.48501147869086</v>
      </c>
      <c r="G73" s="504">
        <v>4487.6399057422896</v>
      </c>
      <c r="H73" s="504">
        <v>-322.28374440781732</v>
      </c>
      <c r="I73" s="505">
        <v>348.24961921650578</v>
      </c>
      <c r="J73" s="504">
        <v>-70.30516577878501</v>
      </c>
      <c r="K73" s="505">
        <v>947.35990110666364</v>
      </c>
      <c r="L73" s="504">
        <v>755.43688559571456</v>
      </c>
      <c r="M73" s="506">
        <v>1.0520320705992947</v>
      </c>
      <c r="N73" s="506">
        <v>-8.3127784089524509E-2</v>
      </c>
      <c r="O73" s="506">
        <v>8.8225369740817336E-2</v>
      </c>
      <c r="P73" s="506">
        <v>0.1961286899682475</v>
      </c>
      <c r="Q73" s="504"/>
      <c r="R73" s="507">
        <v>21.075817420000007</v>
      </c>
      <c r="S73" s="507">
        <v>21.458007550000001</v>
      </c>
      <c r="T73" s="508">
        <v>20.938679499999999</v>
      </c>
      <c r="U73" s="508">
        <v>22.028162350000002</v>
      </c>
      <c r="V73" s="508">
        <v>2.3673662000000002</v>
      </c>
      <c r="W73" s="507">
        <v>24.395528550000002</v>
      </c>
      <c r="X73" s="507">
        <v>-1.751986</v>
      </c>
      <c r="Y73" s="508">
        <v>5.15</v>
      </c>
      <c r="Z73" s="507">
        <v>4.1066757799999998</v>
      </c>
      <c r="AA73" s="507">
        <v>9.5429500000000014E-3</v>
      </c>
      <c r="AB73" s="508">
        <v>4.1877359000000007</v>
      </c>
      <c r="AC73" s="508" t="s">
        <v>1365</v>
      </c>
      <c r="AD73" s="508">
        <v>-8.1060120000000957E-2</v>
      </c>
    </row>
    <row r="74" spans="1:30" ht="14" thickBot="1">
      <c r="A74" s="501">
        <v>1529</v>
      </c>
      <c r="B74" s="502" t="s">
        <v>1424</v>
      </c>
      <c r="C74" s="503">
        <v>281564.5</v>
      </c>
      <c r="D74" s="504">
        <v>3331.5589855255193</v>
      </c>
      <c r="E74" s="504">
        <v>3184.4444615709717</v>
      </c>
      <c r="F74" s="504">
        <v>515.64205721957137</v>
      </c>
      <c r="G74" s="504">
        <v>3700.0865187905429</v>
      </c>
      <c r="H74" s="504">
        <v>40.782982726870749</v>
      </c>
      <c r="I74" s="505">
        <v>152.51708890858052</v>
      </c>
      <c r="J74" s="504">
        <v>-14.724359853603683</v>
      </c>
      <c r="K74" s="505">
        <v>740.50528386923781</v>
      </c>
      <c r="L74" s="504">
        <v>180.90865421599671</v>
      </c>
      <c r="M74" s="506">
        <v>0.95584213739162061</v>
      </c>
      <c r="N74" s="506">
        <v>1.1823153338546883E-2</v>
      </c>
      <c r="O74" s="506">
        <v>4.4027389675393255E-2</v>
      </c>
      <c r="P74" s="506">
        <v>5.4301501189678095E-2</v>
      </c>
      <c r="Q74" s="504"/>
      <c r="R74" s="507">
        <v>971.2332921000002</v>
      </c>
      <c r="S74" s="507">
        <v>975.37914912999986</v>
      </c>
      <c r="T74" s="508">
        <v>938.04873998000005</v>
      </c>
      <c r="U74" s="508">
        <v>896.62651259999984</v>
      </c>
      <c r="V74" s="508">
        <v>145.18649802000002</v>
      </c>
      <c r="W74" s="507">
        <v>1041.8130106199999</v>
      </c>
      <c r="X74" s="507">
        <v>11.483040139999998</v>
      </c>
      <c r="Y74" s="508">
        <v>208.5</v>
      </c>
      <c r="Z74" s="507">
        <v>50.937454770000002</v>
      </c>
      <c r="AA74" s="507" t="s">
        <v>35</v>
      </c>
      <c r="AB74" s="508">
        <v>93.804873998000005</v>
      </c>
      <c r="AC74" s="508" t="s">
        <v>1365</v>
      </c>
      <c r="AD74" s="508">
        <v>-42.867419228000003</v>
      </c>
    </row>
    <row r="75" spans="1:30" ht="14" thickBot="1">
      <c r="A75" s="501">
        <v>1535</v>
      </c>
      <c r="B75" s="502" t="s">
        <v>1425</v>
      </c>
      <c r="C75" s="503">
        <v>105962.42</v>
      </c>
      <c r="D75" s="504">
        <v>3172.2933017196092</v>
      </c>
      <c r="E75" s="504">
        <v>3211.5559899443601</v>
      </c>
      <c r="F75" s="504">
        <v>487.80998140661569</v>
      </c>
      <c r="G75" s="504">
        <v>3699.365971350976</v>
      </c>
      <c r="H75" s="504">
        <v>-166.91531771358186</v>
      </c>
      <c r="I75" s="505">
        <v>170.15014691057451</v>
      </c>
      <c r="J75" s="504">
        <v>-27.923096131628547</v>
      </c>
      <c r="K75" s="505">
        <v>782.5887706226415</v>
      </c>
      <c r="L75" s="504">
        <v>615.04019047507597</v>
      </c>
      <c r="M75" s="506">
        <v>1.0123767522389773</v>
      </c>
      <c r="N75" s="506">
        <v>-5.1889432100001548E-2</v>
      </c>
      <c r="O75" s="506">
        <v>5.2439846789300193E-2</v>
      </c>
      <c r="P75" s="506">
        <v>0.1938787280929164</v>
      </c>
      <c r="Q75" s="504"/>
      <c r="R75" s="507">
        <v>340.85458799999998</v>
      </c>
      <c r="S75" s="507">
        <v>343.81338683999996</v>
      </c>
      <c r="T75" s="508">
        <v>336.14387519999991</v>
      </c>
      <c r="U75" s="508">
        <v>340.30424466000005</v>
      </c>
      <c r="V75" s="508">
        <v>51.689526130000004</v>
      </c>
      <c r="W75" s="507">
        <v>391.99377079000004</v>
      </c>
      <c r="X75" s="507">
        <v>-17.686751000000001</v>
      </c>
      <c r="Y75" s="508">
        <v>82.924999999999997</v>
      </c>
      <c r="Z75" s="507">
        <v>65.171146980000003</v>
      </c>
      <c r="AA75" s="507">
        <v>25.873888100000002</v>
      </c>
      <c r="AB75" s="508">
        <v>50.421581279999984</v>
      </c>
      <c r="AC75" s="508">
        <v>14.749565700000019</v>
      </c>
      <c r="AD75" s="508" t="s">
        <v>1365</v>
      </c>
    </row>
    <row r="76" spans="1:30" ht="14" thickBot="1">
      <c r="A76" s="501">
        <v>1542</v>
      </c>
      <c r="B76" s="502" t="s">
        <v>1426</v>
      </c>
      <c r="C76" s="503">
        <v>631199.92000000004</v>
      </c>
      <c r="D76" s="504">
        <v>2364.9707341534518</v>
      </c>
      <c r="E76" s="504">
        <v>1437.9799394936551</v>
      </c>
      <c r="F76" s="504">
        <v>309.7480089984802</v>
      </c>
      <c r="G76" s="504">
        <v>1747.7279484921355</v>
      </c>
      <c r="H76" s="504">
        <v>670.49773255674677</v>
      </c>
      <c r="I76" s="505">
        <v>116.79898715766632</v>
      </c>
      <c r="J76" s="504">
        <v>-0.7107396813358462</v>
      </c>
      <c r="K76" s="505">
        <v>725.63477352785458</v>
      </c>
      <c r="L76" s="504">
        <v>498.94049910525973</v>
      </c>
      <c r="M76" s="506">
        <v>0.60803286853711713</v>
      </c>
      <c r="N76" s="506">
        <v>0.28243729712018806</v>
      </c>
      <c r="O76" s="506">
        <v>4.9185128069864123E-2</v>
      </c>
      <c r="P76" s="506">
        <v>0.21097110924032511</v>
      </c>
      <c r="Q76" s="504"/>
      <c r="R76" s="507">
        <v>1498.4498133400002</v>
      </c>
      <c r="S76" s="507">
        <v>1498.89843217</v>
      </c>
      <c r="T76" s="508">
        <v>1492.7693382</v>
      </c>
      <c r="U76" s="508">
        <v>907.65282277000006</v>
      </c>
      <c r="V76" s="508">
        <v>195.51291850000001</v>
      </c>
      <c r="W76" s="507">
        <v>1103.1657412700001</v>
      </c>
      <c r="X76" s="507">
        <v>423.21811514999996</v>
      </c>
      <c r="Y76" s="508">
        <v>458.02061099999997</v>
      </c>
      <c r="Z76" s="507">
        <v>314.93120312000002</v>
      </c>
      <c r="AA76" s="507" t="s">
        <v>35</v>
      </c>
      <c r="AB76" s="508">
        <v>149.27693382000001</v>
      </c>
      <c r="AC76" s="508">
        <v>165.65426930000001</v>
      </c>
      <c r="AD76" s="508" t="s">
        <v>1365</v>
      </c>
    </row>
    <row r="77" spans="1:30" ht="14" thickBot="1">
      <c r="A77" s="501">
        <v>1551</v>
      </c>
      <c r="B77" s="502" t="s">
        <v>1427</v>
      </c>
      <c r="C77" s="503">
        <v>58738.25</v>
      </c>
      <c r="D77" s="504">
        <v>3009.1962256281049</v>
      </c>
      <c r="E77" s="504">
        <v>2819.0342073521083</v>
      </c>
      <c r="F77" s="504">
        <v>472.10461649776755</v>
      </c>
      <c r="G77" s="504">
        <v>3291.1388238498757</v>
      </c>
      <c r="H77" s="504">
        <v>105.06533647154961</v>
      </c>
      <c r="I77" s="505">
        <v>139.96903925465944</v>
      </c>
      <c r="J77" s="504">
        <v>-7.513691844751917</v>
      </c>
      <c r="K77" s="505">
        <v>728.73298063868083</v>
      </c>
      <c r="L77" s="504">
        <v>510.80259456146547</v>
      </c>
      <c r="M77" s="506">
        <v>0.93680637485303753</v>
      </c>
      <c r="N77" s="506">
        <v>3.4629055663589245E-2</v>
      </c>
      <c r="O77" s="506">
        <v>4.6019191352957976E-2</v>
      </c>
      <c r="P77" s="506">
        <v>0.16974718704322667</v>
      </c>
      <c r="Q77" s="504"/>
      <c r="R77" s="507">
        <v>178.21317623999997</v>
      </c>
      <c r="S77" s="507">
        <v>178.65451734999999</v>
      </c>
      <c r="T77" s="508">
        <v>176.75492020000002</v>
      </c>
      <c r="U77" s="508">
        <v>165.58513602999997</v>
      </c>
      <c r="V77" s="508">
        <v>27.730598989999994</v>
      </c>
      <c r="W77" s="507">
        <v>193.31573501999998</v>
      </c>
      <c r="X77" s="507">
        <v>6.1713539999999991</v>
      </c>
      <c r="Y77" s="508">
        <v>42.804499999999997</v>
      </c>
      <c r="Z77" s="507">
        <v>30.003650499999999</v>
      </c>
      <c r="AA77" s="507">
        <v>28.34711785</v>
      </c>
      <c r="AB77" s="508">
        <v>26.51323803</v>
      </c>
      <c r="AC77" s="508">
        <v>3.490412469999999</v>
      </c>
      <c r="AD77" s="508" t="s">
        <v>1365</v>
      </c>
    </row>
    <row r="78" spans="1:30" ht="14" thickBot="1">
      <c r="A78" s="501">
        <v>1552</v>
      </c>
      <c r="B78" s="502" t="s">
        <v>1428</v>
      </c>
      <c r="C78" s="503">
        <v>64045.67</v>
      </c>
      <c r="D78" s="504">
        <v>2817.2244179817303</v>
      </c>
      <c r="E78" s="504">
        <v>2694.0612110077072</v>
      </c>
      <c r="F78" s="504">
        <v>439.98235040713917</v>
      </c>
      <c r="G78" s="504">
        <v>3134.0435614148464</v>
      </c>
      <c r="H78" s="504">
        <v>473.49220642082435</v>
      </c>
      <c r="I78" s="505">
        <v>123.99050490064354</v>
      </c>
      <c r="J78" s="504">
        <v>121.3631816171179</v>
      </c>
      <c r="K78" s="505">
        <v>551.80404857970882</v>
      </c>
      <c r="L78" s="504">
        <v>202.35780420440602</v>
      </c>
      <c r="M78" s="506">
        <v>0.95628207458805936</v>
      </c>
      <c r="N78" s="506">
        <v>0.15419872227172235</v>
      </c>
      <c r="O78" s="506">
        <v>4.2040667646414433E-2</v>
      </c>
      <c r="P78" s="506">
        <v>7.1828784002012827E-2</v>
      </c>
      <c r="Q78" s="504"/>
      <c r="R78" s="507">
        <v>196.66262569</v>
      </c>
      <c r="S78" s="507">
        <v>188.88983939999997</v>
      </c>
      <c r="T78" s="508">
        <v>180.43102538999997</v>
      </c>
      <c r="U78" s="508">
        <v>172.54295527999997</v>
      </c>
      <c r="V78" s="508">
        <v>28.17896442</v>
      </c>
      <c r="W78" s="507">
        <v>200.72191969999997</v>
      </c>
      <c r="X78" s="507">
        <v>30.325125599999996</v>
      </c>
      <c r="Y78" s="508">
        <v>35.34066</v>
      </c>
      <c r="Z78" s="507">
        <v>12.96014115</v>
      </c>
      <c r="AA78" s="507" t="s">
        <v>35</v>
      </c>
      <c r="AB78" s="508">
        <v>27.064653808499994</v>
      </c>
      <c r="AC78" s="508" t="s">
        <v>1365</v>
      </c>
      <c r="AD78" s="508">
        <v>-14.104512658499994</v>
      </c>
    </row>
    <row r="79" spans="1:30" ht="14" thickBot="1">
      <c r="A79" s="501">
        <v>1555</v>
      </c>
      <c r="B79" s="502" t="s">
        <v>1429</v>
      </c>
      <c r="C79" s="503">
        <v>417983.75</v>
      </c>
      <c r="D79" s="504">
        <v>3232.9661780392184</v>
      </c>
      <c r="E79" s="504">
        <v>4023.7938398083656</v>
      </c>
      <c r="F79" s="504">
        <v>533.44904161944089</v>
      </c>
      <c r="G79" s="504">
        <v>4557.2428814278064</v>
      </c>
      <c r="H79" s="504">
        <v>-800.72378081683814</v>
      </c>
      <c r="I79" s="505">
        <v>145.19022636645559</v>
      </c>
      <c r="J79" s="504">
        <v>0.81666732259330366</v>
      </c>
      <c r="K79" s="505">
        <v>984.53837380041693</v>
      </c>
      <c r="L79" s="504">
        <v>595.43256040456117</v>
      </c>
      <c r="M79" s="506">
        <v>1.2446136514328712</v>
      </c>
      <c r="N79" s="506">
        <v>-0.24203255952769831</v>
      </c>
      <c r="O79" s="506">
        <v>4.389708367465131E-2</v>
      </c>
      <c r="P79" s="506">
        <v>0.18417531381837368</v>
      </c>
      <c r="Q79" s="504"/>
      <c r="R79" s="507">
        <v>1382.8285304799997</v>
      </c>
      <c r="S79" s="507">
        <v>1382.4871768199996</v>
      </c>
      <c r="T79" s="508">
        <v>1351.3273267200002</v>
      </c>
      <c r="U79" s="508">
        <v>1681.8804383899999</v>
      </c>
      <c r="V79" s="508">
        <v>222.97303085000001</v>
      </c>
      <c r="W79" s="507">
        <v>1904.8534692399999</v>
      </c>
      <c r="X79" s="507">
        <v>-334.68952862000009</v>
      </c>
      <c r="Y79" s="508">
        <v>411.52104150000002</v>
      </c>
      <c r="Z79" s="507">
        <v>248.88113447000001</v>
      </c>
      <c r="AA79" s="507" t="s">
        <v>35</v>
      </c>
      <c r="AB79" s="508">
        <v>135.13273267200003</v>
      </c>
      <c r="AC79" s="508">
        <v>113.74840179799997</v>
      </c>
      <c r="AD79" s="508" t="s">
        <v>1365</v>
      </c>
    </row>
    <row r="80" spans="1:30" ht="14" thickBot="1">
      <c r="A80" s="501">
        <v>1560</v>
      </c>
      <c r="B80" s="502" t="s">
        <v>1430</v>
      </c>
      <c r="C80" s="503">
        <v>95457</v>
      </c>
      <c r="D80" s="504">
        <v>2129.5123357113675</v>
      </c>
      <c r="E80" s="504">
        <v>1488.8345807012579</v>
      </c>
      <c r="F80" s="504">
        <v>327.12548917313558</v>
      </c>
      <c r="G80" s="504">
        <v>1815.9600698743934</v>
      </c>
      <c r="H80" s="504">
        <v>382.54932587447746</v>
      </c>
      <c r="I80" s="505">
        <v>130.06930010371161</v>
      </c>
      <c r="J80" s="504">
        <v>56.02288548770651</v>
      </c>
      <c r="K80" s="505">
        <v>420.04839875546054</v>
      </c>
      <c r="L80" s="504">
        <v>699.7163059807034</v>
      </c>
      <c r="M80" s="506">
        <v>0.69914344037077858</v>
      </c>
      <c r="N80" s="506">
        <v>0.18183594637906547</v>
      </c>
      <c r="O80" s="506">
        <v>6.3516824903658925E-2</v>
      </c>
      <c r="P80" s="506">
        <v>0.32858053660767444</v>
      </c>
      <c r="Q80" s="504"/>
      <c r="R80" s="507">
        <v>200.82393898000001</v>
      </c>
      <c r="S80" s="507">
        <v>195.47616240000005</v>
      </c>
      <c r="T80" s="508">
        <v>203.27685903000003</v>
      </c>
      <c r="U80" s="508">
        <v>142.11968256999998</v>
      </c>
      <c r="V80" s="508">
        <v>31.226417820000002</v>
      </c>
      <c r="W80" s="507">
        <v>173.34610038999998</v>
      </c>
      <c r="X80" s="507">
        <v>36.517010999999997</v>
      </c>
      <c r="Y80" s="508">
        <v>40.096559999999997</v>
      </c>
      <c r="Z80" s="507">
        <v>66.792819420000001</v>
      </c>
      <c r="AA80" s="507">
        <v>14.847798950000001</v>
      </c>
      <c r="AB80" s="508">
        <v>30.491528854500004</v>
      </c>
      <c r="AC80" s="508">
        <v>36.301290565499997</v>
      </c>
      <c r="AD80" s="508" t="s">
        <v>1365</v>
      </c>
    </row>
    <row r="81" spans="1:30" ht="14" thickBot="1">
      <c r="A81" s="501">
        <v>1562</v>
      </c>
      <c r="B81" s="502" t="s">
        <v>1431</v>
      </c>
      <c r="C81" s="503">
        <v>614845.82999999996</v>
      </c>
      <c r="D81" s="504">
        <v>3500.3617298990225</v>
      </c>
      <c r="E81" s="504">
        <v>4404.435382931686</v>
      </c>
      <c r="F81" s="504">
        <v>559.00186054770836</v>
      </c>
      <c r="G81" s="504">
        <v>4963.4372434793941</v>
      </c>
      <c r="H81" s="504">
        <v>-1074.3090983799955</v>
      </c>
      <c r="I81" s="505">
        <v>259.27484216653147</v>
      </c>
      <c r="J81" s="504">
        <v>-30.021799481017855</v>
      </c>
      <c r="K81" s="505">
        <v>970.23206614249955</v>
      </c>
      <c r="L81" s="504">
        <v>363.68327520412726</v>
      </c>
      <c r="M81" s="506">
        <v>1.2582800644031564</v>
      </c>
      <c r="N81" s="506">
        <v>-0.30158393307646714</v>
      </c>
      <c r="O81" s="506">
        <v>7.2176281524346783E-2</v>
      </c>
      <c r="P81" s="506">
        <v>0.10389876911796161</v>
      </c>
      <c r="Q81" s="504"/>
      <c r="R81" s="507">
        <v>2190.2177033499997</v>
      </c>
      <c r="S81" s="507">
        <v>2208.6764815699999</v>
      </c>
      <c r="T81" s="508">
        <v>2152.18281312</v>
      </c>
      <c r="U81" s="508">
        <v>2708.0487287000001</v>
      </c>
      <c r="V81" s="508">
        <v>343.69996291999996</v>
      </c>
      <c r="W81" s="507">
        <v>3051.74869162</v>
      </c>
      <c r="X81" s="507">
        <v>-660.53446926999993</v>
      </c>
      <c r="Y81" s="508">
        <v>596.54313999999999</v>
      </c>
      <c r="Z81" s="507">
        <v>223.6091452</v>
      </c>
      <c r="AA81" s="507" t="s">
        <v>35</v>
      </c>
      <c r="AB81" s="508">
        <v>215.21828131200002</v>
      </c>
      <c r="AC81" s="508">
        <v>8.3908638879999842</v>
      </c>
      <c r="AD81" s="508" t="s">
        <v>1365</v>
      </c>
    </row>
    <row r="82" spans="1:30" ht="14" thickBot="1">
      <c r="A82" s="501">
        <v>1563</v>
      </c>
      <c r="B82" s="502" t="s">
        <v>1432</v>
      </c>
      <c r="C82" s="503">
        <v>35050.85</v>
      </c>
      <c r="D82" s="504">
        <v>2979.2927560957869</v>
      </c>
      <c r="E82" s="504">
        <v>2814.970196157868</v>
      </c>
      <c r="F82" s="504">
        <v>457.81306444779517</v>
      </c>
      <c r="G82" s="504">
        <v>3272.7832606056636</v>
      </c>
      <c r="H82" s="504">
        <v>-151.79509198778339</v>
      </c>
      <c r="I82" s="505">
        <v>181.572531621915</v>
      </c>
      <c r="J82" s="504">
        <v>75.398314163565232</v>
      </c>
      <c r="K82" s="505">
        <v>653.90710924271457</v>
      </c>
      <c r="L82" s="504">
        <v>762.21798929269914</v>
      </c>
      <c r="M82" s="506">
        <v>0.94484511144408134</v>
      </c>
      <c r="N82" s="506">
        <v>-5.1366183624150664E-2</v>
      </c>
      <c r="O82" s="506">
        <v>6.3051320199099398E-2</v>
      </c>
      <c r="P82" s="506">
        <v>0.25583856696632506</v>
      </c>
      <c r="Q82" s="504"/>
      <c r="R82" s="507">
        <v>103.58073395000002</v>
      </c>
      <c r="S82" s="507">
        <v>100.93795894999997</v>
      </c>
      <c r="T82" s="508">
        <v>104.4267435</v>
      </c>
      <c r="U82" s="508">
        <v>98.667098100000004</v>
      </c>
      <c r="V82" s="508">
        <v>16.046737050000001</v>
      </c>
      <c r="W82" s="507">
        <v>114.71383515000001</v>
      </c>
      <c r="X82" s="507">
        <v>-5.3205469999999977</v>
      </c>
      <c r="Y82" s="508">
        <v>22.92</v>
      </c>
      <c r="Z82" s="507">
        <v>26.71638841</v>
      </c>
      <c r="AA82" s="507" t="s">
        <v>35</v>
      </c>
      <c r="AB82" s="508">
        <v>20.885348700000002</v>
      </c>
      <c r="AC82" s="508">
        <v>5.8310397099999989</v>
      </c>
      <c r="AD82" s="508" t="s">
        <v>1365</v>
      </c>
    </row>
    <row r="83" spans="1:30" ht="14" thickBot="1">
      <c r="A83" s="501">
        <v>1565</v>
      </c>
      <c r="B83" s="502" t="s">
        <v>1433</v>
      </c>
      <c r="C83" s="503">
        <v>184397.25</v>
      </c>
      <c r="D83" s="504">
        <v>2532.656532025288</v>
      </c>
      <c r="E83" s="504">
        <v>1825.0751883772668</v>
      </c>
      <c r="F83" s="504">
        <v>413.89311754920425</v>
      </c>
      <c r="G83" s="504">
        <v>2238.9683059264712</v>
      </c>
      <c r="H83" s="504">
        <v>666.35206756066054</v>
      </c>
      <c r="I83" s="505">
        <v>107.91700467333432</v>
      </c>
      <c r="J83" s="504">
        <v>208.27262011770787</v>
      </c>
      <c r="K83" s="505">
        <v>407.51263915269885</v>
      </c>
      <c r="L83" s="504">
        <v>256.67634940325843</v>
      </c>
      <c r="M83" s="506">
        <v>0.72061693534014659</v>
      </c>
      <c r="N83" s="506">
        <v>0.23869760346434224</v>
      </c>
      <c r="O83" s="506">
        <v>4.1774160672631483E-2</v>
      </c>
      <c r="P83" s="506">
        <v>0.10134668722647606</v>
      </c>
      <c r="Q83" s="504"/>
      <c r="R83" s="507">
        <v>514.7663278</v>
      </c>
      <c r="S83" s="507">
        <v>476.36142939999996</v>
      </c>
      <c r="T83" s="508">
        <v>467.0148997</v>
      </c>
      <c r="U83" s="508">
        <v>336.53884577999997</v>
      </c>
      <c r="V83" s="508">
        <v>76.320752670000005</v>
      </c>
      <c r="W83" s="507">
        <v>412.85959844999996</v>
      </c>
      <c r="X83" s="507">
        <v>122.87348879000001</v>
      </c>
      <c r="Y83" s="508">
        <v>75.144210000000001</v>
      </c>
      <c r="Z83" s="507">
        <v>47.330412969999998</v>
      </c>
      <c r="AA83" s="507" t="s">
        <v>35</v>
      </c>
      <c r="AB83" s="508">
        <v>46.701489969999997</v>
      </c>
      <c r="AC83" s="508">
        <v>0.62892300000000034</v>
      </c>
      <c r="AD83" s="508" t="s">
        <v>1365</v>
      </c>
    </row>
    <row r="84" spans="1:30" ht="14" thickBot="1">
      <c r="A84" s="501">
        <v>1566</v>
      </c>
      <c r="B84" s="502" t="s">
        <v>1434</v>
      </c>
      <c r="C84" s="503">
        <v>136814.58000000002</v>
      </c>
      <c r="D84" s="504">
        <v>2282.869752331952</v>
      </c>
      <c r="E84" s="504">
        <v>1734.8389999808501</v>
      </c>
      <c r="F84" s="504">
        <v>367.61204909593698</v>
      </c>
      <c r="G84" s="504">
        <v>2102.4510490767871</v>
      </c>
      <c r="H84" s="504">
        <v>494.35474135870589</v>
      </c>
      <c r="I84" s="505">
        <v>99.300609189459166</v>
      </c>
      <c r="J84" s="504">
        <v>285.88744576784137</v>
      </c>
      <c r="K84" s="505">
        <v>394.75098341127085</v>
      </c>
      <c r="L84" s="504">
        <v>347.45576421752708</v>
      </c>
      <c r="M84" s="506">
        <v>0.75993779242495618</v>
      </c>
      <c r="N84" s="506">
        <v>0.18992044693757384</v>
      </c>
      <c r="O84" s="506">
        <v>4.2856120779441585E-2</v>
      </c>
      <c r="P84" s="506">
        <v>0.1522013088405946</v>
      </c>
      <c r="Q84" s="504"/>
      <c r="R84" s="507">
        <v>356.12245759000001</v>
      </c>
      <c r="S84" s="507">
        <v>317.00888677999995</v>
      </c>
      <c r="T84" s="508">
        <v>312.32986636000004</v>
      </c>
      <c r="U84" s="508">
        <v>237.35126915000004</v>
      </c>
      <c r="V84" s="508">
        <v>50.294688100000002</v>
      </c>
      <c r="W84" s="507">
        <v>287.64595725000004</v>
      </c>
      <c r="X84" s="507">
        <v>67.634936309999986</v>
      </c>
      <c r="Y84" s="508">
        <v>54.007689999999997</v>
      </c>
      <c r="Z84" s="507">
        <v>47.537014450000001</v>
      </c>
      <c r="AA84" s="507" t="s">
        <v>35</v>
      </c>
      <c r="AB84" s="508">
        <v>46.849479954000003</v>
      </c>
      <c r="AC84" s="508">
        <v>0.68753449599999783</v>
      </c>
      <c r="AD84" s="508" t="s">
        <v>1365</v>
      </c>
    </row>
    <row r="85" spans="1:30" ht="14" thickBot="1">
      <c r="A85" s="501">
        <v>1568</v>
      </c>
      <c r="B85" s="502" t="s">
        <v>1435</v>
      </c>
      <c r="C85" s="503">
        <v>136839</v>
      </c>
      <c r="D85" s="504">
        <v>2197.7580958644835</v>
      </c>
      <c r="E85" s="504">
        <v>1273.4223824348323</v>
      </c>
      <c r="F85" s="504">
        <v>331.21526962342608</v>
      </c>
      <c r="G85" s="504">
        <v>1604.6376520582585</v>
      </c>
      <c r="H85" s="504">
        <v>942.46861633013987</v>
      </c>
      <c r="I85" s="505">
        <v>75.042066223810465</v>
      </c>
      <c r="J85" s="504">
        <v>-20.89543236942686</v>
      </c>
      <c r="K85" s="505">
        <v>286.46803908242532</v>
      </c>
      <c r="L85" s="504">
        <v>122.17057169374226</v>
      </c>
      <c r="M85" s="506">
        <v>0.57941881084684821</v>
      </c>
      <c r="N85" s="506">
        <v>0.39915570603788914</v>
      </c>
      <c r="O85" s="506">
        <v>3.1503134997420544E-2</v>
      </c>
      <c r="P85" s="506">
        <v>5.558872558523633E-2</v>
      </c>
      <c r="Q85" s="504"/>
      <c r="R85" s="507">
        <v>323.09813198000001</v>
      </c>
      <c r="S85" s="507">
        <v>325.95744203999999</v>
      </c>
      <c r="T85" s="508">
        <v>300.73902008000005</v>
      </c>
      <c r="U85" s="508">
        <v>174.25384539000001</v>
      </c>
      <c r="V85" s="508">
        <v>45.323166280000002</v>
      </c>
      <c r="W85" s="507">
        <v>219.57701167000002</v>
      </c>
      <c r="X85" s="507">
        <v>128.96646299</v>
      </c>
      <c r="Y85" s="508">
        <v>39.200000000000003</v>
      </c>
      <c r="Z85" s="507">
        <v>16.717698859999999</v>
      </c>
      <c r="AA85" s="507" t="s">
        <v>35</v>
      </c>
      <c r="AB85" s="508">
        <v>45.110853012</v>
      </c>
      <c r="AC85" s="508" t="s">
        <v>1365</v>
      </c>
      <c r="AD85" s="508">
        <v>-28.393154152000001</v>
      </c>
    </row>
    <row r="86" spans="1:30" ht="14" thickBot="1">
      <c r="A86" s="501">
        <v>1569</v>
      </c>
      <c r="B86" s="502" t="s">
        <v>1436</v>
      </c>
      <c r="C86" s="503">
        <v>122161.86</v>
      </c>
      <c r="D86" s="504">
        <v>2534.2148037038728</v>
      </c>
      <c r="E86" s="504">
        <v>1788.1090156944238</v>
      </c>
      <c r="F86" s="504">
        <v>375.23848826466786</v>
      </c>
      <c r="G86" s="504">
        <v>2163.3475039590917</v>
      </c>
      <c r="H86" s="504">
        <v>585.47101362078138</v>
      </c>
      <c r="I86" s="505">
        <v>131.25471550613261</v>
      </c>
      <c r="J86" s="504">
        <v>160.42954969742604</v>
      </c>
      <c r="K86" s="505">
        <v>534.53672038064906</v>
      </c>
      <c r="L86" s="504">
        <v>331.63010861164031</v>
      </c>
      <c r="M86" s="506">
        <v>0.7055869980244055</v>
      </c>
      <c r="N86" s="506">
        <v>0.21305332683445688</v>
      </c>
      <c r="O86" s="506">
        <v>5.0725035617106812E-2</v>
      </c>
      <c r="P86" s="506">
        <v>0.13086108885756151</v>
      </c>
      <c r="Q86" s="504"/>
      <c r="R86" s="507">
        <v>335.70106161999996</v>
      </c>
      <c r="S86" s="507">
        <v>316.10268943</v>
      </c>
      <c r="T86" s="508">
        <v>309.58439406000002</v>
      </c>
      <c r="U86" s="508">
        <v>218.43872324</v>
      </c>
      <c r="V86" s="508">
        <v>45.839831669999995</v>
      </c>
      <c r="W86" s="507">
        <v>264.27855491000003</v>
      </c>
      <c r="X86" s="507">
        <v>71.522227999999998</v>
      </c>
      <c r="Y86" s="508">
        <v>65.3</v>
      </c>
      <c r="Z86" s="507">
        <v>40.512550900000001</v>
      </c>
      <c r="AA86" s="507" t="s">
        <v>35</v>
      </c>
      <c r="AB86" s="508">
        <v>46.437659108999995</v>
      </c>
      <c r="AC86" s="508" t="s">
        <v>1365</v>
      </c>
      <c r="AD86" s="508">
        <v>-5.925108208999994</v>
      </c>
    </row>
    <row r="87" spans="1:30" ht="14" thickBot="1">
      <c r="A87" s="501">
        <v>1570</v>
      </c>
      <c r="B87" s="502" t="s">
        <v>1437</v>
      </c>
      <c r="C87" s="503">
        <v>23726.25</v>
      </c>
      <c r="D87" s="504">
        <v>2637.3225511827618</v>
      </c>
      <c r="E87" s="504">
        <v>1322.6628544333807</v>
      </c>
      <c r="F87" s="504">
        <v>339.65460829250304</v>
      </c>
      <c r="G87" s="504">
        <v>1662.3174627258836</v>
      </c>
      <c r="H87" s="504">
        <v>1208.8995943311734</v>
      </c>
      <c r="I87" s="505">
        <v>85.41111174332228</v>
      </c>
      <c r="J87" s="504">
        <v>3.1348712923449762</v>
      </c>
      <c r="K87" s="505">
        <v>534.00769190242875</v>
      </c>
      <c r="L87" s="504">
        <v>357.24217185606659</v>
      </c>
      <c r="M87" s="506">
        <v>0.5015172883727117</v>
      </c>
      <c r="N87" s="506">
        <v>0.42788533302300613</v>
      </c>
      <c r="O87" s="506">
        <v>3.0264513232941014E-2</v>
      </c>
      <c r="P87" s="506">
        <v>0.13545638234346952</v>
      </c>
      <c r="Q87" s="504"/>
      <c r="R87" s="507">
        <v>67.033505910000002</v>
      </c>
      <c r="S87" s="507">
        <v>66.959127160000008</v>
      </c>
      <c r="T87" s="508">
        <v>62.573774180000001</v>
      </c>
      <c r="U87" s="508">
        <v>31.381829549999996</v>
      </c>
      <c r="V87" s="508">
        <v>8.0587301500000006</v>
      </c>
      <c r="W87" s="507">
        <v>39.440559699999994</v>
      </c>
      <c r="X87" s="507">
        <v>28.682653999999999</v>
      </c>
      <c r="Y87" s="508">
        <v>12.67</v>
      </c>
      <c r="Z87" s="507">
        <v>8.4760170800000001</v>
      </c>
      <c r="AA87" s="507" t="s">
        <v>35</v>
      </c>
      <c r="AB87" s="508">
        <v>12.514754836000002</v>
      </c>
      <c r="AC87" s="508" t="s">
        <v>1365</v>
      </c>
      <c r="AD87" s="508">
        <v>-4.0387377560000015</v>
      </c>
    </row>
    <row r="88" spans="1:30" ht="14" thickBot="1">
      <c r="A88" s="501">
        <v>1571</v>
      </c>
      <c r="B88" s="502" t="s">
        <v>1438</v>
      </c>
      <c r="C88" s="503">
        <v>3824.42</v>
      </c>
      <c r="D88" s="504">
        <v>2891.7599531432211</v>
      </c>
      <c r="E88" s="504">
        <v>2738.812112686368</v>
      </c>
      <c r="F88" s="504">
        <v>480.26900811103383</v>
      </c>
      <c r="G88" s="504">
        <v>3219.0811207974016</v>
      </c>
      <c r="H88" s="504">
        <v>742.86811856438362</v>
      </c>
      <c r="I88" s="505">
        <v>126.68956861432582</v>
      </c>
      <c r="J88" s="504">
        <v>3.2763896224787135</v>
      </c>
      <c r="K88" s="505">
        <v>478.26415508756884</v>
      </c>
      <c r="L88" s="504">
        <v>32.003443659430708</v>
      </c>
      <c r="M88" s="506">
        <v>0.94710908134314353</v>
      </c>
      <c r="N88" s="506">
        <v>0.26444703340564979</v>
      </c>
      <c r="O88" s="506">
        <v>4.5151757965360161E-2</v>
      </c>
      <c r="P88" s="506">
        <v>1.1067116281434189E-2</v>
      </c>
      <c r="Q88" s="504"/>
      <c r="R88" s="507">
        <v>10.743322220000001</v>
      </c>
      <c r="S88" s="507">
        <v>10.730791930000001</v>
      </c>
      <c r="T88" s="508">
        <v>11.059304599999999</v>
      </c>
      <c r="U88" s="508">
        <v>10.474367819999999</v>
      </c>
      <c r="V88" s="508">
        <v>1.8367504000000001</v>
      </c>
      <c r="W88" s="507">
        <v>12.311118219999999</v>
      </c>
      <c r="X88" s="507">
        <v>2.8410396900000001</v>
      </c>
      <c r="Y88" s="508">
        <v>1.829083</v>
      </c>
      <c r="Z88" s="507">
        <v>0.12239461</v>
      </c>
      <c r="AA88" s="507" t="s">
        <v>35</v>
      </c>
      <c r="AB88" s="508">
        <v>2.2118609199999999</v>
      </c>
      <c r="AC88" s="508" t="s">
        <v>1365</v>
      </c>
      <c r="AD88" s="508">
        <v>-2.0894663099999997</v>
      </c>
    </row>
    <row r="89" spans="1:30" ht="14" thickBot="1">
      <c r="A89" s="501">
        <v>1574</v>
      </c>
      <c r="B89" s="502" t="s">
        <v>1439</v>
      </c>
      <c r="C89" s="503">
        <v>1116.83</v>
      </c>
      <c r="D89" s="504">
        <v>3275.5618133467046</v>
      </c>
      <c r="E89" s="504">
        <v>1429.7698754510536</v>
      </c>
      <c r="F89" s="504">
        <v>398.05405478004712</v>
      </c>
      <c r="G89" s="504">
        <v>1827.8239302311008</v>
      </c>
      <c r="H89" s="504">
        <v>950.24308981671334</v>
      </c>
      <c r="I89" s="505">
        <v>136.64248811367889</v>
      </c>
      <c r="J89" s="504">
        <v>639.94616906780811</v>
      </c>
      <c r="K89" s="505">
        <v>385.01831075454641</v>
      </c>
      <c r="L89" s="504">
        <v>8501.8883178281394</v>
      </c>
      <c r="M89" s="506">
        <v>0.43649607515427413</v>
      </c>
      <c r="N89" s="506">
        <v>0.27230207681819063</v>
      </c>
      <c r="O89" s="506">
        <v>4.794945912634016E-2</v>
      </c>
      <c r="P89" s="506">
        <v>2.5955511763466297</v>
      </c>
      <c r="Q89" s="504"/>
      <c r="R89" s="507">
        <v>3.8973628199999997</v>
      </c>
      <c r="S89" s="507">
        <v>3.1826517500000007</v>
      </c>
      <c r="T89" s="508">
        <v>3.6582457000000002</v>
      </c>
      <c r="U89" s="508">
        <v>1.5968098900000001</v>
      </c>
      <c r="V89" s="508">
        <v>0.44455871000000002</v>
      </c>
      <c r="W89" s="507">
        <v>2.0413686000000002</v>
      </c>
      <c r="X89" s="507">
        <v>1.0612599899999999</v>
      </c>
      <c r="Y89" s="508">
        <v>0.43</v>
      </c>
      <c r="Z89" s="507">
        <v>9.4951639300000004</v>
      </c>
      <c r="AA89" s="507" t="s">
        <v>35</v>
      </c>
      <c r="AB89" s="508">
        <v>0.73164914000000014</v>
      </c>
      <c r="AC89" s="508">
        <v>8.7635147900000003</v>
      </c>
      <c r="AD89" s="508" t="s">
        <v>1365</v>
      </c>
    </row>
    <row r="90" spans="1:30" ht="14" thickBot="1">
      <c r="A90" s="501">
        <v>1575</v>
      </c>
      <c r="B90" s="502" t="s">
        <v>1440</v>
      </c>
      <c r="C90" s="503">
        <v>44556.67</v>
      </c>
      <c r="D90" s="504">
        <v>2061.5661269120874</v>
      </c>
      <c r="E90" s="504">
        <v>824.32128321079665</v>
      </c>
      <c r="F90" s="504">
        <v>249.89770891765474</v>
      </c>
      <c r="G90" s="504">
        <v>1074.2189921284514</v>
      </c>
      <c r="H90" s="504">
        <v>1044.2099016825091</v>
      </c>
      <c r="I90" s="505">
        <v>127.65042046454549</v>
      </c>
      <c r="J90" s="504">
        <v>-9.4386898751634707</v>
      </c>
      <c r="K90" s="505">
        <v>244.65401027500488</v>
      </c>
      <c r="L90" s="504">
        <v>134.88101197867795</v>
      </c>
      <c r="M90" s="506">
        <v>0.39985197294908248</v>
      </c>
      <c r="N90" s="506">
        <v>0.53026959802938256</v>
      </c>
      <c r="O90" s="506">
        <v>6.4514079808925637E-2</v>
      </c>
      <c r="P90" s="506">
        <v>6.5426478548475761E-2</v>
      </c>
      <c r="Q90" s="504"/>
      <c r="R90" s="507">
        <v>87.741247420000008</v>
      </c>
      <c r="S90" s="507">
        <v>88.161804010000012</v>
      </c>
      <c r="T90" s="508">
        <v>91.856521599999994</v>
      </c>
      <c r="U90" s="508">
        <v>36.729011390000004</v>
      </c>
      <c r="V90" s="508">
        <v>11.134609749999999</v>
      </c>
      <c r="W90" s="507">
        <v>47.863621140000006</v>
      </c>
      <c r="X90" s="507">
        <v>46.526516000000001</v>
      </c>
      <c r="Y90" s="508">
        <v>10.900968000000001</v>
      </c>
      <c r="Z90" s="507">
        <v>6.0098487399999998</v>
      </c>
      <c r="AA90" s="507" t="s">
        <v>35</v>
      </c>
      <c r="AB90" s="508">
        <v>18.37130432</v>
      </c>
      <c r="AC90" s="508" t="s">
        <v>1365</v>
      </c>
      <c r="AD90" s="508">
        <v>-12.361455580000001</v>
      </c>
    </row>
    <row r="91" spans="1:30" ht="14" thickBot="1">
      <c r="A91" s="501">
        <v>1577</v>
      </c>
      <c r="B91" s="502" t="s">
        <v>968</v>
      </c>
      <c r="C91" s="503">
        <v>21793.82</v>
      </c>
      <c r="D91" s="504">
        <v>1846.8429903523111</v>
      </c>
      <c r="E91" s="504">
        <v>539.99607503411517</v>
      </c>
      <c r="F91" s="504">
        <v>164.73350702171533</v>
      </c>
      <c r="G91" s="504">
        <v>704.72958205583052</v>
      </c>
      <c r="H91" s="504">
        <v>932.39202627166787</v>
      </c>
      <c r="I91" s="505">
        <v>97.175090002578713</v>
      </c>
      <c r="J91" s="504">
        <v>29.380511998355512</v>
      </c>
      <c r="K91" s="505">
        <v>266.13049020318601</v>
      </c>
      <c r="L91" s="504">
        <v>371.60138011601452</v>
      </c>
      <c r="M91" s="506">
        <v>0.29238872922873826</v>
      </c>
      <c r="N91" s="506">
        <v>0.49873619886491377</v>
      </c>
      <c r="O91" s="506">
        <v>5.2808848929023509E-2</v>
      </c>
      <c r="P91" s="506">
        <v>0.20120897231503496</v>
      </c>
      <c r="Q91" s="504"/>
      <c r="R91" s="507">
        <v>40.743751979999992</v>
      </c>
      <c r="S91" s="507">
        <v>40.103438400000002</v>
      </c>
      <c r="T91" s="508">
        <v>40.249763700000003</v>
      </c>
      <c r="U91" s="508">
        <v>11.768577259999999</v>
      </c>
      <c r="V91" s="508">
        <v>3.5901724000000002</v>
      </c>
      <c r="W91" s="507">
        <v>15.358749659999999</v>
      </c>
      <c r="X91" s="507">
        <v>20.32038399</v>
      </c>
      <c r="Y91" s="508">
        <v>5.8</v>
      </c>
      <c r="Z91" s="507">
        <v>8.0986135899999994</v>
      </c>
      <c r="AA91" s="507" t="s">
        <v>35</v>
      </c>
      <c r="AB91" s="508">
        <v>8.0499527400000019</v>
      </c>
      <c r="AC91" s="508">
        <v>4.8660849999997424E-2</v>
      </c>
      <c r="AD91" s="508" t="s">
        <v>1365</v>
      </c>
    </row>
    <row r="92" spans="1:30" ht="14" thickBot="1">
      <c r="A92" s="501"/>
      <c r="B92" s="502"/>
      <c r="C92" s="503"/>
      <c r="D92" s="504"/>
      <c r="E92" s="504"/>
      <c r="F92" s="504"/>
      <c r="G92" s="504"/>
      <c r="H92" s="504"/>
      <c r="I92" s="505"/>
      <c r="J92" s="504"/>
      <c r="K92" s="505"/>
      <c r="L92" s="504"/>
      <c r="M92" s="506"/>
      <c r="N92" s="506"/>
      <c r="O92" s="506"/>
      <c r="P92" s="506"/>
      <c r="Q92" s="504"/>
      <c r="R92" s="507"/>
      <c r="S92" s="507"/>
      <c r="T92" s="508"/>
      <c r="U92" s="508"/>
      <c r="V92" s="508"/>
      <c r="W92" s="507"/>
      <c r="X92" s="507"/>
      <c r="Y92" s="508"/>
      <c r="Z92" s="507"/>
      <c r="AA92" s="507"/>
      <c r="AB92" s="508"/>
      <c r="AC92" s="508"/>
      <c r="AD92" s="508"/>
    </row>
    <row r="93" spans="1:30" ht="14" thickBot="1">
      <c r="A93" s="501"/>
      <c r="B93" s="502"/>
      <c r="C93" s="503"/>
      <c r="D93" s="504"/>
      <c r="E93" s="504"/>
      <c r="F93" s="504"/>
      <c r="G93" s="504"/>
      <c r="H93" s="504"/>
      <c r="I93" s="505"/>
      <c r="J93" s="504"/>
      <c r="K93" s="505"/>
      <c r="L93" s="504"/>
      <c r="M93" s="506"/>
      <c r="N93" s="506"/>
      <c r="O93" s="506"/>
      <c r="P93" s="506"/>
      <c r="Q93" s="504"/>
      <c r="R93" s="507"/>
      <c r="S93" s="507"/>
      <c r="T93" s="508"/>
      <c r="U93" s="508"/>
      <c r="V93" s="508"/>
      <c r="W93" s="507"/>
      <c r="X93" s="507"/>
      <c r="Y93" s="508"/>
      <c r="Z93" s="507"/>
      <c r="AA93" s="507"/>
      <c r="AB93" s="508"/>
      <c r="AC93" s="508"/>
      <c r="AD93" s="508"/>
    </row>
    <row r="94" spans="1:30" ht="14" thickBot="1">
      <c r="A94" s="501"/>
      <c r="B94" s="502"/>
      <c r="C94" s="503"/>
      <c r="D94" s="504"/>
      <c r="E94" s="504"/>
      <c r="F94" s="504"/>
      <c r="G94" s="504"/>
      <c r="H94" s="504"/>
      <c r="I94" s="505"/>
      <c r="J94" s="504"/>
      <c r="K94" s="505"/>
      <c r="L94" s="504"/>
      <c r="M94" s="506"/>
      <c r="N94" s="506"/>
      <c r="O94" s="506"/>
      <c r="P94" s="506"/>
      <c r="Q94" s="504"/>
      <c r="R94" s="507"/>
      <c r="S94" s="507"/>
      <c r="T94" s="508"/>
      <c r="U94" s="508"/>
      <c r="V94" s="508"/>
      <c r="W94" s="507"/>
      <c r="X94" s="507"/>
      <c r="Y94" s="508"/>
      <c r="Z94" s="507"/>
      <c r="AA94" s="507"/>
      <c r="AB94" s="508"/>
      <c r="AC94" s="508"/>
      <c r="AD94" s="508"/>
    </row>
    <row r="95" spans="1:30" ht="14" thickBot="1">
      <c r="A95" s="501"/>
      <c r="B95" s="502"/>
      <c r="C95" s="503"/>
      <c r="D95" s="504"/>
      <c r="E95" s="504"/>
      <c r="F95" s="504"/>
      <c r="G95" s="504"/>
      <c r="H95" s="504"/>
      <c r="I95" s="505"/>
      <c r="J95" s="504"/>
      <c r="K95" s="505"/>
      <c r="L95" s="504"/>
      <c r="M95" s="506"/>
      <c r="N95" s="506"/>
      <c r="O95" s="506"/>
      <c r="P95" s="506"/>
      <c r="Q95" s="504"/>
      <c r="R95" s="507"/>
      <c r="S95" s="507"/>
      <c r="T95" s="508"/>
      <c r="U95" s="508"/>
      <c r="V95" s="508"/>
      <c r="W95" s="507"/>
      <c r="X95" s="507"/>
      <c r="Y95" s="508"/>
      <c r="Z95" s="507"/>
      <c r="AA95" s="507"/>
      <c r="AB95" s="508"/>
      <c r="AC95" s="508"/>
      <c r="AD95" s="508"/>
    </row>
    <row r="96" spans="1:30" ht="14" thickBot="1">
      <c r="A96" s="501"/>
      <c r="B96" s="502"/>
      <c r="C96" s="503"/>
      <c r="D96" s="504"/>
      <c r="E96" s="504"/>
      <c r="F96" s="504"/>
      <c r="G96" s="504"/>
      <c r="H96" s="504"/>
      <c r="I96" s="505"/>
      <c r="J96" s="504"/>
      <c r="K96" s="505"/>
      <c r="L96" s="504"/>
      <c r="M96" s="506"/>
      <c r="N96" s="506"/>
      <c r="O96" s="506"/>
      <c r="P96" s="506"/>
      <c r="Q96" s="504"/>
      <c r="R96" s="507"/>
      <c r="S96" s="507"/>
      <c r="T96" s="508"/>
      <c r="U96" s="508"/>
      <c r="V96" s="508"/>
      <c r="W96" s="507"/>
      <c r="X96" s="507"/>
      <c r="Y96" s="508"/>
      <c r="Z96" s="507"/>
      <c r="AA96" s="507"/>
      <c r="AB96" s="508"/>
      <c r="AC96" s="508"/>
      <c r="AD96" s="508"/>
    </row>
    <row r="97" spans="1:30" ht="14" thickBot="1">
      <c r="A97" s="501"/>
      <c r="B97" s="502"/>
      <c r="C97" s="503"/>
      <c r="D97" s="504"/>
      <c r="E97" s="504"/>
      <c r="F97" s="504"/>
      <c r="G97" s="504"/>
      <c r="H97" s="504"/>
      <c r="I97" s="505"/>
      <c r="J97" s="504"/>
      <c r="K97" s="505"/>
      <c r="L97" s="504"/>
      <c r="M97" s="506"/>
      <c r="N97" s="506"/>
      <c r="O97" s="506"/>
      <c r="P97" s="506"/>
      <c r="Q97" s="504"/>
      <c r="R97" s="507"/>
      <c r="S97" s="507"/>
      <c r="T97" s="508"/>
      <c r="U97" s="508"/>
      <c r="V97" s="508"/>
      <c r="W97" s="507"/>
      <c r="X97" s="507"/>
      <c r="Y97" s="508"/>
      <c r="Z97" s="507"/>
      <c r="AA97" s="507"/>
      <c r="AB97" s="508"/>
      <c r="AC97" s="508"/>
      <c r="AD97" s="508"/>
    </row>
    <row r="98" spans="1:30" ht="14" thickBot="1">
      <c r="A98" s="501"/>
      <c r="B98" s="502"/>
      <c r="C98" s="503"/>
      <c r="D98" s="504"/>
      <c r="E98" s="504"/>
      <c r="F98" s="504"/>
      <c r="G98" s="504"/>
      <c r="H98" s="504"/>
      <c r="I98" s="505"/>
      <c r="J98" s="504"/>
      <c r="K98" s="505"/>
      <c r="L98" s="504"/>
      <c r="M98" s="506"/>
      <c r="N98" s="506"/>
      <c r="O98" s="506"/>
      <c r="P98" s="506"/>
      <c r="Q98" s="504"/>
      <c r="R98" s="507"/>
      <c r="S98" s="507"/>
      <c r="T98" s="508"/>
      <c r="U98" s="508"/>
      <c r="V98" s="508"/>
      <c r="W98" s="507"/>
      <c r="X98" s="507"/>
      <c r="Y98" s="508"/>
      <c r="Z98" s="507"/>
      <c r="AA98" s="507"/>
      <c r="AB98" s="508"/>
      <c r="AC98" s="508"/>
      <c r="AD98" s="508"/>
    </row>
    <row r="99" spans="1:30" ht="14" thickBot="1">
      <c r="A99" s="501"/>
      <c r="B99" s="502"/>
      <c r="C99" s="503"/>
      <c r="D99" s="504"/>
      <c r="E99" s="504"/>
      <c r="F99" s="504"/>
      <c r="G99" s="504"/>
      <c r="H99" s="504"/>
      <c r="I99" s="505"/>
      <c r="J99" s="504"/>
      <c r="K99" s="505"/>
      <c r="L99" s="504"/>
      <c r="M99" s="506"/>
      <c r="N99" s="506"/>
      <c r="O99" s="506"/>
      <c r="P99" s="506"/>
      <c r="Q99" s="504"/>
      <c r="R99" s="507"/>
      <c r="S99" s="507"/>
      <c r="T99" s="508"/>
      <c r="U99" s="508"/>
      <c r="V99" s="508"/>
      <c r="W99" s="507"/>
      <c r="X99" s="507"/>
      <c r="Y99" s="508"/>
      <c r="Z99" s="507"/>
      <c r="AA99" s="507"/>
      <c r="AB99" s="508"/>
      <c r="AC99" s="508"/>
      <c r="AD99" s="508"/>
    </row>
    <row r="100" spans="1:30" ht="14" thickBot="1">
      <c r="A100" s="501"/>
      <c r="B100" s="502"/>
      <c r="C100" s="503"/>
      <c r="D100" s="504"/>
      <c r="E100" s="504"/>
      <c r="F100" s="504"/>
      <c r="G100" s="504"/>
      <c r="H100" s="504"/>
      <c r="I100" s="505"/>
      <c r="J100" s="504"/>
      <c r="K100" s="505"/>
      <c r="L100" s="504"/>
      <c r="M100" s="506"/>
      <c r="N100" s="506"/>
      <c r="O100" s="506"/>
      <c r="P100" s="506"/>
      <c r="Q100" s="504"/>
      <c r="R100" s="507"/>
      <c r="S100" s="507"/>
      <c r="T100" s="508"/>
      <c r="U100" s="508"/>
      <c r="V100" s="508"/>
      <c r="W100" s="507"/>
      <c r="X100" s="507"/>
      <c r="Y100" s="508"/>
      <c r="Z100" s="507"/>
      <c r="AA100" s="507"/>
      <c r="AB100" s="508"/>
      <c r="AC100" s="508"/>
      <c r="AD100" s="508"/>
    </row>
    <row r="101" spans="1:30" ht="14" thickBot="1">
      <c r="A101" s="501"/>
      <c r="B101" s="502"/>
      <c r="C101" s="503"/>
      <c r="D101" s="504"/>
      <c r="E101" s="504"/>
      <c r="F101" s="504"/>
      <c r="G101" s="504"/>
      <c r="H101" s="504"/>
      <c r="I101" s="505"/>
      <c r="J101" s="504"/>
      <c r="K101" s="505"/>
      <c r="L101" s="504"/>
      <c r="M101" s="506"/>
      <c r="N101" s="506"/>
      <c r="O101" s="506"/>
      <c r="P101" s="506"/>
      <c r="Q101" s="504"/>
      <c r="R101" s="507"/>
      <c r="S101" s="507"/>
      <c r="T101" s="508"/>
      <c r="U101" s="508"/>
      <c r="V101" s="508"/>
      <c r="W101" s="507"/>
      <c r="X101" s="507"/>
      <c r="Y101" s="508"/>
      <c r="Z101" s="507"/>
      <c r="AA101" s="507"/>
      <c r="AB101" s="508"/>
      <c r="AC101" s="508"/>
      <c r="AD101" s="508"/>
    </row>
    <row r="102" spans="1:30" ht="14" thickBot="1">
      <c r="A102" s="501"/>
      <c r="B102" s="502"/>
      <c r="C102" s="503"/>
      <c r="D102" s="504"/>
      <c r="E102" s="504"/>
      <c r="F102" s="504"/>
      <c r="G102" s="504"/>
      <c r="H102" s="504"/>
      <c r="I102" s="505"/>
      <c r="J102" s="504"/>
      <c r="K102" s="505"/>
      <c r="L102" s="504"/>
      <c r="M102" s="506"/>
      <c r="N102" s="506"/>
      <c r="O102" s="506"/>
      <c r="P102" s="506"/>
      <c r="Q102" s="504"/>
      <c r="R102" s="507"/>
      <c r="S102" s="507"/>
      <c r="T102" s="508"/>
      <c r="U102" s="508"/>
      <c r="V102" s="508"/>
      <c r="W102" s="507"/>
      <c r="X102" s="507"/>
      <c r="Y102" s="508"/>
      <c r="Z102" s="507"/>
      <c r="AA102" s="507"/>
      <c r="AB102" s="508"/>
      <c r="AC102" s="508"/>
      <c r="AD102" s="508"/>
    </row>
    <row r="103" spans="1:30" s="248" customFormat="1" ht="14" thickBot="1">
      <c r="A103" s="510" t="s">
        <v>1441</v>
      </c>
      <c r="B103" s="511">
        <v>81</v>
      </c>
      <c r="C103" s="512">
        <v>7779661.79</v>
      </c>
      <c r="D103" s="513">
        <v>2834.4985302503737</v>
      </c>
      <c r="E103" s="513">
        <v>2684.4029334763668</v>
      </c>
      <c r="F103" s="513">
        <v>438.15717657438165</v>
      </c>
      <c r="G103" s="513">
        <v>3122.5601100507488</v>
      </c>
      <c r="H103" s="514">
        <v>-12.143465525896614</v>
      </c>
      <c r="I103" s="515">
        <v>157.51886110462908</v>
      </c>
      <c r="J103" s="513">
        <v>28.858813127145012</v>
      </c>
      <c r="K103" s="515">
        <v>671.91784070345807</v>
      </c>
      <c r="L103" s="513">
        <v>400.49845433319268</v>
      </c>
      <c r="M103" s="516">
        <v>0.94704686025688301</v>
      </c>
      <c r="N103" s="516" t="s">
        <v>35</v>
      </c>
      <c r="O103" s="516">
        <v>5.5200957332831029E-2</v>
      </c>
      <c r="P103" s="516">
        <v>0.14129428893999679</v>
      </c>
      <c r="Q103" s="513"/>
      <c r="R103" s="517">
        <v>22424.189567730005</v>
      </c>
      <c r="S103" s="517">
        <v>22199.677761949999</v>
      </c>
      <c r="T103" s="517">
        <v>22051.439909599991</v>
      </c>
      <c r="U103" s="517">
        <v>20883.746930530004</v>
      </c>
      <c r="V103" s="517">
        <v>3408.7146446100001</v>
      </c>
      <c r="W103" s="517">
        <v>24292.461575140005</v>
      </c>
      <c r="X103" s="517">
        <v>-94.472054750000154</v>
      </c>
      <c r="Y103" s="517">
        <v>5227.2935513399998</v>
      </c>
      <c r="Z103" s="517">
        <v>3115.7425221299991</v>
      </c>
      <c r="AA103" s="517">
        <v>2091.9860224900003</v>
      </c>
      <c r="AB103" s="517">
        <v>2600.8271815334992</v>
      </c>
      <c r="AC103" s="517">
        <v>818.54474731749997</v>
      </c>
      <c r="AD103" s="517">
        <v>-303.6294067209999</v>
      </c>
    </row>
    <row r="104" spans="1:30" ht="15.75" customHeight="1" thickBot="1">
      <c r="A104" s="518" t="s">
        <v>678</v>
      </c>
      <c r="C104" s="519"/>
      <c r="D104" s="520"/>
      <c r="E104" s="520"/>
      <c r="F104" s="520"/>
      <c r="G104" s="520"/>
      <c r="H104" s="521"/>
      <c r="I104" s="520"/>
      <c r="J104" s="522"/>
      <c r="K104" s="523"/>
      <c r="L104" s="524"/>
      <c r="M104" s="524"/>
      <c r="N104" s="520"/>
      <c r="O104" s="524"/>
      <c r="P104" s="520"/>
      <c r="Q104" s="524"/>
      <c r="R104" s="521"/>
    </row>
    <row r="106" spans="1:30">
      <c r="A106" s="526" t="s">
        <v>820</v>
      </c>
    </row>
    <row r="108" spans="1:30" ht="7.5" customHeight="1"/>
    <row r="109" spans="1:30" ht="24.75" customHeight="1">
      <c r="A109" s="1823" t="s">
        <v>677</v>
      </c>
      <c r="B109" s="1810"/>
    </row>
  </sheetData>
  <mergeCells count="2">
    <mergeCell ref="A2:B2"/>
    <mergeCell ref="A109:B109"/>
  </mergeCells>
  <pageMargins left="0.35433070866141736" right="0.43307086614173229" top="0.43307086614173229" bottom="0.43307086614173229" header="0.31496062992125984" footer="0.27559055118110237"/>
  <pageSetup paperSize="9" scale="46" fitToHeight="2" pageOrder="overThenDown" orientation="portrait"/>
  <headerFooter alignWithMargins="0">
    <oddFooter>&amp;R&amp;P/&amp;N</oddFooter>
  </headerFooter>
  <colBreaks count="1" manualBreakCount="1">
    <brk id="17" max="1048575" man="1"/>
  </colBreaks>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FE70F-D19A-A640-BAD3-63FC376312E3}">
  <sheetPr>
    <pageSetUpPr fitToPage="1"/>
  </sheetPr>
  <dimension ref="A1:K97"/>
  <sheetViews>
    <sheetView topLeftCell="A20" zoomScale="115" zoomScaleNormal="115" workbookViewId="0">
      <selection activeCell="A22" sqref="A22"/>
    </sheetView>
  </sheetViews>
  <sheetFormatPr baseColWidth="10" defaultColWidth="11.3984375" defaultRowHeight="13"/>
  <cols>
    <col min="1" max="1" width="14" style="552" customWidth="1"/>
    <col min="2" max="2" width="11.796875" style="3" customWidth="1"/>
    <col min="3" max="3" width="12.796875" style="49" customWidth="1"/>
    <col min="4" max="4" width="12.19921875" style="3" customWidth="1"/>
    <col min="5" max="5" width="12.3984375" style="49" customWidth="1"/>
    <col min="6" max="6" width="9.59765625" style="3" customWidth="1"/>
    <col min="7" max="7" width="11.19921875" style="49" customWidth="1"/>
    <col min="8" max="8" width="11.3984375" style="3"/>
    <col min="9" max="9" width="11.59765625" style="3" customWidth="1"/>
    <col min="10" max="10" width="10.796875" style="3" customWidth="1"/>
    <col min="11" max="11" width="18" style="3" customWidth="1"/>
    <col min="12" max="16384" width="11.3984375" style="3"/>
  </cols>
  <sheetData>
    <row r="1" spans="1:11" s="2" customFormat="1" ht="21" customHeight="1">
      <c r="A1" s="1824" t="s">
        <v>821</v>
      </c>
      <c r="B1" s="1825"/>
      <c r="C1" s="1825"/>
      <c r="D1" s="1825"/>
      <c r="E1" s="1825"/>
      <c r="F1" s="1825"/>
      <c r="G1" s="1825"/>
      <c r="H1" s="1825"/>
      <c r="I1" s="527"/>
      <c r="K1" s="528">
        <v>2010</v>
      </c>
    </row>
    <row r="2" spans="1:11" s="2" customFormat="1" ht="9.75" customHeight="1">
      <c r="A2" s="529"/>
      <c r="B2" s="24"/>
      <c r="C2"/>
      <c r="D2"/>
      <c r="E2"/>
      <c r="F2"/>
      <c r="G2"/>
      <c r="H2"/>
      <c r="I2"/>
      <c r="J2"/>
    </row>
    <row r="3" spans="1:11" s="2" customFormat="1" ht="13.5" customHeight="1">
      <c r="A3" s="530" t="s">
        <v>822</v>
      </c>
      <c r="B3" s="24"/>
      <c r="C3"/>
      <c r="D3"/>
      <c r="E3"/>
      <c r="F3"/>
      <c r="G3"/>
      <c r="H3"/>
      <c r="I3"/>
      <c r="J3"/>
    </row>
    <row r="4" spans="1:11" s="2" customFormat="1" ht="13.5" customHeight="1">
      <c r="A4" s="531" t="s">
        <v>823</v>
      </c>
      <c r="B4" s="24"/>
      <c r="C4"/>
      <c r="D4"/>
      <c r="E4"/>
      <c r="F4"/>
      <c r="G4"/>
      <c r="H4"/>
      <c r="I4"/>
      <c r="J4"/>
    </row>
    <row r="5" spans="1:11" s="2" customFormat="1" ht="10.5" customHeight="1">
      <c r="A5" s="529"/>
      <c r="B5" s="24"/>
      <c r="C5"/>
      <c r="D5"/>
      <c r="E5"/>
      <c r="F5"/>
      <c r="G5"/>
      <c r="H5"/>
      <c r="I5"/>
      <c r="J5"/>
    </row>
    <row r="6" spans="1:11" ht="14.25" customHeight="1">
      <c r="A6" s="530" t="s">
        <v>824</v>
      </c>
      <c r="B6"/>
      <c r="C6"/>
      <c r="D6"/>
      <c r="E6"/>
      <c r="F6"/>
      <c r="G6"/>
      <c r="H6"/>
      <c r="I6"/>
      <c r="J6"/>
    </row>
    <row r="7" spans="1:11" ht="15" customHeight="1">
      <c r="A7" s="532" t="s">
        <v>825</v>
      </c>
      <c r="B7"/>
      <c r="C7"/>
      <c r="D7"/>
      <c r="E7"/>
      <c r="F7"/>
      <c r="G7"/>
      <c r="H7"/>
      <c r="I7"/>
      <c r="J7"/>
    </row>
    <row r="8" spans="1:11" ht="11.25" customHeight="1">
      <c r="A8" s="532"/>
      <c r="B8"/>
      <c r="C8"/>
      <c r="D8"/>
      <c r="E8"/>
      <c r="F8"/>
      <c r="G8"/>
      <c r="H8"/>
      <c r="I8"/>
      <c r="J8"/>
    </row>
    <row r="9" spans="1:11" ht="13.5" customHeight="1">
      <c r="A9" s="530" t="s">
        <v>826</v>
      </c>
      <c r="B9"/>
      <c r="C9"/>
      <c r="D9"/>
      <c r="E9"/>
      <c r="F9"/>
      <c r="G9"/>
      <c r="H9"/>
      <c r="I9"/>
      <c r="J9"/>
    </row>
    <row r="10" spans="1:11" ht="17.25" customHeight="1">
      <c r="A10" s="532" t="s">
        <v>827</v>
      </c>
      <c r="B10" s="533"/>
      <c r="C10" s="533"/>
      <c r="D10" s="533"/>
      <c r="E10" s="533"/>
      <c r="F10" s="533"/>
      <c r="G10" s="533"/>
      <c r="H10" s="533"/>
      <c r="I10" s="533"/>
      <c r="J10" s="533"/>
    </row>
    <row r="11" spans="1:11" ht="8.25" customHeight="1">
      <c r="A11" s="532"/>
      <c r="B11"/>
      <c r="C11"/>
      <c r="D11"/>
      <c r="E11"/>
      <c r="F11"/>
      <c r="G11"/>
      <c r="H11"/>
      <c r="I11"/>
      <c r="J11"/>
    </row>
    <row r="12" spans="1:11" ht="15.75" customHeight="1">
      <c r="A12" s="530" t="s">
        <v>828</v>
      </c>
      <c r="B12"/>
      <c r="C12"/>
      <c r="D12"/>
      <c r="E12"/>
      <c r="F12"/>
      <c r="G12"/>
      <c r="H12"/>
      <c r="I12"/>
      <c r="J12"/>
      <c r="K12" s="9"/>
    </row>
    <row r="13" spans="1:11" ht="14.25" customHeight="1">
      <c r="A13" s="532" t="s">
        <v>829</v>
      </c>
      <c r="B13"/>
      <c r="C13"/>
      <c r="D13"/>
      <c r="E13"/>
      <c r="F13"/>
      <c r="G13"/>
      <c r="H13"/>
      <c r="I13"/>
      <c r="J13"/>
    </row>
    <row r="14" spans="1:11" ht="9.75" customHeight="1">
      <c r="A14" s="532"/>
      <c r="B14"/>
      <c r="C14"/>
      <c r="D14"/>
      <c r="E14"/>
      <c r="F14"/>
      <c r="G14"/>
      <c r="H14"/>
      <c r="I14"/>
      <c r="J14"/>
    </row>
    <row r="15" spans="1:11" ht="16.5" customHeight="1">
      <c r="A15" s="530" t="s">
        <v>830</v>
      </c>
      <c r="B15"/>
      <c r="C15"/>
      <c r="D15"/>
      <c r="E15"/>
      <c r="F15"/>
      <c r="G15"/>
      <c r="H15"/>
      <c r="I15"/>
      <c r="J15"/>
    </row>
    <row r="16" spans="1:11" ht="15.75" customHeight="1">
      <c r="A16" s="532" t="s">
        <v>831</v>
      </c>
      <c r="B16" s="533"/>
      <c r="C16" s="533"/>
      <c r="D16" s="533"/>
      <c r="E16" s="533"/>
      <c r="F16" s="533"/>
      <c r="G16" s="533"/>
      <c r="H16" s="533"/>
      <c r="I16" s="533"/>
      <c r="J16" s="533"/>
    </row>
    <row r="17" spans="1:10" ht="12.75" customHeight="1">
      <c r="A17" s="532" t="s">
        <v>832</v>
      </c>
      <c r="B17" s="533"/>
      <c r="C17" s="533"/>
      <c r="D17" s="533"/>
      <c r="E17" s="533"/>
      <c r="F17" s="533"/>
      <c r="G17" s="533"/>
      <c r="H17" s="533"/>
      <c r="I17" s="533"/>
      <c r="J17" s="533"/>
    </row>
    <row r="18" spans="1:10" ht="15.75" customHeight="1">
      <c r="A18" s="532" t="s">
        <v>833</v>
      </c>
      <c r="B18" s="533"/>
      <c r="C18" s="533"/>
      <c r="D18" s="533"/>
      <c r="E18" s="533"/>
      <c r="F18" s="533"/>
      <c r="G18" s="533"/>
      <c r="H18" s="533"/>
      <c r="I18" s="533"/>
      <c r="J18" s="533"/>
    </row>
    <row r="19" spans="1:10" ht="15.75" customHeight="1">
      <c r="A19" s="532" t="s">
        <v>834</v>
      </c>
      <c r="B19" s="533"/>
      <c r="C19" s="533"/>
      <c r="D19" s="533"/>
      <c r="E19" s="533"/>
      <c r="F19" s="533"/>
      <c r="G19" s="533"/>
      <c r="H19" s="533"/>
      <c r="I19" s="533"/>
      <c r="J19" s="533"/>
    </row>
    <row r="20" spans="1:10" ht="12" customHeight="1">
      <c r="A20" s="532"/>
      <c r="B20"/>
      <c r="C20"/>
      <c r="D20"/>
      <c r="E20"/>
      <c r="F20"/>
      <c r="G20"/>
      <c r="H20"/>
      <c r="I20"/>
      <c r="J20"/>
    </row>
    <row r="21" spans="1:10" ht="14.25" customHeight="1">
      <c r="A21" s="530" t="s">
        <v>835</v>
      </c>
      <c r="B21"/>
      <c r="C21"/>
      <c r="D21"/>
      <c r="E21"/>
      <c r="F21"/>
      <c r="G21"/>
      <c r="H21"/>
      <c r="I21"/>
      <c r="J21"/>
    </row>
    <row r="22" spans="1:10" ht="17.25" customHeight="1">
      <c r="A22" s="532" t="s">
        <v>836</v>
      </c>
      <c r="B22" s="533"/>
      <c r="C22" s="533"/>
      <c r="D22" s="533"/>
      <c r="E22" s="533"/>
      <c r="F22" s="533"/>
      <c r="G22" s="533"/>
      <c r="H22" s="533"/>
      <c r="I22" s="533"/>
      <c r="J22" s="533"/>
    </row>
    <row r="23" spans="1:10" ht="13.5" customHeight="1">
      <c r="A23" s="532" t="s">
        <v>837</v>
      </c>
      <c r="B23" s="533"/>
      <c r="C23" s="533"/>
      <c r="D23" s="533"/>
      <c r="E23" s="533"/>
      <c r="F23" s="533"/>
      <c r="G23" s="533"/>
      <c r="H23" s="533"/>
      <c r="I23" s="533"/>
      <c r="J23" s="533"/>
    </row>
    <row r="24" spans="1:10" ht="13.5" customHeight="1">
      <c r="A24" s="532"/>
      <c r="B24"/>
      <c r="C24"/>
      <c r="D24"/>
      <c r="E24"/>
      <c r="F24"/>
      <c r="G24"/>
      <c r="H24"/>
      <c r="I24"/>
      <c r="J24"/>
    </row>
    <row r="25" spans="1:10" ht="15.75" customHeight="1">
      <c r="A25" s="530" t="s">
        <v>838</v>
      </c>
      <c r="B25"/>
      <c r="C25"/>
      <c r="D25"/>
      <c r="E25"/>
      <c r="F25"/>
      <c r="G25"/>
      <c r="H25"/>
      <c r="I25"/>
      <c r="J25"/>
    </row>
    <row r="26" spans="1:10" ht="15.75" customHeight="1">
      <c r="A26" s="532" t="s">
        <v>839</v>
      </c>
      <c r="B26" s="533"/>
      <c r="C26" s="533"/>
      <c r="D26" s="533"/>
      <c r="E26" s="533"/>
      <c r="F26" s="533"/>
      <c r="G26" s="533"/>
      <c r="H26" s="533"/>
      <c r="I26" s="533"/>
      <c r="J26" s="533"/>
    </row>
    <row r="27" spans="1:10" ht="14.25" customHeight="1">
      <c r="A27" s="532" t="s">
        <v>840</v>
      </c>
      <c r="B27" s="533"/>
      <c r="C27" s="533"/>
      <c r="D27" s="533"/>
      <c r="E27" s="533"/>
      <c r="F27" s="533"/>
      <c r="G27" s="533"/>
      <c r="H27" s="533"/>
      <c r="I27" s="533"/>
      <c r="J27" s="533"/>
    </row>
    <row r="28" spans="1:10" ht="9.75" customHeight="1">
      <c r="A28" s="532"/>
      <c r="B28"/>
      <c r="C28"/>
      <c r="D28"/>
      <c r="E28"/>
      <c r="F28"/>
      <c r="G28"/>
      <c r="H28"/>
      <c r="I28"/>
      <c r="J28"/>
    </row>
    <row r="29" spans="1:10">
      <c r="A29" s="530" t="s">
        <v>841</v>
      </c>
      <c r="B29"/>
      <c r="C29"/>
      <c r="D29"/>
      <c r="E29"/>
      <c r="F29"/>
      <c r="G29"/>
      <c r="H29"/>
      <c r="I29"/>
      <c r="J29"/>
    </row>
    <row r="30" spans="1:10" ht="18" customHeight="1">
      <c r="A30" s="532" t="s">
        <v>842</v>
      </c>
      <c r="B30" s="533"/>
      <c r="C30" s="533"/>
      <c r="D30" s="533"/>
      <c r="E30" s="533"/>
      <c r="F30" s="533"/>
      <c r="G30" s="533"/>
      <c r="H30" s="533"/>
      <c r="I30" s="533"/>
      <c r="J30" s="533"/>
    </row>
    <row r="31" spans="1:10" ht="10.5" customHeight="1">
      <c r="A31" s="532"/>
      <c r="B31"/>
      <c r="C31"/>
      <c r="D31"/>
      <c r="E31"/>
      <c r="F31"/>
      <c r="G31"/>
      <c r="H31"/>
      <c r="I31"/>
      <c r="J31"/>
    </row>
    <row r="32" spans="1:10">
      <c r="A32" s="530" t="s">
        <v>843</v>
      </c>
      <c r="B32"/>
      <c r="C32"/>
      <c r="D32"/>
      <c r="E32"/>
      <c r="F32"/>
      <c r="G32"/>
      <c r="H32"/>
      <c r="I32"/>
      <c r="J32"/>
    </row>
    <row r="33" spans="1:11" ht="17.25" customHeight="1">
      <c r="A33" s="532" t="s">
        <v>844</v>
      </c>
      <c r="B33" s="533"/>
      <c r="C33" s="533"/>
      <c r="D33" s="533"/>
      <c r="E33" s="533"/>
      <c r="F33" s="533"/>
      <c r="G33" s="533"/>
      <c r="H33" s="533"/>
      <c r="I33" s="533"/>
      <c r="J33" s="533"/>
    </row>
    <row r="34" spans="1:11" ht="14.25" customHeight="1">
      <c r="A34" s="532" t="s">
        <v>845</v>
      </c>
      <c r="B34" s="533"/>
      <c r="C34" s="533"/>
      <c r="D34" s="533"/>
      <c r="E34" s="533"/>
      <c r="F34" s="533"/>
      <c r="G34" s="533"/>
      <c r="H34" s="533"/>
      <c r="I34" s="533"/>
      <c r="J34" s="533"/>
    </row>
    <row r="35" spans="1:11" ht="14.25" customHeight="1">
      <c r="A35" s="532" t="s">
        <v>846</v>
      </c>
      <c r="B35" s="533"/>
      <c r="C35" s="533"/>
      <c r="D35" s="533"/>
      <c r="E35" s="533"/>
      <c r="F35" s="533"/>
      <c r="G35" s="533"/>
      <c r="H35" s="533"/>
      <c r="I35" s="533"/>
      <c r="J35" s="533"/>
      <c r="K35" s="4"/>
    </row>
    <row r="36" spans="1:11" ht="10.5" customHeight="1">
      <c r="A36" s="532"/>
      <c r="B36"/>
      <c r="C36"/>
      <c r="D36"/>
      <c r="E36"/>
      <c r="F36"/>
      <c r="G36"/>
      <c r="H36"/>
      <c r="I36"/>
      <c r="J36"/>
    </row>
    <row r="37" spans="1:11">
      <c r="A37" s="530" t="s">
        <v>847</v>
      </c>
      <c r="B37"/>
      <c r="C37"/>
      <c r="D37"/>
      <c r="E37"/>
      <c r="F37"/>
      <c r="G37"/>
      <c r="H37"/>
      <c r="I37"/>
      <c r="J37"/>
    </row>
    <row r="38" spans="1:11" ht="16.5" customHeight="1">
      <c r="A38" s="532" t="s">
        <v>848</v>
      </c>
      <c r="B38" s="533"/>
      <c r="C38" s="533"/>
      <c r="D38" s="533"/>
      <c r="E38" s="533"/>
      <c r="F38" s="533"/>
      <c r="G38" s="533"/>
      <c r="H38" s="533"/>
      <c r="I38" s="533"/>
      <c r="J38" s="533"/>
    </row>
    <row r="39" spans="1:11" ht="13.5" customHeight="1">
      <c r="A39" s="532" t="s">
        <v>849</v>
      </c>
      <c r="B39" s="533"/>
      <c r="C39" s="533"/>
      <c r="D39" s="533"/>
      <c r="E39" s="533"/>
      <c r="F39" s="533"/>
      <c r="G39" s="533"/>
      <c r="H39" s="533"/>
      <c r="I39" s="533"/>
      <c r="J39" s="533"/>
    </row>
    <row r="40" spans="1:11" ht="9.75" customHeight="1">
      <c r="A40" s="532"/>
      <c r="B40"/>
      <c r="C40"/>
      <c r="D40"/>
      <c r="E40"/>
      <c r="F40"/>
      <c r="G40"/>
      <c r="H40"/>
      <c r="I40"/>
      <c r="J40"/>
    </row>
    <row r="41" spans="1:11" ht="18" customHeight="1">
      <c r="A41" s="534" t="s">
        <v>501</v>
      </c>
      <c r="B41" s="535" t="s">
        <v>850</v>
      </c>
      <c r="C41" s="535" t="s">
        <v>851</v>
      </c>
      <c r="D41" s="535" t="s">
        <v>852</v>
      </c>
      <c r="E41" s="535" t="s">
        <v>853</v>
      </c>
      <c r="F41" s="535" t="s">
        <v>854</v>
      </c>
      <c r="G41" s="535" t="s">
        <v>855</v>
      </c>
      <c r="H41" s="535" t="s">
        <v>856</v>
      </c>
      <c r="I41" s="536" t="s">
        <v>857</v>
      </c>
      <c r="J41" s="536" t="s">
        <v>858</v>
      </c>
    </row>
    <row r="42" spans="1:11" ht="16.5" customHeight="1">
      <c r="A42" s="537" t="s">
        <v>859</v>
      </c>
      <c r="B42" s="538">
        <v>1.82</v>
      </c>
      <c r="C42" s="538">
        <v>0.96</v>
      </c>
      <c r="D42" s="538">
        <v>0.73</v>
      </c>
      <c r="E42" s="538">
        <v>0.52</v>
      </c>
      <c r="F42" s="538">
        <v>0.42</v>
      </c>
      <c r="G42" s="538">
        <v>0.34</v>
      </c>
      <c r="H42" s="538">
        <v>0.24</v>
      </c>
      <c r="I42" s="538">
        <v>0.2</v>
      </c>
      <c r="J42" s="538">
        <v>0.15</v>
      </c>
    </row>
    <row r="43" spans="1:11" ht="12.75" customHeight="1">
      <c r="A43" s="532"/>
      <c r="B43"/>
      <c r="C43"/>
      <c r="D43"/>
      <c r="E43"/>
      <c r="F43"/>
      <c r="G43"/>
      <c r="H43"/>
      <c r="I43"/>
      <c r="J43"/>
    </row>
    <row r="44" spans="1:11" ht="16.5" customHeight="1">
      <c r="A44" s="534" t="s">
        <v>501</v>
      </c>
      <c r="B44" s="539" t="s">
        <v>860</v>
      </c>
      <c r="C44" s="539" t="s">
        <v>861</v>
      </c>
      <c r="D44" s="539" t="s">
        <v>862</v>
      </c>
      <c r="E44" s="539" t="s">
        <v>863</v>
      </c>
      <c r="G44" s="3"/>
    </row>
    <row r="45" spans="1:11" ht="15.75" customHeight="1">
      <c r="A45" s="540" t="s">
        <v>864</v>
      </c>
      <c r="B45" s="541" t="s">
        <v>865</v>
      </c>
      <c r="C45" s="542">
        <v>0.2</v>
      </c>
      <c r="D45" s="542">
        <v>0.2</v>
      </c>
      <c r="E45" s="542">
        <v>0.15</v>
      </c>
      <c r="G45" s="3"/>
    </row>
    <row r="46" spans="1:11" ht="14.25" customHeight="1">
      <c r="A46" s="543">
        <v>2007</v>
      </c>
      <c r="B46" s="544" t="s">
        <v>865</v>
      </c>
      <c r="C46" s="545">
        <v>0.18</v>
      </c>
      <c r="D46" s="545">
        <v>0.16</v>
      </c>
      <c r="E46" s="545">
        <v>0.13</v>
      </c>
      <c r="F46"/>
      <c r="G46"/>
      <c r="H46"/>
      <c r="I46"/>
      <c r="J46"/>
    </row>
    <row r="47" spans="1:11" ht="14.25" customHeight="1">
      <c r="A47" s="543">
        <v>2008</v>
      </c>
      <c r="B47" s="544" t="s">
        <v>865</v>
      </c>
      <c r="C47" s="545">
        <v>0.16</v>
      </c>
      <c r="D47" s="545">
        <v>0.12</v>
      </c>
      <c r="E47" s="545">
        <v>0.11</v>
      </c>
      <c r="G47" s="3"/>
    </row>
    <row r="48" spans="1:11" ht="14.25" customHeight="1">
      <c r="A48" s="546" t="s">
        <v>866</v>
      </c>
      <c r="B48" s="547" t="s">
        <v>865</v>
      </c>
      <c r="C48" s="548">
        <v>0.15</v>
      </c>
      <c r="D48" s="548">
        <v>0.1</v>
      </c>
      <c r="E48" s="548">
        <v>0.1</v>
      </c>
      <c r="G48" s="3"/>
    </row>
    <row r="49" spans="1:7" ht="9" customHeight="1">
      <c r="A49" s="549"/>
      <c r="C49" s="3"/>
      <c r="E49" s="3"/>
      <c r="G49" s="3"/>
    </row>
    <row r="50" spans="1:7" ht="15" customHeight="1">
      <c r="A50" s="549" t="s">
        <v>867</v>
      </c>
      <c r="C50" s="3"/>
      <c r="E50" s="3"/>
      <c r="G50" s="3"/>
    </row>
    <row r="51" spans="1:7" ht="15" customHeight="1">
      <c r="A51" s="532" t="s">
        <v>868</v>
      </c>
      <c r="C51" s="3"/>
      <c r="E51" s="3"/>
      <c r="G51" s="3"/>
    </row>
    <row r="52" spans="1:7" ht="11.25" customHeight="1">
      <c r="A52" s="549"/>
      <c r="C52" s="3"/>
      <c r="E52" s="3"/>
      <c r="G52" s="3"/>
    </row>
    <row r="53" spans="1:7" ht="14.25" customHeight="1">
      <c r="A53" s="550" t="s">
        <v>869</v>
      </c>
      <c r="C53" s="3"/>
      <c r="E53" s="3"/>
      <c r="G53" s="3"/>
    </row>
    <row r="54" spans="1:7" ht="16.5" customHeight="1">
      <c r="A54" s="549" t="s">
        <v>870</v>
      </c>
      <c r="C54" s="3"/>
      <c r="E54" s="3"/>
      <c r="G54" s="3"/>
    </row>
    <row r="55" spans="1:7" ht="11.25" customHeight="1">
      <c r="A55" s="549"/>
      <c r="C55" s="3"/>
      <c r="E55" s="3"/>
      <c r="G55" s="3"/>
    </row>
    <row r="56" spans="1:7" ht="13.5" customHeight="1">
      <c r="A56" s="550" t="s">
        <v>871</v>
      </c>
      <c r="C56" s="3"/>
      <c r="E56" s="3"/>
      <c r="G56" s="3"/>
    </row>
    <row r="57" spans="1:7" ht="13.5" customHeight="1">
      <c r="A57" s="549" t="s">
        <v>872</v>
      </c>
      <c r="C57" s="3"/>
      <c r="E57" s="3"/>
      <c r="G57" s="3"/>
    </row>
    <row r="58" spans="1:7" ht="16.5" customHeight="1">
      <c r="A58" s="549" t="s">
        <v>873</v>
      </c>
      <c r="C58" s="3"/>
      <c r="E58" s="3"/>
      <c r="G58" s="3"/>
    </row>
    <row r="59" spans="1:7" ht="11.25" customHeight="1">
      <c r="A59" s="549"/>
      <c r="C59" s="3"/>
      <c r="E59" s="3"/>
      <c r="G59" s="3"/>
    </row>
    <row r="60" spans="1:7" ht="17.25" customHeight="1">
      <c r="A60" s="530" t="s">
        <v>874</v>
      </c>
      <c r="C60" s="3"/>
      <c r="E60" s="3"/>
      <c r="G60" s="3"/>
    </row>
    <row r="61" spans="1:7" ht="16.5" customHeight="1">
      <c r="A61" s="532" t="s">
        <v>875</v>
      </c>
      <c r="C61" s="3"/>
      <c r="E61" s="3"/>
      <c r="G61" s="3"/>
    </row>
    <row r="62" spans="1:7" ht="16.5" customHeight="1">
      <c r="A62" s="530" t="s">
        <v>876</v>
      </c>
      <c r="C62" s="3"/>
      <c r="E62" s="3"/>
      <c r="G62" s="3"/>
    </row>
    <row r="63" spans="1:7" ht="10.5" customHeight="1">
      <c r="A63" s="551"/>
      <c r="C63" s="3"/>
      <c r="E63" s="3"/>
      <c r="G63" s="3"/>
    </row>
    <row r="64" spans="1:7" ht="17.25" customHeight="1">
      <c r="A64" s="530" t="s">
        <v>877</v>
      </c>
      <c r="C64" s="3"/>
      <c r="E64" s="3"/>
      <c r="G64" s="3"/>
    </row>
    <row r="65" spans="1:10" ht="17.25" customHeight="1">
      <c r="A65" s="532" t="s">
        <v>878</v>
      </c>
      <c r="C65" s="3"/>
      <c r="E65" s="3"/>
      <c r="G65" s="3"/>
    </row>
    <row r="66" spans="1:10" ht="16.5" customHeight="1">
      <c r="A66" s="324" t="s">
        <v>879</v>
      </c>
      <c r="C66" s="3"/>
      <c r="E66" s="3"/>
      <c r="G66" s="3"/>
    </row>
    <row r="67" spans="1:10" ht="10.5" customHeight="1">
      <c r="A67" s="324"/>
      <c r="C67" s="3"/>
      <c r="E67" s="3"/>
      <c r="G67" s="3"/>
    </row>
    <row r="68" spans="1:10" ht="14.25" customHeight="1">
      <c r="A68" s="530" t="s">
        <v>880</v>
      </c>
      <c r="C68" s="3"/>
      <c r="E68" s="3"/>
      <c r="G68" s="3"/>
    </row>
    <row r="69" spans="1:10" ht="17.25" customHeight="1">
      <c r="A69" s="552" t="s">
        <v>881</v>
      </c>
      <c r="C69" s="3"/>
      <c r="E69" s="3"/>
      <c r="G69" s="3"/>
    </row>
    <row r="70" spans="1:10" ht="9.75" customHeight="1">
      <c r="C70" s="3"/>
      <c r="E70" s="3"/>
      <c r="G70" s="3"/>
    </row>
    <row r="71" spans="1:10" ht="18" customHeight="1">
      <c r="A71" s="530" t="s">
        <v>882</v>
      </c>
      <c r="C71" s="3"/>
      <c r="E71" s="3"/>
      <c r="G71" s="3"/>
    </row>
    <row r="72" spans="1:10" ht="12" customHeight="1">
      <c r="A72" s="549"/>
      <c r="C72" s="3"/>
      <c r="E72" s="3"/>
      <c r="G72" s="3"/>
    </row>
    <row r="73" spans="1:10" ht="15" customHeight="1">
      <c r="B73" s="553" t="s">
        <v>883</v>
      </c>
      <c r="C73" s="3"/>
      <c r="E73" s="3"/>
      <c r="G73" s="3"/>
    </row>
    <row r="74" spans="1:10">
      <c r="A74" s="554">
        <v>0</v>
      </c>
      <c r="B74" s="555" t="s">
        <v>884</v>
      </c>
      <c r="C74" s="96"/>
      <c r="D74" s="96"/>
      <c r="E74" s="96"/>
      <c r="G74" s="3"/>
    </row>
    <row r="75" spans="1:10">
      <c r="A75" s="554">
        <v>1</v>
      </c>
      <c r="B75" s="555" t="s">
        <v>885</v>
      </c>
      <c r="C75" s="96"/>
      <c r="D75" s="96"/>
      <c r="E75" s="96"/>
      <c r="G75" s="556" t="s">
        <v>356</v>
      </c>
      <c r="H75" s="557" t="s">
        <v>886</v>
      </c>
      <c r="I75" s="96"/>
      <c r="J75" s="96"/>
    </row>
    <row r="76" spans="1:10">
      <c r="A76" s="554">
        <v>2</v>
      </c>
      <c r="B76" s="555" t="s">
        <v>887</v>
      </c>
      <c r="C76" s="96"/>
      <c r="D76" s="96"/>
      <c r="E76" s="96"/>
      <c r="G76" s="554" t="s">
        <v>372</v>
      </c>
      <c r="H76" s="555" t="s">
        <v>888</v>
      </c>
      <c r="I76" s="96"/>
      <c r="J76" s="96"/>
    </row>
    <row r="77" spans="1:10">
      <c r="A77" s="554" t="s">
        <v>342</v>
      </c>
      <c r="B77" s="555" t="s">
        <v>889</v>
      </c>
      <c r="C77" s="96"/>
      <c r="D77" s="96"/>
      <c r="E77" s="96"/>
      <c r="G77" s="558" t="s">
        <v>358</v>
      </c>
      <c r="H77" s="557" t="s">
        <v>890</v>
      </c>
      <c r="I77" s="96"/>
      <c r="J77" s="96"/>
    </row>
    <row r="78" spans="1:10">
      <c r="A78" s="554" t="s">
        <v>344</v>
      </c>
      <c r="B78" s="557" t="s">
        <v>891</v>
      </c>
      <c r="C78" s="96"/>
      <c r="D78" s="96"/>
      <c r="E78" s="96"/>
      <c r="G78" s="556" t="s">
        <v>814</v>
      </c>
      <c r="H78" s="557" t="s">
        <v>892</v>
      </c>
      <c r="I78" s="96"/>
      <c r="J78" s="96"/>
    </row>
    <row r="79" spans="1:10">
      <c r="A79" s="554" t="s">
        <v>816</v>
      </c>
      <c r="B79" s="555" t="s">
        <v>893</v>
      </c>
      <c r="C79" s="96"/>
      <c r="D79" s="96"/>
      <c r="E79" s="96"/>
      <c r="G79" s="559">
        <v>10</v>
      </c>
      <c r="H79" s="560" t="s">
        <v>894</v>
      </c>
      <c r="I79" s="96"/>
      <c r="J79" s="96"/>
    </row>
    <row r="80" spans="1:10">
      <c r="A80" s="554" t="s">
        <v>812</v>
      </c>
      <c r="B80" s="555" t="s">
        <v>895</v>
      </c>
      <c r="C80" s="96"/>
      <c r="D80" s="96"/>
      <c r="E80" s="96"/>
      <c r="G80" s="559" t="s">
        <v>817</v>
      </c>
      <c r="H80" s="560" t="s">
        <v>896</v>
      </c>
      <c r="I80" s="96"/>
      <c r="J80" s="96"/>
    </row>
    <row r="81" spans="1:10">
      <c r="A81" s="554" t="s">
        <v>813</v>
      </c>
      <c r="B81" s="555" t="s">
        <v>897</v>
      </c>
      <c r="C81" s="96"/>
      <c r="D81" s="96"/>
      <c r="E81" s="96"/>
      <c r="G81" s="559" t="s">
        <v>818</v>
      </c>
      <c r="H81" s="560" t="s">
        <v>898</v>
      </c>
      <c r="I81" s="96"/>
      <c r="J81" s="96"/>
    </row>
    <row r="82" spans="1:10">
      <c r="A82" s="554" t="s">
        <v>815</v>
      </c>
      <c r="B82" s="555" t="s">
        <v>899</v>
      </c>
      <c r="C82" s="96"/>
      <c r="D82" s="96"/>
      <c r="E82" s="96"/>
      <c r="G82" s="559" t="s">
        <v>819</v>
      </c>
      <c r="H82" s="560" t="s">
        <v>900</v>
      </c>
      <c r="I82" s="96"/>
      <c r="J82" s="96"/>
    </row>
    <row r="83" spans="1:10">
      <c r="A83" s="558" t="s">
        <v>811</v>
      </c>
      <c r="B83" s="557" t="s">
        <v>901</v>
      </c>
      <c r="C83" s="96"/>
      <c r="D83" s="96"/>
      <c r="E83" s="96"/>
      <c r="G83" s="559" t="s">
        <v>377</v>
      </c>
      <c r="H83" s="557" t="s">
        <v>902</v>
      </c>
      <c r="I83" s="96"/>
      <c r="J83" s="96"/>
    </row>
    <row r="84" spans="1:10">
      <c r="A84" s="561" t="s">
        <v>366</v>
      </c>
      <c r="B84" s="555" t="s">
        <v>903</v>
      </c>
      <c r="C84" s="96"/>
      <c r="D84" s="96"/>
      <c r="E84" s="96"/>
      <c r="G84" s="559" t="s">
        <v>362</v>
      </c>
      <c r="H84" s="557" t="s">
        <v>904</v>
      </c>
      <c r="I84" s="96"/>
      <c r="J84" s="96"/>
    </row>
    <row r="85" spans="1:10">
      <c r="A85" s="556" t="s">
        <v>348</v>
      </c>
      <c r="B85" s="555" t="s">
        <v>905</v>
      </c>
      <c r="C85" s="96"/>
      <c r="D85" s="96"/>
      <c r="E85" s="96"/>
      <c r="G85" s="559" t="s">
        <v>381</v>
      </c>
      <c r="H85" s="557" t="s">
        <v>906</v>
      </c>
      <c r="I85" s="96"/>
      <c r="J85" s="96"/>
    </row>
    <row r="86" spans="1:10">
      <c r="A86" s="554">
        <v>7</v>
      </c>
      <c r="B86" s="555" t="s">
        <v>907</v>
      </c>
      <c r="C86" s="96"/>
      <c r="D86" s="96"/>
      <c r="E86" s="96"/>
      <c r="G86" s="559" t="s">
        <v>364</v>
      </c>
      <c r="H86" s="557" t="s">
        <v>908</v>
      </c>
      <c r="I86" s="96"/>
      <c r="J86" s="96"/>
    </row>
    <row r="87" spans="1:10">
      <c r="A87" s="554"/>
      <c r="B87" s="555" t="s">
        <v>909</v>
      </c>
      <c r="C87" s="96"/>
      <c r="D87" s="96"/>
      <c r="E87" s="96"/>
      <c r="G87" s="559">
        <v>14</v>
      </c>
      <c r="H87" s="560" t="s">
        <v>910</v>
      </c>
      <c r="I87" s="96"/>
      <c r="J87" s="96"/>
    </row>
    <row r="88" spans="1:10">
      <c r="A88" s="554" t="s">
        <v>370</v>
      </c>
      <c r="B88" s="555" t="s">
        <v>911</v>
      </c>
      <c r="C88" s="96"/>
      <c r="D88" s="96"/>
      <c r="E88" s="96"/>
      <c r="G88" s="559">
        <v>15</v>
      </c>
      <c r="H88" s="557" t="s">
        <v>912</v>
      </c>
      <c r="I88" s="96"/>
      <c r="J88" s="96"/>
    </row>
    <row r="89" spans="1:10">
      <c r="E89" s="96"/>
      <c r="G89" s="3"/>
    </row>
    <row r="90" spans="1:10" ht="6.75" customHeight="1">
      <c r="E90" s="96"/>
      <c r="G90" s="3"/>
    </row>
    <row r="91" spans="1:10">
      <c r="A91" s="562" t="s">
        <v>678</v>
      </c>
      <c r="B91" s="560"/>
      <c r="C91" s="96"/>
      <c r="D91" s="96"/>
      <c r="E91" s="96"/>
      <c r="G91" s="3"/>
    </row>
    <row r="92" spans="1:10">
      <c r="A92" s="562"/>
      <c r="B92" s="560"/>
      <c r="C92" s="96"/>
      <c r="D92" s="96"/>
      <c r="E92" s="96"/>
      <c r="G92" s="3"/>
    </row>
    <row r="93" spans="1:10">
      <c r="A93" s="562" t="s">
        <v>913</v>
      </c>
      <c r="B93" s="560"/>
      <c r="C93" s="96"/>
      <c r="D93" s="96"/>
      <c r="E93" s="96"/>
      <c r="G93" s="3"/>
    </row>
    <row r="94" spans="1:10">
      <c r="A94" s="559"/>
      <c r="B94" s="560"/>
      <c r="C94" s="96"/>
      <c r="D94" s="96"/>
      <c r="E94" s="96"/>
      <c r="G94" s="3"/>
    </row>
    <row r="95" spans="1:10" ht="7.5" customHeight="1">
      <c r="A95" s="559"/>
      <c r="B95" s="560"/>
      <c r="C95" s="96"/>
      <c r="D95" s="96"/>
      <c r="E95" s="96"/>
      <c r="G95" s="3"/>
    </row>
    <row r="96" spans="1:10">
      <c r="A96" s="563" t="s">
        <v>677</v>
      </c>
      <c r="B96" s="560"/>
      <c r="C96" s="96"/>
      <c r="D96" s="96"/>
      <c r="E96" s="96"/>
      <c r="G96" s="3"/>
    </row>
    <row r="97" spans="3:7">
      <c r="C97" s="3"/>
      <c r="E97" s="3"/>
      <c r="G97" s="3"/>
    </row>
  </sheetData>
  <mergeCells count="1">
    <mergeCell ref="A1:H1"/>
  </mergeCells>
  <pageMargins left="0.51181102362204722" right="0.51181102362204722" top="0.3" bottom="0.25" header="0.23622047244094491" footer="0.3"/>
  <pageSetup paperSize="9" scale="61" orientation="portrait"/>
  <headerFooter alignWithMargins="0"/>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DE410-4C9A-8C45-8415-B6A88DCCC86E}">
  <sheetPr>
    <pageSetUpPr fitToPage="1"/>
  </sheetPr>
  <dimension ref="A1:I121"/>
  <sheetViews>
    <sheetView zoomScaleNormal="100" workbookViewId="0">
      <selection activeCell="F9" sqref="F9"/>
    </sheetView>
  </sheetViews>
  <sheetFormatPr baseColWidth="10" defaultColWidth="11.3984375" defaultRowHeight="13"/>
  <cols>
    <col min="1" max="1" width="5.796875" style="3" customWidth="1"/>
    <col min="2" max="2" width="52.59765625" style="49" customWidth="1"/>
    <col min="3" max="3" width="12.796875" style="49" customWidth="1"/>
    <col min="4" max="4" width="10.59765625" style="49" customWidth="1"/>
    <col min="5" max="5" width="10.59765625" style="3" customWidth="1"/>
    <col min="6" max="7" width="10.59765625" style="8" customWidth="1"/>
    <col min="8" max="9" width="10.59765625" style="3" customWidth="1"/>
    <col min="10" max="10" width="6.19921875" style="3" customWidth="1"/>
    <col min="11" max="16384" width="11.3984375" style="3"/>
  </cols>
  <sheetData>
    <row r="1" spans="1:9" s="2" customFormat="1" ht="14" customHeight="1">
      <c r="B1" s="261"/>
      <c r="C1" s="261"/>
      <c r="D1" s="261"/>
      <c r="F1" s="100"/>
      <c r="G1" s="100"/>
    </row>
    <row r="2" spans="1:9" s="2" customFormat="1" ht="19.5" customHeight="1">
      <c r="A2" s="47" t="s">
        <v>914</v>
      </c>
      <c r="C2" s="261"/>
      <c r="D2" s="261"/>
      <c r="F2" s="100"/>
      <c r="G2" s="100"/>
      <c r="H2" s="17"/>
      <c r="I2" s="564">
        <v>2010</v>
      </c>
    </row>
    <row r="3" spans="1:9" s="2" customFormat="1" ht="14.25" customHeight="1" thickBot="1">
      <c r="A3" s="565"/>
      <c r="B3" s="566"/>
      <c r="C3" s="566"/>
      <c r="D3" s="566"/>
      <c r="E3" s="565"/>
      <c r="F3" s="567"/>
      <c r="G3" s="567"/>
      <c r="H3" s="565"/>
      <c r="I3" s="565"/>
    </row>
    <row r="4" spans="1:9" ht="18" customHeight="1">
      <c r="A4" s="490" t="s">
        <v>755</v>
      </c>
      <c r="B4" s="490" t="s">
        <v>915</v>
      </c>
      <c r="C4" s="491" t="s">
        <v>916</v>
      </c>
      <c r="D4" s="488" t="s">
        <v>421</v>
      </c>
      <c r="E4" s="493" t="s">
        <v>433</v>
      </c>
      <c r="F4" s="492" t="s">
        <v>762</v>
      </c>
      <c r="G4" s="493" t="s">
        <v>547</v>
      </c>
      <c r="H4" s="492" t="s">
        <v>764</v>
      </c>
      <c r="I4" s="491" t="s">
        <v>764</v>
      </c>
    </row>
    <row r="5" spans="1:9" ht="15" customHeight="1">
      <c r="A5" s="490" t="s">
        <v>773</v>
      </c>
      <c r="B5" s="490"/>
      <c r="C5" s="491" t="s">
        <v>917</v>
      </c>
      <c r="D5" s="488"/>
      <c r="E5" s="491"/>
      <c r="F5" s="492" t="s">
        <v>779</v>
      </c>
      <c r="G5" s="493" t="s">
        <v>918</v>
      </c>
      <c r="H5" s="492" t="s">
        <v>781</v>
      </c>
      <c r="I5" s="491" t="s">
        <v>714</v>
      </c>
    </row>
    <row r="6" spans="1:9" ht="15" customHeight="1">
      <c r="A6" s="490"/>
      <c r="B6" s="490"/>
      <c r="C6" s="491" t="s">
        <v>919</v>
      </c>
      <c r="D6" s="488"/>
      <c r="E6" s="491"/>
      <c r="F6" s="492" t="s">
        <v>792</v>
      </c>
      <c r="G6" s="493"/>
      <c r="H6" s="492" t="s">
        <v>797</v>
      </c>
      <c r="I6" s="491"/>
    </row>
    <row r="7" spans="1:9" ht="15" customHeight="1">
      <c r="A7" s="490"/>
      <c r="B7" s="490"/>
      <c r="C7" s="491" t="s">
        <v>920</v>
      </c>
      <c r="D7" s="488" t="s">
        <v>921</v>
      </c>
      <c r="E7" s="491" t="s">
        <v>921</v>
      </c>
      <c r="F7" s="488" t="s">
        <v>922</v>
      </c>
      <c r="G7" s="491" t="s">
        <v>921</v>
      </c>
      <c r="H7" s="488" t="s">
        <v>921</v>
      </c>
      <c r="I7" s="491" t="s">
        <v>921</v>
      </c>
    </row>
    <row r="8" spans="1:9" ht="15" customHeight="1">
      <c r="A8" s="490"/>
      <c r="B8" s="490"/>
      <c r="C8" s="491" t="s">
        <v>923</v>
      </c>
      <c r="D8" s="488" t="s">
        <v>924</v>
      </c>
      <c r="E8" s="491" t="s">
        <v>924</v>
      </c>
      <c r="F8" s="488" t="s">
        <v>925</v>
      </c>
      <c r="G8" s="491" t="s">
        <v>924</v>
      </c>
      <c r="H8" s="488" t="s">
        <v>924</v>
      </c>
      <c r="I8" s="491" t="s">
        <v>924</v>
      </c>
    </row>
    <row r="9" spans="1:9" ht="15" customHeight="1">
      <c r="A9" s="490"/>
      <c r="B9" s="490"/>
      <c r="C9" s="491"/>
      <c r="D9" s="488"/>
      <c r="E9" s="491"/>
      <c r="F9" s="488"/>
      <c r="G9" s="493"/>
      <c r="H9" s="488"/>
      <c r="I9" s="491"/>
    </row>
    <row r="10" spans="1:9" ht="18" customHeight="1">
      <c r="A10" s="568">
        <v>0</v>
      </c>
      <c r="B10" s="568"/>
      <c r="C10" s="569">
        <v>1</v>
      </c>
      <c r="D10" s="570">
        <v>2</v>
      </c>
      <c r="E10" s="569">
        <v>3</v>
      </c>
      <c r="F10" s="571">
        <v>4</v>
      </c>
      <c r="G10" s="572">
        <v>5</v>
      </c>
      <c r="H10" s="570">
        <v>6</v>
      </c>
      <c r="I10" s="569">
        <v>7</v>
      </c>
    </row>
    <row r="11" spans="1:9" ht="3.5" customHeight="1" thickBot="1">
      <c r="A11" s="573"/>
      <c r="B11" s="574"/>
      <c r="C11" s="575" t="s">
        <v>1442</v>
      </c>
      <c r="D11" s="576" t="s">
        <v>1442</v>
      </c>
      <c r="E11" s="577" t="s">
        <v>1442</v>
      </c>
      <c r="F11" s="576" t="s">
        <v>1442</v>
      </c>
      <c r="G11" s="578" t="s">
        <v>1442</v>
      </c>
      <c r="H11" s="576" t="s">
        <v>1442</v>
      </c>
      <c r="I11" s="578" t="s">
        <v>1442</v>
      </c>
    </row>
    <row r="12" spans="1:9" ht="16.75" customHeight="1" thickBot="1">
      <c r="A12" s="579">
        <v>8</v>
      </c>
      <c r="B12" s="580" t="s">
        <v>1364</v>
      </c>
      <c r="C12" s="575" t="s">
        <v>1442</v>
      </c>
      <c r="D12" s="576">
        <v>924.2</v>
      </c>
      <c r="E12" s="577">
        <v>847.57640000000004</v>
      </c>
      <c r="F12" s="576">
        <v>45</v>
      </c>
      <c r="G12" s="578">
        <v>37.138400000000004</v>
      </c>
      <c r="H12" s="576">
        <v>2000</v>
      </c>
      <c r="I12" s="578">
        <v>9559.3820199999991</v>
      </c>
    </row>
    <row r="13" spans="1:9" ht="16.5" customHeight="1" thickBot="1">
      <c r="A13" s="579">
        <v>32</v>
      </c>
      <c r="B13" s="580" t="s">
        <v>1366</v>
      </c>
      <c r="C13" s="581" t="s">
        <v>1442</v>
      </c>
      <c r="D13" s="582">
        <v>1322.9</v>
      </c>
      <c r="E13" s="583">
        <v>290.10025000000002</v>
      </c>
      <c r="F13" s="582">
        <v>118.89752</v>
      </c>
      <c r="G13" s="584">
        <v>387.52022999999997</v>
      </c>
      <c r="H13" s="582">
        <v>3000</v>
      </c>
      <c r="I13" s="584">
        <v>1425.3296599999999</v>
      </c>
    </row>
    <row r="14" spans="1:9" ht="16.5" customHeight="1" thickBot="1">
      <c r="A14" s="579">
        <v>57</v>
      </c>
      <c r="B14" s="580" t="s">
        <v>1367</v>
      </c>
      <c r="C14" s="581" t="s">
        <v>1442</v>
      </c>
      <c r="D14" s="582">
        <v>26779.599999999999</v>
      </c>
      <c r="E14" s="583">
        <v>19555.16085</v>
      </c>
      <c r="F14" s="582">
        <v>6366.1910399999988</v>
      </c>
      <c r="G14" s="584">
        <v>530.48561000000007</v>
      </c>
      <c r="H14" s="582">
        <v>2763.6149999999998</v>
      </c>
      <c r="I14" s="584">
        <v>36492.472900000001</v>
      </c>
    </row>
    <row r="15" spans="1:9" ht="16.5" customHeight="1" thickBot="1">
      <c r="A15" s="579">
        <v>97</v>
      </c>
      <c r="B15" s="580" t="s">
        <v>952</v>
      </c>
      <c r="C15" s="581" t="s">
        <v>1442</v>
      </c>
      <c r="D15" s="582">
        <v>57.3</v>
      </c>
      <c r="E15" s="583">
        <v>2.7850000000000001</v>
      </c>
      <c r="F15" s="582">
        <v>24.381250000000001</v>
      </c>
      <c r="G15" s="584">
        <v>0</v>
      </c>
      <c r="H15" s="582">
        <v>35</v>
      </c>
      <c r="I15" s="584">
        <v>49.5901</v>
      </c>
    </row>
    <row r="16" spans="1:9" ht="16.5" customHeight="1" thickBot="1">
      <c r="A16" s="579">
        <v>134</v>
      </c>
      <c r="B16" s="580" t="s">
        <v>955</v>
      </c>
      <c r="C16" s="581" t="s">
        <v>1442</v>
      </c>
      <c r="D16" s="582">
        <v>117.9</v>
      </c>
      <c r="E16" s="583">
        <v>102.85299999999999</v>
      </c>
      <c r="F16" s="582">
        <v>15.7582</v>
      </c>
      <c r="G16" s="584">
        <v>-1.0779500000000006</v>
      </c>
      <c r="H16" s="582">
        <v>100</v>
      </c>
      <c r="I16" s="584">
        <v>299.01294999999999</v>
      </c>
    </row>
    <row r="17" spans="1:9" ht="16.5" customHeight="1" thickBot="1">
      <c r="A17" s="579">
        <v>160</v>
      </c>
      <c r="B17" s="580" t="s">
        <v>1369</v>
      </c>
      <c r="C17" s="581" t="s">
        <v>1442</v>
      </c>
      <c r="D17" s="582">
        <v>1085.8</v>
      </c>
      <c r="E17" s="583">
        <v>795.58658000000003</v>
      </c>
      <c r="F17" s="582">
        <v>189.37675000000002</v>
      </c>
      <c r="G17" s="584">
        <v>107.23321000000001</v>
      </c>
      <c r="H17" s="582">
        <v>140</v>
      </c>
      <c r="I17" s="584">
        <v>2767.42184</v>
      </c>
    </row>
    <row r="18" spans="1:9" ht="16.5" customHeight="1" thickBot="1">
      <c r="A18" s="579">
        <v>182</v>
      </c>
      <c r="B18" s="580" t="s">
        <v>1370</v>
      </c>
      <c r="C18" s="585" t="s">
        <v>1442</v>
      </c>
      <c r="D18" s="507">
        <v>2.9</v>
      </c>
      <c r="E18" s="586">
        <v>0</v>
      </c>
      <c r="F18" s="507">
        <v>3.5</v>
      </c>
      <c r="G18" s="587">
        <v>0.22659000000000001</v>
      </c>
      <c r="H18" s="507">
        <v>0</v>
      </c>
      <c r="I18" s="587">
        <v>370.79752000000002</v>
      </c>
    </row>
    <row r="19" spans="1:9" ht="16.5" customHeight="1" thickBot="1">
      <c r="A19" s="579">
        <v>194</v>
      </c>
      <c r="B19" s="580" t="s">
        <v>1371</v>
      </c>
      <c r="C19" s="585" t="s">
        <v>1442</v>
      </c>
      <c r="D19" s="507">
        <v>1314.7</v>
      </c>
      <c r="E19" s="586">
        <v>883.07134999999994</v>
      </c>
      <c r="F19" s="507">
        <v>255.7869</v>
      </c>
      <c r="G19" s="587">
        <v>138.25661000000002</v>
      </c>
      <c r="H19" s="507">
        <v>570</v>
      </c>
      <c r="I19" s="587">
        <v>2061.1605100000002</v>
      </c>
    </row>
    <row r="20" spans="1:9" ht="16.5" customHeight="1" thickBot="1">
      <c r="A20" s="579">
        <v>216</v>
      </c>
      <c r="B20" s="580" t="s">
        <v>1372</v>
      </c>
      <c r="C20" s="585" t="s">
        <v>1442</v>
      </c>
      <c r="D20" s="507">
        <v>115.9</v>
      </c>
      <c r="E20" s="586">
        <v>169.76630000000003</v>
      </c>
      <c r="F20" s="507">
        <v>20.646090000000001</v>
      </c>
      <c r="G20" s="587">
        <v>-80.310900000000004</v>
      </c>
      <c r="H20" s="507">
        <v>15</v>
      </c>
      <c r="I20" s="587">
        <v>158.03845000000001</v>
      </c>
    </row>
    <row r="21" spans="1:9" ht="16.5" customHeight="1" thickBot="1">
      <c r="A21" s="579">
        <v>246</v>
      </c>
      <c r="B21" s="580" t="s">
        <v>1373</v>
      </c>
      <c r="C21" s="585" t="s">
        <v>1442</v>
      </c>
      <c r="D21" s="507">
        <v>27.6</v>
      </c>
      <c r="E21" s="586">
        <v>33.1858</v>
      </c>
      <c r="F21" s="507">
        <v>55.310199999999995</v>
      </c>
      <c r="G21" s="587">
        <v>-54.209499999999998</v>
      </c>
      <c r="H21" s="507">
        <v>23</v>
      </c>
      <c r="I21" s="587">
        <v>152.04499999999999</v>
      </c>
    </row>
    <row r="22" spans="1:9" ht="16.5" customHeight="1" thickBot="1">
      <c r="A22" s="579">
        <v>261</v>
      </c>
      <c r="B22" s="580" t="s">
        <v>1374</v>
      </c>
      <c r="C22" s="585" t="s">
        <v>1442</v>
      </c>
      <c r="D22" s="507">
        <v>171.8</v>
      </c>
      <c r="E22" s="586">
        <v>85.217500000000001</v>
      </c>
      <c r="F22" s="507">
        <v>362.17302999999998</v>
      </c>
      <c r="G22" s="587">
        <v>-230.18795</v>
      </c>
      <c r="H22" s="507">
        <v>20</v>
      </c>
      <c r="I22" s="587">
        <v>918.63526999999999</v>
      </c>
    </row>
    <row r="23" spans="1:9" ht="16.5" customHeight="1" thickBot="1">
      <c r="A23" s="579">
        <v>263</v>
      </c>
      <c r="B23" s="580" t="s">
        <v>1375</v>
      </c>
      <c r="C23" s="585" t="s">
        <v>1442</v>
      </c>
      <c r="D23" s="507">
        <v>6809.3</v>
      </c>
      <c r="E23" s="586">
        <v>4417.5738700000002</v>
      </c>
      <c r="F23" s="507">
        <v>1639.33115</v>
      </c>
      <c r="G23" s="587">
        <v>1026.12565</v>
      </c>
      <c r="H23" s="507">
        <v>750</v>
      </c>
      <c r="I23" s="587">
        <v>21627.229620000002</v>
      </c>
    </row>
    <row r="24" spans="1:9" ht="16.5" customHeight="1" thickBot="1">
      <c r="A24" s="579">
        <v>290</v>
      </c>
      <c r="B24" s="580" t="s">
        <v>1443</v>
      </c>
      <c r="C24" s="585" t="s">
        <v>1442</v>
      </c>
      <c r="D24" s="507">
        <v>4428.3</v>
      </c>
      <c r="E24" s="586">
        <v>3615.7545</v>
      </c>
      <c r="F24" s="507">
        <v>1951.2036499999997</v>
      </c>
      <c r="G24" s="587">
        <v>-912.16596000000004</v>
      </c>
      <c r="H24" s="507">
        <v>632.75599999999997</v>
      </c>
      <c r="I24" s="587">
        <v>2985.42839</v>
      </c>
    </row>
    <row r="25" spans="1:9" ht="16.5" customHeight="1" thickBot="1">
      <c r="A25" s="579">
        <v>294</v>
      </c>
      <c r="B25" s="580" t="s">
        <v>1377</v>
      </c>
      <c r="C25" s="585" t="s">
        <v>1442</v>
      </c>
      <c r="D25" s="507">
        <v>60</v>
      </c>
      <c r="E25" s="586">
        <v>31.383650000000003</v>
      </c>
      <c r="F25" s="507">
        <v>26.00882</v>
      </c>
      <c r="G25" s="587">
        <v>2.5956499999999996</v>
      </c>
      <c r="H25" s="507">
        <v>51</v>
      </c>
      <c r="I25" s="587">
        <v>158.91855000000001</v>
      </c>
    </row>
    <row r="26" spans="1:9" ht="16.5" customHeight="1" thickBot="1">
      <c r="A26" s="579">
        <v>312</v>
      </c>
      <c r="B26" s="580" t="s">
        <v>1378</v>
      </c>
      <c r="C26" s="585" t="s">
        <v>1442</v>
      </c>
      <c r="D26" s="507">
        <v>482.3</v>
      </c>
      <c r="E26" s="586">
        <v>321.95499999999998</v>
      </c>
      <c r="F26" s="507">
        <v>17.629909999999999</v>
      </c>
      <c r="G26" s="587">
        <v>154.98336</v>
      </c>
      <c r="H26" s="507">
        <v>106</v>
      </c>
      <c r="I26" s="587">
        <v>3266.3794500000004</v>
      </c>
    </row>
    <row r="27" spans="1:9" ht="16.5" customHeight="1" thickBot="1">
      <c r="A27" s="579">
        <v>343</v>
      </c>
      <c r="B27" s="580" t="s">
        <v>1379</v>
      </c>
      <c r="C27" s="585" t="s">
        <v>1442</v>
      </c>
      <c r="D27" s="507">
        <v>869.1</v>
      </c>
      <c r="E27" s="586">
        <v>446.65227000000004</v>
      </c>
      <c r="F27" s="507">
        <v>155.20071999999999</v>
      </c>
      <c r="G27" s="587">
        <v>576.35894000000008</v>
      </c>
      <c r="H27" s="507">
        <v>80</v>
      </c>
      <c r="I27" s="587">
        <v>9323.5684600000004</v>
      </c>
    </row>
    <row r="28" spans="1:9" ht="16.5" customHeight="1" thickBot="1">
      <c r="A28" s="579">
        <v>360</v>
      </c>
      <c r="B28" s="580" t="s">
        <v>1380</v>
      </c>
      <c r="C28" s="585" t="s">
        <v>1442</v>
      </c>
      <c r="D28" s="507">
        <v>1210.0999999999999</v>
      </c>
      <c r="E28" s="586">
        <v>1080.1195</v>
      </c>
      <c r="F28" s="507">
        <v>50.769500000000001</v>
      </c>
      <c r="G28" s="587">
        <v>61.988999999999997</v>
      </c>
      <c r="H28" s="507">
        <v>523.55430000000001</v>
      </c>
      <c r="I28" s="587">
        <v>2392.0360499999997</v>
      </c>
    </row>
    <row r="29" spans="1:9" ht="16.5" customHeight="1" thickBot="1">
      <c r="A29" s="579">
        <v>376</v>
      </c>
      <c r="B29" s="580" t="s">
        <v>1381</v>
      </c>
      <c r="C29" s="585" t="s">
        <v>1442</v>
      </c>
      <c r="D29" s="507">
        <v>729</v>
      </c>
      <c r="E29" s="586">
        <v>338.36</v>
      </c>
      <c r="F29" s="507">
        <v>30.82723</v>
      </c>
      <c r="G29" s="587">
        <v>365.25923999999998</v>
      </c>
      <c r="H29" s="507">
        <v>180</v>
      </c>
      <c r="I29" s="587">
        <v>5094.7502999999997</v>
      </c>
    </row>
    <row r="30" spans="1:9" ht="16.5" customHeight="1" thickBot="1">
      <c r="A30" s="579">
        <v>411</v>
      </c>
      <c r="B30" s="580" t="s">
        <v>1382</v>
      </c>
      <c r="C30" s="585" t="s">
        <v>1442</v>
      </c>
      <c r="D30" s="507">
        <v>3934.2</v>
      </c>
      <c r="E30" s="586">
        <v>3000.64075</v>
      </c>
      <c r="F30" s="507">
        <v>1204.9626699999999</v>
      </c>
      <c r="G30" s="587">
        <v>-151.99145000000001</v>
      </c>
      <c r="H30" s="507">
        <v>470</v>
      </c>
      <c r="I30" s="587">
        <v>496.90188000000001</v>
      </c>
    </row>
    <row r="31" spans="1:9" ht="16.5" customHeight="1" thickBot="1">
      <c r="A31" s="579">
        <v>445</v>
      </c>
      <c r="B31" s="580" t="s">
        <v>1383</v>
      </c>
      <c r="C31" s="585" t="s">
        <v>1442</v>
      </c>
      <c r="D31" s="507">
        <v>1380.9</v>
      </c>
      <c r="E31" s="586">
        <v>1078.2166299999999</v>
      </c>
      <c r="F31" s="507">
        <v>319.84163000000007</v>
      </c>
      <c r="G31" s="587">
        <v>25.578039999999994</v>
      </c>
      <c r="H31" s="507">
        <v>130</v>
      </c>
      <c r="I31" s="587">
        <v>1504.63707</v>
      </c>
    </row>
    <row r="32" spans="1:9" ht="16.5" customHeight="1" thickBot="1">
      <c r="A32" s="579">
        <v>455</v>
      </c>
      <c r="B32" s="580" t="s">
        <v>1384</v>
      </c>
      <c r="C32" s="585" t="s">
        <v>1442</v>
      </c>
      <c r="D32" s="507">
        <v>2799.8</v>
      </c>
      <c r="E32" s="586">
        <v>1866.9802500000001</v>
      </c>
      <c r="F32" s="507">
        <v>228.49075000000002</v>
      </c>
      <c r="G32" s="587">
        <v>712.53345000000002</v>
      </c>
      <c r="H32" s="507">
        <v>630.846</v>
      </c>
      <c r="I32" s="587">
        <v>14373.332039999999</v>
      </c>
    </row>
    <row r="33" spans="1:9" ht="16.5" customHeight="1" thickBot="1">
      <c r="A33" s="579">
        <v>484</v>
      </c>
      <c r="B33" s="580" t="s">
        <v>1385</v>
      </c>
      <c r="C33" s="585" t="s">
        <v>1442</v>
      </c>
      <c r="D33" s="507">
        <v>29.8</v>
      </c>
      <c r="E33" s="586">
        <v>12.32</v>
      </c>
      <c r="F33" s="507">
        <v>6.7545599999999997</v>
      </c>
      <c r="G33" s="587">
        <v>10.735149999999999</v>
      </c>
      <c r="H33" s="507">
        <v>10</v>
      </c>
      <c r="I33" s="587">
        <v>348.43828999999999</v>
      </c>
    </row>
    <row r="34" spans="1:9" ht="16.5" customHeight="1" thickBot="1">
      <c r="A34" s="579">
        <v>509</v>
      </c>
      <c r="B34" s="580" t="s">
        <v>1386</v>
      </c>
      <c r="C34" s="585" t="s">
        <v>1442</v>
      </c>
      <c r="D34" s="507">
        <v>24.2</v>
      </c>
      <c r="E34" s="586">
        <v>14.261149999999999</v>
      </c>
      <c r="F34" s="507">
        <v>151.69064</v>
      </c>
      <c r="G34" s="587">
        <v>-155.29807</v>
      </c>
      <c r="H34" s="507">
        <v>127.065</v>
      </c>
      <c r="I34" s="587">
        <v>4258.6918700000006</v>
      </c>
    </row>
    <row r="35" spans="1:9" ht="16.5" customHeight="1" thickBot="1">
      <c r="A35" s="579">
        <v>556</v>
      </c>
      <c r="B35" s="580" t="s">
        <v>1387</v>
      </c>
      <c r="C35" s="585" t="s">
        <v>1442</v>
      </c>
      <c r="D35" s="507">
        <v>442.4</v>
      </c>
      <c r="E35" s="586">
        <v>285.98763000000002</v>
      </c>
      <c r="F35" s="507">
        <v>107.46118</v>
      </c>
      <c r="G35" s="587">
        <v>25.758669999999999</v>
      </c>
      <c r="H35" s="507">
        <v>30</v>
      </c>
      <c r="I35" s="587">
        <v>1417.3517899999999</v>
      </c>
    </row>
    <row r="36" spans="1:9" ht="16.5" customHeight="1" thickBot="1">
      <c r="A36" s="579">
        <v>558</v>
      </c>
      <c r="B36" s="580" t="s">
        <v>1388</v>
      </c>
      <c r="C36" s="585" t="s">
        <v>1442</v>
      </c>
      <c r="D36" s="507">
        <v>10.1</v>
      </c>
      <c r="E36" s="586">
        <v>2.3420000000000001</v>
      </c>
      <c r="F36" s="507">
        <v>0.49081000000000002</v>
      </c>
      <c r="G36" s="587">
        <v>6.0216700000000003</v>
      </c>
      <c r="H36" s="507">
        <v>24.6</v>
      </c>
      <c r="I36" s="587">
        <v>154.04845</v>
      </c>
    </row>
    <row r="37" spans="1:9" ht="16.5" customHeight="1" thickBot="1">
      <c r="A37" s="579">
        <v>749</v>
      </c>
      <c r="B37" s="580" t="s">
        <v>1389</v>
      </c>
      <c r="C37" s="585" t="s">
        <v>1442</v>
      </c>
      <c r="D37" s="507">
        <v>3752.4</v>
      </c>
      <c r="E37" s="586">
        <v>3009.8491899999999</v>
      </c>
      <c r="F37" s="507">
        <v>772.50204000000008</v>
      </c>
      <c r="G37" s="587">
        <v>293.71814000000001</v>
      </c>
      <c r="H37" s="507">
        <v>350</v>
      </c>
      <c r="I37" s="587">
        <v>5477.3068300000004</v>
      </c>
    </row>
    <row r="38" spans="1:9" ht="16.5" customHeight="1" thickBot="1">
      <c r="A38" s="579">
        <v>762</v>
      </c>
      <c r="B38" s="580" t="s">
        <v>1390</v>
      </c>
      <c r="C38" s="585" t="s">
        <v>1442</v>
      </c>
      <c r="D38" s="507">
        <v>225.7</v>
      </c>
      <c r="E38" s="586">
        <v>86.567800000000005</v>
      </c>
      <c r="F38" s="507">
        <v>77.177530000000004</v>
      </c>
      <c r="G38" s="587">
        <v>18.417619999999999</v>
      </c>
      <c r="H38" s="507">
        <v>200</v>
      </c>
      <c r="I38" s="587">
        <v>1466.1729700000001</v>
      </c>
    </row>
    <row r="39" spans="1:9" ht="16.5" customHeight="1" thickBot="1">
      <c r="A39" s="579">
        <v>774</v>
      </c>
      <c r="B39" s="580" t="s">
        <v>1391</v>
      </c>
      <c r="C39" s="585" t="s">
        <v>1442</v>
      </c>
      <c r="D39" s="507">
        <v>704.8</v>
      </c>
      <c r="E39" s="586">
        <v>488.87084000000004</v>
      </c>
      <c r="F39" s="507">
        <v>117.52591000000001</v>
      </c>
      <c r="G39" s="587">
        <v>110.32443000000001</v>
      </c>
      <c r="H39" s="507">
        <v>85</v>
      </c>
      <c r="I39" s="587">
        <v>991.48017000000004</v>
      </c>
    </row>
    <row r="40" spans="1:9" ht="16.5" customHeight="1" thickBot="1">
      <c r="A40" s="579">
        <v>780</v>
      </c>
      <c r="B40" s="580" t="s">
        <v>1392</v>
      </c>
      <c r="C40" s="585" t="s">
        <v>1442</v>
      </c>
      <c r="D40" s="507">
        <v>141.69999999999999</v>
      </c>
      <c r="E40" s="586">
        <v>179.51614999999998</v>
      </c>
      <c r="F40" s="507">
        <v>22.956810000000001</v>
      </c>
      <c r="G40" s="587">
        <v>-45.801690000000008</v>
      </c>
      <c r="H40" s="507">
        <v>18</v>
      </c>
      <c r="I40" s="587">
        <v>98.200749999999999</v>
      </c>
    </row>
    <row r="41" spans="1:9" ht="16.5" customHeight="1" thickBot="1">
      <c r="A41" s="579">
        <v>790</v>
      </c>
      <c r="B41" s="580" t="s">
        <v>1393</v>
      </c>
      <c r="C41" s="585" t="s">
        <v>1442</v>
      </c>
      <c r="D41" s="507">
        <v>32.200000000000003</v>
      </c>
      <c r="E41" s="586">
        <v>8.4000000000000005E-2</v>
      </c>
      <c r="F41" s="507">
        <v>3.8626499999999999</v>
      </c>
      <c r="G41" s="587">
        <v>2.8191299999999999</v>
      </c>
      <c r="H41" s="507">
        <v>2</v>
      </c>
      <c r="I41" s="587">
        <v>26.892510000000001</v>
      </c>
    </row>
    <row r="42" spans="1:9" ht="16.5" customHeight="1" thickBot="1">
      <c r="A42" s="579">
        <v>820</v>
      </c>
      <c r="B42" s="580" t="s">
        <v>1394</v>
      </c>
      <c r="C42" s="585" t="s">
        <v>1442</v>
      </c>
      <c r="D42" s="507">
        <v>361.9</v>
      </c>
      <c r="E42" s="586">
        <v>222.01675</v>
      </c>
      <c r="F42" s="507">
        <v>42.940359999999998</v>
      </c>
      <c r="G42" s="587">
        <v>93.880470000000003</v>
      </c>
      <c r="H42" s="507">
        <v>240</v>
      </c>
      <c r="I42" s="587">
        <v>280.49682000000001</v>
      </c>
    </row>
    <row r="43" spans="1:9" ht="16.5" customHeight="1" thickBot="1">
      <c r="A43" s="579">
        <v>829</v>
      </c>
      <c r="B43" s="580" t="s">
        <v>1395</v>
      </c>
      <c r="C43" s="585" t="s">
        <v>1442</v>
      </c>
      <c r="D43" s="507">
        <v>583.6</v>
      </c>
      <c r="E43" s="586">
        <v>270.79250000000002</v>
      </c>
      <c r="F43" s="507">
        <v>266.00349999999997</v>
      </c>
      <c r="G43" s="587">
        <v>-669.2328</v>
      </c>
      <c r="H43" s="507">
        <v>100</v>
      </c>
      <c r="I43" s="587">
        <v>1502.3091000000002</v>
      </c>
    </row>
    <row r="44" spans="1:9" ht="16.5" customHeight="1" thickBot="1">
      <c r="A44" s="579">
        <v>881</v>
      </c>
      <c r="B44" s="580" t="s">
        <v>961</v>
      </c>
      <c r="C44" s="585" t="s">
        <v>1442</v>
      </c>
      <c r="D44" s="507">
        <v>328.7</v>
      </c>
      <c r="E44" s="586">
        <v>248.87424999999999</v>
      </c>
      <c r="F44" s="507">
        <v>105.26817</v>
      </c>
      <c r="G44" s="587">
        <v>32.29205000000001</v>
      </c>
      <c r="H44" s="507">
        <v>94.64688000000001</v>
      </c>
      <c r="I44" s="587">
        <v>5130.7914800000008</v>
      </c>
    </row>
    <row r="45" spans="1:9" ht="16.5" customHeight="1" thickBot="1">
      <c r="A45" s="579">
        <v>901</v>
      </c>
      <c r="B45" s="580" t="s">
        <v>1396</v>
      </c>
      <c r="C45" s="585" t="s">
        <v>1442</v>
      </c>
      <c r="D45" s="507">
        <v>265.8</v>
      </c>
      <c r="E45" s="586">
        <v>159.63639999999998</v>
      </c>
      <c r="F45" s="507">
        <v>22.590300000000003</v>
      </c>
      <c r="G45" s="587">
        <v>83.541650000000004</v>
      </c>
      <c r="H45" s="507">
        <v>50</v>
      </c>
      <c r="I45" s="587">
        <v>813.58834999999999</v>
      </c>
    </row>
    <row r="46" spans="1:9" ht="16.5" customHeight="1" thickBot="1">
      <c r="A46" s="579">
        <v>923</v>
      </c>
      <c r="B46" s="580" t="s">
        <v>1397</v>
      </c>
      <c r="C46" s="585" t="s">
        <v>1442</v>
      </c>
      <c r="D46" s="507">
        <v>118</v>
      </c>
      <c r="E46" s="586">
        <v>21.846</v>
      </c>
      <c r="F46" s="507">
        <v>0.90583999999999998</v>
      </c>
      <c r="G46" s="587">
        <v>94.524380000000008</v>
      </c>
      <c r="H46" s="507">
        <v>10</v>
      </c>
      <c r="I46" s="587">
        <v>4158.0455700000002</v>
      </c>
    </row>
    <row r="47" spans="1:9" ht="16.5" customHeight="1" thickBot="1">
      <c r="A47" s="579">
        <v>941</v>
      </c>
      <c r="B47" s="580" t="s">
        <v>1398</v>
      </c>
      <c r="C47" s="585" t="s">
        <v>1442</v>
      </c>
      <c r="D47" s="507">
        <v>3641.8</v>
      </c>
      <c r="E47" s="586">
        <v>2381.5463500000001</v>
      </c>
      <c r="F47" s="507">
        <v>1010.2125</v>
      </c>
      <c r="G47" s="587">
        <v>50</v>
      </c>
      <c r="H47" s="507">
        <v>3111.2484800000002</v>
      </c>
      <c r="I47" s="587">
        <v>4020.6680699999997</v>
      </c>
    </row>
    <row r="48" spans="1:9" ht="16.5" customHeight="1" thickBot="1">
      <c r="A48" s="579">
        <v>966</v>
      </c>
      <c r="B48" s="580" t="s">
        <v>1399</v>
      </c>
      <c r="C48" s="585" t="s">
        <v>1442</v>
      </c>
      <c r="D48" s="507">
        <v>1012.1</v>
      </c>
      <c r="E48" s="586">
        <v>807.31455000000005</v>
      </c>
      <c r="F48" s="507">
        <v>338.9624</v>
      </c>
      <c r="G48" s="587">
        <v>-160.19725</v>
      </c>
      <c r="H48" s="507">
        <v>160</v>
      </c>
      <c r="I48" s="587">
        <v>729.6575600000001</v>
      </c>
    </row>
    <row r="49" spans="1:9" ht="16.5" customHeight="1" thickBot="1">
      <c r="A49" s="579">
        <v>994</v>
      </c>
      <c r="B49" s="580" t="s">
        <v>1400</v>
      </c>
      <c r="C49" s="585" t="s">
        <v>1442</v>
      </c>
      <c r="D49" s="507">
        <v>558.5</v>
      </c>
      <c r="E49" s="586">
        <v>306.39175</v>
      </c>
      <c r="F49" s="507">
        <v>62.80968</v>
      </c>
      <c r="G49" s="587">
        <v>169.25221000000002</v>
      </c>
      <c r="H49" s="507">
        <v>387.2</v>
      </c>
      <c r="I49" s="587">
        <v>2038.7323700000002</v>
      </c>
    </row>
    <row r="50" spans="1:9" ht="16.5" customHeight="1" thickBot="1">
      <c r="A50" s="579">
        <v>1040</v>
      </c>
      <c r="B50" s="580" t="s">
        <v>1402</v>
      </c>
      <c r="C50" s="585" t="s">
        <v>1442</v>
      </c>
      <c r="D50" s="507">
        <v>152.69999999999999</v>
      </c>
      <c r="E50" s="586">
        <v>89.566749999999999</v>
      </c>
      <c r="F50" s="507">
        <v>23.337799999999998</v>
      </c>
      <c r="G50" s="587">
        <v>26.900700000000001</v>
      </c>
      <c r="H50" s="507">
        <v>0</v>
      </c>
      <c r="I50" s="587">
        <v>653.88373000000001</v>
      </c>
    </row>
    <row r="51" spans="1:9" ht="16.5" customHeight="1" thickBot="1">
      <c r="A51" s="579">
        <v>1060</v>
      </c>
      <c r="B51" s="580" t="s">
        <v>1403</v>
      </c>
      <c r="C51" s="585" t="s">
        <v>1442</v>
      </c>
      <c r="D51" s="507">
        <v>4547.5</v>
      </c>
      <c r="E51" s="586">
        <v>2683.32755</v>
      </c>
      <c r="F51" s="507">
        <v>262.55137999999999</v>
      </c>
      <c r="G51" s="587">
        <v>2042.7407700000001</v>
      </c>
      <c r="H51" s="507">
        <v>908.75900000000001</v>
      </c>
      <c r="I51" s="587">
        <v>14225.72042</v>
      </c>
    </row>
    <row r="52" spans="1:9" ht="16.5" customHeight="1" thickBot="1">
      <c r="A52" s="579">
        <v>1097</v>
      </c>
      <c r="B52" s="580" t="s">
        <v>1404</v>
      </c>
      <c r="C52" s="585" t="s">
        <v>1442</v>
      </c>
      <c r="D52" s="507">
        <v>51.8</v>
      </c>
      <c r="E52" s="586">
        <v>41.119399999999999</v>
      </c>
      <c r="F52" s="507">
        <v>7.8698000000000006</v>
      </c>
      <c r="G52" s="587">
        <v>-11.17994</v>
      </c>
      <c r="H52" s="507">
        <v>15</v>
      </c>
      <c r="I52" s="587">
        <v>405.07506000000001</v>
      </c>
    </row>
    <row r="53" spans="1:9" ht="16.5" customHeight="1" thickBot="1">
      <c r="A53" s="579">
        <v>1113</v>
      </c>
      <c r="B53" s="580" t="s">
        <v>1405</v>
      </c>
      <c r="C53" s="585" t="s">
        <v>1442</v>
      </c>
      <c r="D53" s="507">
        <v>0.2</v>
      </c>
      <c r="E53" s="586" t="s">
        <v>1442</v>
      </c>
      <c r="F53" s="507">
        <v>0</v>
      </c>
      <c r="G53" s="587">
        <v>0.10690000000000001</v>
      </c>
      <c r="H53" s="507">
        <v>0</v>
      </c>
      <c r="I53" s="587">
        <v>0.10690000000000001</v>
      </c>
    </row>
    <row r="54" spans="1:9" ht="16.5" customHeight="1" thickBot="1">
      <c r="A54" s="579">
        <v>1147</v>
      </c>
      <c r="B54" s="580" t="s">
        <v>1407</v>
      </c>
      <c r="C54" s="585" t="s">
        <v>1442</v>
      </c>
      <c r="D54" s="507">
        <v>10.9</v>
      </c>
      <c r="E54" s="586">
        <v>0.92</v>
      </c>
      <c r="F54" s="507">
        <v>1</v>
      </c>
      <c r="G54" s="587">
        <v>18.302899999999998</v>
      </c>
      <c r="H54" s="507">
        <v>31</v>
      </c>
      <c r="I54" s="587">
        <v>180.91485</v>
      </c>
    </row>
    <row r="55" spans="1:9" ht="16.5" customHeight="1" thickBot="1">
      <c r="A55" s="579">
        <v>1159</v>
      </c>
      <c r="B55" s="580" t="s">
        <v>1408</v>
      </c>
      <c r="C55" s="585" t="s">
        <v>1442</v>
      </c>
      <c r="D55" s="507">
        <v>0.8</v>
      </c>
      <c r="E55" s="586" t="s">
        <v>1442</v>
      </c>
      <c r="F55" s="507">
        <v>4.2959999999999998E-2</v>
      </c>
      <c r="G55" s="587">
        <v>0.53683000000000003</v>
      </c>
      <c r="H55" s="507">
        <v>0.2</v>
      </c>
      <c r="I55" s="587">
        <v>0.53683000000000003</v>
      </c>
    </row>
    <row r="56" spans="1:9" ht="16.5" customHeight="1" thickBot="1">
      <c r="A56" s="579">
        <v>1179</v>
      </c>
      <c r="B56" s="580" t="s">
        <v>1444</v>
      </c>
      <c r="C56" s="585" t="s">
        <v>1445</v>
      </c>
      <c r="D56" s="507">
        <v>1393.8</v>
      </c>
      <c r="E56" s="586">
        <v>716.45140000000004</v>
      </c>
      <c r="F56" s="507">
        <v>126.28060000000001</v>
      </c>
      <c r="G56" s="587">
        <v>279.24480999999997</v>
      </c>
      <c r="H56" s="507">
        <v>60</v>
      </c>
      <c r="I56" s="587">
        <v>1851.4006300000001</v>
      </c>
    </row>
    <row r="57" spans="1:9" ht="16.5" customHeight="1" thickBot="1">
      <c r="A57" s="579">
        <v>1215</v>
      </c>
      <c r="B57" s="580" t="s">
        <v>1409</v>
      </c>
      <c r="C57" s="585" t="s">
        <v>1442</v>
      </c>
      <c r="D57" s="507">
        <v>71</v>
      </c>
      <c r="E57" s="586">
        <v>46.069400000000002</v>
      </c>
      <c r="F57" s="507">
        <v>11.40568</v>
      </c>
      <c r="G57" s="587">
        <v>24.668940000000003</v>
      </c>
      <c r="H57" s="507">
        <v>10</v>
      </c>
      <c r="I57" s="587">
        <v>318.00047999999998</v>
      </c>
    </row>
    <row r="58" spans="1:9" ht="16.5" customHeight="1" thickBot="1">
      <c r="A58" s="579">
        <v>1318</v>
      </c>
      <c r="B58" s="580" t="s">
        <v>1410</v>
      </c>
      <c r="C58" s="585" t="s">
        <v>1442</v>
      </c>
      <c r="D58" s="507">
        <v>41.1</v>
      </c>
      <c r="E58" s="586">
        <v>34.45664</v>
      </c>
      <c r="F58" s="507">
        <v>4.0105199999999996</v>
      </c>
      <c r="G58" s="587">
        <v>4.0813300000000021</v>
      </c>
      <c r="H58" s="507">
        <v>20</v>
      </c>
      <c r="I58" s="587">
        <v>272.48947999999996</v>
      </c>
    </row>
    <row r="59" spans="1:9" ht="16.5" customHeight="1" thickBot="1">
      <c r="A59" s="579">
        <v>1322</v>
      </c>
      <c r="B59" s="580" t="s">
        <v>1411</v>
      </c>
      <c r="C59" s="585" t="s">
        <v>1442</v>
      </c>
      <c r="D59" s="507">
        <v>80.099999999999994</v>
      </c>
      <c r="E59" s="586">
        <v>68.853899999999996</v>
      </c>
      <c r="F59" s="507">
        <v>11.98348</v>
      </c>
      <c r="G59" s="587">
        <v>5.8038200000000009</v>
      </c>
      <c r="H59" s="507">
        <v>34.549999999999997</v>
      </c>
      <c r="I59" s="587">
        <v>313.2174</v>
      </c>
    </row>
    <row r="60" spans="1:9" ht="16.5" customHeight="1" thickBot="1">
      <c r="A60" s="579">
        <v>1328</v>
      </c>
      <c r="B60" s="580" t="s">
        <v>1412</v>
      </c>
      <c r="C60" s="585" t="s">
        <v>1442</v>
      </c>
      <c r="D60" s="507">
        <v>59.4</v>
      </c>
      <c r="E60" s="586">
        <v>8.0325000000000006</v>
      </c>
      <c r="F60" s="507">
        <v>2.40741</v>
      </c>
      <c r="G60" s="587">
        <v>49.000209999999996</v>
      </c>
      <c r="H60" s="507">
        <v>255.46148000000002</v>
      </c>
      <c r="I60" s="587">
        <v>422.27860000000004</v>
      </c>
    </row>
    <row r="61" spans="1:9" ht="16.5" customHeight="1" thickBot="1">
      <c r="A61" s="579">
        <v>1331</v>
      </c>
      <c r="B61" s="580" t="s">
        <v>1413</v>
      </c>
      <c r="C61" s="585" t="s">
        <v>1442</v>
      </c>
      <c r="D61" s="507">
        <v>1.5</v>
      </c>
      <c r="E61" s="586">
        <v>0</v>
      </c>
      <c r="F61" s="507">
        <v>4.1569200000000004</v>
      </c>
      <c r="G61" s="587">
        <v>-3.0429200000000001</v>
      </c>
      <c r="H61" s="507">
        <v>4</v>
      </c>
      <c r="I61" s="587">
        <v>673.18520999999998</v>
      </c>
    </row>
    <row r="62" spans="1:9" ht="16.5" customHeight="1" thickBot="1">
      <c r="A62" s="579">
        <v>1362</v>
      </c>
      <c r="B62" s="580" t="s">
        <v>967</v>
      </c>
      <c r="C62" s="585" t="s">
        <v>1442</v>
      </c>
      <c r="D62" s="507">
        <v>15.8</v>
      </c>
      <c r="E62" s="586" t="s">
        <v>1442</v>
      </c>
      <c r="F62" s="507">
        <v>3.7570999999999999</v>
      </c>
      <c r="G62" s="587">
        <v>-2.1779999999999999</v>
      </c>
      <c r="H62" s="507">
        <v>1.5</v>
      </c>
      <c r="I62" s="587">
        <v>10.3765</v>
      </c>
    </row>
    <row r="63" spans="1:9" ht="16.5" customHeight="1" thickBot="1">
      <c r="A63" s="579">
        <v>1384</v>
      </c>
      <c r="B63" s="580" t="s">
        <v>1414</v>
      </c>
      <c r="C63" s="585" t="s">
        <v>1442</v>
      </c>
      <c r="D63" s="507">
        <v>4174.6000000000004</v>
      </c>
      <c r="E63" s="586">
        <v>3096.5512999999996</v>
      </c>
      <c r="F63" s="507">
        <v>1657.0225800000005</v>
      </c>
      <c r="G63" s="587">
        <v>-689.95927000000017</v>
      </c>
      <c r="H63" s="507">
        <v>1093.5889999999999</v>
      </c>
      <c r="I63" s="587">
        <v>5052.4347699999998</v>
      </c>
    </row>
    <row r="64" spans="1:9" ht="16.5" customHeight="1" thickBot="1">
      <c r="A64" s="579">
        <v>1386</v>
      </c>
      <c r="B64" s="580" t="s">
        <v>1415</v>
      </c>
      <c r="C64" s="585" t="s">
        <v>1442</v>
      </c>
      <c r="D64" s="507">
        <v>872.3</v>
      </c>
      <c r="E64" s="586">
        <v>616.89080000000001</v>
      </c>
      <c r="F64" s="507">
        <v>175.67860000000002</v>
      </c>
      <c r="G64" s="587">
        <v>86.242500000000007</v>
      </c>
      <c r="H64" s="507">
        <v>100</v>
      </c>
      <c r="I64" s="587">
        <v>741.94021999999995</v>
      </c>
    </row>
    <row r="65" spans="1:9" ht="16.5" customHeight="1" thickBot="1">
      <c r="A65" s="579">
        <v>1395</v>
      </c>
      <c r="B65" s="580" t="s">
        <v>1416</v>
      </c>
      <c r="C65" s="585" t="s">
        <v>1442</v>
      </c>
      <c r="D65" s="507">
        <v>3.2</v>
      </c>
      <c r="E65" s="586" t="s">
        <v>1442</v>
      </c>
      <c r="F65" s="507">
        <v>0.22709000000000001</v>
      </c>
      <c r="G65" s="587">
        <v>3.0171100000000002</v>
      </c>
      <c r="H65" s="507">
        <v>16.870999999999999</v>
      </c>
      <c r="I65" s="587">
        <v>109.47551000000001</v>
      </c>
    </row>
    <row r="66" spans="1:9" ht="16.5" customHeight="1" thickBot="1">
      <c r="A66" s="579">
        <v>1401</v>
      </c>
      <c r="B66" s="580" t="s">
        <v>1417</v>
      </c>
      <c r="C66" s="585" t="s">
        <v>1442</v>
      </c>
      <c r="D66" s="507">
        <v>26.6</v>
      </c>
      <c r="E66" s="586">
        <v>45.331000000000003</v>
      </c>
      <c r="F66" s="507">
        <v>13.758719999999999</v>
      </c>
      <c r="G66" s="587">
        <v>-32.559070000000006</v>
      </c>
      <c r="H66" s="507">
        <v>110</v>
      </c>
      <c r="I66" s="587">
        <v>137.76986000000002</v>
      </c>
    </row>
    <row r="67" spans="1:9" ht="16.5" customHeight="1" thickBot="1">
      <c r="A67" s="579">
        <v>1402</v>
      </c>
      <c r="B67" s="580" t="s">
        <v>1446</v>
      </c>
      <c r="C67" s="585" t="s">
        <v>1445</v>
      </c>
      <c r="D67" s="507" t="s">
        <v>1442</v>
      </c>
      <c r="E67" s="586">
        <v>88.131699999999995</v>
      </c>
      <c r="F67" s="507">
        <v>1.3089300000000001</v>
      </c>
      <c r="G67" s="587">
        <v>94.517730000000014</v>
      </c>
      <c r="H67" s="507">
        <v>20</v>
      </c>
      <c r="I67" s="587">
        <v>1573.4011499999999</v>
      </c>
    </row>
    <row r="68" spans="1:9" ht="16.5" customHeight="1" thickBot="1">
      <c r="A68" s="579">
        <v>1423</v>
      </c>
      <c r="B68" s="580" t="s">
        <v>1418</v>
      </c>
      <c r="C68" s="585" t="s">
        <v>1442</v>
      </c>
      <c r="D68" s="507">
        <v>50.2</v>
      </c>
      <c r="E68" s="586" t="s">
        <v>1442</v>
      </c>
      <c r="F68" s="507">
        <v>0.92240000000000011</v>
      </c>
      <c r="G68" s="587">
        <v>34.513150000000003</v>
      </c>
      <c r="H68" s="507">
        <v>120</v>
      </c>
      <c r="I68" s="587">
        <v>421.65728000000001</v>
      </c>
    </row>
    <row r="69" spans="1:9" ht="16.5" customHeight="1" thickBot="1">
      <c r="A69" s="579">
        <v>1442</v>
      </c>
      <c r="B69" s="580" t="s">
        <v>1419</v>
      </c>
      <c r="C69" s="585" t="s">
        <v>1442</v>
      </c>
      <c r="D69" s="507">
        <v>5.9</v>
      </c>
      <c r="E69" s="586">
        <v>4.0439999999999996</v>
      </c>
      <c r="F69" s="507">
        <v>1.4909600000000001</v>
      </c>
      <c r="G69" s="587">
        <v>7.0193900000000005</v>
      </c>
      <c r="H69" s="507">
        <v>5</v>
      </c>
      <c r="I69" s="587">
        <v>336.85404</v>
      </c>
    </row>
    <row r="70" spans="1:9" ht="16.5" customHeight="1" thickBot="1">
      <c r="A70" s="579">
        <v>1479</v>
      </c>
      <c r="B70" s="580" t="s">
        <v>1420</v>
      </c>
      <c r="C70" s="585" t="s">
        <v>1442</v>
      </c>
      <c r="D70" s="507">
        <v>13659.6</v>
      </c>
      <c r="E70" s="586">
        <v>9360.7139900000002</v>
      </c>
      <c r="F70" s="507">
        <v>3105.37365</v>
      </c>
      <c r="G70" s="587">
        <v>2613.2819800000002</v>
      </c>
      <c r="H70" s="507">
        <v>1300</v>
      </c>
      <c r="I70" s="587">
        <v>35587.416619999996</v>
      </c>
    </row>
    <row r="71" spans="1:9" ht="16.5" customHeight="1" thickBot="1">
      <c r="A71" s="579">
        <v>1491</v>
      </c>
      <c r="B71" s="580" t="s">
        <v>1447</v>
      </c>
      <c r="C71" s="588" t="s">
        <v>1445</v>
      </c>
      <c r="D71" s="589">
        <v>1565.2</v>
      </c>
      <c r="E71" s="590">
        <v>1374.92615</v>
      </c>
      <c r="F71" s="589">
        <v>152.59825000000001</v>
      </c>
      <c r="G71" s="591">
        <v>-20.890930000000001</v>
      </c>
      <c r="H71" s="589">
        <v>0</v>
      </c>
      <c r="I71" s="591">
        <v>2385.0307400000002</v>
      </c>
    </row>
    <row r="72" spans="1:9" ht="18" customHeight="1" thickBot="1">
      <c r="A72" s="579">
        <v>1507</v>
      </c>
      <c r="B72" s="580" t="s">
        <v>1421</v>
      </c>
      <c r="C72" s="592" t="s">
        <v>1442</v>
      </c>
      <c r="D72" s="593">
        <v>387.4</v>
      </c>
      <c r="E72" s="594">
        <v>203.21289000000002</v>
      </c>
      <c r="F72" s="593">
        <v>78.388109999999998</v>
      </c>
      <c r="G72" s="595">
        <v>122.22204000000001</v>
      </c>
      <c r="H72" s="593">
        <v>60</v>
      </c>
      <c r="I72" s="595">
        <v>2198.8069999999998</v>
      </c>
    </row>
    <row r="73" spans="1:9" ht="16.5" customHeight="1" thickBot="1">
      <c r="A73" s="579">
        <v>1509</v>
      </c>
      <c r="B73" s="580" t="s">
        <v>1422</v>
      </c>
      <c r="C73" s="585" t="s">
        <v>1442</v>
      </c>
      <c r="D73" s="507">
        <v>4208</v>
      </c>
      <c r="E73" s="586">
        <v>2297.2590099999998</v>
      </c>
      <c r="F73" s="507">
        <v>251.69686999999999</v>
      </c>
      <c r="G73" s="587">
        <v>1981.08959</v>
      </c>
      <c r="H73" s="507">
        <v>489.14299999999997</v>
      </c>
      <c r="I73" s="587">
        <v>23864.595670000002</v>
      </c>
    </row>
    <row r="74" spans="1:9" ht="16.5" customHeight="1" thickBot="1">
      <c r="A74" s="579">
        <v>1520</v>
      </c>
      <c r="B74" s="580" t="s">
        <v>1423</v>
      </c>
      <c r="C74" s="585" t="s">
        <v>1442</v>
      </c>
      <c r="D74" s="507">
        <v>19374.3</v>
      </c>
      <c r="E74" s="586">
        <v>15911.5558</v>
      </c>
      <c r="F74" s="507">
        <v>2336.2796000000003</v>
      </c>
      <c r="G74" s="587">
        <v>979.67870000000016</v>
      </c>
      <c r="H74" s="507">
        <v>3500</v>
      </c>
      <c r="I74" s="587">
        <v>21472.513019999999</v>
      </c>
    </row>
    <row r="75" spans="1:9" ht="16.5" customHeight="1" thickBot="1">
      <c r="A75" s="579">
        <v>1522</v>
      </c>
      <c r="B75" s="580" t="s">
        <v>1448</v>
      </c>
      <c r="C75" s="585" t="s">
        <v>1445</v>
      </c>
      <c r="D75" s="507">
        <v>2714</v>
      </c>
      <c r="E75" s="586">
        <v>2600.8240000000001</v>
      </c>
      <c r="F75" s="507">
        <v>436.20174000000003</v>
      </c>
      <c r="G75" s="587">
        <v>-189.74842000000001</v>
      </c>
      <c r="H75" s="507">
        <v>350</v>
      </c>
      <c r="I75" s="587">
        <v>5182.8053799999998</v>
      </c>
    </row>
    <row r="76" spans="1:9" ht="16.5" customHeight="1" thickBot="1">
      <c r="A76" s="579">
        <v>1529</v>
      </c>
      <c r="B76" s="580" t="s">
        <v>1424</v>
      </c>
      <c r="C76" s="585" t="s">
        <v>1442</v>
      </c>
      <c r="D76" s="507">
        <v>426.8</v>
      </c>
      <c r="E76" s="586">
        <v>328.44185000000004</v>
      </c>
      <c r="F76" s="507">
        <v>25.555280000000007</v>
      </c>
      <c r="G76" s="587">
        <v>97.006690000000006</v>
      </c>
      <c r="H76" s="507">
        <v>123.83499999999999</v>
      </c>
      <c r="I76" s="587">
        <v>7542.3143200000004</v>
      </c>
    </row>
    <row r="77" spans="1:9" ht="16.5" customHeight="1" thickBot="1">
      <c r="A77" s="579">
        <v>1535</v>
      </c>
      <c r="B77" s="580" t="s">
        <v>1425</v>
      </c>
      <c r="C77" s="585" t="s">
        <v>1442</v>
      </c>
      <c r="D77" s="507">
        <v>21722.7</v>
      </c>
      <c r="E77" s="586">
        <v>15296.217369999998</v>
      </c>
      <c r="F77" s="507">
        <v>4363.8658800000012</v>
      </c>
      <c r="G77" s="587">
        <v>3300.7201399999994</v>
      </c>
      <c r="H77" s="507">
        <v>1950</v>
      </c>
      <c r="I77" s="587">
        <v>40424.023270000005</v>
      </c>
    </row>
    <row r="78" spans="1:9" ht="16.5" customHeight="1" thickBot="1">
      <c r="A78" s="579">
        <v>1540</v>
      </c>
      <c r="B78" s="580" t="s">
        <v>1449</v>
      </c>
      <c r="C78" s="585" t="s">
        <v>1445</v>
      </c>
      <c r="D78" s="507">
        <v>1958.8</v>
      </c>
      <c r="E78" s="586">
        <v>2260.1689500000002</v>
      </c>
      <c r="F78" s="507">
        <v>134.75611000000001</v>
      </c>
      <c r="G78" s="587">
        <v>-332.74592999999999</v>
      </c>
      <c r="H78" s="507">
        <v>19.59</v>
      </c>
      <c r="I78" s="587">
        <v>2054.09402</v>
      </c>
    </row>
    <row r="79" spans="1:9" ht="16.5" customHeight="1" thickBot="1">
      <c r="A79" s="579">
        <v>1551</v>
      </c>
      <c r="B79" s="580" t="s">
        <v>1427</v>
      </c>
      <c r="C79" s="585" t="s">
        <v>1442</v>
      </c>
      <c r="D79" s="507">
        <v>555.5</v>
      </c>
      <c r="E79" s="586">
        <v>406.46054000000004</v>
      </c>
      <c r="F79" s="507">
        <v>99.061400000000006</v>
      </c>
      <c r="G79" s="587">
        <v>130.9496</v>
      </c>
      <c r="H79" s="507">
        <v>100</v>
      </c>
      <c r="I79" s="587">
        <v>2039.1631299999999</v>
      </c>
    </row>
    <row r="80" spans="1:9" ht="16.5" customHeight="1" thickBot="1">
      <c r="A80" s="579">
        <v>1552</v>
      </c>
      <c r="B80" s="580" t="s">
        <v>1428</v>
      </c>
      <c r="C80" s="585" t="s">
        <v>1442</v>
      </c>
      <c r="D80" s="507">
        <v>92.7</v>
      </c>
      <c r="E80" s="586">
        <v>32.661100000000005</v>
      </c>
      <c r="F80" s="507">
        <v>14.192519999999998</v>
      </c>
      <c r="G80" s="587">
        <v>81.574040000000011</v>
      </c>
      <c r="H80" s="507">
        <v>29.19</v>
      </c>
      <c r="I80" s="587">
        <v>20.630760000000002</v>
      </c>
    </row>
    <row r="81" spans="1:9" ht="16.5" customHeight="1" thickBot="1">
      <c r="A81" s="579">
        <v>1555</v>
      </c>
      <c r="B81" s="580" t="s">
        <v>1429</v>
      </c>
      <c r="C81" s="585" t="s">
        <v>1442</v>
      </c>
      <c r="D81" s="507">
        <v>2154.9</v>
      </c>
      <c r="E81" s="586">
        <v>1054.9713000000002</v>
      </c>
      <c r="F81" s="507">
        <v>65.177270000000007</v>
      </c>
      <c r="G81" s="587">
        <v>1076.9794999999999</v>
      </c>
      <c r="H81" s="507">
        <v>400</v>
      </c>
      <c r="I81" s="587">
        <v>50571.070100000004</v>
      </c>
    </row>
    <row r="82" spans="1:9" ht="16.5" customHeight="1" thickBot="1">
      <c r="A82" s="579">
        <v>1560</v>
      </c>
      <c r="B82" s="580" t="s">
        <v>1430</v>
      </c>
      <c r="C82" s="585" t="s">
        <v>1442</v>
      </c>
      <c r="D82" s="507">
        <v>14288.6</v>
      </c>
      <c r="E82" s="586">
        <v>14668.59045</v>
      </c>
      <c r="F82" s="507">
        <v>2466.3111999999996</v>
      </c>
      <c r="G82" s="587">
        <v>-3168.1483499999995</v>
      </c>
      <c r="H82" s="507">
        <v>3278.625</v>
      </c>
      <c r="I82" s="587">
        <v>28735.896710000001</v>
      </c>
    </row>
    <row r="83" spans="1:9" ht="16.5" customHeight="1" thickBot="1">
      <c r="A83" s="579">
        <v>1562</v>
      </c>
      <c r="B83" s="580" t="s">
        <v>1431</v>
      </c>
      <c r="C83" s="585" t="s">
        <v>1442</v>
      </c>
      <c r="D83" s="507">
        <v>85805.8</v>
      </c>
      <c r="E83" s="586">
        <v>69982.241999999998</v>
      </c>
      <c r="F83" s="507">
        <v>13414.59189</v>
      </c>
      <c r="G83" s="587">
        <v>5810.1035299999994</v>
      </c>
      <c r="H83" s="507">
        <v>67068.38</v>
      </c>
      <c r="I83" s="587">
        <v>106450.00664000001</v>
      </c>
    </row>
    <row r="84" spans="1:9" ht="16.5" customHeight="1" thickBot="1">
      <c r="A84" s="579">
        <v>1563</v>
      </c>
      <c r="B84" s="580" t="s">
        <v>1432</v>
      </c>
      <c r="C84" s="585" t="s">
        <v>1442</v>
      </c>
      <c r="D84" s="507">
        <v>965.5</v>
      </c>
      <c r="E84" s="586">
        <v>690.04195000000004</v>
      </c>
      <c r="F84" s="507">
        <v>607.50699000000009</v>
      </c>
      <c r="G84" s="587">
        <v>-303.08841000000001</v>
      </c>
      <c r="H84" s="507">
        <v>104.0946</v>
      </c>
      <c r="I84" s="587">
        <v>1559.74396</v>
      </c>
    </row>
    <row r="85" spans="1:9" ht="16.5" customHeight="1" thickBot="1">
      <c r="A85" s="579">
        <v>1565</v>
      </c>
      <c r="B85" s="580" t="s">
        <v>1433</v>
      </c>
      <c r="C85" s="585" t="s">
        <v>1442</v>
      </c>
      <c r="D85" s="507">
        <v>218</v>
      </c>
      <c r="E85" s="586">
        <v>86.565049999999999</v>
      </c>
      <c r="F85" s="507">
        <v>33.343469999999996</v>
      </c>
      <c r="G85" s="587">
        <v>91.641770000000022</v>
      </c>
      <c r="H85" s="507">
        <v>77.3</v>
      </c>
      <c r="I85" s="587">
        <v>193.67934</v>
      </c>
    </row>
    <row r="86" spans="1:9" ht="14" thickBot="1">
      <c r="A86" s="579">
        <v>1566</v>
      </c>
      <c r="B86" s="580" t="s">
        <v>1434</v>
      </c>
      <c r="C86" s="585" t="s">
        <v>1442</v>
      </c>
      <c r="D86" s="507">
        <v>205.2</v>
      </c>
      <c r="E86" s="586">
        <v>73.438000000000002</v>
      </c>
      <c r="F86" s="507">
        <v>31.325370000000003</v>
      </c>
      <c r="G86" s="587">
        <v>119.58297999999999</v>
      </c>
      <c r="H86" s="507">
        <v>65.599999999999994</v>
      </c>
      <c r="I86" s="587">
        <v>489.68103000000002</v>
      </c>
    </row>
    <row r="87" spans="1:9" ht="14" thickBot="1">
      <c r="A87" s="579">
        <v>1569</v>
      </c>
      <c r="B87" s="580" t="s">
        <v>1436</v>
      </c>
      <c r="C87" s="585" t="s">
        <v>1442</v>
      </c>
      <c r="D87" s="507">
        <v>3.5</v>
      </c>
      <c r="E87" s="586">
        <v>0.3</v>
      </c>
      <c r="F87" s="507">
        <v>0.18268999999999999</v>
      </c>
      <c r="G87" s="587">
        <v>2.0563199999999999</v>
      </c>
      <c r="H87" s="507">
        <v>1</v>
      </c>
      <c r="I87" s="587">
        <v>2.0563200000000004</v>
      </c>
    </row>
    <row r="88" spans="1:9" ht="14" thickBot="1">
      <c r="A88" s="579">
        <v>1574</v>
      </c>
      <c r="B88" s="580" t="s">
        <v>1439</v>
      </c>
      <c r="C88" s="585" t="s">
        <v>1442</v>
      </c>
      <c r="D88" s="507">
        <v>1.2</v>
      </c>
      <c r="E88" s="586" t="s">
        <v>1442</v>
      </c>
      <c r="F88" s="507">
        <v>0.18547000000000002</v>
      </c>
      <c r="G88" s="587">
        <v>1.0577800000000002</v>
      </c>
      <c r="H88" s="507">
        <v>0</v>
      </c>
      <c r="I88" s="587">
        <v>1.0577799999999999</v>
      </c>
    </row>
    <row r="89" spans="1:9" ht="14" thickBot="1">
      <c r="A89" s="579">
        <v>1575</v>
      </c>
      <c r="B89" s="580" t="s">
        <v>1440</v>
      </c>
      <c r="C89" s="585" t="s">
        <v>1442</v>
      </c>
      <c r="D89" s="507">
        <v>31.7</v>
      </c>
      <c r="E89" s="586">
        <v>15.15</v>
      </c>
      <c r="F89" s="507">
        <v>1.9361199999999998</v>
      </c>
      <c r="G89" s="587">
        <v>12.45391</v>
      </c>
      <c r="H89" s="507">
        <v>3.7959999999999998</v>
      </c>
      <c r="I89" s="587">
        <v>147.39351000000002</v>
      </c>
    </row>
    <row r="90" spans="1:9" ht="14" thickBot="1">
      <c r="A90" s="579" t="s">
        <v>1442</v>
      </c>
      <c r="B90" s="580" t="s">
        <v>1442</v>
      </c>
      <c r="C90" s="585" t="s">
        <v>1442</v>
      </c>
      <c r="D90" s="507" t="s">
        <v>1442</v>
      </c>
      <c r="E90" s="586" t="s">
        <v>1442</v>
      </c>
      <c r="F90" s="507" t="s">
        <v>1442</v>
      </c>
      <c r="G90" s="587" t="s">
        <v>1442</v>
      </c>
      <c r="H90" s="507" t="s">
        <v>1442</v>
      </c>
      <c r="I90" s="587" t="s">
        <v>1442</v>
      </c>
    </row>
    <row r="91" spans="1:9" ht="14" thickBot="1">
      <c r="A91" s="579" t="s">
        <v>1442</v>
      </c>
      <c r="B91" s="580" t="s">
        <v>1442</v>
      </c>
      <c r="C91" s="585" t="s">
        <v>1442</v>
      </c>
      <c r="D91" s="507" t="s">
        <v>1442</v>
      </c>
      <c r="E91" s="586" t="s">
        <v>1442</v>
      </c>
      <c r="F91" s="507" t="s">
        <v>1442</v>
      </c>
      <c r="G91" s="587" t="s">
        <v>1442</v>
      </c>
      <c r="H91" s="507" t="s">
        <v>1442</v>
      </c>
      <c r="I91" s="587" t="s">
        <v>1442</v>
      </c>
    </row>
    <row r="92" spans="1:9" ht="14" thickBot="1">
      <c r="A92" s="579" t="s">
        <v>1442</v>
      </c>
      <c r="B92" s="580" t="s">
        <v>1442</v>
      </c>
      <c r="C92" s="585" t="s">
        <v>1442</v>
      </c>
      <c r="D92" s="507" t="s">
        <v>1442</v>
      </c>
      <c r="E92" s="586" t="s">
        <v>1442</v>
      </c>
      <c r="F92" s="507" t="s">
        <v>1442</v>
      </c>
      <c r="G92" s="587" t="s">
        <v>1442</v>
      </c>
      <c r="H92" s="507" t="s">
        <v>1442</v>
      </c>
      <c r="I92" s="587" t="s">
        <v>1442</v>
      </c>
    </row>
    <row r="93" spans="1:9" ht="14" thickBot="1">
      <c r="A93" s="579" t="s">
        <v>1442</v>
      </c>
      <c r="B93" s="580" t="s">
        <v>1442</v>
      </c>
      <c r="C93" s="585" t="s">
        <v>1442</v>
      </c>
      <c r="D93" s="507" t="s">
        <v>1442</v>
      </c>
      <c r="E93" s="586" t="s">
        <v>1442</v>
      </c>
      <c r="F93" s="507" t="s">
        <v>1442</v>
      </c>
      <c r="G93" s="587" t="s">
        <v>1442</v>
      </c>
      <c r="H93" s="507" t="s">
        <v>1442</v>
      </c>
      <c r="I93" s="587" t="s">
        <v>1442</v>
      </c>
    </row>
    <row r="94" spans="1:9" ht="14" thickBot="1">
      <c r="A94" s="579" t="s">
        <v>1442</v>
      </c>
      <c r="B94" s="580" t="s">
        <v>1442</v>
      </c>
      <c r="C94" s="585" t="s">
        <v>1442</v>
      </c>
      <c r="D94" s="507" t="s">
        <v>1442</v>
      </c>
      <c r="E94" s="586" t="s">
        <v>1442</v>
      </c>
      <c r="F94" s="507" t="s">
        <v>1442</v>
      </c>
      <c r="G94" s="587" t="s">
        <v>1442</v>
      </c>
      <c r="H94" s="507" t="s">
        <v>1442</v>
      </c>
      <c r="I94" s="587" t="s">
        <v>1442</v>
      </c>
    </row>
    <row r="95" spans="1:9" ht="14" thickBot="1">
      <c r="A95" s="579" t="s">
        <v>1442</v>
      </c>
      <c r="B95" s="580" t="s">
        <v>1442</v>
      </c>
      <c r="C95" s="585" t="s">
        <v>1442</v>
      </c>
      <c r="D95" s="507" t="s">
        <v>1442</v>
      </c>
      <c r="E95" s="586" t="s">
        <v>1442</v>
      </c>
      <c r="F95" s="507" t="s">
        <v>1442</v>
      </c>
      <c r="G95" s="587" t="s">
        <v>1442</v>
      </c>
      <c r="H95" s="507" t="s">
        <v>1442</v>
      </c>
      <c r="I95" s="587" t="s">
        <v>1442</v>
      </c>
    </row>
    <row r="96" spans="1:9" ht="14" thickBot="1">
      <c r="A96" s="579" t="s">
        <v>1442</v>
      </c>
      <c r="B96" s="580" t="s">
        <v>1442</v>
      </c>
      <c r="C96" s="585" t="s">
        <v>1442</v>
      </c>
      <c r="D96" s="507" t="s">
        <v>1442</v>
      </c>
      <c r="E96" s="586" t="s">
        <v>1442</v>
      </c>
      <c r="F96" s="507" t="s">
        <v>1442</v>
      </c>
      <c r="G96" s="587" t="s">
        <v>1442</v>
      </c>
      <c r="H96" s="507" t="s">
        <v>1442</v>
      </c>
      <c r="I96" s="587" t="s">
        <v>1442</v>
      </c>
    </row>
    <row r="97" spans="1:9" ht="14" thickBot="1">
      <c r="A97" s="579" t="s">
        <v>1442</v>
      </c>
      <c r="B97" s="580" t="s">
        <v>1442</v>
      </c>
      <c r="C97" s="585" t="s">
        <v>1442</v>
      </c>
      <c r="D97" s="507" t="s">
        <v>1442</v>
      </c>
      <c r="E97" s="586" t="s">
        <v>1442</v>
      </c>
      <c r="F97" s="507" t="s">
        <v>1442</v>
      </c>
      <c r="G97" s="587" t="s">
        <v>1442</v>
      </c>
      <c r="H97" s="507" t="s">
        <v>1442</v>
      </c>
      <c r="I97" s="587" t="s">
        <v>1442</v>
      </c>
    </row>
    <row r="98" spans="1:9" ht="14" thickBot="1">
      <c r="A98" s="579" t="s">
        <v>1442</v>
      </c>
      <c r="B98" s="580" t="s">
        <v>1442</v>
      </c>
      <c r="C98" s="585" t="s">
        <v>1442</v>
      </c>
      <c r="D98" s="507" t="s">
        <v>1442</v>
      </c>
      <c r="E98" s="586" t="s">
        <v>1442</v>
      </c>
      <c r="F98" s="507" t="s">
        <v>1442</v>
      </c>
      <c r="G98" s="587" t="s">
        <v>1442</v>
      </c>
      <c r="H98" s="507" t="s">
        <v>1442</v>
      </c>
      <c r="I98" s="587" t="s">
        <v>1442</v>
      </c>
    </row>
    <row r="99" spans="1:9" ht="14" thickBot="1">
      <c r="A99" s="579" t="s">
        <v>1442</v>
      </c>
      <c r="B99" s="580" t="s">
        <v>1442</v>
      </c>
      <c r="C99" s="585" t="s">
        <v>1442</v>
      </c>
      <c r="D99" s="507" t="s">
        <v>1442</v>
      </c>
      <c r="E99" s="586" t="s">
        <v>1442</v>
      </c>
      <c r="F99" s="507" t="s">
        <v>1442</v>
      </c>
      <c r="G99" s="587" t="s">
        <v>1442</v>
      </c>
      <c r="H99" s="507" t="s">
        <v>1442</v>
      </c>
      <c r="I99" s="587" t="s">
        <v>1442</v>
      </c>
    </row>
    <row r="100" spans="1:9" ht="14" thickBot="1">
      <c r="A100" s="579" t="s">
        <v>1442</v>
      </c>
      <c r="B100" s="580" t="s">
        <v>1442</v>
      </c>
      <c r="C100" s="585" t="s">
        <v>1442</v>
      </c>
      <c r="D100" s="507" t="s">
        <v>1442</v>
      </c>
      <c r="E100" s="586" t="s">
        <v>1442</v>
      </c>
      <c r="F100" s="507" t="s">
        <v>1442</v>
      </c>
      <c r="G100" s="587" t="s">
        <v>1442</v>
      </c>
      <c r="H100" s="507" t="s">
        <v>1442</v>
      </c>
      <c r="I100" s="587" t="s">
        <v>1442</v>
      </c>
    </row>
    <row r="101" spans="1:9" ht="14" thickBot="1">
      <c r="A101" s="579" t="s">
        <v>1442</v>
      </c>
      <c r="B101" s="580" t="s">
        <v>1442</v>
      </c>
      <c r="C101" s="585" t="s">
        <v>1442</v>
      </c>
      <c r="D101" s="507" t="s">
        <v>1442</v>
      </c>
      <c r="E101" s="586" t="s">
        <v>1442</v>
      </c>
      <c r="F101" s="507" t="s">
        <v>1442</v>
      </c>
      <c r="G101" s="587" t="s">
        <v>1442</v>
      </c>
      <c r="H101" s="507" t="s">
        <v>1442</v>
      </c>
      <c r="I101" s="587" t="s">
        <v>1442</v>
      </c>
    </row>
    <row r="102" spans="1:9" ht="14" thickBot="1">
      <c r="A102" s="579" t="s">
        <v>1442</v>
      </c>
      <c r="B102" s="580" t="s">
        <v>1442</v>
      </c>
      <c r="C102" s="585" t="s">
        <v>1442</v>
      </c>
      <c r="D102" s="507" t="s">
        <v>1442</v>
      </c>
      <c r="E102" s="586" t="s">
        <v>1442</v>
      </c>
      <c r="F102" s="507" t="s">
        <v>1442</v>
      </c>
      <c r="G102" s="587" t="s">
        <v>1442</v>
      </c>
      <c r="H102" s="507" t="s">
        <v>1442</v>
      </c>
      <c r="I102" s="587" t="s">
        <v>1442</v>
      </c>
    </row>
    <row r="103" spans="1:9" ht="14" thickBot="1">
      <c r="A103" s="579" t="s">
        <v>1442</v>
      </c>
      <c r="B103" s="580" t="s">
        <v>1442</v>
      </c>
      <c r="C103" s="585" t="s">
        <v>1442</v>
      </c>
      <c r="D103" s="507" t="s">
        <v>1442</v>
      </c>
      <c r="E103" s="586" t="s">
        <v>1442</v>
      </c>
      <c r="F103" s="507" t="s">
        <v>1442</v>
      </c>
      <c r="G103" s="587" t="s">
        <v>1442</v>
      </c>
      <c r="H103" s="507" t="s">
        <v>1442</v>
      </c>
      <c r="I103" s="587" t="s">
        <v>1442</v>
      </c>
    </row>
    <row r="104" spans="1:9" ht="14" thickBot="1">
      <c r="A104" s="579" t="s">
        <v>1442</v>
      </c>
      <c r="B104" s="580" t="s">
        <v>1442</v>
      </c>
      <c r="C104" s="585" t="s">
        <v>1442</v>
      </c>
      <c r="D104" s="507" t="s">
        <v>1442</v>
      </c>
      <c r="E104" s="586" t="s">
        <v>1442</v>
      </c>
      <c r="F104" s="507" t="s">
        <v>1442</v>
      </c>
      <c r="G104" s="587" t="s">
        <v>1442</v>
      </c>
      <c r="H104" s="507" t="s">
        <v>1442</v>
      </c>
      <c r="I104" s="587" t="s">
        <v>1442</v>
      </c>
    </row>
    <row r="105" spans="1:9" s="248" customFormat="1" ht="18.75" customHeight="1" thickBot="1">
      <c r="A105" s="596" t="s">
        <v>190</v>
      </c>
      <c r="B105" s="597">
        <v>78</v>
      </c>
      <c r="C105" s="598">
        <v>5</v>
      </c>
      <c r="D105" s="517">
        <v>248755.7</v>
      </c>
      <c r="E105" s="599">
        <v>191644.64350000001</v>
      </c>
      <c r="F105" s="517">
        <v>46119.144699999997</v>
      </c>
      <c r="G105" s="599">
        <v>17000.650449999994</v>
      </c>
      <c r="H105" s="517">
        <v>98947.015739999988</v>
      </c>
      <c r="I105" s="600">
        <v>507012.63921999978</v>
      </c>
    </row>
    <row r="106" spans="1:9" ht="16.5" customHeight="1" thickBot="1">
      <c r="A106" s="51" t="s">
        <v>678</v>
      </c>
      <c r="C106" s="601"/>
      <c r="D106" s="520"/>
      <c r="E106" s="520"/>
      <c r="F106" s="521"/>
      <c r="G106" s="520"/>
      <c r="H106" s="522"/>
      <c r="I106" s="523"/>
    </row>
    <row r="108" spans="1:9">
      <c r="A108" s="3" t="s">
        <v>926</v>
      </c>
    </row>
    <row r="110" spans="1:9">
      <c r="A110" s="526" t="s">
        <v>927</v>
      </c>
    </row>
    <row r="111" spans="1:9">
      <c r="A111" s="49">
        <v>0</v>
      </c>
      <c r="B111" s="526" t="s">
        <v>928</v>
      </c>
    </row>
    <row r="112" spans="1:9">
      <c r="A112" s="49">
        <v>1</v>
      </c>
      <c r="B112" s="526" t="s">
        <v>929</v>
      </c>
    </row>
    <row r="113" spans="1:2">
      <c r="A113" s="49">
        <v>2</v>
      </c>
      <c r="B113" s="526" t="s">
        <v>930</v>
      </c>
    </row>
    <row r="114" spans="1:2">
      <c r="A114" s="49">
        <v>3</v>
      </c>
      <c r="B114" s="526" t="s">
        <v>931</v>
      </c>
    </row>
    <row r="115" spans="1:2">
      <c r="A115" s="49" t="s">
        <v>932</v>
      </c>
      <c r="B115" s="526" t="s">
        <v>933</v>
      </c>
    </row>
    <row r="116" spans="1:2">
      <c r="A116" s="49">
        <v>5</v>
      </c>
      <c r="B116" s="526" t="s">
        <v>934</v>
      </c>
    </row>
    <row r="117" spans="1:2">
      <c r="A117" s="49">
        <v>6</v>
      </c>
      <c r="B117" s="526" t="s">
        <v>935</v>
      </c>
    </row>
    <row r="118" spans="1:2">
      <c r="A118" s="49">
        <v>7</v>
      </c>
      <c r="B118" s="526" t="s">
        <v>936</v>
      </c>
    </row>
    <row r="121" spans="1:2">
      <c r="A121" s="3" t="s">
        <v>677</v>
      </c>
    </row>
  </sheetData>
  <pageMargins left="0.51181102362204722" right="0.35433070866141736" top="0.55118110236220474" bottom="0.55118110236220474" header="0.35433070866141736" footer="0.27559055118110237"/>
  <pageSetup paperSize="9" scale="70" fitToHeight="2" pageOrder="overThenDown" orientation="portrait" horizontalDpi="1200" verticalDpi="1200"/>
  <headerFooter alignWithMargins="0">
    <oddFooter>&amp;R&amp;P/&amp;N</oddFooter>
  </headerFooter>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D0204-F56C-EC45-A2F3-1147FD7304DA}">
  <sheetPr>
    <pageSetUpPr fitToPage="1"/>
  </sheetPr>
  <dimension ref="A1:O38"/>
  <sheetViews>
    <sheetView topLeftCell="A6" zoomScaleNormal="100" workbookViewId="0">
      <selection activeCell="F12" sqref="F12"/>
    </sheetView>
  </sheetViews>
  <sheetFormatPr baseColWidth="10" defaultColWidth="11.3984375" defaultRowHeight="13"/>
  <cols>
    <col min="1" max="1" width="7.3984375" style="3" customWidth="1"/>
    <col min="2" max="2" width="41.59765625" style="49" customWidth="1"/>
    <col min="3" max="3" width="10.59765625" style="49" customWidth="1"/>
    <col min="4" max="4" width="11.3984375" style="49" customWidth="1"/>
    <col min="5" max="5" width="10.19921875" style="8" customWidth="1"/>
    <col min="6" max="6" width="20.796875" style="8" customWidth="1"/>
    <col min="7" max="7" width="15.19921875" style="3" customWidth="1"/>
    <col min="8" max="8" width="7.59765625" style="50" customWidth="1"/>
    <col min="9" max="9" width="26.19921875" style="3" customWidth="1"/>
    <col min="10" max="16384" width="11.3984375" style="3"/>
  </cols>
  <sheetData>
    <row r="1" spans="1:9" s="2" customFormat="1" ht="14" customHeight="1">
      <c r="A1" s="479"/>
      <c r="B1" s="478"/>
      <c r="C1" s="478"/>
      <c r="D1" s="478"/>
      <c r="E1" s="479"/>
      <c r="F1" s="46"/>
      <c r="G1" s="479"/>
      <c r="H1" s="602"/>
      <c r="I1" s="479"/>
    </row>
    <row r="2" spans="1:9" s="2" customFormat="1" ht="19.5" customHeight="1">
      <c r="A2" s="47" t="s">
        <v>937</v>
      </c>
      <c r="C2" s="478"/>
      <c r="D2" s="478"/>
      <c r="E2" s="46"/>
      <c r="F2" s="46"/>
      <c r="G2" s="603"/>
      <c r="H2" s="602"/>
      <c r="I2" s="47">
        <v>2010</v>
      </c>
    </row>
    <row r="3" spans="1:9" s="2" customFormat="1" ht="11.25" customHeight="1">
      <c r="A3" s="479"/>
      <c r="B3" s="479"/>
      <c r="C3" s="478"/>
      <c r="D3" s="478"/>
      <c r="E3" s="46"/>
      <c r="F3" s="46"/>
      <c r="G3" s="479"/>
      <c r="H3" s="602"/>
      <c r="I3" s="479"/>
    </row>
    <row r="4" spans="1:9" ht="18" customHeight="1">
      <c r="A4" s="483" t="s">
        <v>755</v>
      </c>
      <c r="B4" s="483" t="s">
        <v>938</v>
      </c>
      <c r="C4" s="484" t="s">
        <v>939</v>
      </c>
      <c r="D4" s="485" t="s">
        <v>940</v>
      </c>
      <c r="E4" s="487" t="s">
        <v>941</v>
      </c>
      <c r="F4" s="486" t="s">
        <v>942</v>
      </c>
      <c r="G4" s="484" t="s">
        <v>943</v>
      </c>
      <c r="H4" s="604" t="s">
        <v>944</v>
      </c>
      <c r="I4" s="485"/>
    </row>
    <row r="5" spans="1:9" ht="15" customHeight="1">
      <c r="A5" s="490" t="s">
        <v>773</v>
      </c>
      <c r="B5" s="490"/>
      <c r="C5" s="491"/>
      <c r="D5" s="488" t="s">
        <v>945</v>
      </c>
      <c r="E5" s="493" t="s">
        <v>946</v>
      </c>
      <c r="F5" s="492" t="s">
        <v>947</v>
      </c>
      <c r="G5" s="491" t="s">
        <v>948</v>
      </c>
      <c r="H5" s="605" t="s">
        <v>949</v>
      </c>
      <c r="I5" s="488"/>
    </row>
    <row r="6" spans="1:9" ht="15" customHeight="1">
      <c r="A6" s="490"/>
      <c r="B6" s="490"/>
      <c r="C6" s="491"/>
      <c r="D6" s="488" t="s">
        <v>950</v>
      </c>
      <c r="E6" s="493"/>
      <c r="F6" s="492"/>
      <c r="G6" s="491" t="s">
        <v>951</v>
      </c>
      <c r="H6" s="606"/>
      <c r="I6" s="488"/>
    </row>
    <row r="7" spans="1:9" ht="18" customHeight="1">
      <c r="A7" s="607"/>
      <c r="B7" s="568"/>
      <c r="C7" s="569"/>
      <c r="D7" s="570"/>
      <c r="E7" s="572"/>
      <c r="F7" s="571"/>
      <c r="G7" s="569"/>
      <c r="H7" s="608"/>
      <c r="I7" s="570"/>
    </row>
    <row r="8" spans="1:9" ht="44.25" customHeight="1" thickBot="1">
      <c r="A8" s="501">
        <v>97</v>
      </c>
      <c r="B8" s="502" t="s">
        <v>952</v>
      </c>
      <c r="C8" s="609" t="s">
        <v>953</v>
      </c>
      <c r="D8" s="610"/>
      <c r="E8" s="611"/>
      <c r="F8" s="612"/>
      <c r="G8" s="613" t="s">
        <v>954</v>
      </c>
      <c r="H8" s="614"/>
      <c r="I8" s="615"/>
    </row>
    <row r="9" spans="1:9" ht="44.25" customHeight="1" thickBot="1">
      <c r="A9" s="501">
        <v>134</v>
      </c>
      <c r="B9" s="502" t="s">
        <v>955</v>
      </c>
      <c r="C9" s="609" t="s">
        <v>953</v>
      </c>
      <c r="D9" s="610"/>
      <c r="E9" s="611"/>
      <c r="F9" s="612"/>
      <c r="G9" s="613" t="s">
        <v>956</v>
      </c>
      <c r="H9" s="614"/>
      <c r="I9" s="615"/>
    </row>
    <row r="10" spans="1:9" ht="44.25" customHeight="1" thickBot="1">
      <c r="A10" s="501">
        <v>294</v>
      </c>
      <c r="B10" s="502" t="s">
        <v>957</v>
      </c>
      <c r="C10" s="609" t="s">
        <v>953</v>
      </c>
      <c r="D10" s="610"/>
      <c r="E10" s="611"/>
      <c r="F10" s="616" t="s">
        <v>958</v>
      </c>
      <c r="G10" s="611"/>
      <c r="H10" s="614"/>
      <c r="I10" s="615"/>
    </row>
    <row r="11" spans="1:9" ht="44.25" customHeight="1" thickBot="1">
      <c r="A11" s="501">
        <v>820</v>
      </c>
      <c r="B11" s="502" t="s">
        <v>959</v>
      </c>
      <c r="C11" s="609" t="s">
        <v>953</v>
      </c>
      <c r="D11" s="610"/>
      <c r="E11" s="611"/>
      <c r="F11" s="615" t="s">
        <v>960</v>
      </c>
      <c r="G11" s="611"/>
      <c r="H11" s="614"/>
      <c r="I11" s="615"/>
    </row>
    <row r="12" spans="1:9" ht="44.25" customHeight="1" thickBot="1">
      <c r="A12" s="501">
        <v>881</v>
      </c>
      <c r="B12" s="502" t="s">
        <v>961</v>
      </c>
      <c r="C12" s="609" t="s">
        <v>953</v>
      </c>
      <c r="D12" s="610"/>
      <c r="E12" s="611"/>
      <c r="F12" s="612" t="s">
        <v>962</v>
      </c>
      <c r="G12" s="611"/>
      <c r="H12" s="614"/>
      <c r="I12" s="615"/>
    </row>
    <row r="13" spans="1:9" ht="44.25" customHeight="1" thickBot="1">
      <c r="A13" s="501">
        <v>923</v>
      </c>
      <c r="B13" s="502" t="s">
        <v>963</v>
      </c>
      <c r="C13" s="609" t="s">
        <v>953</v>
      </c>
      <c r="D13" s="610"/>
      <c r="E13" s="611"/>
      <c r="F13" s="612"/>
      <c r="G13" s="617" t="s">
        <v>964</v>
      </c>
      <c r="H13" s="614"/>
      <c r="I13" s="615"/>
    </row>
    <row r="14" spans="1:9" ht="44.25" customHeight="1" thickBot="1">
      <c r="A14" s="501">
        <v>1058</v>
      </c>
      <c r="B14" s="502" t="s">
        <v>965</v>
      </c>
      <c r="C14" s="609" t="s">
        <v>953</v>
      </c>
      <c r="D14" s="610" t="s">
        <v>966</v>
      </c>
      <c r="E14" s="611"/>
      <c r="F14" s="612"/>
      <c r="G14" s="611"/>
      <c r="H14" s="614">
        <v>1362</v>
      </c>
      <c r="I14" s="615" t="s">
        <v>967</v>
      </c>
    </row>
    <row r="15" spans="1:9" ht="44.25" customHeight="1" thickBot="1">
      <c r="A15" s="501">
        <v>1577</v>
      </c>
      <c r="B15" s="502" t="s">
        <v>968</v>
      </c>
      <c r="C15" s="609" t="s">
        <v>953</v>
      </c>
      <c r="D15" s="610"/>
      <c r="E15" s="611" t="s">
        <v>966</v>
      </c>
      <c r="F15" s="618"/>
      <c r="G15" s="611"/>
      <c r="H15" s="501"/>
      <c r="I15" s="616"/>
    </row>
    <row r="16" spans="1:9" ht="44.25" customHeight="1" thickBot="1">
      <c r="A16" s="501"/>
      <c r="B16" s="502"/>
      <c r="C16" s="609"/>
      <c r="D16" s="610"/>
      <c r="E16" s="611"/>
      <c r="F16" s="612"/>
      <c r="G16" s="611"/>
      <c r="H16" s="614"/>
      <c r="I16" s="615"/>
    </row>
    <row r="17" spans="1:15" ht="44.25" customHeight="1" thickBot="1">
      <c r="A17" s="501"/>
      <c r="B17" s="502"/>
      <c r="C17" s="609"/>
      <c r="D17" s="610"/>
      <c r="E17" s="611"/>
      <c r="F17" s="612"/>
      <c r="G17" s="611"/>
      <c r="H17" s="614"/>
      <c r="I17" s="615"/>
    </row>
    <row r="18" spans="1:15" ht="44.25" customHeight="1" thickBot="1">
      <c r="A18" s="501"/>
      <c r="B18" s="502"/>
      <c r="C18" s="609"/>
      <c r="D18" s="610"/>
      <c r="E18" s="611"/>
      <c r="F18" s="612"/>
      <c r="G18" s="611"/>
      <c r="H18" s="614"/>
      <c r="I18" s="615"/>
    </row>
    <row r="19" spans="1:15" ht="44.25" customHeight="1" thickBot="1">
      <c r="A19" s="501"/>
      <c r="B19" s="502"/>
      <c r="C19" s="609"/>
      <c r="D19" s="610"/>
      <c r="E19" s="611"/>
      <c r="F19" s="612"/>
      <c r="G19" s="611"/>
      <c r="H19" s="614"/>
      <c r="I19" s="615"/>
    </row>
    <row r="20" spans="1:15" ht="44.25" customHeight="1" thickBot="1">
      <c r="A20" s="501"/>
      <c r="B20" s="502"/>
      <c r="C20" s="609"/>
      <c r="D20" s="610"/>
      <c r="E20" s="611"/>
      <c r="F20" s="610"/>
      <c r="G20" s="611"/>
      <c r="H20" s="614"/>
      <c r="I20" s="615"/>
    </row>
    <row r="21" spans="1:15" s="619" customFormat="1" ht="44.25" customHeight="1" thickBot="1">
      <c r="A21" s="501"/>
      <c r="B21" s="502"/>
      <c r="C21" s="609"/>
      <c r="D21" s="610"/>
      <c r="E21" s="611"/>
      <c r="F21" s="610"/>
      <c r="G21" s="611"/>
      <c r="H21" s="614"/>
      <c r="I21" s="610"/>
    </row>
    <row r="22" spans="1:15" ht="44.25" customHeight="1" thickBot="1">
      <c r="A22" s="501"/>
      <c r="B22" s="502"/>
      <c r="C22" s="609"/>
      <c r="D22" s="610"/>
      <c r="E22" s="611"/>
      <c r="F22" s="610"/>
      <c r="G22" s="611"/>
      <c r="H22" s="614"/>
      <c r="I22" s="610"/>
    </row>
    <row r="23" spans="1:15" ht="44.25" customHeight="1" thickBot="1">
      <c r="A23" s="501"/>
      <c r="B23" s="502"/>
      <c r="C23" s="609"/>
      <c r="D23" s="610"/>
      <c r="E23" s="611"/>
      <c r="F23" s="616"/>
      <c r="G23" s="611"/>
      <c r="H23" s="614"/>
      <c r="I23" s="616"/>
      <c r="J23"/>
      <c r="K23"/>
      <c r="L23"/>
      <c r="M23"/>
      <c r="N23"/>
      <c r="O23"/>
    </row>
    <row r="24" spans="1:15" ht="44.25" customHeight="1" thickBot="1">
      <c r="A24" s="501"/>
      <c r="B24" s="502"/>
      <c r="C24" s="609"/>
      <c r="D24" s="610"/>
      <c r="E24" s="611"/>
      <c r="F24" s="618"/>
      <c r="G24" s="611"/>
      <c r="H24" s="614"/>
      <c r="I24" s="610"/>
      <c r="J24"/>
      <c r="K24"/>
      <c r="L24"/>
      <c r="M24"/>
      <c r="N24"/>
      <c r="O24"/>
    </row>
    <row r="25" spans="1:15" ht="27.75" customHeight="1" thickBot="1">
      <c r="A25" s="501"/>
      <c r="B25" s="502"/>
      <c r="C25" s="609"/>
      <c r="D25" s="610"/>
      <c r="E25" s="611"/>
      <c r="F25" s="610"/>
      <c r="G25" s="611"/>
      <c r="H25" s="614"/>
      <c r="I25" s="615"/>
    </row>
    <row r="26" spans="1:15" ht="27.75" customHeight="1" thickBot="1">
      <c r="A26" s="501"/>
      <c r="B26" s="502"/>
      <c r="C26" s="609"/>
      <c r="D26" s="610"/>
      <c r="E26" s="611"/>
      <c r="F26" s="610"/>
      <c r="G26" s="611"/>
      <c r="H26" s="614"/>
      <c r="I26" s="502"/>
    </row>
    <row r="27" spans="1:15" ht="27.75" customHeight="1" thickBot="1">
      <c r="A27" s="501"/>
      <c r="B27" s="502"/>
      <c r="C27" s="609"/>
      <c r="D27" s="610"/>
      <c r="E27" s="611"/>
      <c r="F27" s="616"/>
      <c r="G27" s="611"/>
      <c r="H27" s="614"/>
      <c r="I27" s="610"/>
    </row>
    <row r="28" spans="1:15" ht="27.75" customHeight="1" thickBot="1">
      <c r="A28" s="501"/>
      <c r="B28" s="502"/>
      <c r="C28" s="620"/>
      <c r="D28" s="610"/>
      <c r="E28" s="611"/>
      <c r="F28" s="610"/>
      <c r="G28" s="611"/>
      <c r="H28" s="614"/>
      <c r="I28" s="610"/>
    </row>
    <row r="29" spans="1:15" s="619" customFormat="1" ht="27.75" customHeight="1" thickBot="1">
      <c r="A29" s="621"/>
      <c r="B29" s="622" t="s">
        <v>190</v>
      </c>
      <c r="C29" s="623"/>
      <c r="D29" s="621">
        <v>1</v>
      </c>
      <c r="E29" s="624">
        <v>1</v>
      </c>
      <c r="F29" s="621">
        <v>3</v>
      </c>
      <c r="G29" s="623">
        <v>3</v>
      </c>
      <c r="H29" s="621"/>
      <c r="I29" s="621">
        <v>1</v>
      </c>
    </row>
    <row r="30" spans="1:15">
      <c r="B30" s="48"/>
    </row>
    <row r="31" spans="1:15">
      <c r="A31" s="518" t="s">
        <v>1363</v>
      </c>
      <c r="G31" s="51"/>
      <c r="I31" s="51"/>
    </row>
    <row r="32" spans="1:15">
      <c r="A32" s="518"/>
      <c r="G32" s="51"/>
      <c r="I32" s="51"/>
    </row>
    <row r="33" spans="1:9">
      <c r="A33" s="625" t="s">
        <v>969</v>
      </c>
      <c r="G33" s="51"/>
      <c r="I33" s="51"/>
    </row>
    <row r="34" spans="1:9">
      <c r="A34" s="626"/>
    </row>
    <row r="35" spans="1:9">
      <c r="A35" s="526" t="s">
        <v>970</v>
      </c>
    </row>
    <row r="36" spans="1:9">
      <c r="A36" s="526"/>
    </row>
    <row r="37" spans="1:9">
      <c r="A37" s="526"/>
    </row>
    <row r="38" spans="1:9">
      <c r="A38" s="526" t="s">
        <v>677</v>
      </c>
    </row>
  </sheetData>
  <pageMargins left="0.59055118110236227" right="0.55118110236220474" top="0.62992125984251968" bottom="0.74803149606299213" header="0.31496062992125984" footer="0.27559055118110237"/>
  <pageSetup paperSize="9" scale="58" pageOrder="overThenDown" orientation="portrait" horizontalDpi="1200" verticalDpi="1200"/>
  <headerFooter alignWithMargins="0"/>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69B9A-F863-E044-9CD4-9F2D9A0BEC06}">
  <dimension ref="A1:AE111"/>
  <sheetViews>
    <sheetView zoomScaleNormal="100" workbookViewId="0">
      <selection activeCell="A3" sqref="A3"/>
    </sheetView>
  </sheetViews>
  <sheetFormatPr baseColWidth="10" defaultColWidth="11.3984375" defaultRowHeight="13"/>
  <cols>
    <col min="1" max="1" width="7.59765625" style="49" customWidth="1"/>
    <col min="2" max="2" width="40.796875" style="49" customWidth="1"/>
    <col min="3" max="3" width="10.59765625" style="49" customWidth="1"/>
    <col min="4" max="4" width="11.59765625" style="49" customWidth="1"/>
    <col min="5" max="5" width="11.3984375" style="3" customWidth="1"/>
    <col min="6" max="6" width="10.59765625" style="3" customWidth="1"/>
    <col min="7" max="7" width="11.3984375" style="3" customWidth="1"/>
    <col min="8" max="8" width="11.3984375" style="8" customWidth="1"/>
    <col min="9" max="9" width="11.19921875" style="8" customWidth="1"/>
    <col min="10" max="14" width="10.59765625" style="3" customWidth="1"/>
    <col min="15" max="15" width="10.796875" style="3" customWidth="1"/>
    <col min="16" max="16" width="10.59765625" style="3" customWidth="1"/>
    <col min="17" max="17" width="0.59765625" style="3" customWidth="1"/>
    <col min="18" max="18" width="11.19921875" style="3" customWidth="1"/>
    <col min="19" max="19" width="11.796875" style="525" customWidth="1"/>
    <col min="20" max="20" width="11.3984375" style="3"/>
    <col min="21" max="22" width="12.19921875" style="3" customWidth="1"/>
    <col min="23" max="28" width="11.3984375" style="3"/>
    <col min="29" max="29" width="11.796875" style="3" customWidth="1"/>
    <col min="30" max="30" width="12.3984375" style="3" customWidth="1"/>
    <col min="31" max="16384" width="11.3984375" style="3"/>
  </cols>
  <sheetData>
    <row r="1" spans="1:31" s="2" customFormat="1" ht="14" customHeight="1">
      <c r="A1" s="261"/>
      <c r="B1" s="261"/>
      <c r="C1" s="261"/>
      <c r="D1" s="261"/>
      <c r="H1" s="100"/>
      <c r="I1" s="100"/>
      <c r="S1" s="477"/>
    </row>
    <row r="2" spans="1:31" s="2" customFormat="1" ht="50.25" customHeight="1">
      <c r="A2" s="1822" t="s">
        <v>971</v>
      </c>
      <c r="B2" s="1810"/>
      <c r="C2" s="478"/>
      <c r="D2" s="478"/>
      <c r="E2" s="479"/>
      <c r="F2" s="479"/>
      <c r="G2" s="479"/>
      <c r="H2" s="46"/>
      <c r="I2" s="100"/>
      <c r="J2" s="17"/>
      <c r="P2" s="627">
        <v>2010</v>
      </c>
      <c r="Q2" s="627"/>
      <c r="V2" s="480"/>
      <c r="AE2" s="480">
        <v>2010</v>
      </c>
    </row>
    <row r="3" spans="1:31" s="2" customFormat="1" ht="12" customHeight="1">
      <c r="A3" s="261"/>
      <c r="B3" s="261"/>
      <c r="C3" s="261"/>
      <c r="D3" s="261"/>
      <c r="H3" s="100"/>
      <c r="I3" s="100"/>
      <c r="S3" s="481"/>
      <c r="U3" s="482"/>
      <c r="W3" s="482"/>
      <c r="X3" s="482"/>
      <c r="Y3" s="482"/>
      <c r="Z3" s="482"/>
      <c r="AA3" s="482"/>
      <c r="AB3" s="482"/>
      <c r="AC3" s="482"/>
      <c r="AD3" s="482"/>
      <c r="AE3" s="482"/>
    </row>
    <row r="4" spans="1:31" ht="18" customHeight="1">
      <c r="A4" s="483" t="s">
        <v>755</v>
      </c>
      <c r="B4" s="483" t="s">
        <v>972</v>
      </c>
      <c r="C4" s="484"/>
      <c r="D4" s="485"/>
      <c r="E4" s="484"/>
      <c r="F4" s="485"/>
      <c r="G4" s="484"/>
      <c r="H4" s="486"/>
      <c r="I4" s="487"/>
      <c r="J4" s="485"/>
      <c r="K4" s="484"/>
      <c r="L4" s="485"/>
      <c r="M4" s="484"/>
      <c r="N4" s="486"/>
      <c r="O4" s="487"/>
      <c r="P4" s="486"/>
      <c r="Q4" s="485"/>
      <c r="R4" s="487"/>
      <c r="S4" s="488"/>
      <c r="T4" s="487"/>
      <c r="U4" s="16"/>
      <c r="V4" s="487"/>
      <c r="W4" s="16"/>
      <c r="X4" s="628"/>
      <c r="Y4" s="16"/>
      <c r="Z4" s="628"/>
      <c r="AA4" s="16"/>
      <c r="AB4" s="628"/>
      <c r="AC4" s="16"/>
      <c r="AD4" s="628"/>
      <c r="AE4" s="16"/>
    </row>
    <row r="5" spans="1:31" ht="15" customHeight="1">
      <c r="A5" s="490" t="s">
        <v>773</v>
      </c>
      <c r="B5" s="490"/>
      <c r="C5" s="491" t="s">
        <v>0</v>
      </c>
      <c r="D5" s="488" t="s">
        <v>211</v>
      </c>
      <c r="E5" s="491" t="s">
        <v>212</v>
      </c>
      <c r="F5" s="488" t="s">
        <v>213</v>
      </c>
      <c r="G5" s="491" t="s">
        <v>214</v>
      </c>
      <c r="H5" s="492" t="s">
        <v>215</v>
      </c>
      <c r="I5" s="493" t="s">
        <v>216</v>
      </c>
      <c r="J5" s="488" t="s">
        <v>217</v>
      </c>
      <c r="K5" s="491" t="s">
        <v>218</v>
      </c>
      <c r="L5" s="488" t="s">
        <v>219</v>
      </c>
      <c r="M5" s="491" t="s">
        <v>220</v>
      </c>
      <c r="N5" s="492" t="s">
        <v>221</v>
      </c>
      <c r="O5" s="493" t="s">
        <v>222</v>
      </c>
      <c r="P5" s="492" t="s">
        <v>223</v>
      </c>
      <c r="Q5" s="488"/>
      <c r="R5" s="493" t="s">
        <v>224</v>
      </c>
      <c r="S5" s="488" t="s">
        <v>225</v>
      </c>
      <c r="T5" s="493" t="s">
        <v>226</v>
      </c>
      <c r="U5" s="488" t="s">
        <v>227</v>
      </c>
      <c r="V5" s="493" t="s">
        <v>228</v>
      </c>
      <c r="W5" s="489" t="s">
        <v>229</v>
      </c>
      <c r="X5" s="629" t="s">
        <v>230</v>
      </c>
      <c r="Y5" s="489" t="s">
        <v>231</v>
      </c>
      <c r="Z5" s="629" t="s">
        <v>232</v>
      </c>
      <c r="AA5" s="489" t="s">
        <v>233</v>
      </c>
      <c r="AB5" s="629" t="s">
        <v>234</v>
      </c>
      <c r="AC5" s="489" t="s">
        <v>235</v>
      </c>
      <c r="AD5" s="629" t="s">
        <v>236</v>
      </c>
      <c r="AE5" s="489" t="s">
        <v>973</v>
      </c>
    </row>
    <row r="6" spans="1:31" ht="15" customHeight="1">
      <c r="A6" s="490"/>
      <c r="B6" s="490"/>
      <c r="C6" s="491"/>
      <c r="D6" s="488"/>
      <c r="E6" s="491"/>
      <c r="F6" s="488"/>
      <c r="G6" s="491"/>
      <c r="H6" s="492"/>
      <c r="I6" s="493"/>
      <c r="J6" s="488"/>
      <c r="K6" s="491"/>
      <c r="L6" s="488"/>
      <c r="M6" s="491"/>
      <c r="N6" s="492"/>
      <c r="O6" s="493"/>
      <c r="P6" s="492"/>
      <c r="Q6" s="488"/>
      <c r="R6" s="493"/>
      <c r="S6" s="488"/>
      <c r="T6" s="493"/>
      <c r="U6" s="488"/>
      <c r="V6" s="493"/>
      <c r="W6" s="489"/>
      <c r="X6" s="629"/>
      <c r="Y6" s="489"/>
      <c r="Z6" s="629"/>
      <c r="AA6" s="489"/>
      <c r="AB6" s="629"/>
      <c r="AC6" s="489"/>
      <c r="AD6" s="629"/>
      <c r="AE6" s="489"/>
    </row>
    <row r="7" spans="1:31" ht="15" customHeight="1">
      <c r="A7" s="490"/>
      <c r="B7" s="490"/>
      <c r="C7" s="491"/>
      <c r="D7" s="488" t="s">
        <v>974</v>
      </c>
      <c r="E7" s="491" t="s">
        <v>975</v>
      </c>
      <c r="F7" s="488" t="s">
        <v>976</v>
      </c>
      <c r="G7" s="491" t="s">
        <v>932</v>
      </c>
      <c r="H7" s="492" t="s">
        <v>977</v>
      </c>
      <c r="I7" s="493" t="s">
        <v>978</v>
      </c>
      <c r="J7" s="488" t="s">
        <v>979</v>
      </c>
      <c r="K7" s="491" t="s">
        <v>980</v>
      </c>
      <c r="L7" s="488" t="s">
        <v>981</v>
      </c>
      <c r="M7" s="491" t="s">
        <v>982</v>
      </c>
      <c r="N7" s="492" t="s">
        <v>983</v>
      </c>
      <c r="O7" s="493" t="s">
        <v>984</v>
      </c>
      <c r="P7" s="492" t="s">
        <v>985</v>
      </c>
      <c r="Q7" s="488"/>
      <c r="R7" s="493" t="s">
        <v>986</v>
      </c>
      <c r="S7" s="488" t="s">
        <v>987</v>
      </c>
      <c r="T7" s="493" t="s">
        <v>988</v>
      </c>
      <c r="U7" s="488" t="s">
        <v>989</v>
      </c>
      <c r="V7" s="493" t="s">
        <v>990</v>
      </c>
      <c r="W7" s="489" t="s">
        <v>991</v>
      </c>
      <c r="X7" s="629" t="s">
        <v>992</v>
      </c>
      <c r="Y7" s="489" t="s">
        <v>993</v>
      </c>
      <c r="Z7" s="629" t="s">
        <v>994</v>
      </c>
      <c r="AA7" s="489" t="s">
        <v>995</v>
      </c>
      <c r="AB7" s="629" t="s">
        <v>996</v>
      </c>
      <c r="AC7" s="489" t="s">
        <v>997</v>
      </c>
      <c r="AD7" s="629" t="s">
        <v>998</v>
      </c>
      <c r="AE7" s="489" t="s">
        <v>999</v>
      </c>
    </row>
    <row r="8" spans="1:31" ht="21" customHeight="1">
      <c r="A8" s="496"/>
      <c r="B8" s="496"/>
      <c r="C8" s="497"/>
      <c r="D8" s="498"/>
      <c r="E8" s="497"/>
      <c r="F8" s="498"/>
      <c r="G8" s="497"/>
      <c r="H8" s="499"/>
      <c r="I8" s="500"/>
      <c r="J8" s="498"/>
      <c r="K8" s="497"/>
      <c r="L8" s="498"/>
      <c r="M8" s="497"/>
      <c r="N8" s="499"/>
      <c r="O8" s="500"/>
      <c r="P8" s="499"/>
      <c r="Q8" s="496"/>
      <c r="R8" s="500"/>
      <c r="S8" s="498"/>
      <c r="T8" s="500"/>
      <c r="U8" s="498"/>
      <c r="V8" s="500"/>
      <c r="W8" s="498"/>
      <c r="X8" s="497"/>
      <c r="Y8" s="498"/>
      <c r="Z8" s="497"/>
      <c r="AA8" s="498"/>
      <c r="AB8" s="497"/>
      <c r="AC8" s="498"/>
      <c r="AD8" s="497"/>
      <c r="AE8" s="498"/>
    </row>
    <row r="9" spans="1:31" ht="14" thickBot="1">
      <c r="A9" s="501">
        <v>8</v>
      </c>
      <c r="B9" s="502" t="s">
        <v>1364</v>
      </c>
      <c r="C9" s="503">
        <v>858004.62</v>
      </c>
      <c r="D9" s="504">
        <v>102631.03999999999</v>
      </c>
      <c r="E9" s="630">
        <v>25064.03</v>
      </c>
      <c r="F9" s="504">
        <v>98922.27</v>
      </c>
      <c r="G9" s="630">
        <v>5092.75</v>
      </c>
      <c r="H9" s="504">
        <v>43561.16</v>
      </c>
      <c r="I9" s="503">
        <v>10377.280000000001</v>
      </c>
      <c r="J9" s="504">
        <v>9080.4</v>
      </c>
      <c r="K9" s="503">
        <v>1713.22</v>
      </c>
      <c r="L9" s="504">
        <v>23143.45</v>
      </c>
      <c r="M9" s="630">
        <v>79683.320000000007</v>
      </c>
      <c r="N9" s="504">
        <v>33913.51</v>
      </c>
      <c r="O9" s="630">
        <v>6054.19</v>
      </c>
      <c r="P9" s="504">
        <v>28064.5</v>
      </c>
      <c r="Q9" s="504" t="s">
        <v>1442</v>
      </c>
      <c r="R9" s="630">
        <v>2719.58</v>
      </c>
      <c r="S9" s="504">
        <v>3359.79</v>
      </c>
      <c r="T9" s="630">
        <v>2829.51</v>
      </c>
      <c r="U9" s="504">
        <v>81595.73</v>
      </c>
      <c r="V9" s="630">
        <v>7422.47</v>
      </c>
      <c r="W9" s="504">
        <v>95038.36</v>
      </c>
      <c r="X9" s="630">
        <v>21172.25</v>
      </c>
      <c r="Y9" s="504">
        <v>20804.330000000002</v>
      </c>
      <c r="Z9" s="630">
        <v>45146.86</v>
      </c>
      <c r="AA9" s="504">
        <v>45272.480000000003</v>
      </c>
      <c r="AB9" s="630">
        <v>17933.510000000002</v>
      </c>
      <c r="AC9" s="504">
        <v>37492.46</v>
      </c>
      <c r="AD9" s="630">
        <v>9916.17</v>
      </c>
      <c r="AE9" s="504" t="s">
        <v>1442</v>
      </c>
    </row>
    <row r="10" spans="1:31" ht="14" thickBot="1">
      <c r="A10" s="501">
        <v>32</v>
      </c>
      <c r="B10" s="502" t="s">
        <v>1366</v>
      </c>
      <c r="C10" s="503">
        <v>36612.94</v>
      </c>
      <c r="D10" s="504">
        <v>8501.08</v>
      </c>
      <c r="E10" s="630">
        <v>488.42</v>
      </c>
      <c r="F10" s="504">
        <v>221.67</v>
      </c>
      <c r="G10" s="630">
        <v>13.42</v>
      </c>
      <c r="H10" s="504">
        <v>1398.4</v>
      </c>
      <c r="I10" s="503">
        <v>499.26</v>
      </c>
      <c r="J10" s="504">
        <v>394.26</v>
      </c>
      <c r="K10" s="503">
        <v>235.42</v>
      </c>
      <c r="L10" s="504">
        <v>223.67</v>
      </c>
      <c r="M10" s="630">
        <v>158.99</v>
      </c>
      <c r="N10" s="504">
        <v>309.92</v>
      </c>
      <c r="O10" s="630">
        <v>134</v>
      </c>
      <c r="P10" s="504">
        <v>354.5</v>
      </c>
      <c r="Q10" s="504" t="s">
        <v>1442</v>
      </c>
      <c r="R10" s="630">
        <v>129.84</v>
      </c>
      <c r="S10" s="504">
        <v>35.840000000000003</v>
      </c>
      <c r="T10" s="631">
        <v>10.17</v>
      </c>
      <c r="U10" s="632">
        <v>338.67</v>
      </c>
      <c r="V10" s="631">
        <v>2914.74</v>
      </c>
      <c r="W10" s="504">
        <v>18196.84</v>
      </c>
      <c r="X10" s="630">
        <v>689.67</v>
      </c>
      <c r="Y10" s="632">
        <v>398.59</v>
      </c>
      <c r="Z10" s="630">
        <v>548.16999999999996</v>
      </c>
      <c r="AA10" s="504">
        <v>97.74</v>
      </c>
      <c r="AB10" s="631">
        <v>33.26</v>
      </c>
      <c r="AC10" s="632">
        <v>276.42</v>
      </c>
      <c r="AD10" s="631">
        <v>9</v>
      </c>
      <c r="AE10" s="632">
        <v>1</v>
      </c>
    </row>
    <row r="11" spans="1:31" ht="14" thickBot="1">
      <c r="A11" s="501">
        <v>57</v>
      </c>
      <c r="B11" s="502" t="s">
        <v>1367</v>
      </c>
      <c r="C11" s="503">
        <v>14443.16</v>
      </c>
      <c r="D11" s="504">
        <v>391.84</v>
      </c>
      <c r="E11" s="630">
        <v>805.33</v>
      </c>
      <c r="F11" s="504">
        <v>387.84</v>
      </c>
      <c r="G11" s="630">
        <v>4</v>
      </c>
      <c r="H11" s="504">
        <v>18.66</v>
      </c>
      <c r="I11" s="503">
        <v>17.170000000000002</v>
      </c>
      <c r="J11" s="504">
        <v>35.160000000000004</v>
      </c>
      <c r="K11" s="503">
        <v>10</v>
      </c>
      <c r="L11" s="504">
        <v>13.92</v>
      </c>
      <c r="M11" s="630">
        <v>142.26</v>
      </c>
      <c r="N11" s="504">
        <v>2700.17</v>
      </c>
      <c r="O11" s="630">
        <v>596.4</v>
      </c>
      <c r="P11" s="504">
        <v>1469.88</v>
      </c>
      <c r="Q11" s="504" t="s">
        <v>1442</v>
      </c>
      <c r="R11" s="630">
        <v>8</v>
      </c>
      <c r="S11" s="504">
        <v>3</v>
      </c>
      <c r="T11" s="631" t="s">
        <v>1442</v>
      </c>
      <c r="U11" s="632">
        <v>89.81</v>
      </c>
      <c r="V11" s="631">
        <v>32.160000000000004</v>
      </c>
      <c r="W11" s="504">
        <v>2403.17</v>
      </c>
      <c r="X11" s="630">
        <v>65.17</v>
      </c>
      <c r="Y11" s="632">
        <v>228.58</v>
      </c>
      <c r="Z11" s="630">
        <v>2194.8200000000002</v>
      </c>
      <c r="AA11" s="504">
        <v>1248</v>
      </c>
      <c r="AB11" s="631">
        <v>44.91</v>
      </c>
      <c r="AC11" s="632">
        <v>1523.16</v>
      </c>
      <c r="AD11" s="631">
        <v>9.75</v>
      </c>
      <c r="AE11" s="632" t="s">
        <v>1442</v>
      </c>
    </row>
    <row r="12" spans="1:31" ht="14" thickBot="1">
      <c r="A12" s="501">
        <v>62</v>
      </c>
      <c r="B12" s="502" t="s">
        <v>1368</v>
      </c>
      <c r="C12" s="503">
        <v>42757.58</v>
      </c>
      <c r="D12" s="504">
        <v>1493.42</v>
      </c>
      <c r="E12" s="630">
        <v>1576.92</v>
      </c>
      <c r="F12" s="504">
        <v>127.33</v>
      </c>
      <c r="G12" s="630">
        <v>23.33</v>
      </c>
      <c r="H12" s="504">
        <v>78.67</v>
      </c>
      <c r="I12" s="503">
        <v>13.58</v>
      </c>
      <c r="J12" s="504">
        <v>27</v>
      </c>
      <c r="K12" s="503">
        <v>30</v>
      </c>
      <c r="L12" s="504">
        <v>63.92</v>
      </c>
      <c r="M12" s="630">
        <v>919.33</v>
      </c>
      <c r="N12" s="504">
        <v>159.17000000000002</v>
      </c>
      <c r="O12" s="630">
        <v>220.5</v>
      </c>
      <c r="P12" s="504">
        <v>486.83</v>
      </c>
      <c r="Q12" s="504" t="s">
        <v>1442</v>
      </c>
      <c r="R12" s="630">
        <v>48</v>
      </c>
      <c r="S12" s="504">
        <v>45</v>
      </c>
      <c r="T12" s="631">
        <v>4.25</v>
      </c>
      <c r="U12" s="632">
        <v>166.92</v>
      </c>
      <c r="V12" s="631">
        <v>150.42000000000002</v>
      </c>
      <c r="W12" s="504">
        <v>204.67</v>
      </c>
      <c r="X12" s="630">
        <v>123.83</v>
      </c>
      <c r="Y12" s="632">
        <v>10149.25</v>
      </c>
      <c r="Z12" s="630">
        <v>19374.830000000002</v>
      </c>
      <c r="AA12" s="504">
        <v>1402.5</v>
      </c>
      <c r="AB12" s="631">
        <v>2290</v>
      </c>
      <c r="AC12" s="632">
        <v>3467.83</v>
      </c>
      <c r="AD12" s="631">
        <v>110.08</v>
      </c>
      <c r="AE12" s="632" t="s">
        <v>1442</v>
      </c>
    </row>
    <row r="13" spans="1:31" ht="14" thickBot="1">
      <c r="A13" s="501">
        <v>97</v>
      </c>
      <c r="B13" s="502" t="s">
        <v>952</v>
      </c>
      <c r="C13" s="503">
        <v>1086.08</v>
      </c>
      <c r="D13" s="504">
        <v>58</v>
      </c>
      <c r="E13" s="630">
        <v>8</v>
      </c>
      <c r="F13" s="504">
        <v>6.33</v>
      </c>
      <c r="G13" s="630" t="s">
        <v>1442</v>
      </c>
      <c r="H13" s="504">
        <v>3.75</v>
      </c>
      <c r="I13" s="503" t="s">
        <v>1442</v>
      </c>
      <c r="J13" s="504">
        <v>2</v>
      </c>
      <c r="K13" s="503">
        <v>943.32</v>
      </c>
      <c r="L13" s="504" t="s">
        <v>1442</v>
      </c>
      <c r="M13" s="630">
        <v>2</v>
      </c>
      <c r="N13" s="504">
        <v>0.83</v>
      </c>
      <c r="O13" s="630" t="s">
        <v>1442</v>
      </c>
      <c r="P13" s="504">
        <v>12</v>
      </c>
      <c r="Q13" s="504" t="s">
        <v>1442</v>
      </c>
      <c r="R13" s="630">
        <v>0.42</v>
      </c>
      <c r="S13" s="504" t="s">
        <v>1442</v>
      </c>
      <c r="T13" s="631" t="s">
        <v>1442</v>
      </c>
      <c r="U13" s="632">
        <v>24.76</v>
      </c>
      <c r="V13" s="631">
        <v>4.17</v>
      </c>
      <c r="W13" s="504">
        <v>7</v>
      </c>
      <c r="X13" s="630">
        <v>11.5</v>
      </c>
      <c r="Y13" s="632">
        <v>1</v>
      </c>
      <c r="Z13" s="630" t="s">
        <v>1442</v>
      </c>
      <c r="AA13" s="504">
        <v>1</v>
      </c>
      <c r="AB13" s="631" t="s">
        <v>1442</v>
      </c>
      <c r="AC13" s="632" t="s">
        <v>1442</v>
      </c>
      <c r="AD13" s="631" t="s">
        <v>1442</v>
      </c>
      <c r="AE13" s="632" t="s">
        <v>1442</v>
      </c>
    </row>
    <row r="14" spans="1:31" ht="14" thickBot="1">
      <c r="A14" s="501">
        <v>134</v>
      </c>
      <c r="B14" s="502" t="s">
        <v>955</v>
      </c>
      <c r="C14" s="503">
        <v>3680.16</v>
      </c>
      <c r="D14" s="504">
        <v>170.24</v>
      </c>
      <c r="E14" s="630" t="s">
        <v>1442</v>
      </c>
      <c r="F14" s="504">
        <v>30.41</v>
      </c>
      <c r="G14" s="630">
        <v>2.75</v>
      </c>
      <c r="H14" s="504">
        <v>3373.36</v>
      </c>
      <c r="I14" s="503" t="s">
        <v>1442</v>
      </c>
      <c r="J14" s="504">
        <v>4</v>
      </c>
      <c r="K14" s="503">
        <v>6.16</v>
      </c>
      <c r="L14" s="504">
        <v>53.25</v>
      </c>
      <c r="M14" s="630" t="s">
        <v>1442</v>
      </c>
      <c r="N14" s="504" t="s">
        <v>1442</v>
      </c>
      <c r="O14" s="630" t="s">
        <v>1442</v>
      </c>
      <c r="P14" s="504" t="s">
        <v>1442</v>
      </c>
      <c r="Q14" s="504" t="s">
        <v>1442</v>
      </c>
      <c r="R14" s="630" t="s">
        <v>1442</v>
      </c>
      <c r="S14" s="504" t="s">
        <v>1442</v>
      </c>
      <c r="T14" s="631" t="s">
        <v>1442</v>
      </c>
      <c r="U14" s="632">
        <v>39.910000000000004</v>
      </c>
      <c r="V14" s="631" t="s">
        <v>1442</v>
      </c>
      <c r="W14" s="504" t="s">
        <v>1442</v>
      </c>
      <c r="X14" s="630" t="s">
        <v>1442</v>
      </c>
      <c r="Y14" s="632" t="s">
        <v>1442</v>
      </c>
      <c r="Z14" s="630" t="s">
        <v>1442</v>
      </c>
      <c r="AA14" s="504" t="s">
        <v>1442</v>
      </c>
      <c r="AB14" s="631" t="s">
        <v>1442</v>
      </c>
      <c r="AC14" s="632" t="s">
        <v>1442</v>
      </c>
      <c r="AD14" s="631" t="s">
        <v>1442</v>
      </c>
      <c r="AE14" s="632" t="s">
        <v>1442</v>
      </c>
    </row>
    <row r="15" spans="1:31" ht="14" thickBot="1">
      <c r="A15" s="501">
        <v>160</v>
      </c>
      <c r="B15" s="502" t="s">
        <v>1369</v>
      </c>
      <c r="C15" s="503">
        <v>58189</v>
      </c>
      <c r="D15" s="504">
        <v>363.33</v>
      </c>
      <c r="E15" s="630">
        <v>26643.58</v>
      </c>
      <c r="F15" s="504">
        <v>77.83</v>
      </c>
      <c r="G15" s="630">
        <v>0.25</v>
      </c>
      <c r="H15" s="504">
        <v>14.08</v>
      </c>
      <c r="I15" s="503">
        <v>13</v>
      </c>
      <c r="J15" s="504">
        <v>19.420000000000002</v>
      </c>
      <c r="K15" s="503">
        <v>13.5</v>
      </c>
      <c r="L15" s="504">
        <v>16</v>
      </c>
      <c r="M15" s="630">
        <v>17178.830000000002</v>
      </c>
      <c r="N15" s="504">
        <v>147.25</v>
      </c>
      <c r="O15" s="630">
        <v>28.42</v>
      </c>
      <c r="P15" s="504">
        <v>41.5</v>
      </c>
      <c r="Q15" s="504" t="s">
        <v>1442</v>
      </c>
      <c r="R15" s="630">
        <v>1.58</v>
      </c>
      <c r="S15" s="504">
        <v>30.83</v>
      </c>
      <c r="T15" s="631" t="s">
        <v>1442</v>
      </c>
      <c r="U15" s="632">
        <v>1041.25</v>
      </c>
      <c r="V15" s="631">
        <v>24.17</v>
      </c>
      <c r="W15" s="504">
        <v>1254.5</v>
      </c>
      <c r="X15" s="630">
        <v>50.92</v>
      </c>
      <c r="Y15" s="632">
        <v>19.25</v>
      </c>
      <c r="Z15" s="630">
        <v>815.42</v>
      </c>
      <c r="AA15" s="504">
        <v>195.75</v>
      </c>
      <c r="AB15" s="631">
        <v>8999.33</v>
      </c>
      <c r="AC15" s="632">
        <v>964.58</v>
      </c>
      <c r="AD15" s="631">
        <v>234.42</v>
      </c>
      <c r="AE15" s="632" t="s">
        <v>1442</v>
      </c>
    </row>
    <row r="16" spans="1:31" ht="14" thickBot="1">
      <c r="A16" s="501">
        <v>182</v>
      </c>
      <c r="B16" s="502" t="s">
        <v>1370</v>
      </c>
      <c r="C16" s="503">
        <v>60179.83</v>
      </c>
      <c r="D16" s="504">
        <v>34581.67</v>
      </c>
      <c r="E16" s="630">
        <v>2291.75</v>
      </c>
      <c r="F16" s="504">
        <v>344.5</v>
      </c>
      <c r="G16" s="630">
        <v>70.92</v>
      </c>
      <c r="H16" s="504">
        <v>319.83</v>
      </c>
      <c r="I16" s="503">
        <v>88.75</v>
      </c>
      <c r="J16" s="504">
        <v>55.33</v>
      </c>
      <c r="K16" s="503">
        <v>58.83</v>
      </c>
      <c r="L16" s="504">
        <v>208.83</v>
      </c>
      <c r="M16" s="630">
        <v>342.58</v>
      </c>
      <c r="N16" s="504">
        <v>4602.67</v>
      </c>
      <c r="O16" s="630">
        <v>150.17000000000002</v>
      </c>
      <c r="P16" s="504">
        <v>403</v>
      </c>
      <c r="Q16" s="504" t="s">
        <v>1442</v>
      </c>
      <c r="R16" s="630">
        <v>1225.75</v>
      </c>
      <c r="S16" s="504">
        <v>225.42</v>
      </c>
      <c r="T16" s="631">
        <v>31.08</v>
      </c>
      <c r="U16" s="632">
        <v>7171.5</v>
      </c>
      <c r="V16" s="631">
        <v>223.17</v>
      </c>
      <c r="W16" s="504">
        <v>2389.08</v>
      </c>
      <c r="X16" s="630">
        <v>3758.33</v>
      </c>
      <c r="Y16" s="632">
        <v>90</v>
      </c>
      <c r="Z16" s="630">
        <v>473.5</v>
      </c>
      <c r="AA16" s="504">
        <v>94.42</v>
      </c>
      <c r="AB16" s="631">
        <v>183.75</v>
      </c>
      <c r="AC16" s="632">
        <v>776.5</v>
      </c>
      <c r="AD16" s="631">
        <v>18.5</v>
      </c>
      <c r="AE16" s="632" t="s">
        <v>1442</v>
      </c>
    </row>
    <row r="17" spans="1:31" ht="14" thickBot="1">
      <c r="A17" s="501">
        <v>194</v>
      </c>
      <c r="B17" s="502" t="s">
        <v>1371</v>
      </c>
      <c r="C17" s="503">
        <v>21168.41</v>
      </c>
      <c r="D17" s="504">
        <v>692.58</v>
      </c>
      <c r="E17" s="630">
        <v>17785.260000000002</v>
      </c>
      <c r="F17" s="504">
        <v>185</v>
      </c>
      <c r="G17" s="630">
        <v>15.5</v>
      </c>
      <c r="H17" s="504">
        <v>81.25</v>
      </c>
      <c r="I17" s="503">
        <v>16.5</v>
      </c>
      <c r="J17" s="504">
        <v>10.92</v>
      </c>
      <c r="K17" s="503">
        <v>13.67</v>
      </c>
      <c r="L17" s="504">
        <v>65.67</v>
      </c>
      <c r="M17" s="630">
        <v>230.26</v>
      </c>
      <c r="N17" s="504">
        <v>680.42</v>
      </c>
      <c r="O17" s="630">
        <v>80.33</v>
      </c>
      <c r="P17" s="504">
        <v>288.75</v>
      </c>
      <c r="Q17" s="504" t="s">
        <v>1442</v>
      </c>
      <c r="R17" s="630">
        <v>61.75</v>
      </c>
      <c r="S17" s="504">
        <v>24.92</v>
      </c>
      <c r="T17" s="631">
        <v>5</v>
      </c>
      <c r="U17" s="632">
        <v>71.58</v>
      </c>
      <c r="V17" s="631">
        <v>88.83</v>
      </c>
      <c r="W17" s="504">
        <v>557.75</v>
      </c>
      <c r="X17" s="630">
        <v>145.5</v>
      </c>
      <c r="Y17" s="632" t="s">
        <v>1442</v>
      </c>
      <c r="Z17" s="630" t="s">
        <v>1442</v>
      </c>
      <c r="AA17" s="504">
        <v>67</v>
      </c>
      <c r="AB17" s="631" t="s">
        <v>1442</v>
      </c>
      <c r="AC17" s="632" t="s">
        <v>1442</v>
      </c>
      <c r="AD17" s="631" t="s">
        <v>1442</v>
      </c>
      <c r="AE17" s="632" t="s">
        <v>1442</v>
      </c>
    </row>
    <row r="18" spans="1:31" ht="14" thickBot="1">
      <c r="A18" s="501">
        <v>216</v>
      </c>
      <c r="B18" s="502" t="s">
        <v>1372</v>
      </c>
      <c r="C18" s="503">
        <v>1926.17</v>
      </c>
      <c r="D18" s="504">
        <v>1.83</v>
      </c>
      <c r="E18" s="630">
        <v>5.92</v>
      </c>
      <c r="F18" s="504" t="s">
        <v>1442</v>
      </c>
      <c r="G18" s="630" t="s">
        <v>1442</v>
      </c>
      <c r="H18" s="504">
        <v>1.17</v>
      </c>
      <c r="I18" s="503" t="s">
        <v>1442</v>
      </c>
      <c r="J18" s="504" t="s">
        <v>1442</v>
      </c>
      <c r="K18" s="503">
        <v>8</v>
      </c>
      <c r="L18" s="504">
        <v>1</v>
      </c>
      <c r="M18" s="630">
        <v>21.92</v>
      </c>
      <c r="N18" s="504">
        <v>0.67</v>
      </c>
      <c r="O18" s="630" t="s">
        <v>1442</v>
      </c>
      <c r="P18" s="504" t="s">
        <v>1442</v>
      </c>
      <c r="Q18" s="504" t="s">
        <v>1442</v>
      </c>
      <c r="R18" s="630" t="s">
        <v>1442</v>
      </c>
      <c r="S18" s="504" t="s">
        <v>1442</v>
      </c>
      <c r="T18" s="631" t="s">
        <v>1442</v>
      </c>
      <c r="U18" s="632">
        <v>2.5</v>
      </c>
      <c r="V18" s="631" t="s">
        <v>1442</v>
      </c>
      <c r="W18" s="504">
        <v>1</v>
      </c>
      <c r="X18" s="630">
        <v>0.33</v>
      </c>
      <c r="Y18" s="632">
        <v>2.42</v>
      </c>
      <c r="Z18" s="630">
        <v>561</v>
      </c>
      <c r="AA18" s="504">
        <v>1297.25</v>
      </c>
      <c r="AB18" s="631">
        <v>7.17</v>
      </c>
      <c r="AC18" s="632">
        <v>14</v>
      </c>
      <c r="AD18" s="631" t="s">
        <v>1442</v>
      </c>
      <c r="AE18" s="632" t="s">
        <v>1442</v>
      </c>
    </row>
    <row r="19" spans="1:31" ht="14" thickBot="1">
      <c r="A19" s="501">
        <v>246</v>
      </c>
      <c r="B19" s="502" t="s">
        <v>1373</v>
      </c>
      <c r="C19" s="503">
        <v>7702</v>
      </c>
      <c r="D19" s="504">
        <v>1242.08</v>
      </c>
      <c r="E19" s="630">
        <v>5234.41</v>
      </c>
      <c r="F19" s="504" t="s">
        <v>1442</v>
      </c>
      <c r="G19" s="630" t="s">
        <v>1442</v>
      </c>
      <c r="H19" s="504" t="s">
        <v>1442</v>
      </c>
      <c r="I19" s="503" t="s">
        <v>1442</v>
      </c>
      <c r="J19" s="504" t="s">
        <v>1442</v>
      </c>
      <c r="K19" s="503" t="s">
        <v>1442</v>
      </c>
      <c r="L19" s="504" t="s">
        <v>1442</v>
      </c>
      <c r="M19" s="630" t="s">
        <v>1442</v>
      </c>
      <c r="N19" s="504">
        <v>518.75</v>
      </c>
      <c r="O19" s="630" t="s">
        <v>1442</v>
      </c>
      <c r="P19" s="504" t="s">
        <v>1442</v>
      </c>
      <c r="Q19" s="504" t="s">
        <v>1442</v>
      </c>
      <c r="R19" s="630" t="s">
        <v>1442</v>
      </c>
      <c r="S19" s="504" t="s">
        <v>1442</v>
      </c>
      <c r="T19" s="631" t="s">
        <v>1442</v>
      </c>
      <c r="U19" s="632" t="s">
        <v>1442</v>
      </c>
      <c r="V19" s="631" t="s">
        <v>1442</v>
      </c>
      <c r="W19" s="504">
        <v>706.75</v>
      </c>
      <c r="X19" s="630" t="s">
        <v>1442</v>
      </c>
      <c r="Y19" s="632" t="s">
        <v>1442</v>
      </c>
      <c r="Z19" s="630" t="s">
        <v>1442</v>
      </c>
      <c r="AA19" s="504" t="s">
        <v>1442</v>
      </c>
      <c r="AB19" s="631" t="s">
        <v>1442</v>
      </c>
      <c r="AC19" s="632" t="s">
        <v>1442</v>
      </c>
      <c r="AD19" s="631" t="s">
        <v>1442</v>
      </c>
      <c r="AE19" s="632" t="s">
        <v>1442</v>
      </c>
    </row>
    <row r="20" spans="1:31" ht="14" thickBot="1">
      <c r="A20" s="501">
        <v>261</v>
      </c>
      <c r="B20" s="502" t="s">
        <v>1374</v>
      </c>
      <c r="C20" s="503">
        <v>18004.420000000002</v>
      </c>
      <c r="D20" s="504">
        <v>924.5</v>
      </c>
      <c r="E20" s="630">
        <v>933.58</v>
      </c>
      <c r="F20" s="504">
        <v>188.42</v>
      </c>
      <c r="G20" s="630">
        <v>21.84</v>
      </c>
      <c r="H20" s="504">
        <v>118.41</v>
      </c>
      <c r="I20" s="503">
        <v>37.33</v>
      </c>
      <c r="J20" s="504">
        <v>33</v>
      </c>
      <c r="K20" s="503">
        <v>112.25</v>
      </c>
      <c r="L20" s="504">
        <v>100.92</v>
      </c>
      <c r="M20" s="630" t="s">
        <v>1442</v>
      </c>
      <c r="N20" s="504">
        <v>291.99</v>
      </c>
      <c r="O20" s="630">
        <v>66.33</v>
      </c>
      <c r="P20" s="504">
        <v>91.58</v>
      </c>
      <c r="Q20" s="504" t="s">
        <v>1442</v>
      </c>
      <c r="R20" s="630">
        <v>3390.5</v>
      </c>
      <c r="S20" s="504">
        <v>348.17</v>
      </c>
      <c r="T20" s="631">
        <v>65</v>
      </c>
      <c r="U20" s="632">
        <v>2329.33</v>
      </c>
      <c r="V20" s="631">
        <v>192.59</v>
      </c>
      <c r="W20" s="504">
        <v>725.01</v>
      </c>
      <c r="X20" s="630">
        <v>8033.67</v>
      </c>
      <c r="Y20" s="632" t="s">
        <v>1442</v>
      </c>
      <c r="Z20" s="630" t="s">
        <v>1442</v>
      </c>
      <c r="AA20" s="504" t="s">
        <v>1442</v>
      </c>
      <c r="AB20" s="631" t="s">
        <v>1442</v>
      </c>
      <c r="AC20" s="632" t="s">
        <v>1442</v>
      </c>
      <c r="AD20" s="631" t="s">
        <v>1442</v>
      </c>
      <c r="AE20" s="632" t="s">
        <v>1442</v>
      </c>
    </row>
    <row r="21" spans="1:31" ht="14" thickBot="1">
      <c r="A21" s="501">
        <v>263</v>
      </c>
      <c r="B21" s="502" t="s">
        <v>1375</v>
      </c>
      <c r="C21" s="503">
        <v>61973.83</v>
      </c>
      <c r="D21" s="504">
        <v>635.91999999999996</v>
      </c>
      <c r="E21" s="630">
        <v>445.75</v>
      </c>
      <c r="F21" s="504">
        <v>4505.82</v>
      </c>
      <c r="G21" s="630">
        <v>332.83</v>
      </c>
      <c r="H21" s="504">
        <v>84.41</v>
      </c>
      <c r="I21" s="503">
        <v>141.17000000000002</v>
      </c>
      <c r="J21" s="504">
        <v>137.33000000000001</v>
      </c>
      <c r="K21" s="503">
        <v>73</v>
      </c>
      <c r="L21" s="504">
        <v>2935.23</v>
      </c>
      <c r="M21" s="630">
        <v>1718.83</v>
      </c>
      <c r="N21" s="504">
        <v>94.17</v>
      </c>
      <c r="O21" s="630">
        <v>40.92</v>
      </c>
      <c r="P21" s="504">
        <v>42</v>
      </c>
      <c r="Q21" s="504" t="s">
        <v>1442</v>
      </c>
      <c r="R21" s="630">
        <v>71.75</v>
      </c>
      <c r="S21" s="504">
        <v>16.25</v>
      </c>
      <c r="T21" s="631">
        <v>1</v>
      </c>
      <c r="U21" s="632">
        <v>4266.49</v>
      </c>
      <c r="V21" s="631">
        <v>44.33</v>
      </c>
      <c r="W21" s="504">
        <v>262</v>
      </c>
      <c r="X21" s="630">
        <v>143.17000000000002</v>
      </c>
      <c r="Y21" s="632">
        <v>392.25</v>
      </c>
      <c r="Z21" s="630">
        <v>42013.64</v>
      </c>
      <c r="AA21" s="504">
        <v>2008.3300000000002</v>
      </c>
      <c r="AB21" s="631">
        <v>234.75</v>
      </c>
      <c r="AC21" s="632">
        <v>1138.4100000000001</v>
      </c>
      <c r="AD21" s="631">
        <v>194.09</v>
      </c>
      <c r="AE21" s="632" t="s">
        <v>1442</v>
      </c>
    </row>
    <row r="22" spans="1:31" ht="14" thickBot="1">
      <c r="A22" s="501">
        <v>290</v>
      </c>
      <c r="B22" s="502" t="s">
        <v>1443</v>
      </c>
      <c r="C22" s="503">
        <v>528865.57999999996</v>
      </c>
      <c r="D22" s="504">
        <v>68264.17</v>
      </c>
      <c r="E22" s="630">
        <v>25699.26</v>
      </c>
      <c r="F22" s="504">
        <v>92142.41</v>
      </c>
      <c r="G22" s="630">
        <v>8822.92</v>
      </c>
      <c r="H22" s="504">
        <v>22896.67</v>
      </c>
      <c r="I22" s="503">
        <v>9869.67</v>
      </c>
      <c r="J22" s="504">
        <v>11488.08</v>
      </c>
      <c r="K22" s="503">
        <v>3268.42</v>
      </c>
      <c r="L22" s="504">
        <v>19691.920000000002</v>
      </c>
      <c r="M22" s="630">
        <v>16131.42</v>
      </c>
      <c r="N22" s="504">
        <v>11674.42</v>
      </c>
      <c r="O22" s="630">
        <v>6454.25</v>
      </c>
      <c r="P22" s="504">
        <v>17010.420000000002</v>
      </c>
      <c r="Q22" s="504" t="s">
        <v>1442</v>
      </c>
      <c r="R22" s="630">
        <v>4300</v>
      </c>
      <c r="S22" s="504">
        <v>1549.33</v>
      </c>
      <c r="T22" s="631">
        <v>1435.67</v>
      </c>
      <c r="U22" s="632">
        <v>34823.75</v>
      </c>
      <c r="V22" s="631">
        <v>6715.92</v>
      </c>
      <c r="W22" s="504">
        <v>89600.17</v>
      </c>
      <c r="X22" s="630">
        <v>14347.92</v>
      </c>
      <c r="Y22" s="632">
        <v>15230.75</v>
      </c>
      <c r="Z22" s="630">
        <v>16688.670000000002</v>
      </c>
      <c r="AA22" s="504">
        <v>9766</v>
      </c>
      <c r="AB22" s="631">
        <v>6375.59</v>
      </c>
      <c r="AC22" s="632">
        <v>9257.33</v>
      </c>
      <c r="AD22" s="631">
        <v>4717.08</v>
      </c>
      <c r="AE22" s="632">
        <v>643.37</v>
      </c>
    </row>
    <row r="23" spans="1:31" ht="14" thickBot="1">
      <c r="A23" s="501">
        <v>294</v>
      </c>
      <c r="B23" s="502" t="s">
        <v>1377</v>
      </c>
      <c r="C23" s="503">
        <v>5326.42</v>
      </c>
      <c r="D23" s="504">
        <v>102.16</v>
      </c>
      <c r="E23" s="630">
        <v>106.67</v>
      </c>
      <c r="F23" s="504">
        <v>3838.34</v>
      </c>
      <c r="G23" s="630">
        <v>26.33</v>
      </c>
      <c r="H23" s="504">
        <v>27.42</v>
      </c>
      <c r="I23" s="503">
        <v>383.83</v>
      </c>
      <c r="J23" s="504">
        <v>64.739999999999995</v>
      </c>
      <c r="K23" s="503">
        <v>1.75</v>
      </c>
      <c r="L23" s="504">
        <v>32.17</v>
      </c>
      <c r="M23" s="630">
        <v>38.090000000000003</v>
      </c>
      <c r="N23" s="504">
        <v>11.75</v>
      </c>
      <c r="O23" s="630">
        <v>9.92</v>
      </c>
      <c r="P23" s="504">
        <v>242.5</v>
      </c>
      <c r="Q23" s="504" t="s">
        <v>1442</v>
      </c>
      <c r="R23" s="630">
        <v>1.33</v>
      </c>
      <c r="S23" s="504">
        <v>9.42</v>
      </c>
      <c r="T23" s="631">
        <v>0.5</v>
      </c>
      <c r="U23" s="632">
        <v>9.58</v>
      </c>
      <c r="V23" s="631">
        <v>20</v>
      </c>
      <c r="W23" s="504">
        <v>148.17000000000002</v>
      </c>
      <c r="X23" s="630">
        <v>95.91</v>
      </c>
      <c r="Y23" s="632">
        <v>3.58</v>
      </c>
      <c r="Z23" s="630">
        <v>5.75</v>
      </c>
      <c r="AA23" s="504">
        <v>105.92</v>
      </c>
      <c r="AB23" s="631">
        <v>35.75</v>
      </c>
      <c r="AC23" s="632" t="s">
        <v>1442</v>
      </c>
      <c r="AD23" s="631">
        <v>4.83</v>
      </c>
      <c r="AE23" s="632" t="s">
        <v>1442</v>
      </c>
    </row>
    <row r="24" spans="1:31" ht="14" thickBot="1">
      <c r="A24" s="501">
        <v>312</v>
      </c>
      <c r="B24" s="502" t="s">
        <v>1378</v>
      </c>
      <c r="C24" s="503">
        <v>149363.83000000002</v>
      </c>
      <c r="D24" s="504">
        <v>41279.67</v>
      </c>
      <c r="E24" s="630">
        <v>16787.920000000002</v>
      </c>
      <c r="F24" s="504">
        <v>6909.83</v>
      </c>
      <c r="G24" s="630">
        <v>1355.75</v>
      </c>
      <c r="H24" s="504">
        <v>2265</v>
      </c>
      <c r="I24" s="503">
        <v>409.25</v>
      </c>
      <c r="J24" s="504">
        <v>373.08</v>
      </c>
      <c r="K24" s="503">
        <v>614.83000000000004</v>
      </c>
      <c r="L24" s="504">
        <v>1221.58</v>
      </c>
      <c r="M24" s="630">
        <v>4296.75</v>
      </c>
      <c r="N24" s="504">
        <v>6956</v>
      </c>
      <c r="O24" s="630">
        <v>2036.0800000000002</v>
      </c>
      <c r="P24" s="504">
        <v>6544.92</v>
      </c>
      <c r="Q24" s="504" t="s">
        <v>1442</v>
      </c>
      <c r="R24" s="630">
        <v>1518.25</v>
      </c>
      <c r="S24" s="504">
        <v>634.83000000000004</v>
      </c>
      <c r="T24" s="631">
        <v>70.17</v>
      </c>
      <c r="U24" s="632">
        <v>9718.58</v>
      </c>
      <c r="V24" s="631">
        <v>1475.83</v>
      </c>
      <c r="W24" s="504">
        <v>14791.42</v>
      </c>
      <c r="X24" s="630">
        <v>5124.5</v>
      </c>
      <c r="Y24" s="632">
        <v>10085.67</v>
      </c>
      <c r="Z24" s="630">
        <v>6955.25</v>
      </c>
      <c r="AA24" s="504">
        <v>4364.17</v>
      </c>
      <c r="AB24" s="631">
        <v>1274.33</v>
      </c>
      <c r="AC24" s="632">
        <v>1363</v>
      </c>
      <c r="AD24" s="631">
        <v>696.92</v>
      </c>
      <c r="AE24" s="632" t="s">
        <v>1442</v>
      </c>
    </row>
    <row r="25" spans="1:31" ht="14" thickBot="1">
      <c r="A25" s="501">
        <v>343</v>
      </c>
      <c r="B25" s="502" t="s">
        <v>1379</v>
      </c>
      <c r="C25" s="503">
        <v>98944.25</v>
      </c>
      <c r="D25" s="504">
        <v>2265.7400000000002</v>
      </c>
      <c r="E25" s="630">
        <v>17973.400000000001</v>
      </c>
      <c r="F25" s="504">
        <v>1984.07</v>
      </c>
      <c r="G25" s="630">
        <v>12.58</v>
      </c>
      <c r="H25" s="504">
        <v>116.58</v>
      </c>
      <c r="I25" s="503">
        <v>31.92</v>
      </c>
      <c r="J25" s="504">
        <v>26.83</v>
      </c>
      <c r="K25" s="503">
        <v>2694.08</v>
      </c>
      <c r="L25" s="504">
        <v>90.83</v>
      </c>
      <c r="M25" s="630">
        <v>7669.08</v>
      </c>
      <c r="N25" s="504">
        <v>966.58</v>
      </c>
      <c r="O25" s="630">
        <v>8317.130000000001</v>
      </c>
      <c r="P25" s="504">
        <v>7735.41</v>
      </c>
      <c r="Q25" s="504" t="s">
        <v>1442</v>
      </c>
      <c r="R25" s="630">
        <v>618</v>
      </c>
      <c r="S25" s="504">
        <v>140.25</v>
      </c>
      <c r="T25" s="631">
        <v>25.83</v>
      </c>
      <c r="U25" s="632">
        <v>4721.6400000000003</v>
      </c>
      <c r="V25" s="631">
        <v>318.75</v>
      </c>
      <c r="W25" s="504">
        <v>22245.89</v>
      </c>
      <c r="X25" s="630">
        <v>232</v>
      </c>
      <c r="Y25" s="632">
        <v>1187.5</v>
      </c>
      <c r="Z25" s="630">
        <v>2414.41</v>
      </c>
      <c r="AA25" s="504">
        <v>644.59</v>
      </c>
      <c r="AB25" s="631">
        <v>304.66000000000003</v>
      </c>
      <c r="AC25" s="632">
        <v>16069.26</v>
      </c>
      <c r="AD25" s="631">
        <v>137.25</v>
      </c>
      <c r="AE25" s="632" t="s">
        <v>1442</v>
      </c>
    </row>
    <row r="26" spans="1:31" ht="14" thickBot="1">
      <c r="A26" s="501">
        <v>360</v>
      </c>
      <c r="B26" s="502" t="s">
        <v>1380</v>
      </c>
      <c r="C26" s="503">
        <v>16885.34</v>
      </c>
      <c r="D26" s="504">
        <v>832.67</v>
      </c>
      <c r="E26" s="630">
        <v>1589.34</v>
      </c>
      <c r="F26" s="504">
        <v>12089.83</v>
      </c>
      <c r="G26" s="630">
        <v>15.67</v>
      </c>
      <c r="H26" s="504">
        <v>62.75</v>
      </c>
      <c r="I26" s="503">
        <v>37.33</v>
      </c>
      <c r="J26" s="504">
        <v>78.5</v>
      </c>
      <c r="K26" s="503" t="s">
        <v>1442</v>
      </c>
      <c r="L26" s="504">
        <v>154.59</v>
      </c>
      <c r="M26" s="630" t="s">
        <v>1442</v>
      </c>
      <c r="N26" s="504">
        <v>636.75</v>
      </c>
      <c r="O26" s="630">
        <v>0.83</v>
      </c>
      <c r="P26" s="504">
        <v>4</v>
      </c>
      <c r="Q26" s="504" t="s">
        <v>1442</v>
      </c>
      <c r="R26" s="630" t="s">
        <v>1442</v>
      </c>
      <c r="S26" s="504" t="s">
        <v>1442</v>
      </c>
      <c r="T26" s="631" t="s">
        <v>1442</v>
      </c>
      <c r="U26" s="632" t="s">
        <v>1442</v>
      </c>
      <c r="V26" s="631">
        <v>1</v>
      </c>
      <c r="W26" s="504">
        <v>1381.08</v>
      </c>
      <c r="X26" s="630" t="s">
        <v>1442</v>
      </c>
      <c r="Y26" s="632" t="s">
        <v>1442</v>
      </c>
      <c r="Z26" s="630">
        <v>1</v>
      </c>
      <c r="AA26" s="504" t="s">
        <v>1442</v>
      </c>
      <c r="AB26" s="631" t="s">
        <v>1442</v>
      </c>
      <c r="AC26" s="632" t="s">
        <v>1442</v>
      </c>
      <c r="AD26" s="631" t="s">
        <v>1442</v>
      </c>
      <c r="AE26" s="632" t="s">
        <v>1442</v>
      </c>
    </row>
    <row r="27" spans="1:31" ht="14" thickBot="1">
      <c r="A27" s="501">
        <v>376</v>
      </c>
      <c r="B27" s="502" t="s">
        <v>1381</v>
      </c>
      <c r="C27" s="503">
        <v>307623</v>
      </c>
      <c r="D27" s="504">
        <v>36497</v>
      </c>
      <c r="E27" s="630">
        <v>91759</v>
      </c>
      <c r="F27" s="504">
        <v>9457</v>
      </c>
      <c r="G27" s="630">
        <v>1501</v>
      </c>
      <c r="H27" s="504">
        <v>3048</v>
      </c>
      <c r="I27" s="503">
        <v>296</v>
      </c>
      <c r="J27" s="504">
        <v>2495</v>
      </c>
      <c r="K27" s="503">
        <v>884</v>
      </c>
      <c r="L27" s="504">
        <v>1959</v>
      </c>
      <c r="M27" s="630">
        <v>12915</v>
      </c>
      <c r="N27" s="504">
        <v>6939</v>
      </c>
      <c r="O27" s="630">
        <v>2915</v>
      </c>
      <c r="P27" s="504">
        <v>9415</v>
      </c>
      <c r="Q27" s="504" t="s">
        <v>1442</v>
      </c>
      <c r="R27" s="630">
        <v>1181</v>
      </c>
      <c r="S27" s="504">
        <v>1740</v>
      </c>
      <c r="T27" s="631">
        <v>285</v>
      </c>
      <c r="U27" s="632">
        <v>21460</v>
      </c>
      <c r="V27" s="631">
        <v>7885</v>
      </c>
      <c r="W27" s="504">
        <v>9581</v>
      </c>
      <c r="X27" s="630">
        <v>4223</v>
      </c>
      <c r="Y27" s="632">
        <v>29023</v>
      </c>
      <c r="Z27" s="630">
        <v>27833</v>
      </c>
      <c r="AA27" s="504">
        <v>9580</v>
      </c>
      <c r="AB27" s="631">
        <v>1106</v>
      </c>
      <c r="AC27" s="632">
        <v>12683</v>
      </c>
      <c r="AD27" s="631">
        <v>918</v>
      </c>
      <c r="AE27" s="632">
        <v>45</v>
      </c>
    </row>
    <row r="28" spans="1:31" ht="14" thickBot="1">
      <c r="A28" s="501">
        <v>411</v>
      </c>
      <c r="B28" s="502" t="s">
        <v>1382</v>
      </c>
      <c r="C28" s="503">
        <v>21466.61</v>
      </c>
      <c r="D28" s="504">
        <v>1959.88</v>
      </c>
      <c r="E28" s="630">
        <v>483.11</v>
      </c>
      <c r="F28" s="504">
        <v>7472.99</v>
      </c>
      <c r="G28" s="630">
        <v>507.25</v>
      </c>
      <c r="H28" s="504">
        <v>751.32</v>
      </c>
      <c r="I28" s="503">
        <v>351.55</v>
      </c>
      <c r="J28" s="504">
        <v>611.03</v>
      </c>
      <c r="K28" s="503">
        <v>128.31</v>
      </c>
      <c r="L28" s="504">
        <v>2015.56</v>
      </c>
      <c r="M28" s="630">
        <v>250.11</v>
      </c>
      <c r="N28" s="504">
        <v>333.97</v>
      </c>
      <c r="O28" s="630">
        <v>754.65</v>
      </c>
      <c r="P28" s="504">
        <v>290.22000000000003</v>
      </c>
      <c r="Q28" s="504" t="s">
        <v>1442</v>
      </c>
      <c r="R28" s="630">
        <v>112.49</v>
      </c>
      <c r="S28" s="504">
        <v>190.58</v>
      </c>
      <c r="T28" s="631">
        <v>93.91</v>
      </c>
      <c r="U28" s="632">
        <v>1072.73</v>
      </c>
      <c r="V28" s="631">
        <v>306.51</v>
      </c>
      <c r="W28" s="504">
        <v>2988.65</v>
      </c>
      <c r="X28" s="630">
        <v>368.76</v>
      </c>
      <c r="Y28" s="632">
        <v>102.42</v>
      </c>
      <c r="Z28" s="630">
        <v>78.180000000000007</v>
      </c>
      <c r="AA28" s="504">
        <v>115.05</v>
      </c>
      <c r="AB28" s="631">
        <v>60.23</v>
      </c>
      <c r="AC28" s="632">
        <v>29.76</v>
      </c>
      <c r="AD28" s="631">
        <v>32.160000000000004</v>
      </c>
      <c r="AE28" s="632">
        <v>5.17</v>
      </c>
    </row>
    <row r="29" spans="1:31" ht="14" thickBot="1">
      <c r="A29" s="501">
        <v>445</v>
      </c>
      <c r="B29" s="502" t="s">
        <v>1383</v>
      </c>
      <c r="C29" s="503">
        <v>78338.92</v>
      </c>
      <c r="D29" s="504">
        <v>27819.35</v>
      </c>
      <c r="E29" s="630">
        <v>9982.15</v>
      </c>
      <c r="F29" s="504">
        <v>236.08</v>
      </c>
      <c r="G29" s="630">
        <v>43.33</v>
      </c>
      <c r="H29" s="504">
        <v>708.75</v>
      </c>
      <c r="I29" s="503">
        <v>22.5</v>
      </c>
      <c r="J29" s="504">
        <v>33.42</v>
      </c>
      <c r="K29" s="503">
        <v>57.58</v>
      </c>
      <c r="L29" s="504">
        <v>114</v>
      </c>
      <c r="M29" s="630">
        <v>1339.5</v>
      </c>
      <c r="N29" s="504">
        <v>680.5</v>
      </c>
      <c r="O29" s="630">
        <v>6934.98</v>
      </c>
      <c r="P29" s="504">
        <v>14748.42</v>
      </c>
      <c r="Q29" s="504" t="s">
        <v>1442</v>
      </c>
      <c r="R29" s="630">
        <v>255.41</v>
      </c>
      <c r="S29" s="504">
        <v>49.83</v>
      </c>
      <c r="T29" s="631">
        <v>15.17</v>
      </c>
      <c r="U29" s="632">
        <v>622.08000000000004</v>
      </c>
      <c r="V29" s="631">
        <v>2121.56</v>
      </c>
      <c r="W29" s="504">
        <v>1900.74</v>
      </c>
      <c r="X29" s="630">
        <v>412.17</v>
      </c>
      <c r="Y29" s="632">
        <v>2037.0800000000002</v>
      </c>
      <c r="Z29" s="630">
        <v>1753.92</v>
      </c>
      <c r="AA29" s="504">
        <v>940.5</v>
      </c>
      <c r="AB29" s="631">
        <v>3693.57</v>
      </c>
      <c r="AC29" s="632">
        <v>1509.66</v>
      </c>
      <c r="AD29" s="631">
        <v>306.66000000000003</v>
      </c>
      <c r="AE29" s="632" t="s">
        <v>1442</v>
      </c>
    </row>
    <row r="30" spans="1:31" ht="14" thickBot="1">
      <c r="A30" s="501">
        <v>455</v>
      </c>
      <c r="B30" s="502" t="s">
        <v>1384</v>
      </c>
      <c r="C30" s="503">
        <v>143787</v>
      </c>
      <c r="D30" s="504">
        <v>25400</v>
      </c>
      <c r="E30" s="630">
        <v>1500</v>
      </c>
      <c r="F30" s="504">
        <v>883</v>
      </c>
      <c r="G30" s="630">
        <v>103</v>
      </c>
      <c r="H30" s="504">
        <v>2169</v>
      </c>
      <c r="I30" s="503">
        <v>241</v>
      </c>
      <c r="J30" s="504">
        <v>73</v>
      </c>
      <c r="K30" s="503">
        <v>2213</v>
      </c>
      <c r="L30" s="504">
        <v>609</v>
      </c>
      <c r="M30" s="630">
        <v>89</v>
      </c>
      <c r="N30" s="504">
        <v>179</v>
      </c>
      <c r="O30" s="630">
        <v>400</v>
      </c>
      <c r="P30" s="504">
        <v>309</v>
      </c>
      <c r="Q30" s="504" t="s">
        <v>1442</v>
      </c>
      <c r="R30" s="630">
        <v>3841</v>
      </c>
      <c r="S30" s="504">
        <v>468</v>
      </c>
      <c r="T30" s="631">
        <v>90</v>
      </c>
      <c r="U30" s="632">
        <v>8839</v>
      </c>
      <c r="V30" s="631">
        <v>79615</v>
      </c>
      <c r="W30" s="504">
        <v>828</v>
      </c>
      <c r="X30" s="630">
        <v>6972</v>
      </c>
      <c r="Y30" s="632">
        <v>8759</v>
      </c>
      <c r="Z30" s="630">
        <v>50</v>
      </c>
      <c r="AA30" s="504">
        <v>95</v>
      </c>
      <c r="AB30" s="631">
        <v>16</v>
      </c>
      <c r="AC30" s="632">
        <v>41</v>
      </c>
      <c r="AD30" s="631">
        <v>5</v>
      </c>
      <c r="AE30" s="632" t="s">
        <v>1442</v>
      </c>
    </row>
    <row r="31" spans="1:31" ht="14" thickBot="1">
      <c r="A31" s="501">
        <v>484</v>
      </c>
      <c r="B31" s="502" t="s">
        <v>1385</v>
      </c>
      <c r="C31" s="503">
        <v>26280.33</v>
      </c>
      <c r="D31" s="504">
        <v>6165</v>
      </c>
      <c r="E31" s="630">
        <v>309.08</v>
      </c>
      <c r="F31" s="504">
        <v>120.92</v>
      </c>
      <c r="G31" s="630">
        <v>9.58</v>
      </c>
      <c r="H31" s="504">
        <v>69.42</v>
      </c>
      <c r="I31" s="503">
        <v>6</v>
      </c>
      <c r="J31" s="504">
        <v>4.67</v>
      </c>
      <c r="K31" s="503">
        <v>51.5</v>
      </c>
      <c r="L31" s="504">
        <v>61.58</v>
      </c>
      <c r="M31" s="630">
        <v>2297.42</v>
      </c>
      <c r="N31" s="504">
        <v>112.25</v>
      </c>
      <c r="O31" s="630">
        <v>134.17000000000002</v>
      </c>
      <c r="P31" s="504">
        <v>89.58</v>
      </c>
      <c r="Q31" s="504" t="s">
        <v>1442</v>
      </c>
      <c r="R31" s="630">
        <v>62.33</v>
      </c>
      <c r="S31" s="504">
        <v>1896.25</v>
      </c>
      <c r="T31" s="631">
        <v>249.58</v>
      </c>
      <c r="U31" s="632">
        <v>431.58</v>
      </c>
      <c r="V31" s="631">
        <v>149</v>
      </c>
      <c r="W31" s="504">
        <v>527.16999999999996</v>
      </c>
      <c r="X31" s="630">
        <v>263.58</v>
      </c>
      <c r="Y31" s="632">
        <v>3928.08</v>
      </c>
      <c r="Z31" s="630">
        <v>110.42</v>
      </c>
      <c r="AA31" s="504">
        <v>9175.92</v>
      </c>
      <c r="AB31" s="631">
        <v>29.58</v>
      </c>
      <c r="AC31" s="632">
        <v>15.33</v>
      </c>
      <c r="AD31" s="631">
        <v>10.33</v>
      </c>
      <c r="AE31" s="632" t="s">
        <v>1442</v>
      </c>
    </row>
    <row r="32" spans="1:31" ht="14" thickBot="1">
      <c r="A32" s="501">
        <v>509</v>
      </c>
      <c r="B32" s="502" t="s">
        <v>1386</v>
      </c>
      <c r="C32" s="503">
        <v>139987.16</v>
      </c>
      <c r="D32" s="504">
        <v>16349.7</v>
      </c>
      <c r="E32" s="630">
        <v>1152.1400000000001</v>
      </c>
      <c r="F32" s="504">
        <v>3031.92</v>
      </c>
      <c r="G32" s="630">
        <v>692.24</v>
      </c>
      <c r="H32" s="504">
        <v>2352.16</v>
      </c>
      <c r="I32" s="503">
        <v>684.25</v>
      </c>
      <c r="J32" s="504">
        <v>579.66</v>
      </c>
      <c r="K32" s="503">
        <v>262.31</v>
      </c>
      <c r="L32" s="504">
        <v>3314.66</v>
      </c>
      <c r="M32" s="630">
        <v>92.17</v>
      </c>
      <c r="N32" s="504">
        <v>5239.66</v>
      </c>
      <c r="O32" s="630">
        <v>58844.25</v>
      </c>
      <c r="P32" s="504">
        <v>23519.84</v>
      </c>
      <c r="Q32" s="504" t="s">
        <v>1442</v>
      </c>
      <c r="R32" s="630">
        <v>2755.33</v>
      </c>
      <c r="S32" s="504">
        <v>484.28</v>
      </c>
      <c r="T32" s="631">
        <v>118</v>
      </c>
      <c r="U32" s="632">
        <v>4921.57</v>
      </c>
      <c r="V32" s="631">
        <v>417.84</v>
      </c>
      <c r="W32" s="504">
        <v>8546.5</v>
      </c>
      <c r="X32" s="630">
        <v>5901.91</v>
      </c>
      <c r="Y32" s="632">
        <v>239.43</v>
      </c>
      <c r="Z32" s="630">
        <v>173.43</v>
      </c>
      <c r="AA32" s="504">
        <v>72.09</v>
      </c>
      <c r="AB32" s="631">
        <v>19.490000000000002</v>
      </c>
      <c r="AC32" s="632">
        <v>89.25</v>
      </c>
      <c r="AD32" s="631">
        <v>109.34</v>
      </c>
      <c r="AE32" s="632">
        <v>23.74</v>
      </c>
    </row>
    <row r="33" spans="1:31" ht="14" thickBot="1">
      <c r="A33" s="501">
        <v>556</v>
      </c>
      <c r="B33" s="502" t="s">
        <v>1387</v>
      </c>
      <c r="C33" s="503">
        <v>2849.17</v>
      </c>
      <c r="D33" s="504">
        <v>119.67</v>
      </c>
      <c r="E33" s="630">
        <v>22.25</v>
      </c>
      <c r="F33" s="504">
        <v>6.33</v>
      </c>
      <c r="G33" s="630" t="s">
        <v>1442</v>
      </c>
      <c r="H33" s="504" t="s">
        <v>1442</v>
      </c>
      <c r="I33" s="503" t="s">
        <v>1442</v>
      </c>
      <c r="J33" s="504">
        <v>7</v>
      </c>
      <c r="K33" s="503">
        <v>13</v>
      </c>
      <c r="L33" s="504">
        <v>4.75</v>
      </c>
      <c r="M33" s="630">
        <v>1.5</v>
      </c>
      <c r="N33" s="504">
        <v>7.67</v>
      </c>
      <c r="O33" s="630">
        <v>3.75</v>
      </c>
      <c r="P33" s="504">
        <v>3</v>
      </c>
      <c r="Q33" s="504" t="s">
        <v>1442</v>
      </c>
      <c r="R33" s="630">
        <v>1</v>
      </c>
      <c r="S33" s="504">
        <v>2</v>
      </c>
      <c r="T33" s="631">
        <v>1</v>
      </c>
      <c r="U33" s="632">
        <v>21</v>
      </c>
      <c r="V33" s="631">
        <v>2550.42</v>
      </c>
      <c r="W33" s="504">
        <v>7.58</v>
      </c>
      <c r="X33" s="630">
        <v>17.330000000000002</v>
      </c>
      <c r="Y33" s="632">
        <v>44.33</v>
      </c>
      <c r="Z33" s="630">
        <v>8.83</v>
      </c>
      <c r="AA33" s="504">
        <v>3.75</v>
      </c>
      <c r="AB33" s="631" t="s">
        <v>1442</v>
      </c>
      <c r="AC33" s="632">
        <v>3</v>
      </c>
      <c r="AD33" s="631" t="s">
        <v>1442</v>
      </c>
      <c r="AE33" s="632" t="s">
        <v>1442</v>
      </c>
    </row>
    <row r="34" spans="1:31" ht="14" thickBot="1">
      <c r="A34" s="501">
        <v>558</v>
      </c>
      <c r="B34" s="502" t="s">
        <v>1388</v>
      </c>
      <c r="C34" s="503">
        <v>1780.17</v>
      </c>
      <c r="D34" s="504">
        <v>1779.92</v>
      </c>
      <c r="E34" s="630" t="s">
        <v>1442</v>
      </c>
      <c r="F34" s="504" t="s">
        <v>1442</v>
      </c>
      <c r="G34" s="630" t="s">
        <v>1442</v>
      </c>
      <c r="H34" s="504" t="s">
        <v>1442</v>
      </c>
      <c r="I34" s="503" t="s">
        <v>1442</v>
      </c>
      <c r="J34" s="504" t="s">
        <v>1442</v>
      </c>
      <c r="K34" s="503" t="s">
        <v>1442</v>
      </c>
      <c r="L34" s="504" t="s">
        <v>1442</v>
      </c>
      <c r="M34" s="630" t="s">
        <v>1442</v>
      </c>
      <c r="N34" s="504" t="s">
        <v>1442</v>
      </c>
      <c r="O34" s="630" t="s">
        <v>1442</v>
      </c>
      <c r="P34" s="504" t="s">
        <v>1442</v>
      </c>
      <c r="Q34" s="504" t="s">
        <v>1442</v>
      </c>
      <c r="R34" s="630" t="s">
        <v>1442</v>
      </c>
      <c r="S34" s="504" t="s">
        <v>1442</v>
      </c>
      <c r="T34" s="631" t="s">
        <v>1442</v>
      </c>
      <c r="U34" s="632" t="s">
        <v>1442</v>
      </c>
      <c r="V34" s="631" t="s">
        <v>1442</v>
      </c>
      <c r="W34" s="504" t="s">
        <v>1442</v>
      </c>
      <c r="X34" s="630" t="s">
        <v>1442</v>
      </c>
      <c r="Y34" s="632" t="s">
        <v>1442</v>
      </c>
      <c r="Z34" s="630" t="s">
        <v>1442</v>
      </c>
      <c r="AA34" s="504" t="s">
        <v>1442</v>
      </c>
      <c r="AB34" s="631" t="s">
        <v>1442</v>
      </c>
      <c r="AC34" s="632" t="s">
        <v>1442</v>
      </c>
      <c r="AD34" s="631" t="s">
        <v>1442</v>
      </c>
      <c r="AE34" s="632" t="s">
        <v>1442</v>
      </c>
    </row>
    <row r="35" spans="1:31" ht="14" thickBot="1">
      <c r="A35" s="501">
        <v>749</v>
      </c>
      <c r="B35" s="502" t="s">
        <v>1389</v>
      </c>
      <c r="C35" s="503">
        <v>72592.33</v>
      </c>
      <c r="D35" s="504">
        <v>9727.98</v>
      </c>
      <c r="E35" s="630">
        <v>980.58</v>
      </c>
      <c r="F35" s="504">
        <v>160.92000000000002</v>
      </c>
      <c r="G35" s="630">
        <v>51.5</v>
      </c>
      <c r="H35" s="504">
        <v>1657.25</v>
      </c>
      <c r="I35" s="503">
        <v>20.92</v>
      </c>
      <c r="J35" s="504">
        <v>15.92</v>
      </c>
      <c r="K35" s="503">
        <v>46.09</v>
      </c>
      <c r="L35" s="504">
        <v>88.92</v>
      </c>
      <c r="M35" s="630">
        <v>3730.41</v>
      </c>
      <c r="N35" s="504">
        <v>120.83</v>
      </c>
      <c r="O35" s="630">
        <v>121.33</v>
      </c>
      <c r="P35" s="504">
        <v>2666.91</v>
      </c>
      <c r="Q35" s="504" t="s">
        <v>1442</v>
      </c>
      <c r="R35" s="630">
        <v>358.17</v>
      </c>
      <c r="S35" s="504">
        <v>46.5</v>
      </c>
      <c r="T35" s="631">
        <v>3.67</v>
      </c>
      <c r="U35" s="632">
        <v>404.42</v>
      </c>
      <c r="V35" s="631">
        <v>65.42</v>
      </c>
      <c r="W35" s="504">
        <v>466.33</v>
      </c>
      <c r="X35" s="630">
        <v>14221.94</v>
      </c>
      <c r="Y35" s="632">
        <v>9389.2800000000007</v>
      </c>
      <c r="Z35" s="630">
        <v>12745.28</v>
      </c>
      <c r="AA35" s="504">
        <v>1510.84</v>
      </c>
      <c r="AB35" s="631">
        <v>2778.34</v>
      </c>
      <c r="AC35" s="632">
        <v>5860.48</v>
      </c>
      <c r="AD35" s="631">
        <v>5352.13</v>
      </c>
      <c r="AE35" s="632" t="s">
        <v>1442</v>
      </c>
    </row>
    <row r="36" spans="1:31" ht="14" thickBot="1">
      <c r="A36" s="501">
        <v>762</v>
      </c>
      <c r="B36" s="502" t="s">
        <v>1390</v>
      </c>
      <c r="C36" s="503">
        <v>24087.25</v>
      </c>
      <c r="D36" s="504">
        <v>4309.83</v>
      </c>
      <c r="E36" s="630">
        <v>3556.42</v>
      </c>
      <c r="F36" s="504">
        <v>1574.92</v>
      </c>
      <c r="G36" s="630">
        <v>345.42</v>
      </c>
      <c r="H36" s="504">
        <v>1364.83</v>
      </c>
      <c r="I36" s="503">
        <v>455.67</v>
      </c>
      <c r="J36" s="504">
        <v>903.42</v>
      </c>
      <c r="K36" s="503">
        <v>503.58</v>
      </c>
      <c r="L36" s="504">
        <v>463.33</v>
      </c>
      <c r="M36" s="630">
        <v>702.42</v>
      </c>
      <c r="N36" s="504">
        <v>932.67</v>
      </c>
      <c r="O36" s="630">
        <v>402.5</v>
      </c>
      <c r="P36" s="504">
        <v>284.75</v>
      </c>
      <c r="Q36" s="504" t="s">
        <v>1442</v>
      </c>
      <c r="R36" s="630">
        <v>210.5</v>
      </c>
      <c r="S36" s="504">
        <v>264.42</v>
      </c>
      <c r="T36" s="631">
        <v>202</v>
      </c>
      <c r="U36" s="632">
        <v>1733.58</v>
      </c>
      <c r="V36" s="631">
        <v>425.33</v>
      </c>
      <c r="W36" s="504">
        <v>1227.25</v>
      </c>
      <c r="X36" s="630">
        <v>698.83</v>
      </c>
      <c r="Y36" s="632">
        <v>665</v>
      </c>
      <c r="Z36" s="630">
        <v>1042.25</v>
      </c>
      <c r="AA36" s="504">
        <v>556.33000000000004</v>
      </c>
      <c r="AB36" s="631">
        <v>148.67000000000002</v>
      </c>
      <c r="AC36" s="632">
        <v>907.67</v>
      </c>
      <c r="AD36" s="631">
        <v>205.67</v>
      </c>
      <c r="AE36" s="632" t="s">
        <v>1442</v>
      </c>
    </row>
    <row r="37" spans="1:31" ht="14" thickBot="1">
      <c r="A37" s="501">
        <v>774</v>
      </c>
      <c r="B37" s="502" t="s">
        <v>1391</v>
      </c>
      <c r="C37" s="503">
        <v>24126.42</v>
      </c>
      <c r="D37" s="504">
        <v>472</v>
      </c>
      <c r="E37" s="630">
        <v>112.16</v>
      </c>
      <c r="F37" s="504">
        <v>15.08</v>
      </c>
      <c r="G37" s="630">
        <v>1</v>
      </c>
      <c r="H37" s="504">
        <v>27.92</v>
      </c>
      <c r="I37" s="503">
        <v>0.83</v>
      </c>
      <c r="J37" s="504">
        <v>2.17</v>
      </c>
      <c r="K37" s="503">
        <v>3</v>
      </c>
      <c r="L37" s="504">
        <v>25.17</v>
      </c>
      <c r="M37" s="630">
        <v>5200.46</v>
      </c>
      <c r="N37" s="504">
        <v>30.08</v>
      </c>
      <c r="O37" s="630">
        <v>4.08</v>
      </c>
      <c r="P37" s="504">
        <v>21.99</v>
      </c>
      <c r="Q37" s="504" t="s">
        <v>1442</v>
      </c>
      <c r="R37" s="630">
        <v>3.25</v>
      </c>
      <c r="S37" s="504">
        <v>2</v>
      </c>
      <c r="T37" s="631">
        <v>1</v>
      </c>
      <c r="U37" s="632">
        <v>6.33</v>
      </c>
      <c r="V37" s="631">
        <v>22</v>
      </c>
      <c r="W37" s="504">
        <v>16.670000000000002</v>
      </c>
      <c r="X37" s="630">
        <v>16.920000000000002</v>
      </c>
      <c r="Y37" s="632">
        <v>50</v>
      </c>
      <c r="Z37" s="630">
        <v>818.33</v>
      </c>
      <c r="AA37" s="504">
        <v>17173.310000000001</v>
      </c>
      <c r="AB37" s="631">
        <v>27.67</v>
      </c>
      <c r="AC37" s="632">
        <v>59.67</v>
      </c>
      <c r="AD37" s="631">
        <v>13.33</v>
      </c>
      <c r="AE37" s="632" t="s">
        <v>1442</v>
      </c>
    </row>
    <row r="38" spans="1:31" ht="14" thickBot="1">
      <c r="A38" s="501">
        <v>780</v>
      </c>
      <c r="B38" s="502" t="s">
        <v>1392</v>
      </c>
      <c r="C38" s="503">
        <v>4863.58</v>
      </c>
      <c r="D38" s="504" t="s">
        <v>1442</v>
      </c>
      <c r="E38" s="630" t="s">
        <v>1442</v>
      </c>
      <c r="F38" s="504" t="s">
        <v>1442</v>
      </c>
      <c r="G38" s="630">
        <v>20</v>
      </c>
      <c r="H38" s="504">
        <v>121.67</v>
      </c>
      <c r="I38" s="503" t="s">
        <v>1442</v>
      </c>
      <c r="J38" s="504" t="s">
        <v>1442</v>
      </c>
      <c r="K38" s="503">
        <v>4471.33</v>
      </c>
      <c r="L38" s="504" t="s">
        <v>1442</v>
      </c>
      <c r="M38" s="630" t="s">
        <v>1442</v>
      </c>
      <c r="N38" s="504" t="s">
        <v>1442</v>
      </c>
      <c r="O38" s="630" t="s">
        <v>1442</v>
      </c>
      <c r="P38" s="504">
        <v>1</v>
      </c>
      <c r="Q38" s="504" t="s">
        <v>1442</v>
      </c>
      <c r="R38" s="630" t="s">
        <v>1442</v>
      </c>
      <c r="S38" s="504" t="s">
        <v>1442</v>
      </c>
      <c r="T38" s="631" t="s">
        <v>1442</v>
      </c>
      <c r="U38" s="632">
        <v>173.33</v>
      </c>
      <c r="V38" s="631">
        <v>76.239999999999995</v>
      </c>
      <c r="W38" s="504" t="s">
        <v>1442</v>
      </c>
      <c r="X38" s="630" t="s">
        <v>1442</v>
      </c>
      <c r="Y38" s="632" t="s">
        <v>1442</v>
      </c>
      <c r="Z38" s="630" t="s">
        <v>1442</v>
      </c>
      <c r="AA38" s="504" t="s">
        <v>1442</v>
      </c>
      <c r="AB38" s="631" t="s">
        <v>1442</v>
      </c>
      <c r="AC38" s="632" t="s">
        <v>1442</v>
      </c>
      <c r="AD38" s="631" t="s">
        <v>1442</v>
      </c>
      <c r="AE38" s="632" t="s">
        <v>1442</v>
      </c>
    </row>
    <row r="39" spans="1:31" ht="14" thickBot="1">
      <c r="A39" s="501">
        <v>790</v>
      </c>
      <c r="B39" s="502" t="s">
        <v>1393</v>
      </c>
      <c r="C39" s="503">
        <v>6110.32</v>
      </c>
      <c r="D39" s="504">
        <v>2113.2400000000002</v>
      </c>
      <c r="E39" s="630">
        <v>1033.1600000000001</v>
      </c>
      <c r="F39" s="504">
        <v>351.83</v>
      </c>
      <c r="G39" s="630">
        <v>0.33</v>
      </c>
      <c r="H39" s="504">
        <v>117.32</v>
      </c>
      <c r="I39" s="503" t="s">
        <v>1442</v>
      </c>
      <c r="J39" s="504">
        <v>0.17</v>
      </c>
      <c r="K39" s="503">
        <v>0.42</v>
      </c>
      <c r="L39" s="504">
        <v>1.1599999999999999</v>
      </c>
      <c r="M39" s="630">
        <v>86</v>
      </c>
      <c r="N39" s="504">
        <v>197.67</v>
      </c>
      <c r="O39" s="630">
        <v>7.42</v>
      </c>
      <c r="P39" s="504">
        <v>4.83</v>
      </c>
      <c r="Q39" s="504" t="s">
        <v>1442</v>
      </c>
      <c r="R39" s="630">
        <v>0.83</v>
      </c>
      <c r="S39" s="504">
        <v>1</v>
      </c>
      <c r="T39" s="631" t="s">
        <v>1442</v>
      </c>
      <c r="U39" s="632">
        <v>475.09</v>
      </c>
      <c r="V39" s="631">
        <v>252.99</v>
      </c>
      <c r="W39" s="504">
        <v>676.09</v>
      </c>
      <c r="X39" s="630">
        <v>14.5</v>
      </c>
      <c r="Y39" s="632" t="s">
        <v>1442</v>
      </c>
      <c r="Z39" s="630" t="s">
        <v>1442</v>
      </c>
      <c r="AA39" s="504">
        <v>776.15</v>
      </c>
      <c r="AB39" s="631" t="s">
        <v>1442</v>
      </c>
      <c r="AC39" s="632" t="s">
        <v>1442</v>
      </c>
      <c r="AD39" s="631" t="s">
        <v>1442</v>
      </c>
      <c r="AE39" s="632" t="s">
        <v>1442</v>
      </c>
    </row>
    <row r="40" spans="1:31" ht="14" thickBot="1">
      <c r="A40" s="501">
        <v>820</v>
      </c>
      <c r="B40" s="502" t="s">
        <v>1394</v>
      </c>
      <c r="C40" s="503">
        <v>2539.67</v>
      </c>
      <c r="D40" s="504" t="s">
        <v>1442</v>
      </c>
      <c r="E40" s="630" t="s">
        <v>1442</v>
      </c>
      <c r="F40" s="504" t="s">
        <v>1442</v>
      </c>
      <c r="G40" s="630" t="s">
        <v>1442</v>
      </c>
      <c r="H40" s="504" t="s">
        <v>1442</v>
      </c>
      <c r="I40" s="503" t="s">
        <v>1442</v>
      </c>
      <c r="J40" s="504" t="s">
        <v>1442</v>
      </c>
      <c r="K40" s="503" t="s">
        <v>1442</v>
      </c>
      <c r="L40" s="504" t="s">
        <v>1442</v>
      </c>
      <c r="M40" s="630" t="s">
        <v>1442</v>
      </c>
      <c r="N40" s="504" t="s">
        <v>1442</v>
      </c>
      <c r="O40" s="630" t="s">
        <v>1442</v>
      </c>
      <c r="P40" s="504" t="s">
        <v>1442</v>
      </c>
      <c r="Q40" s="504" t="s">
        <v>1442</v>
      </c>
      <c r="R40" s="630" t="s">
        <v>1442</v>
      </c>
      <c r="S40" s="504" t="s">
        <v>1442</v>
      </c>
      <c r="T40" s="631" t="s">
        <v>1442</v>
      </c>
      <c r="U40" s="632" t="s">
        <v>1442</v>
      </c>
      <c r="V40" s="631">
        <v>2539.67</v>
      </c>
      <c r="W40" s="504" t="s">
        <v>1442</v>
      </c>
      <c r="X40" s="630" t="s">
        <v>1442</v>
      </c>
      <c r="Y40" s="632" t="s">
        <v>1442</v>
      </c>
      <c r="Z40" s="630" t="s">
        <v>1442</v>
      </c>
      <c r="AA40" s="504" t="s">
        <v>1442</v>
      </c>
      <c r="AB40" s="631" t="s">
        <v>1442</v>
      </c>
      <c r="AC40" s="632" t="s">
        <v>1442</v>
      </c>
      <c r="AD40" s="631" t="s">
        <v>1442</v>
      </c>
      <c r="AE40" s="632" t="s">
        <v>1442</v>
      </c>
    </row>
    <row r="41" spans="1:31" ht="14" thickBot="1">
      <c r="A41" s="501">
        <v>829</v>
      </c>
      <c r="B41" s="502" t="s">
        <v>1395</v>
      </c>
      <c r="C41" s="503">
        <v>14354.92</v>
      </c>
      <c r="D41" s="504">
        <v>5058.92</v>
      </c>
      <c r="E41" s="630">
        <v>203.66</v>
      </c>
      <c r="F41" s="504">
        <v>2626.16</v>
      </c>
      <c r="G41" s="630">
        <v>26.67</v>
      </c>
      <c r="H41" s="504">
        <v>1388.66</v>
      </c>
      <c r="I41" s="503">
        <v>37.92</v>
      </c>
      <c r="J41" s="504">
        <v>51.83</v>
      </c>
      <c r="K41" s="503">
        <v>13</v>
      </c>
      <c r="L41" s="504">
        <v>3612.67</v>
      </c>
      <c r="M41" s="630">
        <v>13.17</v>
      </c>
      <c r="N41" s="504">
        <v>16.580000000000002</v>
      </c>
      <c r="O41" s="630">
        <v>32.83</v>
      </c>
      <c r="P41" s="504">
        <v>33.25</v>
      </c>
      <c r="Q41" s="504" t="s">
        <v>1442</v>
      </c>
      <c r="R41" s="630">
        <v>12.17</v>
      </c>
      <c r="S41" s="504">
        <v>2</v>
      </c>
      <c r="T41" s="631" t="s">
        <v>1442</v>
      </c>
      <c r="U41" s="632">
        <v>88.42</v>
      </c>
      <c r="V41" s="631">
        <v>16.580000000000002</v>
      </c>
      <c r="W41" s="504">
        <v>922.67</v>
      </c>
      <c r="X41" s="630">
        <v>38.83</v>
      </c>
      <c r="Y41" s="632">
        <v>91.75</v>
      </c>
      <c r="Z41" s="630">
        <v>24.5</v>
      </c>
      <c r="AA41" s="504">
        <v>22</v>
      </c>
      <c r="AB41" s="631">
        <v>4.67</v>
      </c>
      <c r="AC41" s="632">
        <v>16</v>
      </c>
      <c r="AD41" s="631" t="s">
        <v>1442</v>
      </c>
      <c r="AE41" s="632" t="s">
        <v>1442</v>
      </c>
    </row>
    <row r="42" spans="1:31" ht="14" thickBot="1">
      <c r="A42" s="501">
        <v>881</v>
      </c>
      <c r="B42" s="502" t="s">
        <v>961</v>
      </c>
      <c r="C42" s="503">
        <v>139463.29999999999</v>
      </c>
      <c r="D42" s="504">
        <v>25897.58</v>
      </c>
      <c r="E42" s="630">
        <v>14333.91</v>
      </c>
      <c r="F42" s="504">
        <v>8201.75</v>
      </c>
      <c r="G42" s="630">
        <v>147.84</v>
      </c>
      <c r="H42" s="504">
        <v>1795.08</v>
      </c>
      <c r="I42" s="503">
        <v>363.67</v>
      </c>
      <c r="J42" s="504">
        <v>805.25</v>
      </c>
      <c r="K42" s="503">
        <v>197.5</v>
      </c>
      <c r="L42" s="504">
        <v>3969.08</v>
      </c>
      <c r="M42" s="630">
        <v>1422.83</v>
      </c>
      <c r="N42" s="504">
        <v>6391.83</v>
      </c>
      <c r="O42" s="630">
        <v>1213.4100000000001</v>
      </c>
      <c r="P42" s="504">
        <v>5823.5</v>
      </c>
      <c r="Q42" s="504" t="s">
        <v>1442</v>
      </c>
      <c r="R42" s="630">
        <v>2469.25</v>
      </c>
      <c r="S42" s="504">
        <v>2733.84</v>
      </c>
      <c r="T42" s="631">
        <v>156.58000000000001</v>
      </c>
      <c r="U42" s="632">
        <v>9182.92</v>
      </c>
      <c r="V42" s="631">
        <v>4336</v>
      </c>
      <c r="W42" s="504">
        <v>23635.25</v>
      </c>
      <c r="X42" s="630">
        <v>5483.58</v>
      </c>
      <c r="Y42" s="632">
        <v>6320.25</v>
      </c>
      <c r="Z42" s="630">
        <v>7671.83</v>
      </c>
      <c r="AA42" s="504">
        <v>1998.25</v>
      </c>
      <c r="AB42" s="631">
        <v>433.83</v>
      </c>
      <c r="AC42" s="632">
        <v>2157.09</v>
      </c>
      <c r="AD42" s="631">
        <v>2321.41</v>
      </c>
      <c r="AE42" s="632" t="s">
        <v>1442</v>
      </c>
    </row>
    <row r="43" spans="1:31" ht="14" thickBot="1">
      <c r="A43" s="501">
        <v>901</v>
      </c>
      <c r="B43" s="502" t="s">
        <v>1396</v>
      </c>
      <c r="C43" s="503">
        <v>2360.67</v>
      </c>
      <c r="D43" s="504" t="s">
        <v>1442</v>
      </c>
      <c r="E43" s="630" t="s">
        <v>1442</v>
      </c>
      <c r="F43" s="504" t="s">
        <v>1442</v>
      </c>
      <c r="G43" s="630" t="s">
        <v>1442</v>
      </c>
      <c r="H43" s="504" t="s">
        <v>1442</v>
      </c>
      <c r="I43" s="503" t="s">
        <v>1442</v>
      </c>
      <c r="J43" s="504" t="s">
        <v>1442</v>
      </c>
      <c r="K43" s="503" t="s">
        <v>1442</v>
      </c>
      <c r="L43" s="504" t="s">
        <v>1442</v>
      </c>
      <c r="M43" s="630" t="s">
        <v>1442</v>
      </c>
      <c r="N43" s="504" t="s">
        <v>1442</v>
      </c>
      <c r="O43" s="630" t="s">
        <v>1442</v>
      </c>
      <c r="P43" s="504" t="s">
        <v>1442</v>
      </c>
      <c r="Q43" s="504" t="s">
        <v>1442</v>
      </c>
      <c r="R43" s="630" t="s">
        <v>1442</v>
      </c>
      <c r="S43" s="504" t="s">
        <v>1442</v>
      </c>
      <c r="T43" s="631" t="s">
        <v>1442</v>
      </c>
      <c r="U43" s="632" t="s">
        <v>1442</v>
      </c>
      <c r="V43" s="631">
        <v>2360.67</v>
      </c>
      <c r="W43" s="504" t="s">
        <v>1442</v>
      </c>
      <c r="X43" s="630" t="s">
        <v>1442</v>
      </c>
      <c r="Y43" s="632" t="s">
        <v>1442</v>
      </c>
      <c r="Z43" s="630" t="s">
        <v>1442</v>
      </c>
      <c r="AA43" s="504" t="s">
        <v>1442</v>
      </c>
      <c r="AB43" s="631" t="s">
        <v>1442</v>
      </c>
      <c r="AC43" s="632" t="s">
        <v>1442</v>
      </c>
      <c r="AD43" s="631" t="s">
        <v>1442</v>
      </c>
      <c r="AE43" s="632" t="s">
        <v>1442</v>
      </c>
    </row>
    <row r="44" spans="1:31" ht="14" thickBot="1">
      <c r="A44" s="501">
        <v>923</v>
      </c>
      <c r="B44" s="502" t="s">
        <v>1397</v>
      </c>
      <c r="C44" s="503">
        <v>19440</v>
      </c>
      <c r="D44" s="504">
        <v>5278</v>
      </c>
      <c r="E44" s="630">
        <v>5773</v>
      </c>
      <c r="F44" s="504">
        <v>105</v>
      </c>
      <c r="G44" s="630">
        <v>25</v>
      </c>
      <c r="H44" s="504">
        <v>93</v>
      </c>
      <c r="I44" s="503">
        <v>30</v>
      </c>
      <c r="J44" s="504">
        <v>36</v>
      </c>
      <c r="K44" s="503">
        <v>75</v>
      </c>
      <c r="L44" s="504">
        <v>104</v>
      </c>
      <c r="M44" s="630">
        <v>567</v>
      </c>
      <c r="N44" s="504">
        <v>535</v>
      </c>
      <c r="O44" s="630">
        <v>281</v>
      </c>
      <c r="P44" s="504">
        <v>1135</v>
      </c>
      <c r="Q44" s="504" t="s">
        <v>1442</v>
      </c>
      <c r="R44" s="630">
        <v>168</v>
      </c>
      <c r="S44" s="504">
        <v>171</v>
      </c>
      <c r="T44" s="631">
        <v>8</v>
      </c>
      <c r="U44" s="632">
        <v>2770</v>
      </c>
      <c r="V44" s="631">
        <v>340</v>
      </c>
      <c r="W44" s="504">
        <v>754</v>
      </c>
      <c r="X44" s="630">
        <v>1188</v>
      </c>
      <c r="Y44" s="632" t="s">
        <v>1442</v>
      </c>
      <c r="Z44" s="630" t="s">
        <v>1442</v>
      </c>
      <c r="AA44" s="504">
        <v>4</v>
      </c>
      <c r="AB44" s="631" t="s">
        <v>1442</v>
      </c>
      <c r="AC44" s="632" t="s">
        <v>1442</v>
      </c>
      <c r="AD44" s="631" t="s">
        <v>1442</v>
      </c>
      <c r="AE44" s="632" t="s">
        <v>1442</v>
      </c>
    </row>
    <row r="45" spans="1:31" ht="14" thickBot="1">
      <c r="A45" s="501">
        <v>941</v>
      </c>
      <c r="B45" s="502" t="s">
        <v>1398</v>
      </c>
      <c r="C45" s="503">
        <v>37021.25</v>
      </c>
      <c r="D45" s="504" t="s">
        <v>1442</v>
      </c>
      <c r="E45" s="630">
        <v>338.28</v>
      </c>
      <c r="F45" s="504" t="s">
        <v>1442</v>
      </c>
      <c r="G45" s="630" t="s">
        <v>1442</v>
      </c>
      <c r="H45" s="504" t="s">
        <v>1442</v>
      </c>
      <c r="I45" s="503" t="s">
        <v>1442</v>
      </c>
      <c r="J45" s="504" t="s">
        <v>1442</v>
      </c>
      <c r="K45" s="503" t="s">
        <v>1442</v>
      </c>
      <c r="L45" s="504" t="s">
        <v>1442</v>
      </c>
      <c r="M45" s="630" t="s">
        <v>1442</v>
      </c>
      <c r="N45" s="504" t="s">
        <v>1442</v>
      </c>
      <c r="O45" s="630" t="s">
        <v>1442</v>
      </c>
      <c r="P45" s="504" t="s">
        <v>1442</v>
      </c>
      <c r="Q45" s="504" t="s">
        <v>1442</v>
      </c>
      <c r="R45" s="630" t="s">
        <v>1442</v>
      </c>
      <c r="S45" s="504" t="s">
        <v>1442</v>
      </c>
      <c r="T45" s="631" t="s">
        <v>1442</v>
      </c>
      <c r="U45" s="632" t="s">
        <v>1442</v>
      </c>
      <c r="V45" s="631" t="s">
        <v>1442</v>
      </c>
      <c r="W45" s="504" t="s">
        <v>1442</v>
      </c>
      <c r="X45" s="630" t="s">
        <v>1442</v>
      </c>
      <c r="Y45" s="632" t="s">
        <v>1442</v>
      </c>
      <c r="Z45" s="630" t="s">
        <v>1442</v>
      </c>
      <c r="AA45" s="504">
        <v>36683.340000000004</v>
      </c>
      <c r="AB45" s="631" t="s">
        <v>1442</v>
      </c>
      <c r="AC45" s="632" t="s">
        <v>1442</v>
      </c>
      <c r="AD45" s="631" t="s">
        <v>1442</v>
      </c>
      <c r="AE45" s="632" t="s">
        <v>1442</v>
      </c>
    </row>
    <row r="46" spans="1:31" ht="14" thickBot="1">
      <c r="A46" s="501">
        <v>966</v>
      </c>
      <c r="B46" s="502" t="s">
        <v>1399</v>
      </c>
      <c r="C46" s="503">
        <v>6881</v>
      </c>
      <c r="D46" s="504">
        <v>76</v>
      </c>
      <c r="E46" s="630">
        <v>15</v>
      </c>
      <c r="F46" s="504">
        <v>26</v>
      </c>
      <c r="G46" s="630">
        <v>1</v>
      </c>
      <c r="H46" s="504">
        <v>9</v>
      </c>
      <c r="I46" s="503" t="s">
        <v>1442</v>
      </c>
      <c r="J46" s="504" t="s">
        <v>1442</v>
      </c>
      <c r="K46" s="503">
        <v>7</v>
      </c>
      <c r="L46" s="504">
        <v>9</v>
      </c>
      <c r="M46" s="630">
        <v>2</v>
      </c>
      <c r="N46" s="504">
        <v>8</v>
      </c>
      <c r="O46" s="630">
        <v>5</v>
      </c>
      <c r="P46" s="504">
        <v>7</v>
      </c>
      <c r="Q46" s="504" t="s">
        <v>1442</v>
      </c>
      <c r="R46" s="630">
        <v>3</v>
      </c>
      <c r="S46" s="504">
        <v>11</v>
      </c>
      <c r="T46" s="631">
        <v>2</v>
      </c>
      <c r="U46" s="632">
        <v>93</v>
      </c>
      <c r="V46" s="631">
        <v>6553</v>
      </c>
      <c r="W46" s="504">
        <v>25</v>
      </c>
      <c r="X46" s="630">
        <v>19</v>
      </c>
      <c r="Y46" s="632">
        <v>5</v>
      </c>
      <c r="Z46" s="630">
        <v>3</v>
      </c>
      <c r="AA46" s="504">
        <v>1</v>
      </c>
      <c r="AB46" s="631" t="s">
        <v>1442</v>
      </c>
      <c r="AC46" s="632" t="s">
        <v>1442</v>
      </c>
      <c r="AD46" s="631">
        <v>1</v>
      </c>
      <c r="AE46" s="632" t="s">
        <v>1442</v>
      </c>
    </row>
    <row r="47" spans="1:31" ht="14" thickBot="1">
      <c r="A47" s="501">
        <v>994</v>
      </c>
      <c r="B47" s="502" t="s">
        <v>1400</v>
      </c>
      <c r="C47" s="503">
        <v>177130.67</v>
      </c>
      <c r="D47" s="504">
        <v>33023.75</v>
      </c>
      <c r="E47" s="630">
        <v>33535.919999999998</v>
      </c>
      <c r="F47" s="504">
        <v>9019.17</v>
      </c>
      <c r="G47" s="630">
        <v>7368.08</v>
      </c>
      <c r="H47" s="504">
        <v>982.33</v>
      </c>
      <c r="I47" s="503">
        <v>2432.67</v>
      </c>
      <c r="J47" s="504">
        <v>1706.25</v>
      </c>
      <c r="K47" s="503">
        <v>3231.92</v>
      </c>
      <c r="L47" s="504">
        <v>2359.33</v>
      </c>
      <c r="M47" s="630">
        <v>2409.92</v>
      </c>
      <c r="N47" s="504">
        <v>1292.58</v>
      </c>
      <c r="O47" s="630">
        <v>1505.5</v>
      </c>
      <c r="P47" s="504">
        <v>3267</v>
      </c>
      <c r="Q47" s="504" t="s">
        <v>1442</v>
      </c>
      <c r="R47" s="630">
        <v>4394.83</v>
      </c>
      <c r="S47" s="504">
        <v>445.75</v>
      </c>
      <c r="T47" s="631">
        <v>273.92</v>
      </c>
      <c r="U47" s="632">
        <v>9104.58</v>
      </c>
      <c r="V47" s="631">
        <v>6070.33</v>
      </c>
      <c r="W47" s="504">
        <v>25839.5</v>
      </c>
      <c r="X47" s="630">
        <v>6279.25</v>
      </c>
      <c r="Y47" s="632">
        <v>3581.58</v>
      </c>
      <c r="Z47" s="630">
        <v>5568.83</v>
      </c>
      <c r="AA47" s="504">
        <v>6061.08</v>
      </c>
      <c r="AB47" s="631">
        <v>3253.75</v>
      </c>
      <c r="AC47" s="632">
        <v>3888.5</v>
      </c>
      <c r="AD47" s="631">
        <v>234.33</v>
      </c>
      <c r="AE47" s="632" t="s">
        <v>1442</v>
      </c>
    </row>
    <row r="48" spans="1:31" ht="14" thickBot="1">
      <c r="A48" s="501">
        <v>1003</v>
      </c>
      <c r="B48" s="502" t="s">
        <v>1401</v>
      </c>
      <c r="C48" s="503">
        <v>169.75</v>
      </c>
      <c r="D48" s="504" t="s">
        <v>1442</v>
      </c>
      <c r="E48" s="630" t="s">
        <v>1442</v>
      </c>
      <c r="F48" s="504" t="s">
        <v>1442</v>
      </c>
      <c r="G48" s="630" t="s">
        <v>1442</v>
      </c>
      <c r="H48" s="504" t="s">
        <v>1442</v>
      </c>
      <c r="I48" s="503" t="s">
        <v>1442</v>
      </c>
      <c r="J48" s="504" t="s">
        <v>1442</v>
      </c>
      <c r="K48" s="503" t="s">
        <v>1442</v>
      </c>
      <c r="L48" s="504" t="s">
        <v>1442</v>
      </c>
      <c r="M48" s="630" t="s">
        <v>1442</v>
      </c>
      <c r="N48" s="504" t="s">
        <v>1442</v>
      </c>
      <c r="O48" s="630" t="s">
        <v>1442</v>
      </c>
      <c r="P48" s="504" t="s">
        <v>1442</v>
      </c>
      <c r="Q48" s="504" t="s">
        <v>1442</v>
      </c>
      <c r="R48" s="630" t="s">
        <v>1442</v>
      </c>
      <c r="S48" s="504" t="s">
        <v>1442</v>
      </c>
      <c r="T48" s="631" t="s">
        <v>1442</v>
      </c>
      <c r="U48" s="632" t="s">
        <v>1442</v>
      </c>
      <c r="V48" s="631" t="s">
        <v>1442</v>
      </c>
      <c r="W48" s="504" t="s">
        <v>1442</v>
      </c>
      <c r="X48" s="630" t="s">
        <v>1442</v>
      </c>
      <c r="Y48" s="632" t="s">
        <v>1442</v>
      </c>
      <c r="Z48" s="630" t="s">
        <v>1442</v>
      </c>
      <c r="AA48" s="504">
        <v>169.75</v>
      </c>
      <c r="AB48" s="631" t="s">
        <v>1442</v>
      </c>
      <c r="AC48" s="632" t="s">
        <v>1442</v>
      </c>
      <c r="AD48" s="631" t="s">
        <v>1442</v>
      </c>
      <c r="AE48" s="632" t="s">
        <v>1442</v>
      </c>
    </row>
    <row r="49" spans="1:31" ht="14" thickBot="1">
      <c r="A49" s="501">
        <v>1040</v>
      </c>
      <c r="B49" s="502" t="s">
        <v>1402</v>
      </c>
      <c r="C49" s="503">
        <v>3882.42</v>
      </c>
      <c r="D49" s="504" t="s">
        <v>1442</v>
      </c>
      <c r="E49" s="630" t="s">
        <v>1442</v>
      </c>
      <c r="F49" s="504" t="s">
        <v>1442</v>
      </c>
      <c r="G49" s="630" t="s">
        <v>1442</v>
      </c>
      <c r="H49" s="504" t="s">
        <v>1442</v>
      </c>
      <c r="I49" s="503" t="s">
        <v>1442</v>
      </c>
      <c r="J49" s="504" t="s">
        <v>1442</v>
      </c>
      <c r="K49" s="503" t="s">
        <v>1442</v>
      </c>
      <c r="L49" s="504" t="s">
        <v>1442</v>
      </c>
      <c r="M49" s="630" t="s">
        <v>1442</v>
      </c>
      <c r="N49" s="504" t="s">
        <v>1442</v>
      </c>
      <c r="O49" s="630" t="s">
        <v>1442</v>
      </c>
      <c r="P49" s="504" t="s">
        <v>1442</v>
      </c>
      <c r="Q49" s="504" t="s">
        <v>1442</v>
      </c>
      <c r="R49" s="630" t="s">
        <v>1442</v>
      </c>
      <c r="S49" s="504" t="s">
        <v>1442</v>
      </c>
      <c r="T49" s="631" t="s">
        <v>1442</v>
      </c>
      <c r="U49" s="632" t="s">
        <v>1442</v>
      </c>
      <c r="V49" s="631" t="s">
        <v>1442</v>
      </c>
      <c r="W49" s="504" t="s">
        <v>1442</v>
      </c>
      <c r="X49" s="630" t="s">
        <v>1442</v>
      </c>
      <c r="Y49" s="632" t="s">
        <v>1442</v>
      </c>
      <c r="Z49" s="630" t="s">
        <v>1442</v>
      </c>
      <c r="AA49" s="504">
        <v>3882.42</v>
      </c>
      <c r="AB49" s="631" t="s">
        <v>1442</v>
      </c>
      <c r="AC49" s="632" t="s">
        <v>1442</v>
      </c>
      <c r="AD49" s="631" t="s">
        <v>1442</v>
      </c>
      <c r="AE49" s="632" t="s">
        <v>1442</v>
      </c>
    </row>
    <row r="50" spans="1:31" ht="14" thickBot="1">
      <c r="A50" s="501">
        <v>1060</v>
      </c>
      <c r="B50" s="502" t="s">
        <v>1403</v>
      </c>
      <c r="C50" s="503">
        <v>229211.83</v>
      </c>
      <c r="D50" s="504">
        <v>103858.25</v>
      </c>
      <c r="E50" s="630">
        <v>13359.25</v>
      </c>
      <c r="F50" s="504">
        <v>3174.58</v>
      </c>
      <c r="G50" s="630">
        <v>180.08</v>
      </c>
      <c r="H50" s="504">
        <v>1004.58</v>
      </c>
      <c r="I50" s="503">
        <v>288.42</v>
      </c>
      <c r="J50" s="504">
        <v>2154.83</v>
      </c>
      <c r="K50" s="503">
        <v>347</v>
      </c>
      <c r="L50" s="504">
        <v>1732.08</v>
      </c>
      <c r="M50" s="630">
        <v>822.58</v>
      </c>
      <c r="N50" s="504">
        <v>4346.5</v>
      </c>
      <c r="O50" s="630">
        <v>1362.33</v>
      </c>
      <c r="P50" s="504">
        <v>16696.25</v>
      </c>
      <c r="Q50" s="504" t="s">
        <v>1442</v>
      </c>
      <c r="R50" s="630">
        <v>6310.75</v>
      </c>
      <c r="S50" s="504">
        <v>1928.17</v>
      </c>
      <c r="T50" s="631">
        <v>1066.75</v>
      </c>
      <c r="U50" s="632">
        <v>8544.42</v>
      </c>
      <c r="V50" s="631">
        <v>2549.42</v>
      </c>
      <c r="W50" s="504">
        <v>23059.58</v>
      </c>
      <c r="X50" s="630">
        <v>8781.08</v>
      </c>
      <c r="Y50" s="632">
        <v>12855.5</v>
      </c>
      <c r="Z50" s="630">
        <v>2619</v>
      </c>
      <c r="AA50" s="504">
        <v>1780.67</v>
      </c>
      <c r="AB50" s="631">
        <v>9334.58</v>
      </c>
      <c r="AC50" s="632">
        <v>713.83</v>
      </c>
      <c r="AD50" s="631">
        <v>259</v>
      </c>
      <c r="AE50" s="632">
        <v>82.33</v>
      </c>
    </row>
    <row r="51" spans="1:31" ht="14" thickBot="1">
      <c r="A51" s="501">
        <v>1097</v>
      </c>
      <c r="B51" s="502" t="s">
        <v>1404</v>
      </c>
      <c r="C51" s="503">
        <v>13090.83</v>
      </c>
      <c r="D51" s="504">
        <v>975.58</v>
      </c>
      <c r="E51" s="630">
        <v>134.33000000000001</v>
      </c>
      <c r="F51" s="504">
        <v>27.25</v>
      </c>
      <c r="G51" s="630" t="s">
        <v>1442</v>
      </c>
      <c r="H51" s="504">
        <v>27.17</v>
      </c>
      <c r="I51" s="503">
        <v>2.75</v>
      </c>
      <c r="J51" s="504">
        <v>1.92</v>
      </c>
      <c r="K51" s="503">
        <v>276.58</v>
      </c>
      <c r="L51" s="504">
        <v>28.08</v>
      </c>
      <c r="M51" s="630">
        <v>4023.17</v>
      </c>
      <c r="N51" s="504">
        <v>81.75</v>
      </c>
      <c r="O51" s="630">
        <v>19</v>
      </c>
      <c r="P51" s="504">
        <v>51.25</v>
      </c>
      <c r="Q51" s="504" t="s">
        <v>1442</v>
      </c>
      <c r="R51" s="630">
        <v>4.25</v>
      </c>
      <c r="S51" s="504">
        <v>13.58</v>
      </c>
      <c r="T51" s="631">
        <v>2</v>
      </c>
      <c r="U51" s="632">
        <v>869.33</v>
      </c>
      <c r="V51" s="631">
        <v>7</v>
      </c>
      <c r="W51" s="504">
        <v>4954.25</v>
      </c>
      <c r="X51" s="630">
        <v>31.25</v>
      </c>
      <c r="Y51" s="632">
        <v>10.42</v>
      </c>
      <c r="Z51" s="630">
        <v>128.58000000000001</v>
      </c>
      <c r="AA51" s="504">
        <v>1361.5</v>
      </c>
      <c r="AB51" s="631">
        <v>11.42</v>
      </c>
      <c r="AC51" s="632">
        <v>41.42</v>
      </c>
      <c r="AD51" s="631">
        <v>7</v>
      </c>
      <c r="AE51" s="632" t="s">
        <v>1442</v>
      </c>
    </row>
    <row r="52" spans="1:31" ht="14" thickBot="1">
      <c r="A52" s="501">
        <v>1113</v>
      </c>
      <c r="B52" s="502" t="s">
        <v>1405</v>
      </c>
      <c r="C52" s="503">
        <v>7271.09</v>
      </c>
      <c r="D52" s="504" t="s">
        <v>1442</v>
      </c>
      <c r="E52" s="630" t="s">
        <v>1442</v>
      </c>
      <c r="F52" s="504" t="s">
        <v>1442</v>
      </c>
      <c r="G52" s="630" t="s">
        <v>1442</v>
      </c>
      <c r="H52" s="504" t="s">
        <v>1442</v>
      </c>
      <c r="I52" s="503" t="s">
        <v>1442</v>
      </c>
      <c r="J52" s="504" t="s">
        <v>1442</v>
      </c>
      <c r="K52" s="503" t="s">
        <v>1442</v>
      </c>
      <c r="L52" s="504" t="s">
        <v>1442</v>
      </c>
      <c r="M52" s="630" t="s">
        <v>1442</v>
      </c>
      <c r="N52" s="504" t="s">
        <v>1442</v>
      </c>
      <c r="O52" s="630" t="s">
        <v>1442</v>
      </c>
      <c r="P52" s="504" t="s">
        <v>1442</v>
      </c>
      <c r="Q52" s="504" t="s">
        <v>1442</v>
      </c>
      <c r="R52" s="630" t="s">
        <v>1442</v>
      </c>
      <c r="S52" s="504" t="s">
        <v>1442</v>
      </c>
      <c r="T52" s="631" t="s">
        <v>1442</v>
      </c>
      <c r="U52" s="632" t="s">
        <v>1442</v>
      </c>
      <c r="V52" s="631" t="s">
        <v>1442</v>
      </c>
      <c r="W52" s="504" t="s">
        <v>1442</v>
      </c>
      <c r="X52" s="630" t="s">
        <v>1442</v>
      </c>
      <c r="Y52" s="632" t="s">
        <v>1442</v>
      </c>
      <c r="Z52" s="630" t="s">
        <v>1442</v>
      </c>
      <c r="AA52" s="504">
        <v>7271.09</v>
      </c>
      <c r="AB52" s="631" t="s">
        <v>1442</v>
      </c>
      <c r="AC52" s="632" t="s">
        <v>1442</v>
      </c>
      <c r="AD52" s="631" t="s">
        <v>1442</v>
      </c>
      <c r="AE52" s="632" t="s">
        <v>1442</v>
      </c>
    </row>
    <row r="53" spans="1:31" ht="14" thickBot="1">
      <c r="A53" s="501">
        <v>1142</v>
      </c>
      <c r="B53" s="502" t="s">
        <v>1406</v>
      </c>
      <c r="C53" s="503">
        <v>870.67</v>
      </c>
      <c r="D53" s="504">
        <v>19.170000000000002</v>
      </c>
      <c r="E53" s="630">
        <v>16</v>
      </c>
      <c r="F53" s="504">
        <v>59.17</v>
      </c>
      <c r="G53" s="630">
        <v>2</v>
      </c>
      <c r="H53" s="504">
        <v>429</v>
      </c>
      <c r="I53" s="503" t="s">
        <v>1442</v>
      </c>
      <c r="J53" s="504">
        <v>0.25</v>
      </c>
      <c r="K53" s="503" t="s">
        <v>1442</v>
      </c>
      <c r="L53" s="504">
        <v>7.08</v>
      </c>
      <c r="M53" s="630">
        <v>87.5</v>
      </c>
      <c r="N53" s="504">
        <v>61.75</v>
      </c>
      <c r="O53" s="630">
        <v>11.5</v>
      </c>
      <c r="P53" s="504">
        <v>3.92</v>
      </c>
      <c r="Q53" s="504" t="s">
        <v>1442</v>
      </c>
      <c r="R53" s="630" t="s">
        <v>1442</v>
      </c>
      <c r="S53" s="504">
        <v>1</v>
      </c>
      <c r="T53" s="633">
        <v>9.58</v>
      </c>
      <c r="U53" s="634">
        <v>47.42</v>
      </c>
      <c r="V53" s="633">
        <v>5</v>
      </c>
      <c r="W53" s="504">
        <v>15</v>
      </c>
      <c r="X53" s="630">
        <v>1</v>
      </c>
      <c r="Y53" s="634">
        <v>54.25</v>
      </c>
      <c r="Z53" s="630">
        <v>0.57999999999999996</v>
      </c>
      <c r="AA53" s="504">
        <v>33.5</v>
      </c>
      <c r="AB53" s="633" t="s">
        <v>1442</v>
      </c>
      <c r="AC53" s="634" t="s">
        <v>1442</v>
      </c>
      <c r="AD53" s="633">
        <v>6</v>
      </c>
      <c r="AE53" s="634" t="s">
        <v>1442</v>
      </c>
    </row>
    <row r="54" spans="1:31" ht="14" thickBot="1">
      <c r="A54" s="501">
        <v>1147</v>
      </c>
      <c r="B54" s="502" t="s">
        <v>1407</v>
      </c>
      <c r="C54" s="503">
        <v>379</v>
      </c>
      <c r="D54" s="504">
        <v>379</v>
      </c>
      <c r="E54" s="630" t="s">
        <v>1442</v>
      </c>
      <c r="F54" s="504" t="s">
        <v>1442</v>
      </c>
      <c r="G54" s="630" t="s">
        <v>1442</v>
      </c>
      <c r="H54" s="504" t="s">
        <v>1442</v>
      </c>
      <c r="I54" s="503" t="s">
        <v>1442</v>
      </c>
      <c r="J54" s="504" t="s">
        <v>1442</v>
      </c>
      <c r="K54" s="503" t="s">
        <v>1442</v>
      </c>
      <c r="L54" s="504" t="s">
        <v>1442</v>
      </c>
      <c r="M54" s="630" t="s">
        <v>1442</v>
      </c>
      <c r="N54" s="504" t="s">
        <v>1442</v>
      </c>
      <c r="O54" s="630" t="s">
        <v>1442</v>
      </c>
      <c r="P54" s="504" t="s">
        <v>1442</v>
      </c>
      <c r="Q54" s="504" t="s">
        <v>1442</v>
      </c>
      <c r="R54" s="630" t="s">
        <v>1442</v>
      </c>
      <c r="S54" s="504" t="s">
        <v>1442</v>
      </c>
      <c r="T54" s="631" t="s">
        <v>1442</v>
      </c>
      <c r="U54" s="632" t="s">
        <v>1442</v>
      </c>
      <c r="V54" s="631" t="s">
        <v>1442</v>
      </c>
      <c r="W54" s="504" t="s">
        <v>1442</v>
      </c>
      <c r="X54" s="630" t="s">
        <v>1442</v>
      </c>
      <c r="Y54" s="632" t="s">
        <v>1442</v>
      </c>
      <c r="Z54" s="630" t="s">
        <v>1442</v>
      </c>
      <c r="AA54" s="504" t="s">
        <v>1442</v>
      </c>
      <c r="AB54" s="631" t="s">
        <v>1442</v>
      </c>
      <c r="AC54" s="632" t="s">
        <v>1442</v>
      </c>
      <c r="AD54" s="631" t="s">
        <v>1442</v>
      </c>
      <c r="AE54" s="632" t="s">
        <v>1442</v>
      </c>
    </row>
    <row r="55" spans="1:31" ht="14" thickBot="1">
      <c r="A55" s="501">
        <v>1159</v>
      </c>
      <c r="B55" s="502" t="s">
        <v>1408</v>
      </c>
      <c r="C55" s="503">
        <v>16105</v>
      </c>
      <c r="D55" s="504">
        <v>34.54</v>
      </c>
      <c r="E55" s="630">
        <v>598.49</v>
      </c>
      <c r="F55" s="504">
        <v>27.18</v>
      </c>
      <c r="G55" s="630" t="s">
        <v>1442</v>
      </c>
      <c r="H55" s="504">
        <v>71.83</v>
      </c>
      <c r="I55" s="503">
        <v>2</v>
      </c>
      <c r="J55" s="504">
        <v>1</v>
      </c>
      <c r="K55" s="503" t="s">
        <v>1442</v>
      </c>
      <c r="L55" s="504">
        <v>6.58</v>
      </c>
      <c r="M55" s="630">
        <v>625.96</v>
      </c>
      <c r="N55" s="504">
        <v>11.84</v>
      </c>
      <c r="O55" s="630">
        <v>6.85</v>
      </c>
      <c r="P55" s="504">
        <v>460.49</v>
      </c>
      <c r="Q55" s="504" t="s">
        <v>1442</v>
      </c>
      <c r="R55" s="630">
        <v>0.5</v>
      </c>
      <c r="S55" s="504">
        <v>214.22</v>
      </c>
      <c r="T55" s="631" t="s">
        <v>1442</v>
      </c>
      <c r="U55" s="632">
        <v>168.77</v>
      </c>
      <c r="V55" s="631">
        <v>14.88</v>
      </c>
      <c r="W55" s="504">
        <v>1518.55</v>
      </c>
      <c r="X55" s="630">
        <v>2.5</v>
      </c>
      <c r="Y55" s="632">
        <v>3.83</v>
      </c>
      <c r="Z55" s="630">
        <v>4135.9400000000005</v>
      </c>
      <c r="AA55" s="504">
        <v>4463.09</v>
      </c>
      <c r="AB55" s="631">
        <v>113.03</v>
      </c>
      <c r="AC55" s="632">
        <v>3588.85</v>
      </c>
      <c r="AD55" s="631">
        <v>34.08</v>
      </c>
      <c r="AE55" s="632" t="s">
        <v>1442</v>
      </c>
    </row>
    <row r="56" spans="1:31" ht="14" thickBot="1">
      <c r="A56" s="501">
        <v>1215</v>
      </c>
      <c r="B56" s="502" t="s">
        <v>1409</v>
      </c>
      <c r="C56" s="503">
        <v>11543.34</v>
      </c>
      <c r="D56" s="504">
        <v>16</v>
      </c>
      <c r="E56" s="630">
        <v>31.67</v>
      </c>
      <c r="F56" s="504">
        <v>4.5</v>
      </c>
      <c r="G56" s="630">
        <v>4</v>
      </c>
      <c r="H56" s="504" t="s">
        <v>1442</v>
      </c>
      <c r="I56" s="503" t="s">
        <v>1442</v>
      </c>
      <c r="J56" s="504" t="s">
        <v>1442</v>
      </c>
      <c r="K56" s="503">
        <v>0.42</v>
      </c>
      <c r="L56" s="504">
        <v>0.67</v>
      </c>
      <c r="M56" s="630">
        <v>272.83</v>
      </c>
      <c r="N56" s="504">
        <v>7.5</v>
      </c>
      <c r="O56" s="630">
        <v>3</v>
      </c>
      <c r="P56" s="504" t="s">
        <v>1442</v>
      </c>
      <c r="Q56" s="504" t="s">
        <v>1442</v>
      </c>
      <c r="R56" s="630" t="s">
        <v>1442</v>
      </c>
      <c r="S56" s="504">
        <v>1</v>
      </c>
      <c r="T56" s="631" t="s">
        <v>1442</v>
      </c>
      <c r="U56" s="632">
        <v>1</v>
      </c>
      <c r="V56" s="631" t="s">
        <v>1442</v>
      </c>
      <c r="W56" s="504">
        <v>4.67</v>
      </c>
      <c r="X56" s="630" t="s">
        <v>1442</v>
      </c>
      <c r="Y56" s="632">
        <v>3</v>
      </c>
      <c r="Z56" s="630">
        <v>4612</v>
      </c>
      <c r="AA56" s="504">
        <v>6531.5</v>
      </c>
      <c r="AB56" s="631">
        <v>16.920000000000002</v>
      </c>
      <c r="AC56" s="632">
        <v>29.58</v>
      </c>
      <c r="AD56" s="631">
        <v>3.08</v>
      </c>
      <c r="AE56" s="632" t="s">
        <v>1442</v>
      </c>
    </row>
    <row r="57" spans="1:31" ht="14" thickBot="1">
      <c r="A57" s="501">
        <v>1318</v>
      </c>
      <c r="B57" s="502" t="s">
        <v>1410</v>
      </c>
      <c r="C57" s="503">
        <v>4845.75</v>
      </c>
      <c r="D57" s="504">
        <v>4612</v>
      </c>
      <c r="E57" s="630" t="s">
        <v>1442</v>
      </c>
      <c r="F57" s="504" t="s">
        <v>1442</v>
      </c>
      <c r="G57" s="630" t="s">
        <v>1442</v>
      </c>
      <c r="H57" s="504">
        <v>148</v>
      </c>
      <c r="I57" s="503" t="s">
        <v>1442</v>
      </c>
      <c r="J57" s="504" t="s">
        <v>1442</v>
      </c>
      <c r="K57" s="503" t="s">
        <v>1442</v>
      </c>
      <c r="L57" s="504">
        <v>8.92</v>
      </c>
      <c r="M57" s="630" t="s">
        <v>1442</v>
      </c>
      <c r="N57" s="504" t="s">
        <v>1442</v>
      </c>
      <c r="O57" s="630" t="s">
        <v>1442</v>
      </c>
      <c r="P57" s="504" t="s">
        <v>1442</v>
      </c>
      <c r="Q57" s="504" t="s">
        <v>1442</v>
      </c>
      <c r="R57" s="630" t="s">
        <v>1442</v>
      </c>
      <c r="S57" s="504" t="s">
        <v>1442</v>
      </c>
      <c r="T57" s="631" t="s">
        <v>1442</v>
      </c>
      <c r="U57" s="632" t="s">
        <v>1442</v>
      </c>
      <c r="V57" s="631" t="s">
        <v>1442</v>
      </c>
      <c r="W57" s="504">
        <v>76.83</v>
      </c>
      <c r="X57" s="630" t="s">
        <v>1442</v>
      </c>
      <c r="Y57" s="632" t="s">
        <v>1442</v>
      </c>
      <c r="Z57" s="630" t="s">
        <v>1442</v>
      </c>
      <c r="AA57" s="504" t="s">
        <v>1442</v>
      </c>
      <c r="AB57" s="631" t="s">
        <v>1442</v>
      </c>
      <c r="AC57" s="632" t="s">
        <v>1442</v>
      </c>
      <c r="AD57" s="631" t="s">
        <v>1442</v>
      </c>
      <c r="AE57" s="632" t="s">
        <v>1442</v>
      </c>
    </row>
    <row r="58" spans="1:31" ht="14" thickBot="1">
      <c r="A58" s="501">
        <v>1322</v>
      </c>
      <c r="B58" s="502" t="s">
        <v>1411</v>
      </c>
      <c r="C58" s="503">
        <v>8312.24</v>
      </c>
      <c r="D58" s="504">
        <v>3.66</v>
      </c>
      <c r="E58" s="630">
        <v>4.08</v>
      </c>
      <c r="F58" s="504">
        <v>0.91</v>
      </c>
      <c r="G58" s="630" t="s">
        <v>1442</v>
      </c>
      <c r="H58" s="504" t="s">
        <v>1442</v>
      </c>
      <c r="I58" s="503" t="s">
        <v>1442</v>
      </c>
      <c r="J58" s="504" t="s">
        <v>1442</v>
      </c>
      <c r="K58" s="503" t="s">
        <v>1442</v>
      </c>
      <c r="L58" s="504" t="s">
        <v>1442</v>
      </c>
      <c r="M58" s="630">
        <v>0.08</v>
      </c>
      <c r="N58" s="504">
        <v>0.75</v>
      </c>
      <c r="O58" s="630">
        <v>0.57999999999999996</v>
      </c>
      <c r="P58" s="504">
        <v>0.08</v>
      </c>
      <c r="Q58" s="504" t="s">
        <v>1442</v>
      </c>
      <c r="R58" s="630" t="s">
        <v>1442</v>
      </c>
      <c r="S58" s="504" t="s">
        <v>1442</v>
      </c>
      <c r="T58" s="631" t="s">
        <v>1442</v>
      </c>
      <c r="U58" s="632">
        <v>0.25</v>
      </c>
      <c r="V58" s="631">
        <v>0.25</v>
      </c>
      <c r="W58" s="504">
        <v>8300.76</v>
      </c>
      <c r="X58" s="630">
        <v>0.5</v>
      </c>
      <c r="Y58" s="632">
        <v>0.17</v>
      </c>
      <c r="Z58" s="630">
        <v>0.17</v>
      </c>
      <c r="AA58" s="504" t="s">
        <v>1442</v>
      </c>
      <c r="AB58" s="631" t="s">
        <v>1442</v>
      </c>
      <c r="AC58" s="632" t="s">
        <v>1442</v>
      </c>
      <c r="AD58" s="631" t="s">
        <v>1442</v>
      </c>
      <c r="AE58" s="632" t="s">
        <v>1442</v>
      </c>
    </row>
    <row r="59" spans="1:31" ht="14" thickBot="1">
      <c r="A59" s="501">
        <v>1328</v>
      </c>
      <c r="B59" s="502" t="s">
        <v>1412</v>
      </c>
      <c r="C59" s="503">
        <v>6879.03</v>
      </c>
      <c r="D59" s="504">
        <v>5936.54</v>
      </c>
      <c r="E59" s="630">
        <v>65.83</v>
      </c>
      <c r="F59" s="504">
        <v>21.37</v>
      </c>
      <c r="G59" s="630">
        <v>6</v>
      </c>
      <c r="H59" s="504">
        <v>22.56</v>
      </c>
      <c r="I59" s="503">
        <v>5</v>
      </c>
      <c r="J59" s="504">
        <v>11.59</v>
      </c>
      <c r="K59" s="503">
        <v>3.75</v>
      </c>
      <c r="L59" s="504">
        <v>19.66</v>
      </c>
      <c r="M59" s="630" t="s">
        <v>1442</v>
      </c>
      <c r="N59" s="504">
        <v>22.35</v>
      </c>
      <c r="O59" s="630">
        <v>15</v>
      </c>
      <c r="P59" s="504">
        <v>40.75</v>
      </c>
      <c r="Q59" s="504" t="s">
        <v>1442</v>
      </c>
      <c r="R59" s="630">
        <v>43.75</v>
      </c>
      <c r="S59" s="504">
        <v>9.75</v>
      </c>
      <c r="T59" s="631">
        <v>1</v>
      </c>
      <c r="U59" s="632">
        <v>94.82</v>
      </c>
      <c r="V59" s="631">
        <v>27.83</v>
      </c>
      <c r="W59" s="504">
        <v>96.1</v>
      </c>
      <c r="X59" s="630">
        <v>435.38</v>
      </c>
      <c r="Y59" s="632" t="s">
        <v>1442</v>
      </c>
      <c r="Z59" s="630" t="s">
        <v>1442</v>
      </c>
      <c r="AA59" s="504" t="s">
        <v>1442</v>
      </c>
      <c r="AB59" s="631" t="s">
        <v>1442</v>
      </c>
      <c r="AC59" s="632" t="s">
        <v>1442</v>
      </c>
      <c r="AD59" s="631" t="s">
        <v>1442</v>
      </c>
      <c r="AE59" s="632" t="s">
        <v>1442</v>
      </c>
    </row>
    <row r="60" spans="1:31" ht="14" thickBot="1">
      <c r="A60" s="501">
        <v>1331</v>
      </c>
      <c r="B60" s="502" t="s">
        <v>1413</v>
      </c>
      <c r="C60" s="503">
        <v>1464.51</v>
      </c>
      <c r="D60" s="504" t="s">
        <v>1442</v>
      </c>
      <c r="E60" s="630" t="s">
        <v>1442</v>
      </c>
      <c r="F60" s="504" t="s">
        <v>1442</v>
      </c>
      <c r="G60" s="630" t="s">
        <v>1442</v>
      </c>
      <c r="H60" s="504" t="s">
        <v>1442</v>
      </c>
      <c r="I60" s="503" t="s">
        <v>1442</v>
      </c>
      <c r="J60" s="504" t="s">
        <v>1442</v>
      </c>
      <c r="K60" s="503">
        <v>4</v>
      </c>
      <c r="L60" s="504" t="s">
        <v>1442</v>
      </c>
      <c r="M60" s="630" t="s">
        <v>1442</v>
      </c>
      <c r="N60" s="504" t="s">
        <v>1442</v>
      </c>
      <c r="O60" s="630" t="s">
        <v>1442</v>
      </c>
      <c r="P60" s="504" t="s">
        <v>1442</v>
      </c>
      <c r="Q60" s="504" t="s">
        <v>1442</v>
      </c>
      <c r="R60" s="630" t="s">
        <v>1442</v>
      </c>
      <c r="S60" s="504" t="s">
        <v>1442</v>
      </c>
      <c r="T60" s="631" t="s">
        <v>1442</v>
      </c>
      <c r="U60" s="632">
        <v>1451.74</v>
      </c>
      <c r="V60" s="631">
        <v>8.75</v>
      </c>
      <c r="W60" s="504" t="s">
        <v>1442</v>
      </c>
      <c r="X60" s="630" t="s">
        <v>1442</v>
      </c>
      <c r="Y60" s="632" t="s">
        <v>1442</v>
      </c>
      <c r="Z60" s="630" t="s">
        <v>1442</v>
      </c>
      <c r="AA60" s="504" t="s">
        <v>1442</v>
      </c>
      <c r="AB60" s="631" t="s">
        <v>1442</v>
      </c>
      <c r="AC60" s="632" t="s">
        <v>1442</v>
      </c>
      <c r="AD60" s="631" t="s">
        <v>1442</v>
      </c>
      <c r="AE60" s="632" t="s">
        <v>1442</v>
      </c>
    </row>
    <row r="61" spans="1:31" ht="14" thickBot="1">
      <c r="A61" s="501">
        <v>1362</v>
      </c>
      <c r="B61" s="502" t="s">
        <v>967</v>
      </c>
      <c r="C61" s="503">
        <v>846.09</v>
      </c>
      <c r="D61" s="504" t="s">
        <v>1442</v>
      </c>
      <c r="E61" s="630" t="s">
        <v>1442</v>
      </c>
      <c r="F61" s="504" t="s">
        <v>1442</v>
      </c>
      <c r="G61" s="630" t="s">
        <v>1442</v>
      </c>
      <c r="H61" s="504" t="s">
        <v>1442</v>
      </c>
      <c r="I61" s="503" t="s">
        <v>1442</v>
      </c>
      <c r="J61" s="504" t="s">
        <v>1442</v>
      </c>
      <c r="K61" s="503" t="s">
        <v>1442</v>
      </c>
      <c r="L61" s="504" t="s">
        <v>1442</v>
      </c>
      <c r="M61" s="630" t="s">
        <v>1442</v>
      </c>
      <c r="N61" s="504" t="s">
        <v>1442</v>
      </c>
      <c r="O61" s="630" t="s">
        <v>1442</v>
      </c>
      <c r="P61" s="504" t="s">
        <v>1442</v>
      </c>
      <c r="Q61" s="504" t="s">
        <v>1442</v>
      </c>
      <c r="R61" s="630" t="s">
        <v>1442</v>
      </c>
      <c r="S61" s="504" t="s">
        <v>1442</v>
      </c>
      <c r="T61" s="631" t="s">
        <v>1442</v>
      </c>
      <c r="U61" s="632" t="s">
        <v>1442</v>
      </c>
      <c r="V61" s="631" t="s">
        <v>1442</v>
      </c>
      <c r="W61" s="504" t="s">
        <v>1442</v>
      </c>
      <c r="X61" s="630" t="s">
        <v>1442</v>
      </c>
      <c r="Y61" s="632" t="s">
        <v>1442</v>
      </c>
      <c r="Z61" s="630" t="s">
        <v>1442</v>
      </c>
      <c r="AA61" s="504">
        <v>846.09</v>
      </c>
      <c r="AB61" s="631" t="s">
        <v>1442</v>
      </c>
      <c r="AC61" s="632" t="s">
        <v>1442</v>
      </c>
      <c r="AD61" s="631" t="s">
        <v>1442</v>
      </c>
      <c r="AE61" s="632" t="s">
        <v>1442</v>
      </c>
    </row>
    <row r="62" spans="1:31" ht="14" thickBot="1">
      <c r="A62" s="501">
        <v>1384</v>
      </c>
      <c r="B62" s="502" t="s">
        <v>1414</v>
      </c>
      <c r="C62" s="503">
        <v>584107.25</v>
      </c>
      <c r="D62" s="504">
        <v>171968.43</v>
      </c>
      <c r="E62" s="630">
        <v>31837.599999999999</v>
      </c>
      <c r="F62" s="504">
        <v>9072.98</v>
      </c>
      <c r="G62" s="630">
        <v>374.18</v>
      </c>
      <c r="H62" s="504">
        <v>9800.51</v>
      </c>
      <c r="I62" s="503">
        <v>617.68000000000006</v>
      </c>
      <c r="J62" s="504">
        <v>773.82</v>
      </c>
      <c r="K62" s="503">
        <v>2912.98</v>
      </c>
      <c r="L62" s="504">
        <v>7026.26</v>
      </c>
      <c r="M62" s="630">
        <v>6720.02</v>
      </c>
      <c r="N62" s="504">
        <v>14918.41</v>
      </c>
      <c r="O62" s="630">
        <v>16047.68</v>
      </c>
      <c r="P62" s="504">
        <v>27905.4</v>
      </c>
      <c r="Q62" s="504" t="s">
        <v>1442</v>
      </c>
      <c r="R62" s="630">
        <v>6304.47</v>
      </c>
      <c r="S62" s="504">
        <v>16675.84</v>
      </c>
      <c r="T62" s="631">
        <v>4695.47</v>
      </c>
      <c r="U62" s="632">
        <v>120593.72</v>
      </c>
      <c r="V62" s="631">
        <v>12930.47</v>
      </c>
      <c r="W62" s="504">
        <v>26792.06</v>
      </c>
      <c r="X62" s="630">
        <v>46452.3</v>
      </c>
      <c r="Y62" s="632">
        <v>19310.09</v>
      </c>
      <c r="Z62" s="630">
        <v>11646.41</v>
      </c>
      <c r="AA62" s="504">
        <v>2540.92</v>
      </c>
      <c r="AB62" s="631">
        <v>2382.5700000000002</v>
      </c>
      <c r="AC62" s="632">
        <v>13296.02</v>
      </c>
      <c r="AD62" s="631">
        <v>479.33</v>
      </c>
      <c r="AE62" s="632">
        <v>31.67</v>
      </c>
    </row>
    <row r="63" spans="1:31" ht="14" thickBot="1">
      <c r="A63" s="501">
        <v>1386</v>
      </c>
      <c r="B63" s="502" t="s">
        <v>1415</v>
      </c>
      <c r="C63" s="503">
        <v>12956</v>
      </c>
      <c r="D63" s="504">
        <v>4010</v>
      </c>
      <c r="E63" s="630">
        <v>1839</v>
      </c>
      <c r="F63" s="504">
        <v>358</v>
      </c>
      <c r="G63" s="630">
        <v>46</v>
      </c>
      <c r="H63" s="504">
        <v>101</v>
      </c>
      <c r="I63" s="503">
        <v>23</v>
      </c>
      <c r="J63" s="504">
        <v>27</v>
      </c>
      <c r="K63" s="503">
        <v>37</v>
      </c>
      <c r="L63" s="504">
        <v>170</v>
      </c>
      <c r="M63" s="630">
        <v>419</v>
      </c>
      <c r="N63" s="504">
        <v>417</v>
      </c>
      <c r="O63" s="630">
        <v>146</v>
      </c>
      <c r="P63" s="504">
        <v>407</v>
      </c>
      <c r="Q63" s="504" t="s">
        <v>1442</v>
      </c>
      <c r="R63" s="630">
        <v>184</v>
      </c>
      <c r="S63" s="504">
        <v>93</v>
      </c>
      <c r="T63" s="631">
        <v>12</v>
      </c>
      <c r="U63" s="632">
        <v>844</v>
      </c>
      <c r="V63" s="631">
        <v>173</v>
      </c>
      <c r="W63" s="504">
        <v>1457</v>
      </c>
      <c r="X63" s="630">
        <v>248</v>
      </c>
      <c r="Y63" s="632">
        <v>234</v>
      </c>
      <c r="Z63" s="630">
        <v>895</v>
      </c>
      <c r="AA63" s="504">
        <v>495</v>
      </c>
      <c r="AB63" s="631">
        <v>149</v>
      </c>
      <c r="AC63" s="632">
        <v>105</v>
      </c>
      <c r="AD63" s="631">
        <v>67</v>
      </c>
      <c r="AE63" s="632" t="s">
        <v>1442</v>
      </c>
    </row>
    <row r="64" spans="1:31" ht="14" thickBot="1">
      <c r="A64" s="501">
        <v>1395</v>
      </c>
      <c r="B64" s="502" t="s">
        <v>1416</v>
      </c>
      <c r="C64" s="503">
        <v>16948.43</v>
      </c>
      <c r="D64" s="504">
        <v>197.57</v>
      </c>
      <c r="E64" s="630">
        <v>8316.67</v>
      </c>
      <c r="F64" s="504">
        <v>30.42</v>
      </c>
      <c r="G64" s="630">
        <v>3</v>
      </c>
      <c r="H64" s="504">
        <v>5.24</v>
      </c>
      <c r="I64" s="503">
        <v>6.08</v>
      </c>
      <c r="J64" s="504">
        <v>4.09</v>
      </c>
      <c r="K64" s="503">
        <v>1</v>
      </c>
      <c r="L64" s="504">
        <v>4.5</v>
      </c>
      <c r="M64" s="630">
        <v>3204.6</v>
      </c>
      <c r="N64" s="504">
        <v>35.1</v>
      </c>
      <c r="O64" s="630">
        <v>37.85</v>
      </c>
      <c r="P64" s="504">
        <v>9.25</v>
      </c>
      <c r="Q64" s="504" t="s">
        <v>1442</v>
      </c>
      <c r="R64" s="630">
        <v>8.58</v>
      </c>
      <c r="S64" s="504">
        <v>2.5</v>
      </c>
      <c r="T64" s="631">
        <v>1</v>
      </c>
      <c r="U64" s="632">
        <v>24.75</v>
      </c>
      <c r="V64" s="631">
        <v>38.43</v>
      </c>
      <c r="W64" s="504">
        <v>39.75</v>
      </c>
      <c r="X64" s="630">
        <v>17.91</v>
      </c>
      <c r="Y64" s="632">
        <v>85.42</v>
      </c>
      <c r="Z64" s="630">
        <v>780.33</v>
      </c>
      <c r="AA64" s="504">
        <v>434.98</v>
      </c>
      <c r="AB64" s="631">
        <v>245.49</v>
      </c>
      <c r="AC64" s="632">
        <v>694.66</v>
      </c>
      <c r="AD64" s="631">
        <v>161.59</v>
      </c>
      <c r="AE64" s="632">
        <v>2557.67</v>
      </c>
    </row>
    <row r="65" spans="1:31" ht="14" thickBot="1">
      <c r="A65" s="501">
        <v>1401</v>
      </c>
      <c r="B65" s="502" t="s">
        <v>1417</v>
      </c>
      <c r="C65" s="503">
        <v>9343.49</v>
      </c>
      <c r="D65" s="504">
        <v>1278.68</v>
      </c>
      <c r="E65" s="630">
        <v>177.08</v>
      </c>
      <c r="F65" s="504">
        <v>36.410000000000004</v>
      </c>
      <c r="G65" s="630" t="s">
        <v>1442</v>
      </c>
      <c r="H65" s="504">
        <v>47.66</v>
      </c>
      <c r="I65" s="503">
        <v>8</v>
      </c>
      <c r="J65" s="504">
        <v>7.08</v>
      </c>
      <c r="K65" s="503">
        <v>6</v>
      </c>
      <c r="L65" s="504">
        <v>18.830000000000002</v>
      </c>
      <c r="M65" s="630">
        <v>16.670000000000002</v>
      </c>
      <c r="N65" s="504">
        <v>36.75</v>
      </c>
      <c r="O65" s="630">
        <v>13</v>
      </c>
      <c r="P65" s="504">
        <v>26.66</v>
      </c>
      <c r="Q65" s="504" t="s">
        <v>1442</v>
      </c>
      <c r="R65" s="630">
        <v>18.330000000000002</v>
      </c>
      <c r="S65" s="504">
        <v>235.16</v>
      </c>
      <c r="T65" s="631">
        <v>88.58</v>
      </c>
      <c r="U65" s="632">
        <v>6826.92</v>
      </c>
      <c r="V65" s="631">
        <v>62.33</v>
      </c>
      <c r="W65" s="504">
        <v>193.84</v>
      </c>
      <c r="X65" s="630">
        <v>198.25</v>
      </c>
      <c r="Y65" s="632">
        <v>14.5</v>
      </c>
      <c r="Z65" s="630">
        <v>17</v>
      </c>
      <c r="AA65" s="504">
        <v>6</v>
      </c>
      <c r="AB65" s="631">
        <v>0.75</v>
      </c>
      <c r="AC65" s="632">
        <v>9</v>
      </c>
      <c r="AD65" s="631" t="s">
        <v>1442</v>
      </c>
      <c r="AE65" s="632" t="s">
        <v>1442</v>
      </c>
    </row>
    <row r="66" spans="1:31" ht="14" thickBot="1">
      <c r="A66" s="501">
        <v>1423</v>
      </c>
      <c r="B66" s="502" t="s">
        <v>1418</v>
      </c>
      <c r="C66" s="503">
        <v>3902.18</v>
      </c>
      <c r="D66" s="504">
        <v>94.58</v>
      </c>
      <c r="E66" s="630">
        <v>690.42</v>
      </c>
      <c r="F66" s="504">
        <v>37.58</v>
      </c>
      <c r="G66" s="630" t="s">
        <v>1442</v>
      </c>
      <c r="H66" s="504">
        <v>23</v>
      </c>
      <c r="I66" s="503" t="s">
        <v>1442</v>
      </c>
      <c r="J66" s="504" t="s">
        <v>1442</v>
      </c>
      <c r="K66" s="503" t="s">
        <v>1442</v>
      </c>
      <c r="L66" s="504">
        <v>19</v>
      </c>
      <c r="M66" s="630" t="s">
        <v>1442</v>
      </c>
      <c r="N66" s="504">
        <v>53.09</v>
      </c>
      <c r="O66" s="630">
        <v>61.42</v>
      </c>
      <c r="P66" s="504">
        <v>77.08</v>
      </c>
      <c r="Q66" s="504" t="s">
        <v>1442</v>
      </c>
      <c r="R66" s="630" t="s">
        <v>1442</v>
      </c>
      <c r="S66" s="504" t="s">
        <v>1442</v>
      </c>
      <c r="T66" s="631" t="s">
        <v>1442</v>
      </c>
      <c r="U66" s="632" t="s">
        <v>1442</v>
      </c>
      <c r="V66" s="631" t="s">
        <v>1442</v>
      </c>
      <c r="W66" s="504">
        <v>2846</v>
      </c>
      <c r="X66" s="630" t="s">
        <v>1442</v>
      </c>
      <c r="Y66" s="632" t="s">
        <v>1442</v>
      </c>
      <c r="Z66" s="630" t="s">
        <v>1442</v>
      </c>
      <c r="AA66" s="504" t="s">
        <v>1442</v>
      </c>
      <c r="AB66" s="631" t="s">
        <v>1442</v>
      </c>
      <c r="AC66" s="632" t="s">
        <v>1442</v>
      </c>
      <c r="AD66" s="631" t="s">
        <v>1442</v>
      </c>
      <c r="AE66" s="632" t="s">
        <v>1442</v>
      </c>
    </row>
    <row r="67" spans="1:31" ht="14" thickBot="1">
      <c r="A67" s="501">
        <v>1442</v>
      </c>
      <c r="B67" s="502" t="s">
        <v>1419</v>
      </c>
      <c r="C67" s="503">
        <v>2118.58</v>
      </c>
      <c r="D67" s="504">
        <v>11.08</v>
      </c>
      <c r="E67" s="630">
        <v>457.25</v>
      </c>
      <c r="F67" s="504">
        <v>1.83</v>
      </c>
      <c r="G67" s="630" t="s">
        <v>1442</v>
      </c>
      <c r="H67" s="504">
        <v>1.5</v>
      </c>
      <c r="I67" s="503">
        <v>1</v>
      </c>
      <c r="J67" s="504" t="s">
        <v>1442</v>
      </c>
      <c r="K67" s="503" t="s">
        <v>1442</v>
      </c>
      <c r="L67" s="504" t="s">
        <v>1442</v>
      </c>
      <c r="M67" s="630">
        <v>52.08</v>
      </c>
      <c r="N67" s="504">
        <v>4.75</v>
      </c>
      <c r="O67" s="630" t="s">
        <v>1442</v>
      </c>
      <c r="P67" s="504">
        <v>13.92</v>
      </c>
      <c r="Q67" s="504" t="s">
        <v>1442</v>
      </c>
      <c r="R67" s="630" t="s">
        <v>1442</v>
      </c>
      <c r="S67" s="504" t="s">
        <v>1442</v>
      </c>
      <c r="T67" s="631" t="s">
        <v>1442</v>
      </c>
      <c r="U67" s="632">
        <v>8</v>
      </c>
      <c r="V67" s="631" t="s">
        <v>1442</v>
      </c>
      <c r="W67" s="504">
        <v>35.08</v>
      </c>
      <c r="X67" s="630" t="s">
        <v>1442</v>
      </c>
      <c r="Y67" s="632">
        <v>2.33</v>
      </c>
      <c r="Z67" s="630">
        <v>1481.34</v>
      </c>
      <c r="AA67" s="504">
        <v>11.67</v>
      </c>
      <c r="AB67" s="631">
        <v>15.75</v>
      </c>
      <c r="AC67" s="632">
        <v>5</v>
      </c>
      <c r="AD67" s="631">
        <v>16</v>
      </c>
      <c r="AE67" s="632" t="s">
        <v>1442</v>
      </c>
    </row>
    <row r="68" spans="1:31" ht="14" thickBot="1">
      <c r="A68" s="501">
        <v>1479</v>
      </c>
      <c r="B68" s="502" t="s">
        <v>1420</v>
      </c>
      <c r="C68" s="503">
        <v>277755</v>
      </c>
      <c r="D68" s="504">
        <v>43707.76</v>
      </c>
      <c r="E68" s="630">
        <v>3367.16</v>
      </c>
      <c r="F68" s="504">
        <v>994.66</v>
      </c>
      <c r="G68" s="630">
        <v>29.92</v>
      </c>
      <c r="H68" s="504">
        <v>252.58</v>
      </c>
      <c r="I68" s="503">
        <v>304.75</v>
      </c>
      <c r="J68" s="504">
        <v>39.33</v>
      </c>
      <c r="K68" s="503">
        <v>85.25</v>
      </c>
      <c r="L68" s="504">
        <v>232.59</v>
      </c>
      <c r="M68" s="630">
        <v>6101.24</v>
      </c>
      <c r="N68" s="504">
        <v>1259.58</v>
      </c>
      <c r="O68" s="630">
        <v>5028.54</v>
      </c>
      <c r="P68" s="504">
        <v>423.42</v>
      </c>
      <c r="Q68" s="504" t="s">
        <v>1442</v>
      </c>
      <c r="R68" s="630">
        <v>57.25</v>
      </c>
      <c r="S68" s="504">
        <v>58.25</v>
      </c>
      <c r="T68" s="631">
        <v>10.92</v>
      </c>
      <c r="U68" s="632">
        <v>1785.25</v>
      </c>
      <c r="V68" s="631">
        <v>199.58</v>
      </c>
      <c r="W68" s="504">
        <v>12846.23</v>
      </c>
      <c r="X68" s="630">
        <v>2692.66</v>
      </c>
      <c r="Y68" s="632">
        <v>10785.72</v>
      </c>
      <c r="Z68" s="630">
        <v>72792.92</v>
      </c>
      <c r="AA68" s="504">
        <v>31344.42</v>
      </c>
      <c r="AB68" s="631">
        <v>8826.15</v>
      </c>
      <c r="AC68" s="632">
        <v>72092.66</v>
      </c>
      <c r="AD68" s="631">
        <v>2436.25</v>
      </c>
      <c r="AE68" s="632" t="s">
        <v>1442</v>
      </c>
    </row>
    <row r="69" spans="1:31" ht="14" thickBot="1">
      <c r="A69" s="501">
        <v>1507</v>
      </c>
      <c r="B69" s="502" t="s">
        <v>1421</v>
      </c>
      <c r="C69" s="503">
        <v>9114.17</v>
      </c>
      <c r="D69" s="504">
        <v>2.83</v>
      </c>
      <c r="E69" s="630">
        <v>2.17</v>
      </c>
      <c r="F69" s="504">
        <v>1</v>
      </c>
      <c r="G69" s="630" t="s">
        <v>1442</v>
      </c>
      <c r="H69" s="504" t="s">
        <v>1442</v>
      </c>
      <c r="I69" s="503" t="s">
        <v>1442</v>
      </c>
      <c r="J69" s="504" t="s">
        <v>1442</v>
      </c>
      <c r="K69" s="503" t="s">
        <v>1442</v>
      </c>
      <c r="L69" s="504" t="s">
        <v>1442</v>
      </c>
      <c r="M69" s="630">
        <v>13.92</v>
      </c>
      <c r="N69" s="504" t="s">
        <v>1442</v>
      </c>
      <c r="O69" s="630" t="s">
        <v>1442</v>
      </c>
      <c r="P69" s="504" t="s">
        <v>1442</v>
      </c>
      <c r="Q69" s="504" t="s">
        <v>1442</v>
      </c>
      <c r="R69" s="630" t="s">
        <v>1442</v>
      </c>
      <c r="S69" s="504">
        <v>1</v>
      </c>
      <c r="T69" s="631" t="s">
        <v>1442</v>
      </c>
      <c r="U69" s="632">
        <v>1</v>
      </c>
      <c r="V69" s="631" t="s">
        <v>1442</v>
      </c>
      <c r="W69" s="504" t="s">
        <v>1442</v>
      </c>
      <c r="X69" s="630">
        <v>1</v>
      </c>
      <c r="Y69" s="632">
        <v>2</v>
      </c>
      <c r="Z69" s="630">
        <v>65.67</v>
      </c>
      <c r="AA69" s="504">
        <v>9008</v>
      </c>
      <c r="AB69" s="631">
        <v>5.83</v>
      </c>
      <c r="AC69" s="632">
        <v>8.08</v>
      </c>
      <c r="AD69" s="631">
        <v>1.67</v>
      </c>
      <c r="AE69" s="632" t="s">
        <v>1442</v>
      </c>
    </row>
    <row r="70" spans="1:31" ht="14" thickBot="1">
      <c r="A70" s="501">
        <v>1509</v>
      </c>
      <c r="B70" s="502" t="s">
        <v>1422</v>
      </c>
      <c r="C70" s="503">
        <v>334832.75</v>
      </c>
      <c r="D70" s="504">
        <v>87951</v>
      </c>
      <c r="E70" s="630">
        <v>32681.25</v>
      </c>
      <c r="F70" s="504">
        <v>11313.75</v>
      </c>
      <c r="G70" s="630">
        <v>564.16999999999996</v>
      </c>
      <c r="H70" s="504">
        <v>8288.5</v>
      </c>
      <c r="I70" s="503">
        <v>1108.67</v>
      </c>
      <c r="J70" s="504">
        <v>909.75</v>
      </c>
      <c r="K70" s="503">
        <v>1552.25</v>
      </c>
      <c r="L70" s="504">
        <v>7687.17</v>
      </c>
      <c r="M70" s="630">
        <v>4492.75</v>
      </c>
      <c r="N70" s="504">
        <v>13037.67</v>
      </c>
      <c r="O70" s="630">
        <v>6624.17</v>
      </c>
      <c r="P70" s="504">
        <v>15645.58</v>
      </c>
      <c r="Q70" s="504" t="s">
        <v>1442</v>
      </c>
      <c r="R70" s="630">
        <v>2843.58</v>
      </c>
      <c r="S70" s="504">
        <v>2735.58</v>
      </c>
      <c r="T70" s="631">
        <v>292.83</v>
      </c>
      <c r="U70" s="632">
        <v>12800.75</v>
      </c>
      <c r="V70" s="631">
        <v>4140.75</v>
      </c>
      <c r="W70" s="504">
        <v>29496.25</v>
      </c>
      <c r="X70" s="630">
        <v>18281.920000000002</v>
      </c>
      <c r="Y70" s="632">
        <v>14750.92</v>
      </c>
      <c r="Z70" s="630">
        <v>14010.83</v>
      </c>
      <c r="AA70" s="504">
        <v>2263</v>
      </c>
      <c r="AB70" s="631">
        <v>24701.42</v>
      </c>
      <c r="AC70" s="632">
        <v>14190</v>
      </c>
      <c r="AD70" s="631">
        <v>2096.08</v>
      </c>
      <c r="AE70" s="632">
        <v>372.17</v>
      </c>
    </row>
    <row r="71" spans="1:31" ht="14" thickBot="1">
      <c r="A71" s="501">
        <v>1520</v>
      </c>
      <c r="B71" s="502" t="s">
        <v>1423</v>
      </c>
      <c r="C71" s="503">
        <v>5436.16</v>
      </c>
      <c r="D71" s="504">
        <v>178.06</v>
      </c>
      <c r="E71" s="630">
        <v>1013.18</v>
      </c>
      <c r="F71" s="504">
        <v>96.97</v>
      </c>
      <c r="G71" s="630">
        <v>56.58</v>
      </c>
      <c r="H71" s="504">
        <v>46.81</v>
      </c>
      <c r="I71" s="503">
        <v>59.49</v>
      </c>
      <c r="J71" s="504">
        <v>48.65</v>
      </c>
      <c r="K71" s="503">
        <v>22.4</v>
      </c>
      <c r="L71" s="504">
        <v>12.41</v>
      </c>
      <c r="M71" s="630">
        <v>130.24</v>
      </c>
      <c r="N71" s="504">
        <v>19.25</v>
      </c>
      <c r="O71" s="630">
        <v>25.82</v>
      </c>
      <c r="P71" s="504">
        <v>9.58</v>
      </c>
      <c r="Q71" s="504" t="s">
        <v>1442</v>
      </c>
      <c r="R71" s="630">
        <v>12.57</v>
      </c>
      <c r="S71" s="504">
        <v>7</v>
      </c>
      <c r="T71" s="631" t="s">
        <v>1442</v>
      </c>
      <c r="U71" s="632">
        <v>36.730000000000004</v>
      </c>
      <c r="V71" s="631">
        <v>417.73</v>
      </c>
      <c r="W71" s="504">
        <v>74.88</v>
      </c>
      <c r="X71" s="630">
        <v>14</v>
      </c>
      <c r="Y71" s="632">
        <v>410.86</v>
      </c>
      <c r="Z71" s="630">
        <v>1374.28</v>
      </c>
      <c r="AA71" s="504">
        <v>1278.58</v>
      </c>
      <c r="AB71" s="631">
        <v>37.980000000000004</v>
      </c>
      <c r="AC71" s="632">
        <v>38.67</v>
      </c>
      <c r="AD71" s="631">
        <v>13.44</v>
      </c>
      <c r="AE71" s="632" t="s">
        <v>1442</v>
      </c>
    </row>
    <row r="72" spans="1:31" ht="14" thickBot="1">
      <c r="A72" s="501">
        <v>1529</v>
      </c>
      <c r="B72" s="502" t="s">
        <v>1424</v>
      </c>
      <c r="C72" s="503">
        <v>281564.5</v>
      </c>
      <c r="D72" s="504">
        <v>38726.83</v>
      </c>
      <c r="E72" s="630">
        <v>19442.73</v>
      </c>
      <c r="F72" s="504">
        <v>4783.59</v>
      </c>
      <c r="G72" s="630">
        <v>170.11</v>
      </c>
      <c r="H72" s="504">
        <v>1930.08</v>
      </c>
      <c r="I72" s="503">
        <v>396.18</v>
      </c>
      <c r="J72" s="504">
        <v>503.64</v>
      </c>
      <c r="K72" s="503">
        <v>417.46</v>
      </c>
      <c r="L72" s="504">
        <v>1980.25</v>
      </c>
      <c r="M72" s="630">
        <v>4980.67</v>
      </c>
      <c r="N72" s="504">
        <v>16401.420000000002</v>
      </c>
      <c r="O72" s="630">
        <v>5694.44</v>
      </c>
      <c r="P72" s="504">
        <v>9079.380000000001</v>
      </c>
      <c r="Q72" s="504" t="s">
        <v>1442</v>
      </c>
      <c r="R72" s="630">
        <v>3373.68</v>
      </c>
      <c r="S72" s="504">
        <v>1270.4100000000001</v>
      </c>
      <c r="T72" s="631">
        <v>193.16</v>
      </c>
      <c r="U72" s="632">
        <v>8583.9500000000007</v>
      </c>
      <c r="V72" s="631">
        <v>2139.9299999999998</v>
      </c>
      <c r="W72" s="504">
        <v>14644.33</v>
      </c>
      <c r="X72" s="630">
        <v>6487.87</v>
      </c>
      <c r="Y72" s="632">
        <v>18262.97</v>
      </c>
      <c r="Z72" s="630">
        <v>49834.32</v>
      </c>
      <c r="AA72" s="504">
        <v>4899.4800000000005</v>
      </c>
      <c r="AB72" s="631">
        <v>5851.28</v>
      </c>
      <c r="AC72" s="632">
        <v>61104.31</v>
      </c>
      <c r="AD72" s="631">
        <v>412.04</v>
      </c>
      <c r="AE72" s="632" t="s">
        <v>1442</v>
      </c>
    </row>
    <row r="73" spans="1:31" ht="14" thickBot="1">
      <c r="A73" s="501">
        <v>1535</v>
      </c>
      <c r="B73" s="502" t="s">
        <v>1425</v>
      </c>
      <c r="C73" s="503">
        <v>105962.42</v>
      </c>
      <c r="D73" s="504">
        <v>5086.82</v>
      </c>
      <c r="E73" s="630">
        <v>12983.94</v>
      </c>
      <c r="F73" s="504">
        <v>55.5</v>
      </c>
      <c r="G73" s="630">
        <v>15.58</v>
      </c>
      <c r="H73" s="504">
        <v>31.25</v>
      </c>
      <c r="I73" s="503">
        <v>52.75</v>
      </c>
      <c r="J73" s="504">
        <v>401.17</v>
      </c>
      <c r="K73" s="503">
        <v>4</v>
      </c>
      <c r="L73" s="504">
        <v>24.67</v>
      </c>
      <c r="M73" s="630">
        <v>2623.61</v>
      </c>
      <c r="N73" s="504">
        <v>8063.13</v>
      </c>
      <c r="O73" s="630">
        <v>39.92</v>
      </c>
      <c r="P73" s="504">
        <v>59.58</v>
      </c>
      <c r="Q73" s="504" t="s">
        <v>1442</v>
      </c>
      <c r="R73" s="630">
        <v>11.33</v>
      </c>
      <c r="S73" s="504">
        <v>39</v>
      </c>
      <c r="T73" s="631">
        <v>2</v>
      </c>
      <c r="U73" s="632">
        <v>58.75</v>
      </c>
      <c r="V73" s="631">
        <v>19.5</v>
      </c>
      <c r="W73" s="504">
        <v>213.92</v>
      </c>
      <c r="X73" s="630">
        <v>50.42</v>
      </c>
      <c r="Y73" s="632">
        <v>354.25</v>
      </c>
      <c r="Z73" s="630">
        <v>70060.600000000006</v>
      </c>
      <c r="AA73" s="504">
        <v>918.14</v>
      </c>
      <c r="AB73" s="631">
        <v>276.07</v>
      </c>
      <c r="AC73" s="632">
        <v>4385.3599999999997</v>
      </c>
      <c r="AD73" s="631">
        <v>131.16</v>
      </c>
      <c r="AE73" s="632" t="s">
        <v>1442</v>
      </c>
    </row>
    <row r="74" spans="1:31" ht="14" thickBot="1">
      <c r="A74" s="501">
        <v>1542</v>
      </c>
      <c r="B74" s="502" t="s">
        <v>1426</v>
      </c>
      <c r="C74" s="503">
        <v>631199.92000000004</v>
      </c>
      <c r="D74" s="504">
        <v>63169.17</v>
      </c>
      <c r="E74" s="630">
        <v>90747.5</v>
      </c>
      <c r="F74" s="504">
        <v>10886.83</v>
      </c>
      <c r="G74" s="630">
        <v>217</v>
      </c>
      <c r="H74" s="504">
        <v>2272.58</v>
      </c>
      <c r="I74" s="503">
        <v>410.83</v>
      </c>
      <c r="J74" s="504">
        <v>694.08</v>
      </c>
      <c r="K74" s="503">
        <v>277.67</v>
      </c>
      <c r="L74" s="504">
        <v>3699.67</v>
      </c>
      <c r="M74" s="630">
        <v>27826.83</v>
      </c>
      <c r="N74" s="504">
        <v>12302.67</v>
      </c>
      <c r="O74" s="630">
        <v>22186.080000000002</v>
      </c>
      <c r="P74" s="504">
        <v>19019.170000000002</v>
      </c>
      <c r="Q74" s="504" t="s">
        <v>1442</v>
      </c>
      <c r="R74" s="630">
        <v>7953.58</v>
      </c>
      <c r="S74" s="504">
        <v>241.5</v>
      </c>
      <c r="T74" s="631">
        <v>208.33</v>
      </c>
      <c r="U74" s="632">
        <v>4680.33</v>
      </c>
      <c r="V74" s="631">
        <v>4534.67</v>
      </c>
      <c r="W74" s="504">
        <v>13363</v>
      </c>
      <c r="X74" s="630">
        <v>8580</v>
      </c>
      <c r="Y74" s="632">
        <v>26813.919999999998</v>
      </c>
      <c r="Z74" s="630">
        <v>160126.17000000001</v>
      </c>
      <c r="AA74" s="504">
        <v>16539.170000000002</v>
      </c>
      <c r="AB74" s="631">
        <v>52060.08</v>
      </c>
      <c r="AC74" s="632">
        <v>64004.75</v>
      </c>
      <c r="AD74" s="631">
        <v>18384.330000000002</v>
      </c>
      <c r="AE74" s="632" t="s">
        <v>1442</v>
      </c>
    </row>
    <row r="75" spans="1:31" ht="14" thickBot="1">
      <c r="A75" s="501">
        <v>1551</v>
      </c>
      <c r="B75" s="502" t="s">
        <v>1427</v>
      </c>
      <c r="C75" s="503">
        <v>58738.25</v>
      </c>
      <c r="D75" s="504">
        <v>6519</v>
      </c>
      <c r="E75" s="630">
        <v>7451.81</v>
      </c>
      <c r="F75" s="504">
        <v>643.84</v>
      </c>
      <c r="G75" s="630">
        <v>37.75</v>
      </c>
      <c r="H75" s="504">
        <v>1385.75</v>
      </c>
      <c r="I75" s="503">
        <v>49.75</v>
      </c>
      <c r="J75" s="504">
        <v>40.5</v>
      </c>
      <c r="K75" s="503">
        <v>46.5</v>
      </c>
      <c r="L75" s="504">
        <v>207.67</v>
      </c>
      <c r="M75" s="630">
        <v>2551.9900000000002</v>
      </c>
      <c r="N75" s="504">
        <v>8613.48</v>
      </c>
      <c r="O75" s="630">
        <v>193.34</v>
      </c>
      <c r="P75" s="504">
        <v>477.84</v>
      </c>
      <c r="Q75" s="504" t="s">
        <v>1442</v>
      </c>
      <c r="R75" s="630">
        <v>104.58</v>
      </c>
      <c r="S75" s="504">
        <v>39.33</v>
      </c>
      <c r="T75" s="631">
        <v>4.25</v>
      </c>
      <c r="U75" s="632">
        <v>475.25</v>
      </c>
      <c r="V75" s="631">
        <v>1400.32</v>
      </c>
      <c r="W75" s="504">
        <v>1533.74</v>
      </c>
      <c r="X75" s="630">
        <v>617.83000000000004</v>
      </c>
      <c r="Y75" s="632">
        <v>7630.9</v>
      </c>
      <c r="Z75" s="630">
        <v>5788.17</v>
      </c>
      <c r="AA75" s="504">
        <v>555.16</v>
      </c>
      <c r="AB75" s="631">
        <v>2549.9900000000002</v>
      </c>
      <c r="AC75" s="632">
        <v>2152.2400000000002</v>
      </c>
      <c r="AD75" s="631">
        <v>7667.27</v>
      </c>
      <c r="AE75" s="632" t="s">
        <v>1442</v>
      </c>
    </row>
    <row r="76" spans="1:31" ht="14" thickBot="1">
      <c r="A76" s="501">
        <v>1552</v>
      </c>
      <c r="B76" s="502" t="s">
        <v>1428</v>
      </c>
      <c r="C76" s="503">
        <v>64045.67</v>
      </c>
      <c r="D76" s="504">
        <v>1711.25</v>
      </c>
      <c r="E76" s="630">
        <v>26975.25</v>
      </c>
      <c r="F76" s="504">
        <v>117.17</v>
      </c>
      <c r="G76" s="630">
        <v>3</v>
      </c>
      <c r="H76" s="504">
        <v>75.92</v>
      </c>
      <c r="I76" s="503">
        <v>12.58</v>
      </c>
      <c r="J76" s="504">
        <v>15.67</v>
      </c>
      <c r="K76" s="503">
        <v>3.17</v>
      </c>
      <c r="L76" s="504">
        <v>61.08</v>
      </c>
      <c r="M76" s="630">
        <v>151</v>
      </c>
      <c r="N76" s="504">
        <v>207.83</v>
      </c>
      <c r="O76" s="630">
        <v>37.75</v>
      </c>
      <c r="P76" s="504">
        <v>58.33</v>
      </c>
      <c r="Q76" s="504" t="s">
        <v>1442</v>
      </c>
      <c r="R76" s="630">
        <v>82.08</v>
      </c>
      <c r="S76" s="504">
        <v>14.92</v>
      </c>
      <c r="T76" s="631">
        <v>6</v>
      </c>
      <c r="U76" s="632">
        <v>160.33000000000001</v>
      </c>
      <c r="V76" s="631">
        <v>74.25</v>
      </c>
      <c r="W76" s="504">
        <v>18641.170000000002</v>
      </c>
      <c r="X76" s="630">
        <v>5323.58</v>
      </c>
      <c r="Y76" s="632">
        <v>32</v>
      </c>
      <c r="Z76" s="630">
        <v>9972.08</v>
      </c>
      <c r="AA76" s="504">
        <v>133.67000000000002</v>
      </c>
      <c r="AB76" s="631">
        <v>74</v>
      </c>
      <c r="AC76" s="632">
        <v>90.5</v>
      </c>
      <c r="AD76" s="631">
        <v>11.08</v>
      </c>
      <c r="AE76" s="632" t="s">
        <v>1442</v>
      </c>
    </row>
    <row r="77" spans="1:31" ht="14" thickBot="1">
      <c r="A77" s="501">
        <v>1555</v>
      </c>
      <c r="B77" s="502" t="s">
        <v>1429</v>
      </c>
      <c r="C77" s="503">
        <v>417983.75</v>
      </c>
      <c r="D77" s="504">
        <v>45436.08</v>
      </c>
      <c r="E77" s="630">
        <v>211779.42</v>
      </c>
      <c r="F77" s="504">
        <v>2625.75</v>
      </c>
      <c r="G77" s="630">
        <v>248.75</v>
      </c>
      <c r="H77" s="504">
        <v>1512.67</v>
      </c>
      <c r="I77" s="503">
        <v>1082.92</v>
      </c>
      <c r="J77" s="504">
        <v>833.33</v>
      </c>
      <c r="K77" s="503">
        <v>41.58</v>
      </c>
      <c r="L77" s="504">
        <v>4581.42</v>
      </c>
      <c r="M77" s="630">
        <v>23818.17</v>
      </c>
      <c r="N77" s="504">
        <v>12507.83</v>
      </c>
      <c r="O77" s="630">
        <v>6812.42</v>
      </c>
      <c r="P77" s="504">
        <v>22507.83</v>
      </c>
      <c r="Q77" s="504" t="s">
        <v>1442</v>
      </c>
      <c r="R77" s="630">
        <v>3954.83</v>
      </c>
      <c r="S77" s="504">
        <v>67.67</v>
      </c>
      <c r="T77" s="631">
        <v>2.5</v>
      </c>
      <c r="U77" s="632">
        <v>7327.17</v>
      </c>
      <c r="V77" s="631">
        <v>128.67000000000002</v>
      </c>
      <c r="W77" s="504">
        <v>24513.75</v>
      </c>
      <c r="X77" s="630">
        <v>295.58</v>
      </c>
      <c r="Y77" s="632">
        <v>12638.33</v>
      </c>
      <c r="Z77" s="630">
        <v>27126.17</v>
      </c>
      <c r="AA77" s="504">
        <v>4220.42</v>
      </c>
      <c r="AB77" s="631">
        <v>633.25</v>
      </c>
      <c r="AC77" s="632">
        <v>2715.5</v>
      </c>
      <c r="AD77" s="631">
        <v>554.41999999999996</v>
      </c>
      <c r="AE77" s="632">
        <v>17.330000000000002</v>
      </c>
    </row>
    <row r="78" spans="1:31" ht="14" thickBot="1">
      <c r="A78" s="501">
        <v>1560</v>
      </c>
      <c r="B78" s="502" t="s">
        <v>1430</v>
      </c>
      <c r="C78" s="503">
        <v>95457</v>
      </c>
      <c r="D78" s="504">
        <v>12556</v>
      </c>
      <c r="E78" s="630">
        <v>20840</v>
      </c>
      <c r="F78" s="504">
        <v>6154</v>
      </c>
      <c r="G78" s="630">
        <v>1771</v>
      </c>
      <c r="H78" s="504">
        <v>4860</v>
      </c>
      <c r="I78" s="503">
        <v>933</v>
      </c>
      <c r="J78" s="504">
        <v>1018</v>
      </c>
      <c r="K78" s="503">
        <v>520</v>
      </c>
      <c r="L78" s="504">
        <v>1191</v>
      </c>
      <c r="M78" s="630">
        <v>923</v>
      </c>
      <c r="N78" s="504">
        <v>2756</v>
      </c>
      <c r="O78" s="630">
        <v>38</v>
      </c>
      <c r="P78" s="504">
        <v>2599</v>
      </c>
      <c r="Q78" s="504" t="s">
        <v>1442</v>
      </c>
      <c r="R78" s="630">
        <v>1126</v>
      </c>
      <c r="S78" s="504">
        <v>2989</v>
      </c>
      <c r="T78" s="631">
        <v>1347</v>
      </c>
      <c r="U78" s="632">
        <v>11840</v>
      </c>
      <c r="V78" s="631">
        <v>272</v>
      </c>
      <c r="W78" s="504">
        <v>8888</v>
      </c>
      <c r="X78" s="630">
        <v>8057</v>
      </c>
      <c r="Y78" s="632">
        <v>704</v>
      </c>
      <c r="Z78" s="630">
        <v>52</v>
      </c>
      <c r="AA78" s="504">
        <v>116</v>
      </c>
      <c r="AB78" s="631">
        <v>2752</v>
      </c>
      <c r="AC78" s="632">
        <v>11</v>
      </c>
      <c r="AD78" s="631">
        <v>1144</v>
      </c>
      <c r="AE78" s="632" t="s">
        <v>1442</v>
      </c>
    </row>
    <row r="79" spans="1:31" ht="14" thickBot="1">
      <c r="A79" s="501">
        <v>1562</v>
      </c>
      <c r="B79" s="502" t="s">
        <v>1431</v>
      </c>
      <c r="C79" s="503">
        <v>614845.82999999996</v>
      </c>
      <c r="D79" s="504">
        <v>148614.75</v>
      </c>
      <c r="E79" s="630">
        <v>67251.08</v>
      </c>
      <c r="F79" s="504">
        <v>12755.33</v>
      </c>
      <c r="G79" s="630">
        <v>1809.25</v>
      </c>
      <c r="H79" s="504">
        <v>7815.67</v>
      </c>
      <c r="I79" s="503">
        <v>1899.42</v>
      </c>
      <c r="J79" s="504">
        <v>2623.17</v>
      </c>
      <c r="K79" s="503">
        <v>4664.33</v>
      </c>
      <c r="L79" s="504">
        <v>7475</v>
      </c>
      <c r="M79" s="630">
        <v>9917.75</v>
      </c>
      <c r="N79" s="504">
        <v>36936.83</v>
      </c>
      <c r="O79" s="630">
        <v>6581.58</v>
      </c>
      <c r="P79" s="504">
        <v>16607.330000000002</v>
      </c>
      <c r="Q79" s="504" t="s">
        <v>1442</v>
      </c>
      <c r="R79" s="630">
        <v>4128.08</v>
      </c>
      <c r="S79" s="504">
        <v>4297.75</v>
      </c>
      <c r="T79" s="631">
        <v>1165.83</v>
      </c>
      <c r="U79" s="632">
        <v>22795.08</v>
      </c>
      <c r="V79" s="631">
        <v>10158.25</v>
      </c>
      <c r="W79" s="504">
        <v>54419</v>
      </c>
      <c r="X79" s="630">
        <v>17351.170000000002</v>
      </c>
      <c r="Y79" s="632">
        <v>47754.25</v>
      </c>
      <c r="Z79" s="630">
        <v>36078.92</v>
      </c>
      <c r="AA79" s="504">
        <v>13037.75</v>
      </c>
      <c r="AB79" s="631">
        <v>4198.08</v>
      </c>
      <c r="AC79" s="632">
        <v>73516.42</v>
      </c>
      <c r="AD79" s="631">
        <v>993.75</v>
      </c>
      <c r="AE79" s="632" t="s">
        <v>1442</v>
      </c>
    </row>
    <row r="80" spans="1:31" ht="14" thickBot="1">
      <c r="A80" s="501">
        <v>1563</v>
      </c>
      <c r="B80" s="502" t="s">
        <v>1432</v>
      </c>
      <c r="C80" s="503">
        <v>35050.85</v>
      </c>
      <c r="D80" s="504">
        <v>1029.5</v>
      </c>
      <c r="E80" s="630">
        <v>13135.76</v>
      </c>
      <c r="F80" s="504">
        <v>601.65</v>
      </c>
      <c r="G80" s="630">
        <v>41.42</v>
      </c>
      <c r="H80" s="504">
        <v>204.67</v>
      </c>
      <c r="I80" s="503">
        <v>73.070000000000007</v>
      </c>
      <c r="J80" s="504">
        <v>80.5</v>
      </c>
      <c r="K80" s="503">
        <v>184.91</v>
      </c>
      <c r="L80" s="504">
        <v>242.75</v>
      </c>
      <c r="M80" s="630">
        <v>638.33000000000004</v>
      </c>
      <c r="N80" s="504">
        <v>815.74</v>
      </c>
      <c r="O80" s="630">
        <v>1716.26</v>
      </c>
      <c r="P80" s="504">
        <v>1887.84</v>
      </c>
      <c r="Q80" s="504" t="s">
        <v>1442</v>
      </c>
      <c r="R80" s="630">
        <v>700.99</v>
      </c>
      <c r="S80" s="504">
        <v>226.84</v>
      </c>
      <c r="T80" s="631">
        <v>38.33</v>
      </c>
      <c r="U80" s="632">
        <v>1419.68</v>
      </c>
      <c r="V80" s="631">
        <v>258.92</v>
      </c>
      <c r="W80" s="504">
        <v>715.42</v>
      </c>
      <c r="X80" s="630">
        <v>10464</v>
      </c>
      <c r="Y80" s="632">
        <v>58.17</v>
      </c>
      <c r="Z80" s="630">
        <v>49.24</v>
      </c>
      <c r="AA80" s="504">
        <v>408.66</v>
      </c>
      <c r="AB80" s="631">
        <v>25</v>
      </c>
      <c r="AC80" s="632">
        <v>18.170000000000002</v>
      </c>
      <c r="AD80" s="631">
        <v>15</v>
      </c>
      <c r="AE80" s="632" t="s">
        <v>1442</v>
      </c>
    </row>
    <row r="81" spans="1:31" ht="14" thickBot="1">
      <c r="A81" s="501">
        <v>1565</v>
      </c>
      <c r="B81" s="502" t="s">
        <v>1433</v>
      </c>
      <c r="C81" s="503">
        <v>184397.25</v>
      </c>
      <c r="D81" s="504">
        <v>66134.75</v>
      </c>
      <c r="E81" s="630">
        <v>21889.919999999998</v>
      </c>
      <c r="F81" s="504">
        <v>460.58</v>
      </c>
      <c r="G81" s="630">
        <v>44.92</v>
      </c>
      <c r="H81" s="504">
        <v>269.83</v>
      </c>
      <c r="I81" s="503">
        <v>70.08</v>
      </c>
      <c r="J81" s="504">
        <v>87.17</v>
      </c>
      <c r="K81" s="503">
        <v>184.08</v>
      </c>
      <c r="L81" s="504">
        <v>199.25</v>
      </c>
      <c r="M81" s="630">
        <v>8052.17</v>
      </c>
      <c r="N81" s="504">
        <v>7514.5</v>
      </c>
      <c r="O81" s="630">
        <v>4992.42</v>
      </c>
      <c r="P81" s="504">
        <v>9105.58</v>
      </c>
      <c r="Q81" s="504" t="s">
        <v>1442</v>
      </c>
      <c r="R81" s="630">
        <v>157</v>
      </c>
      <c r="S81" s="504">
        <v>184.17</v>
      </c>
      <c r="T81" s="631">
        <v>132.67000000000002</v>
      </c>
      <c r="U81" s="632">
        <v>24713</v>
      </c>
      <c r="V81" s="631">
        <v>9887.08</v>
      </c>
      <c r="W81" s="504">
        <v>2062.33</v>
      </c>
      <c r="X81" s="630">
        <v>532.75</v>
      </c>
      <c r="Y81" s="632">
        <v>20600.420000000002</v>
      </c>
      <c r="Z81" s="630">
        <v>1026.58</v>
      </c>
      <c r="AA81" s="504">
        <v>977.33</v>
      </c>
      <c r="AB81" s="631">
        <v>4012.33</v>
      </c>
      <c r="AC81" s="632">
        <v>976.25</v>
      </c>
      <c r="AD81" s="631">
        <v>130.08000000000001</v>
      </c>
      <c r="AE81" s="632" t="s">
        <v>1442</v>
      </c>
    </row>
    <row r="82" spans="1:31" ht="14" thickBot="1">
      <c r="A82" s="501">
        <v>1566</v>
      </c>
      <c r="B82" s="502" t="s">
        <v>1434</v>
      </c>
      <c r="C82" s="503">
        <v>136814.58000000002</v>
      </c>
      <c r="D82" s="504">
        <v>11958.67</v>
      </c>
      <c r="E82" s="630">
        <v>13365.17</v>
      </c>
      <c r="F82" s="504">
        <v>25187.17</v>
      </c>
      <c r="G82" s="630">
        <v>139.58000000000001</v>
      </c>
      <c r="H82" s="504">
        <v>11328</v>
      </c>
      <c r="I82" s="503">
        <v>258.83</v>
      </c>
      <c r="J82" s="504">
        <v>268.75</v>
      </c>
      <c r="K82" s="503">
        <v>206.5</v>
      </c>
      <c r="L82" s="504">
        <v>7086.92</v>
      </c>
      <c r="M82" s="630">
        <v>2156.58</v>
      </c>
      <c r="N82" s="504">
        <v>795.42</v>
      </c>
      <c r="O82" s="630">
        <v>1112.25</v>
      </c>
      <c r="P82" s="504">
        <v>1773.25</v>
      </c>
      <c r="Q82" s="504" t="s">
        <v>1442</v>
      </c>
      <c r="R82" s="630">
        <v>7346.17</v>
      </c>
      <c r="S82" s="504">
        <v>5100.5</v>
      </c>
      <c r="T82" s="631">
        <v>185.67</v>
      </c>
      <c r="U82" s="632">
        <v>8396.5</v>
      </c>
      <c r="V82" s="631">
        <v>1635.67</v>
      </c>
      <c r="W82" s="504">
        <v>10359.75</v>
      </c>
      <c r="X82" s="630">
        <v>3685</v>
      </c>
      <c r="Y82" s="632">
        <v>3267</v>
      </c>
      <c r="Z82" s="630">
        <v>2091.92</v>
      </c>
      <c r="AA82" s="504">
        <v>15301.17</v>
      </c>
      <c r="AB82" s="631">
        <v>1733.17</v>
      </c>
      <c r="AC82" s="632">
        <v>405.08</v>
      </c>
      <c r="AD82" s="631">
        <v>1669.92</v>
      </c>
      <c r="AE82" s="632" t="s">
        <v>1442</v>
      </c>
    </row>
    <row r="83" spans="1:31" ht="14" thickBot="1">
      <c r="A83" s="501">
        <v>1568</v>
      </c>
      <c r="B83" s="502" t="s">
        <v>1435</v>
      </c>
      <c r="C83" s="503">
        <v>136839</v>
      </c>
      <c r="D83" s="504">
        <v>34314</v>
      </c>
      <c r="E83" s="630">
        <v>20340.5</v>
      </c>
      <c r="F83" s="504">
        <v>18860.170000000002</v>
      </c>
      <c r="G83" s="630">
        <v>256.25</v>
      </c>
      <c r="H83" s="504">
        <v>1760.92</v>
      </c>
      <c r="I83" s="503">
        <v>616.25</v>
      </c>
      <c r="J83" s="504">
        <v>721.5</v>
      </c>
      <c r="K83" s="503">
        <v>580.83000000000004</v>
      </c>
      <c r="L83" s="504">
        <v>571.08000000000004</v>
      </c>
      <c r="M83" s="630">
        <v>132.17000000000002</v>
      </c>
      <c r="N83" s="504">
        <v>17713.170000000002</v>
      </c>
      <c r="O83" s="630">
        <v>156.25</v>
      </c>
      <c r="P83" s="504">
        <v>480.75</v>
      </c>
      <c r="Q83" s="504" t="s">
        <v>1442</v>
      </c>
      <c r="R83" s="630">
        <v>372.25</v>
      </c>
      <c r="S83" s="504">
        <v>858.92</v>
      </c>
      <c r="T83" s="631">
        <v>158.58000000000001</v>
      </c>
      <c r="U83" s="632">
        <v>19074.5</v>
      </c>
      <c r="V83" s="631">
        <v>1044.42</v>
      </c>
      <c r="W83" s="504">
        <v>14364.25</v>
      </c>
      <c r="X83" s="630">
        <v>4002</v>
      </c>
      <c r="Y83" s="632">
        <v>105.25</v>
      </c>
      <c r="Z83" s="630">
        <v>229.5</v>
      </c>
      <c r="AA83" s="504">
        <v>39.67</v>
      </c>
      <c r="AB83" s="631">
        <v>44.42</v>
      </c>
      <c r="AC83" s="632">
        <v>32.42</v>
      </c>
      <c r="AD83" s="631">
        <v>7</v>
      </c>
      <c r="AE83" s="632">
        <v>2</v>
      </c>
    </row>
    <row r="84" spans="1:31" ht="14" thickBot="1">
      <c r="A84" s="501">
        <v>1569</v>
      </c>
      <c r="B84" s="502" t="s">
        <v>1436</v>
      </c>
      <c r="C84" s="503">
        <v>122161.86</v>
      </c>
      <c r="D84" s="504">
        <v>9499.77</v>
      </c>
      <c r="E84" s="630">
        <v>22357.83</v>
      </c>
      <c r="F84" s="504">
        <v>1668.44</v>
      </c>
      <c r="G84" s="630">
        <v>2751.75</v>
      </c>
      <c r="H84" s="504">
        <v>427.14</v>
      </c>
      <c r="I84" s="503">
        <v>492.68</v>
      </c>
      <c r="J84" s="504">
        <v>33.68</v>
      </c>
      <c r="K84" s="503">
        <v>4095.7</v>
      </c>
      <c r="L84" s="504">
        <v>301.64</v>
      </c>
      <c r="M84" s="630">
        <v>1631.96</v>
      </c>
      <c r="N84" s="504">
        <v>6200.26</v>
      </c>
      <c r="O84" s="630">
        <v>188.95</v>
      </c>
      <c r="P84" s="504">
        <v>1033.3600000000001</v>
      </c>
      <c r="Q84" s="504" t="s">
        <v>1442</v>
      </c>
      <c r="R84" s="630">
        <v>121.58</v>
      </c>
      <c r="S84" s="504">
        <v>1302.82</v>
      </c>
      <c r="T84" s="631">
        <v>126.68</v>
      </c>
      <c r="U84" s="632">
        <v>5345.21</v>
      </c>
      <c r="V84" s="631">
        <v>7995.16</v>
      </c>
      <c r="W84" s="504">
        <v>1205.3800000000001</v>
      </c>
      <c r="X84" s="630">
        <v>3061</v>
      </c>
      <c r="Y84" s="632">
        <v>10768.02</v>
      </c>
      <c r="Z84" s="630">
        <v>2083.85</v>
      </c>
      <c r="AA84" s="504">
        <v>28644.09</v>
      </c>
      <c r="AB84" s="631">
        <v>1382.14</v>
      </c>
      <c r="AC84" s="632">
        <v>1905.3</v>
      </c>
      <c r="AD84" s="631">
        <v>7537.5</v>
      </c>
      <c r="AE84" s="632" t="s">
        <v>1442</v>
      </c>
    </row>
    <row r="85" spans="1:31" ht="14" thickBot="1">
      <c r="A85" s="501">
        <v>1570</v>
      </c>
      <c r="B85" s="502" t="s">
        <v>1437</v>
      </c>
      <c r="C85" s="503">
        <v>23726.25</v>
      </c>
      <c r="D85" s="504">
        <v>165.83</v>
      </c>
      <c r="E85" s="630">
        <v>571.25</v>
      </c>
      <c r="F85" s="504">
        <v>18.670000000000002</v>
      </c>
      <c r="G85" s="630">
        <v>3</v>
      </c>
      <c r="H85" s="504">
        <v>21</v>
      </c>
      <c r="I85" s="503">
        <v>49.83</v>
      </c>
      <c r="J85" s="504">
        <v>41.5</v>
      </c>
      <c r="K85" s="503" t="s">
        <v>1442</v>
      </c>
      <c r="L85" s="504">
        <v>40.75</v>
      </c>
      <c r="M85" s="630">
        <v>2415</v>
      </c>
      <c r="N85" s="504">
        <v>33.33</v>
      </c>
      <c r="O85" s="630">
        <v>6.5</v>
      </c>
      <c r="P85" s="504">
        <v>26.67</v>
      </c>
      <c r="Q85" s="504" t="s">
        <v>1442</v>
      </c>
      <c r="R85" s="630">
        <v>287.17</v>
      </c>
      <c r="S85" s="504">
        <v>0.42</v>
      </c>
      <c r="T85" s="631" t="s">
        <v>1442</v>
      </c>
      <c r="U85" s="632">
        <v>18.330000000000002</v>
      </c>
      <c r="V85" s="631">
        <v>3</v>
      </c>
      <c r="W85" s="504">
        <v>109.25</v>
      </c>
      <c r="X85" s="630">
        <v>6</v>
      </c>
      <c r="Y85" s="632">
        <v>362.5</v>
      </c>
      <c r="Z85" s="630">
        <v>13110.58</v>
      </c>
      <c r="AA85" s="504">
        <v>2361.92</v>
      </c>
      <c r="AB85" s="631">
        <v>1630.83</v>
      </c>
      <c r="AC85" s="632">
        <v>1892.83</v>
      </c>
      <c r="AD85" s="631">
        <v>550.08000000000004</v>
      </c>
      <c r="AE85" s="632" t="s">
        <v>1442</v>
      </c>
    </row>
    <row r="86" spans="1:31" ht="14" thickBot="1">
      <c r="A86" s="501">
        <v>1571</v>
      </c>
      <c r="B86" s="502" t="s">
        <v>1438</v>
      </c>
      <c r="C86" s="503">
        <v>3824.42</v>
      </c>
      <c r="D86" s="504">
        <v>265.42</v>
      </c>
      <c r="E86" s="630">
        <v>285.42</v>
      </c>
      <c r="F86" s="504">
        <v>34.08</v>
      </c>
      <c r="G86" s="630">
        <v>1</v>
      </c>
      <c r="H86" s="504">
        <v>51.58</v>
      </c>
      <c r="I86" s="503">
        <v>23.33</v>
      </c>
      <c r="J86" s="504">
        <v>11.42</v>
      </c>
      <c r="K86" s="503">
        <v>19.670000000000002</v>
      </c>
      <c r="L86" s="504">
        <v>6.17</v>
      </c>
      <c r="M86" s="630">
        <v>12.92</v>
      </c>
      <c r="N86" s="504">
        <v>101.17</v>
      </c>
      <c r="O86" s="630">
        <v>30.42</v>
      </c>
      <c r="P86" s="504">
        <v>46.42</v>
      </c>
      <c r="Q86" s="504" t="s">
        <v>1442</v>
      </c>
      <c r="R86" s="630">
        <v>38.67</v>
      </c>
      <c r="S86" s="504">
        <v>1.75</v>
      </c>
      <c r="T86" s="631">
        <v>2.92</v>
      </c>
      <c r="U86" s="632">
        <v>207.83</v>
      </c>
      <c r="V86" s="631">
        <v>78.25</v>
      </c>
      <c r="W86" s="504">
        <v>998.33</v>
      </c>
      <c r="X86" s="630">
        <v>58.67</v>
      </c>
      <c r="Y86" s="632" t="s">
        <v>1442</v>
      </c>
      <c r="Z86" s="630">
        <v>737.83</v>
      </c>
      <c r="AA86" s="504">
        <v>653.75</v>
      </c>
      <c r="AB86" s="631">
        <v>82</v>
      </c>
      <c r="AC86" s="632">
        <v>33.17</v>
      </c>
      <c r="AD86" s="631">
        <v>42.25</v>
      </c>
      <c r="AE86" s="632" t="s">
        <v>1442</v>
      </c>
    </row>
    <row r="87" spans="1:31" ht="14" thickBot="1">
      <c r="A87" s="501">
        <v>1574</v>
      </c>
      <c r="B87" s="502" t="s">
        <v>1439</v>
      </c>
      <c r="C87" s="503">
        <v>1116.83</v>
      </c>
      <c r="D87" s="504">
        <v>15.67</v>
      </c>
      <c r="E87" s="630">
        <v>5.08</v>
      </c>
      <c r="F87" s="504">
        <v>1</v>
      </c>
      <c r="G87" s="630" t="s">
        <v>1442</v>
      </c>
      <c r="H87" s="504" t="s">
        <v>1442</v>
      </c>
      <c r="I87" s="503" t="s">
        <v>1442</v>
      </c>
      <c r="J87" s="504" t="s">
        <v>1442</v>
      </c>
      <c r="K87" s="503" t="s">
        <v>1442</v>
      </c>
      <c r="L87" s="504" t="s">
        <v>1442</v>
      </c>
      <c r="M87" s="630">
        <v>48.92</v>
      </c>
      <c r="N87" s="504">
        <v>0.17</v>
      </c>
      <c r="O87" s="630">
        <v>2.58</v>
      </c>
      <c r="P87" s="504">
        <v>1</v>
      </c>
      <c r="Q87" s="504" t="s">
        <v>1442</v>
      </c>
      <c r="R87" s="630" t="s">
        <v>1442</v>
      </c>
      <c r="S87" s="504" t="s">
        <v>1442</v>
      </c>
      <c r="T87" s="631" t="s">
        <v>1442</v>
      </c>
      <c r="U87" s="632">
        <v>4.08</v>
      </c>
      <c r="V87" s="631" t="s">
        <v>1442</v>
      </c>
      <c r="W87" s="504">
        <v>1.25</v>
      </c>
      <c r="X87" s="630">
        <v>45.25</v>
      </c>
      <c r="Y87" s="632">
        <v>0.5</v>
      </c>
      <c r="Z87" s="630">
        <v>961.17</v>
      </c>
      <c r="AA87" s="504" t="s">
        <v>1442</v>
      </c>
      <c r="AB87" s="631">
        <v>27.58</v>
      </c>
      <c r="AC87" s="632">
        <v>2.58</v>
      </c>
      <c r="AD87" s="631" t="s">
        <v>1442</v>
      </c>
      <c r="AE87" s="632" t="s">
        <v>1442</v>
      </c>
    </row>
    <row r="88" spans="1:31" ht="14" thickBot="1">
      <c r="A88" s="501">
        <v>1575</v>
      </c>
      <c r="B88" s="502" t="s">
        <v>1440</v>
      </c>
      <c r="C88" s="503">
        <v>44556.67</v>
      </c>
      <c r="D88" s="504">
        <v>8924.08</v>
      </c>
      <c r="E88" s="630">
        <v>20096.420000000002</v>
      </c>
      <c r="F88" s="504">
        <v>819.58</v>
      </c>
      <c r="G88" s="630">
        <v>15.5</v>
      </c>
      <c r="H88" s="504">
        <v>671.42</v>
      </c>
      <c r="I88" s="503">
        <v>102.08</v>
      </c>
      <c r="J88" s="504">
        <v>93</v>
      </c>
      <c r="K88" s="503">
        <v>294.67</v>
      </c>
      <c r="L88" s="504">
        <v>421.5</v>
      </c>
      <c r="M88" s="630">
        <v>584.08000000000004</v>
      </c>
      <c r="N88" s="504">
        <v>2656.42</v>
      </c>
      <c r="O88" s="630">
        <v>933.42</v>
      </c>
      <c r="P88" s="504">
        <v>749.58</v>
      </c>
      <c r="Q88" s="504" t="s">
        <v>1442</v>
      </c>
      <c r="R88" s="630">
        <v>76.67</v>
      </c>
      <c r="S88" s="504">
        <v>102.42</v>
      </c>
      <c r="T88" s="631">
        <v>5</v>
      </c>
      <c r="U88" s="632">
        <v>583.25</v>
      </c>
      <c r="V88" s="631">
        <v>682.92</v>
      </c>
      <c r="W88" s="504">
        <v>2008</v>
      </c>
      <c r="X88" s="630">
        <v>116.67</v>
      </c>
      <c r="Y88" s="632">
        <v>36.92</v>
      </c>
      <c r="Z88" s="630">
        <v>3911.92</v>
      </c>
      <c r="AA88" s="504">
        <v>108.67</v>
      </c>
      <c r="AB88" s="631">
        <v>183.5</v>
      </c>
      <c r="AC88" s="632">
        <v>317.92</v>
      </c>
      <c r="AD88" s="631">
        <v>57.08</v>
      </c>
      <c r="AE88" s="632">
        <v>4</v>
      </c>
    </row>
    <row r="89" spans="1:31" ht="14" thickBot="1">
      <c r="A89" s="501">
        <v>1577</v>
      </c>
      <c r="B89" s="502" t="s">
        <v>968</v>
      </c>
      <c r="C89" s="503">
        <v>21793.82</v>
      </c>
      <c r="D89" s="504">
        <v>10148.02</v>
      </c>
      <c r="E89" s="630">
        <v>3652.68</v>
      </c>
      <c r="F89" s="504">
        <v>161.38</v>
      </c>
      <c r="G89" s="630">
        <v>13.96</v>
      </c>
      <c r="H89" s="504">
        <v>111.54</v>
      </c>
      <c r="I89" s="503">
        <v>16.71</v>
      </c>
      <c r="J89" s="504">
        <v>17.420000000000002</v>
      </c>
      <c r="K89" s="503">
        <v>26.22</v>
      </c>
      <c r="L89" s="504">
        <v>58.9</v>
      </c>
      <c r="M89" s="630">
        <v>843.37</v>
      </c>
      <c r="N89" s="504">
        <v>1532.98</v>
      </c>
      <c r="O89" s="630">
        <v>62.49</v>
      </c>
      <c r="P89" s="504">
        <v>903.03</v>
      </c>
      <c r="Q89" s="504" t="s">
        <v>1442</v>
      </c>
      <c r="R89" s="630">
        <v>173.74</v>
      </c>
      <c r="S89" s="504">
        <v>12.74</v>
      </c>
      <c r="T89" s="631">
        <v>2.98</v>
      </c>
      <c r="U89" s="632">
        <v>310.94</v>
      </c>
      <c r="V89" s="631">
        <v>12.82</v>
      </c>
      <c r="W89" s="504">
        <v>798.26</v>
      </c>
      <c r="X89" s="630">
        <v>863.7</v>
      </c>
      <c r="Y89" s="632">
        <v>1.1599999999999999</v>
      </c>
      <c r="Z89" s="630">
        <v>1141.99</v>
      </c>
      <c r="AA89" s="504">
        <v>290.72000000000003</v>
      </c>
      <c r="AB89" s="631">
        <v>62.8</v>
      </c>
      <c r="AC89" s="632">
        <v>467.39</v>
      </c>
      <c r="AD89" s="631">
        <v>105.88</v>
      </c>
      <c r="AE89" s="632" t="s">
        <v>1442</v>
      </c>
    </row>
    <row r="90" spans="1:31" ht="14" thickBot="1">
      <c r="A90" s="501"/>
      <c r="B90" s="502"/>
      <c r="C90" s="503" t="s">
        <v>1442</v>
      </c>
      <c r="D90" s="504" t="s">
        <v>1442</v>
      </c>
      <c r="E90" s="630" t="s">
        <v>1442</v>
      </c>
      <c r="F90" s="504" t="s">
        <v>1442</v>
      </c>
      <c r="G90" s="630" t="s">
        <v>1442</v>
      </c>
      <c r="H90" s="504" t="s">
        <v>1442</v>
      </c>
      <c r="I90" s="503" t="s">
        <v>1442</v>
      </c>
      <c r="J90" s="504" t="s">
        <v>1442</v>
      </c>
      <c r="K90" s="503" t="s">
        <v>1442</v>
      </c>
      <c r="L90" s="504" t="s">
        <v>1442</v>
      </c>
      <c r="M90" s="630" t="s">
        <v>1442</v>
      </c>
      <c r="N90" s="504" t="s">
        <v>1442</v>
      </c>
      <c r="O90" s="630" t="s">
        <v>1442</v>
      </c>
      <c r="P90" s="504" t="s">
        <v>1442</v>
      </c>
      <c r="Q90" s="504" t="s">
        <v>1442</v>
      </c>
      <c r="R90" s="630" t="s">
        <v>1442</v>
      </c>
      <c r="S90" s="504" t="s">
        <v>1442</v>
      </c>
      <c r="T90" s="631" t="s">
        <v>1442</v>
      </c>
      <c r="U90" s="632" t="s">
        <v>1442</v>
      </c>
      <c r="V90" s="631" t="s">
        <v>1442</v>
      </c>
      <c r="W90" s="504" t="s">
        <v>1442</v>
      </c>
      <c r="X90" s="630" t="s">
        <v>1442</v>
      </c>
      <c r="Y90" s="632" t="s">
        <v>1442</v>
      </c>
      <c r="Z90" s="630" t="s">
        <v>1442</v>
      </c>
      <c r="AA90" s="504" t="s">
        <v>1442</v>
      </c>
      <c r="AB90" s="631" t="s">
        <v>1442</v>
      </c>
      <c r="AC90" s="632" t="s">
        <v>1442</v>
      </c>
      <c r="AD90" s="631" t="s">
        <v>1442</v>
      </c>
      <c r="AE90" s="632" t="s">
        <v>1442</v>
      </c>
    </row>
    <row r="91" spans="1:31" ht="14" thickBot="1">
      <c r="A91" s="501"/>
      <c r="B91" s="502"/>
      <c r="C91" s="503" t="s">
        <v>1442</v>
      </c>
      <c r="D91" s="504" t="s">
        <v>1442</v>
      </c>
      <c r="E91" s="630" t="s">
        <v>1442</v>
      </c>
      <c r="F91" s="504" t="s">
        <v>1442</v>
      </c>
      <c r="G91" s="630" t="s">
        <v>1442</v>
      </c>
      <c r="H91" s="504" t="s">
        <v>1442</v>
      </c>
      <c r="I91" s="503" t="s">
        <v>1442</v>
      </c>
      <c r="J91" s="504" t="s">
        <v>1442</v>
      </c>
      <c r="K91" s="503" t="s">
        <v>1442</v>
      </c>
      <c r="L91" s="504" t="s">
        <v>1442</v>
      </c>
      <c r="M91" s="630" t="s">
        <v>1442</v>
      </c>
      <c r="N91" s="504" t="s">
        <v>1442</v>
      </c>
      <c r="O91" s="630" t="s">
        <v>1442</v>
      </c>
      <c r="P91" s="504" t="s">
        <v>1442</v>
      </c>
      <c r="Q91" s="504" t="s">
        <v>1442</v>
      </c>
      <c r="R91" s="630" t="s">
        <v>1442</v>
      </c>
      <c r="S91" s="504" t="s">
        <v>1442</v>
      </c>
      <c r="T91" s="631" t="s">
        <v>1442</v>
      </c>
      <c r="U91" s="632" t="s">
        <v>1442</v>
      </c>
      <c r="V91" s="631" t="s">
        <v>1442</v>
      </c>
      <c r="W91" s="504" t="s">
        <v>1442</v>
      </c>
      <c r="X91" s="630" t="s">
        <v>1442</v>
      </c>
      <c r="Y91" s="632" t="s">
        <v>1442</v>
      </c>
      <c r="Z91" s="630" t="s">
        <v>1442</v>
      </c>
      <c r="AA91" s="504" t="s">
        <v>1442</v>
      </c>
      <c r="AB91" s="631" t="s">
        <v>1442</v>
      </c>
      <c r="AC91" s="632" t="s">
        <v>1442</v>
      </c>
      <c r="AD91" s="631" t="s">
        <v>1442</v>
      </c>
      <c r="AE91" s="632" t="s">
        <v>1442</v>
      </c>
    </row>
    <row r="92" spans="1:31" ht="14" thickBot="1">
      <c r="A92" s="501"/>
      <c r="B92" s="502"/>
      <c r="C92" s="503" t="s">
        <v>1442</v>
      </c>
      <c r="D92" s="504" t="s">
        <v>1442</v>
      </c>
      <c r="E92" s="630" t="s">
        <v>1442</v>
      </c>
      <c r="F92" s="504" t="s">
        <v>1442</v>
      </c>
      <c r="G92" s="630" t="s">
        <v>1442</v>
      </c>
      <c r="H92" s="504" t="s">
        <v>1442</v>
      </c>
      <c r="I92" s="503" t="s">
        <v>1442</v>
      </c>
      <c r="J92" s="504" t="s">
        <v>1442</v>
      </c>
      <c r="K92" s="503" t="s">
        <v>1442</v>
      </c>
      <c r="L92" s="504" t="s">
        <v>1442</v>
      </c>
      <c r="M92" s="630" t="s">
        <v>1442</v>
      </c>
      <c r="N92" s="504" t="s">
        <v>1442</v>
      </c>
      <c r="O92" s="630" t="s">
        <v>1442</v>
      </c>
      <c r="P92" s="504" t="s">
        <v>1442</v>
      </c>
      <c r="Q92" s="504" t="s">
        <v>1442</v>
      </c>
      <c r="R92" s="630" t="s">
        <v>1442</v>
      </c>
      <c r="S92" s="504" t="s">
        <v>1442</v>
      </c>
      <c r="T92" s="631" t="s">
        <v>1442</v>
      </c>
      <c r="U92" s="632" t="s">
        <v>1442</v>
      </c>
      <c r="V92" s="631" t="s">
        <v>1442</v>
      </c>
      <c r="W92" s="504" t="s">
        <v>1442</v>
      </c>
      <c r="X92" s="630" t="s">
        <v>1442</v>
      </c>
      <c r="Y92" s="632" t="s">
        <v>1442</v>
      </c>
      <c r="Z92" s="630" t="s">
        <v>1442</v>
      </c>
      <c r="AA92" s="504" t="s">
        <v>1442</v>
      </c>
      <c r="AB92" s="631" t="s">
        <v>1442</v>
      </c>
      <c r="AC92" s="632" t="s">
        <v>1442</v>
      </c>
      <c r="AD92" s="631" t="s">
        <v>1442</v>
      </c>
      <c r="AE92" s="632" t="s">
        <v>1442</v>
      </c>
    </row>
    <row r="93" spans="1:31" ht="14" thickBot="1">
      <c r="A93" s="501"/>
      <c r="B93" s="502"/>
      <c r="C93" s="503" t="s">
        <v>1442</v>
      </c>
      <c r="D93" s="504" t="s">
        <v>1442</v>
      </c>
      <c r="E93" s="630" t="s">
        <v>1442</v>
      </c>
      <c r="F93" s="504" t="s">
        <v>1442</v>
      </c>
      <c r="G93" s="630" t="s">
        <v>1442</v>
      </c>
      <c r="H93" s="504" t="s">
        <v>1442</v>
      </c>
      <c r="I93" s="503" t="s">
        <v>1442</v>
      </c>
      <c r="J93" s="504" t="s">
        <v>1442</v>
      </c>
      <c r="K93" s="503" t="s">
        <v>1442</v>
      </c>
      <c r="L93" s="504" t="s">
        <v>1442</v>
      </c>
      <c r="M93" s="630" t="s">
        <v>1442</v>
      </c>
      <c r="N93" s="504" t="s">
        <v>1442</v>
      </c>
      <c r="O93" s="630" t="s">
        <v>1442</v>
      </c>
      <c r="P93" s="504" t="s">
        <v>1442</v>
      </c>
      <c r="Q93" s="504" t="s">
        <v>1442</v>
      </c>
      <c r="R93" s="630" t="s">
        <v>1442</v>
      </c>
      <c r="S93" s="504" t="s">
        <v>1442</v>
      </c>
      <c r="T93" s="631" t="s">
        <v>1442</v>
      </c>
      <c r="U93" s="632" t="s">
        <v>1442</v>
      </c>
      <c r="V93" s="631" t="s">
        <v>1442</v>
      </c>
      <c r="W93" s="504" t="s">
        <v>1442</v>
      </c>
      <c r="X93" s="630" t="s">
        <v>1442</v>
      </c>
      <c r="Y93" s="632" t="s">
        <v>1442</v>
      </c>
      <c r="Z93" s="630" t="s">
        <v>1442</v>
      </c>
      <c r="AA93" s="504" t="s">
        <v>1442</v>
      </c>
      <c r="AB93" s="631" t="s">
        <v>1442</v>
      </c>
      <c r="AC93" s="632" t="s">
        <v>1442</v>
      </c>
      <c r="AD93" s="631" t="s">
        <v>1442</v>
      </c>
      <c r="AE93" s="632" t="s">
        <v>1442</v>
      </c>
    </row>
    <row r="94" spans="1:31" ht="14" thickBot="1">
      <c r="A94" s="501"/>
      <c r="B94" s="502"/>
      <c r="C94" s="503" t="s">
        <v>1442</v>
      </c>
      <c r="D94" s="504" t="s">
        <v>1442</v>
      </c>
      <c r="E94" s="630" t="s">
        <v>1442</v>
      </c>
      <c r="F94" s="504" t="s">
        <v>1442</v>
      </c>
      <c r="G94" s="630" t="s">
        <v>1442</v>
      </c>
      <c r="H94" s="504" t="s">
        <v>1442</v>
      </c>
      <c r="I94" s="503" t="s">
        <v>1442</v>
      </c>
      <c r="J94" s="504" t="s">
        <v>1442</v>
      </c>
      <c r="K94" s="503" t="s">
        <v>1442</v>
      </c>
      <c r="L94" s="504" t="s">
        <v>1442</v>
      </c>
      <c r="M94" s="630" t="s">
        <v>1442</v>
      </c>
      <c r="N94" s="504" t="s">
        <v>1442</v>
      </c>
      <c r="O94" s="630" t="s">
        <v>1442</v>
      </c>
      <c r="P94" s="504" t="s">
        <v>1442</v>
      </c>
      <c r="Q94" s="504" t="s">
        <v>1442</v>
      </c>
      <c r="R94" s="630" t="s">
        <v>1442</v>
      </c>
      <c r="S94" s="504" t="s">
        <v>1442</v>
      </c>
      <c r="T94" s="631" t="s">
        <v>1442</v>
      </c>
      <c r="U94" s="632" t="s">
        <v>1442</v>
      </c>
      <c r="V94" s="631" t="s">
        <v>1442</v>
      </c>
      <c r="W94" s="504" t="s">
        <v>1442</v>
      </c>
      <c r="X94" s="630" t="s">
        <v>1442</v>
      </c>
      <c r="Y94" s="632" t="s">
        <v>1442</v>
      </c>
      <c r="Z94" s="630" t="s">
        <v>1442</v>
      </c>
      <c r="AA94" s="504" t="s">
        <v>1442</v>
      </c>
      <c r="AB94" s="631" t="s">
        <v>1442</v>
      </c>
      <c r="AC94" s="632" t="s">
        <v>1442</v>
      </c>
      <c r="AD94" s="631" t="s">
        <v>1442</v>
      </c>
      <c r="AE94" s="632" t="s">
        <v>1442</v>
      </c>
    </row>
    <row r="95" spans="1:31" ht="14" thickBot="1">
      <c r="A95" s="501"/>
      <c r="B95" s="502"/>
      <c r="C95" s="503" t="s">
        <v>1442</v>
      </c>
      <c r="D95" s="504" t="s">
        <v>1442</v>
      </c>
      <c r="E95" s="630" t="s">
        <v>1442</v>
      </c>
      <c r="F95" s="504" t="s">
        <v>1442</v>
      </c>
      <c r="G95" s="630" t="s">
        <v>1442</v>
      </c>
      <c r="H95" s="504" t="s">
        <v>1442</v>
      </c>
      <c r="I95" s="503" t="s">
        <v>1442</v>
      </c>
      <c r="J95" s="504" t="s">
        <v>1442</v>
      </c>
      <c r="K95" s="503" t="s">
        <v>1442</v>
      </c>
      <c r="L95" s="504" t="s">
        <v>1442</v>
      </c>
      <c r="M95" s="630" t="s">
        <v>1442</v>
      </c>
      <c r="N95" s="504" t="s">
        <v>1442</v>
      </c>
      <c r="O95" s="630" t="s">
        <v>1442</v>
      </c>
      <c r="P95" s="504" t="s">
        <v>1442</v>
      </c>
      <c r="Q95" s="504" t="s">
        <v>1442</v>
      </c>
      <c r="R95" s="630" t="s">
        <v>1442</v>
      </c>
      <c r="S95" s="504" t="s">
        <v>1442</v>
      </c>
      <c r="T95" s="631" t="s">
        <v>1442</v>
      </c>
      <c r="U95" s="632" t="s">
        <v>1442</v>
      </c>
      <c r="V95" s="631" t="s">
        <v>1442</v>
      </c>
      <c r="W95" s="504" t="s">
        <v>1442</v>
      </c>
      <c r="X95" s="630" t="s">
        <v>1442</v>
      </c>
      <c r="Y95" s="632" t="s">
        <v>1442</v>
      </c>
      <c r="Z95" s="630" t="s">
        <v>1442</v>
      </c>
      <c r="AA95" s="504" t="s">
        <v>1442</v>
      </c>
      <c r="AB95" s="631" t="s">
        <v>1442</v>
      </c>
      <c r="AC95" s="632" t="s">
        <v>1442</v>
      </c>
      <c r="AD95" s="631" t="s">
        <v>1442</v>
      </c>
      <c r="AE95" s="632" t="s">
        <v>1442</v>
      </c>
    </row>
    <row r="96" spans="1:31" ht="14" thickBot="1">
      <c r="A96" s="501"/>
      <c r="B96" s="502"/>
      <c r="C96" s="503" t="s">
        <v>1442</v>
      </c>
      <c r="D96" s="504" t="s">
        <v>1442</v>
      </c>
      <c r="E96" s="630" t="s">
        <v>1442</v>
      </c>
      <c r="F96" s="504" t="s">
        <v>1442</v>
      </c>
      <c r="G96" s="630" t="s">
        <v>1442</v>
      </c>
      <c r="H96" s="504" t="s">
        <v>1442</v>
      </c>
      <c r="I96" s="503" t="s">
        <v>1442</v>
      </c>
      <c r="J96" s="504" t="s">
        <v>1442</v>
      </c>
      <c r="K96" s="503" t="s">
        <v>1442</v>
      </c>
      <c r="L96" s="504" t="s">
        <v>1442</v>
      </c>
      <c r="M96" s="630" t="s">
        <v>1442</v>
      </c>
      <c r="N96" s="504" t="s">
        <v>1442</v>
      </c>
      <c r="O96" s="630" t="s">
        <v>1442</v>
      </c>
      <c r="P96" s="504" t="s">
        <v>1442</v>
      </c>
      <c r="Q96" s="504" t="s">
        <v>1442</v>
      </c>
      <c r="R96" s="630" t="s">
        <v>1442</v>
      </c>
      <c r="S96" s="504" t="s">
        <v>1442</v>
      </c>
      <c r="T96" s="631" t="s">
        <v>1442</v>
      </c>
      <c r="U96" s="632" t="s">
        <v>1442</v>
      </c>
      <c r="V96" s="631" t="s">
        <v>1442</v>
      </c>
      <c r="W96" s="504" t="s">
        <v>1442</v>
      </c>
      <c r="X96" s="630" t="s">
        <v>1442</v>
      </c>
      <c r="Y96" s="632" t="s">
        <v>1442</v>
      </c>
      <c r="Z96" s="630" t="s">
        <v>1442</v>
      </c>
      <c r="AA96" s="504" t="s">
        <v>1442</v>
      </c>
      <c r="AB96" s="631" t="s">
        <v>1442</v>
      </c>
      <c r="AC96" s="632" t="s">
        <v>1442</v>
      </c>
      <c r="AD96" s="631" t="s">
        <v>1442</v>
      </c>
      <c r="AE96" s="632" t="s">
        <v>1442</v>
      </c>
    </row>
    <row r="97" spans="1:31" ht="14" thickBot="1">
      <c r="A97" s="501"/>
      <c r="B97" s="502"/>
      <c r="C97" s="503" t="s">
        <v>1442</v>
      </c>
      <c r="D97" s="504" t="s">
        <v>1442</v>
      </c>
      <c r="E97" s="630" t="s">
        <v>1442</v>
      </c>
      <c r="F97" s="504" t="s">
        <v>1442</v>
      </c>
      <c r="G97" s="630" t="s">
        <v>1442</v>
      </c>
      <c r="H97" s="504" t="s">
        <v>1442</v>
      </c>
      <c r="I97" s="503" t="s">
        <v>1442</v>
      </c>
      <c r="J97" s="504" t="s">
        <v>1442</v>
      </c>
      <c r="K97" s="503" t="s">
        <v>1442</v>
      </c>
      <c r="L97" s="504" t="s">
        <v>1442</v>
      </c>
      <c r="M97" s="630" t="s">
        <v>1442</v>
      </c>
      <c r="N97" s="504" t="s">
        <v>1442</v>
      </c>
      <c r="O97" s="630" t="s">
        <v>1442</v>
      </c>
      <c r="P97" s="504" t="s">
        <v>1442</v>
      </c>
      <c r="Q97" s="504" t="s">
        <v>1442</v>
      </c>
      <c r="R97" s="630" t="s">
        <v>1442</v>
      </c>
      <c r="S97" s="504" t="s">
        <v>1442</v>
      </c>
      <c r="T97" s="631" t="s">
        <v>1442</v>
      </c>
      <c r="U97" s="632" t="s">
        <v>1442</v>
      </c>
      <c r="V97" s="631" t="s">
        <v>1442</v>
      </c>
      <c r="W97" s="504" t="s">
        <v>1442</v>
      </c>
      <c r="X97" s="630" t="s">
        <v>1442</v>
      </c>
      <c r="Y97" s="632" t="s">
        <v>1442</v>
      </c>
      <c r="Z97" s="630" t="s">
        <v>1442</v>
      </c>
      <c r="AA97" s="504" t="s">
        <v>1442</v>
      </c>
      <c r="AB97" s="631" t="s">
        <v>1442</v>
      </c>
      <c r="AC97" s="632" t="s">
        <v>1442</v>
      </c>
      <c r="AD97" s="631" t="s">
        <v>1442</v>
      </c>
      <c r="AE97" s="632" t="s">
        <v>1442</v>
      </c>
    </row>
    <row r="98" spans="1:31" ht="14" thickBot="1">
      <c r="A98" s="501"/>
      <c r="B98" s="502"/>
      <c r="C98" s="503" t="s">
        <v>1442</v>
      </c>
      <c r="D98" s="504" t="s">
        <v>1442</v>
      </c>
      <c r="E98" s="630" t="s">
        <v>1442</v>
      </c>
      <c r="F98" s="504" t="s">
        <v>1442</v>
      </c>
      <c r="G98" s="630" t="s">
        <v>1442</v>
      </c>
      <c r="H98" s="504" t="s">
        <v>1442</v>
      </c>
      <c r="I98" s="503" t="s">
        <v>1442</v>
      </c>
      <c r="J98" s="504" t="s">
        <v>1442</v>
      </c>
      <c r="K98" s="503" t="s">
        <v>1442</v>
      </c>
      <c r="L98" s="504" t="s">
        <v>1442</v>
      </c>
      <c r="M98" s="630" t="s">
        <v>1442</v>
      </c>
      <c r="N98" s="504" t="s">
        <v>1442</v>
      </c>
      <c r="O98" s="630" t="s">
        <v>1442</v>
      </c>
      <c r="P98" s="504" t="s">
        <v>1442</v>
      </c>
      <c r="Q98" s="504" t="s">
        <v>1442</v>
      </c>
      <c r="R98" s="630" t="s">
        <v>1442</v>
      </c>
      <c r="S98" s="504" t="s">
        <v>1442</v>
      </c>
      <c r="T98" s="631" t="s">
        <v>1442</v>
      </c>
      <c r="U98" s="632" t="s">
        <v>1442</v>
      </c>
      <c r="V98" s="631" t="s">
        <v>1442</v>
      </c>
      <c r="W98" s="504" t="s">
        <v>1442</v>
      </c>
      <c r="X98" s="630" t="s">
        <v>1442</v>
      </c>
      <c r="Y98" s="632" t="s">
        <v>1442</v>
      </c>
      <c r="Z98" s="630" t="s">
        <v>1442</v>
      </c>
      <c r="AA98" s="504" t="s">
        <v>1442</v>
      </c>
      <c r="AB98" s="631" t="s">
        <v>1442</v>
      </c>
      <c r="AC98" s="632" t="s">
        <v>1442</v>
      </c>
      <c r="AD98" s="631" t="s">
        <v>1442</v>
      </c>
      <c r="AE98" s="632" t="s">
        <v>1442</v>
      </c>
    </row>
    <row r="99" spans="1:31" ht="14" thickBot="1">
      <c r="A99" s="501"/>
      <c r="B99" s="502"/>
      <c r="C99" s="503" t="s">
        <v>1442</v>
      </c>
      <c r="D99" s="504" t="s">
        <v>1442</v>
      </c>
      <c r="E99" s="630" t="s">
        <v>1442</v>
      </c>
      <c r="F99" s="504" t="s">
        <v>1442</v>
      </c>
      <c r="G99" s="630" t="s">
        <v>1442</v>
      </c>
      <c r="H99" s="504" t="s">
        <v>1442</v>
      </c>
      <c r="I99" s="503" t="s">
        <v>1442</v>
      </c>
      <c r="J99" s="504" t="s">
        <v>1442</v>
      </c>
      <c r="K99" s="503" t="s">
        <v>1442</v>
      </c>
      <c r="L99" s="504" t="s">
        <v>1442</v>
      </c>
      <c r="M99" s="630" t="s">
        <v>1442</v>
      </c>
      <c r="N99" s="504" t="s">
        <v>1442</v>
      </c>
      <c r="O99" s="630" t="s">
        <v>1442</v>
      </c>
      <c r="P99" s="504" t="s">
        <v>1442</v>
      </c>
      <c r="Q99" s="504" t="s">
        <v>1442</v>
      </c>
      <c r="R99" s="630" t="s">
        <v>1442</v>
      </c>
      <c r="S99" s="504" t="s">
        <v>1442</v>
      </c>
      <c r="T99" s="631" t="s">
        <v>1442</v>
      </c>
      <c r="U99" s="632" t="s">
        <v>1442</v>
      </c>
      <c r="V99" s="631" t="s">
        <v>1442</v>
      </c>
      <c r="W99" s="504" t="s">
        <v>1442</v>
      </c>
      <c r="X99" s="630" t="s">
        <v>1442</v>
      </c>
      <c r="Y99" s="632" t="s">
        <v>1442</v>
      </c>
      <c r="Z99" s="630" t="s">
        <v>1442</v>
      </c>
      <c r="AA99" s="504" t="s">
        <v>1442</v>
      </c>
      <c r="AB99" s="631" t="s">
        <v>1442</v>
      </c>
      <c r="AC99" s="632" t="s">
        <v>1442</v>
      </c>
      <c r="AD99" s="631" t="s">
        <v>1442</v>
      </c>
      <c r="AE99" s="632" t="s">
        <v>1442</v>
      </c>
    </row>
    <row r="100" spans="1:31" ht="14" thickBot="1">
      <c r="A100" s="501"/>
      <c r="B100" s="502"/>
      <c r="C100" s="503" t="s">
        <v>1442</v>
      </c>
      <c r="D100" s="504" t="s">
        <v>1442</v>
      </c>
      <c r="E100" s="630" t="s">
        <v>1442</v>
      </c>
      <c r="F100" s="504" t="s">
        <v>1442</v>
      </c>
      <c r="G100" s="630" t="s">
        <v>1442</v>
      </c>
      <c r="H100" s="504" t="s">
        <v>1442</v>
      </c>
      <c r="I100" s="503" t="s">
        <v>1442</v>
      </c>
      <c r="J100" s="504" t="s">
        <v>1442</v>
      </c>
      <c r="K100" s="503" t="s">
        <v>1442</v>
      </c>
      <c r="L100" s="504" t="s">
        <v>1442</v>
      </c>
      <c r="M100" s="630" t="s">
        <v>1442</v>
      </c>
      <c r="N100" s="504" t="s">
        <v>1442</v>
      </c>
      <c r="O100" s="630" t="s">
        <v>1442</v>
      </c>
      <c r="P100" s="504" t="s">
        <v>1442</v>
      </c>
      <c r="Q100" s="504" t="s">
        <v>1442</v>
      </c>
      <c r="R100" s="630" t="s">
        <v>1442</v>
      </c>
      <c r="S100" s="504" t="s">
        <v>1442</v>
      </c>
      <c r="T100" s="631" t="s">
        <v>1442</v>
      </c>
      <c r="U100" s="632" t="s">
        <v>1442</v>
      </c>
      <c r="V100" s="631" t="s">
        <v>1442</v>
      </c>
      <c r="W100" s="504" t="s">
        <v>1442</v>
      </c>
      <c r="X100" s="630" t="s">
        <v>1442</v>
      </c>
      <c r="Y100" s="632" t="s">
        <v>1442</v>
      </c>
      <c r="Z100" s="630" t="s">
        <v>1442</v>
      </c>
      <c r="AA100" s="504" t="s">
        <v>1442</v>
      </c>
      <c r="AB100" s="631" t="s">
        <v>1442</v>
      </c>
      <c r="AC100" s="632" t="s">
        <v>1442</v>
      </c>
      <c r="AD100" s="631" t="s">
        <v>1442</v>
      </c>
      <c r="AE100" s="632" t="s">
        <v>1442</v>
      </c>
    </row>
    <row r="101" spans="1:31" s="248" customFormat="1" ht="14" thickBot="1">
      <c r="A101" s="510" t="s">
        <v>1441</v>
      </c>
      <c r="B101" s="511">
        <v>81</v>
      </c>
      <c r="C101" s="512">
        <v>7779661.79</v>
      </c>
      <c r="D101" s="513">
        <v>1355990.1</v>
      </c>
      <c r="E101" s="635">
        <v>976292.55000000016</v>
      </c>
      <c r="F101" s="513">
        <v>376344.25999999995</v>
      </c>
      <c r="G101" s="635">
        <v>35459.83</v>
      </c>
      <c r="H101" s="514">
        <v>146077.24000000008</v>
      </c>
      <c r="I101" s="512">
        <v>35846.150000000009</v>
      </c>
      <c r="J101" s="513">
        <v>40618.649999999994</v>
      </c>
      <c r="K101" s="512">
        <v>38770.909999999996</v>
      </c>
      <c r="L101" s="513">
        <v>111851.71</v>
      </c>
      <c r="M101" s="635">
        <v>275943.73</v>
      </c>
      <c r="N101" s="513">
        <v>256148.7000000001</v>
      </c>
      <c r="O101" s="635">
        <v>177937.15000000005</v>
      </c>
      <c r="P101" s="513">
        <v>272598.64999999997</v>
      </c>
      <c r="Q101" s="513"/>
      <c r="R101" s="635">
        <v>75719.74000000002</v>
      </c>
      <c r="S101" s="513">
        <v>53657.71</v>
      </c>
      <c r="T101" s="635">
        <v>15740.04</v>
      </c>
      <c r="U101" s="513">
        <v>477904.68000000005</v>
      </c>
      <c r="V101" s="635">
        <v>196633.36000000004</v>
      </c>
      <c r="W101" s="513">
        <v>608501.22</v>
      </c>
      <c r="X101" s="635">
        <v>246870.51000000007</v>
      </c>
      <c r="Y101" s="513">
        <v>330742.93999999994</v>
      </c>
      <c r="Z101" s="635">
        <v>694018.18</v>
      </c>
      <c r="AA101" s="513">
        <v>314261.71000000002</v>
      </c>
      <c r="AB101" s="635">
        <v>172708.21999999997</v>
      </c>
      <c r="AC101" s="513">
        <v>418447.31999999995</v>
      </c>
      <c r="AD101" s="635">
        <v>70550.810000000012</v>
      </c>
      <c r="AE101" s="513">
        <v>3785.45</v>
      </c>
    </row>
    <row r="102" spans="1:31" ht="15.75" customHeight="1" thickBot="1">
      <c r="A102" s="518" t="s">
        <v>678</v>
      </c>
      <c r="C102" s="519"/>
      <c r="D102" s="520"/>
      <c r="E102" s="520"/>
      <c r="F102" s="520"/>
      <c r="G102" s="520"/>
      <c r="H102" s="521"/>
      <c r="I102" s="520"/>
      <c r="J102" s="522"/>
      <c r="K102" s="523"/>
      <c r="L102" s="524"/>
      <c r="M102" s="524"/>
      <c r="N102" s="520"/>
      <c r="O102" s="524"/>
      <c r="P102" s="520"/>
      <c r="Q102" s="524"/>
      <c r="R102" s="521"/>
    </row>
    <row r="103" spans="1:31" ht="15.75" customHeight="1">
      <c r="A103" s="518"/>
      <c r="C103" s="636"/>
      <c r="D103" s="637"/>
      <c r="E103" s="637"/>
      <c r="F103" s="637"/>
      <c r="G103" s="637"/>
      <c r="H103" s="638"/>
      <c r="I103" s="637"/>
      <c r="J103" s="639"/>
      <c r="K103" s="640"/>
      <c r="L103" s="325"/>
      <c r="M103" s="325"/>
      <c r="N103" s="637"/>
      <c r="O103" s="325"/>
      <c r="P103" s="637"/>
      <c r="Q103" s="325"/>
      <c r="R103" s="638"/>
    </row>
    <row r="104" spans="1:31" ht="27.75" customHeight="1">
      <c r="A104" s="1823" t="s">
        <v>1000</v>
      </c>
      <c r="B104" s="1810"/>
    </row>
    <row r="105" spans="1:31" ht="112.5" customHeight="1">
      <c r="A105" s="1823" t="s">
        <v>1001</v>
      </c>
      <c r="B105" s="1810"/>
    </row>
    <row r="106" spans="1:31" ht="91.75" customHeight="1">
      <c r="A106" s="1823" t="s">
        <v>1002</v>
      </c>
      <c r="B106" s="1810"/>
    </row>
    <row r="108" spans="1:31">
      <c r="A108" s="526" t="s">
        <v>1003</v>
      </c>
    </row>
    <row r="110" spans="1:31" ht="7.5" customHeight="1"/>
    <row r="111" spans="1:31" ht="24.75" customHeight="1">
      <c r="A111" s="1823" t="s">
        <v>677</v>
      </c>
      <c r="B111" s="1810"/>
    </row>
  </sheetData>
  <mergeCells count="5">
    <mergeCell ref="A2:B2"/>
    <mergeCell ref="A104:B104"/>
    <mergeCell ref="A105:B105"/>
    <mergeCell ref="A106:B106"/>
    <mergeCell ref="A111:B111"/>
  </mergeCells>
  <pageMargins left="0.36" right="0.27" top="0.31" bottom="0.3" header="0.21" footer="0.18"/>
  <pageSetup paperSize="9" scale="46" fitToHeight="2" pageOrder="overThenDown" orientation="portrait"/>
  <headerFooter alignWithMargins="0">
    <oddFooter>&amp;R&amp;P/&amp;N</oddFooter>
  </headerFooter>
  <colBreaks count="1" manualBreakCount="1">
    <brk id="17" max="1048575" man="1"/>
  </colBreaks>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F06D5-6EF1-FB4A-AA65-042BD298B7F6}">
  <sheetPr>
    <pageSetUpPr fitToPage="1"/>
  </sheetPr>
  <dimension ref="A1:B11"/>
  <sheetViews>
    <sheetView workbookViewId="0">
      <selection activeCell="B5" sqref="B5"/>
    </sheetView>
  </sheetViews>
  <sheetFormatPr baseColWidth="10" defaultColWidth="11.59765625" defaultRowHeight="13"/>
  <cols>
    <col min="1" max="1" width="5.59765625" style="474" customWidth="1"/>
    <col min="2" max="16384" width="11.59765625" style="474"/>
  </cols>
  <sheetData>
    <row r="1" spans="1:2" ht="16">
      <c r="A1" s="641" t="s">
        <v>1004</v>
      </c>
    </row>
    <row r="2" spans="1:2" ht="16">
      <c r="A2" s="473"/>
    </row>
    <row r="3" spans="1:2">
      <c r="A3" s="474">
        <v>6.01</v>
      </c>
      <c r="B3" s="642" t="s">
        <v>1005</v>
      </c>
    </row>
    <row r="4" spans="1:2">
      <c r="A4" s="474">
        <v>6.02</v>
      </c>
      <c r="B4" s="642" t="s">
        <v>1006</v>
      </c>
    </row>
    <row r="5" spans="1:2">
      <c r="A5" s="474">
        <v>6.03</v>
      </c>
      <c r="B5" s="642" t="s">
        <v>1007</v>
      </c>
    </row>
    <row r="6" spans="1:2">
      <c r="A6" s="474">
        <v>6.04</v>
      </c>
      <c r="B6" s="642" t="s">
        <v>1008</v>
      </c>
    </row>
    <row r="7" spans="1:2">
      <c r="A7" s="474">
        <v>6.05</v>
      </c>
      <c r="B7" s="642" t="s">
        <v>1009</v>
      </c>
    </row>
    <row r="8" spans="1:2">
      <c r="A8" s="474">
        <v>6.06</v>
      </c>
      <c r="B8" s="642" t="s">
        <v>1010</v>
      </c>
    </row>
    <row r="11" spans="1:2">
      <c r="A11" s="643" t="s">
        <v>677</v>
      </c>
    </row>
  </sheetData>
  <pageMargins left="0.46" right="0.35" top="0.69" bottom="0.984251969" header="0.36" footer="0.4921259845"/>
  <pageSetup paperSize="9" orientation="portrait"/>
  <headerFooter alignWithMargins="0"/>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079A1-E953-5444-9707-8F8FD2305D35}">
  <sheetPr>
    <pageSetUpPr fitToPage="1"/>
  </sheetPr>
  <dimension ref="A1:G30"/>
  <sheetViews>
    <sheetView zoomScaleNormal="100" workbookViewId="0">
      <selection activeCell="A27" sqref="A27"/>
    </sheetView>
  </sheetViews>
  <sheetFormatPr baseColWidth="10" defaultColWidth="11.3984375" defaultRowHeight="13"/>
  <cols>
    <col min="1" max="1" width="16.796875" style="3" customWidth="1"/>
    <col min="2" max="4" width="14.59765625" style="3" customWidth="1"/>
    <col min="5" max="5" width="15.3984375" style="3" customWidth="1"/>
    <col min="6" max="7" width="14.59765625" style="3" customWidth="1"/>
    <col min="8" max="16384" width="11.3984375" style="3"/>
  </cols>
  <sheetData>
    <row r="1" spans="1:7" s="2" customFormat="1" ht="14" customHeight="1"/>
    <row r="2" spans="1:7" s="2" customFormat="1" ht="29.25" customHeight="1">
      <c r="A2" s="1807" t="s">
        <v>1011</v>
      </c>
      <c r="B2" s="1811"/>
      <c r="C2" s="1811"/>
      <c r="D2" s="1811"/>
      <c r="E2" s="1811"/>
      <c r="F2" s="1811"/>
      <c r="G2" s="47"/>
    </row>
    <row r="3" spans="1:7" ht="24" customHeight="1">
      <c r="A3" s="72" t="s">
        <v>695</v>
      </c>
      <c r="B3" s="73" t="s">
        <v>267</v>
      </c>
      <c r="C3" s="74" t="s">
        <v>267</v>
      </c>
      <c r="D3" s="73" t="s">
        <v>433</v>
      </c>
      <c r="E3" s="74" t="s">
        <v>433</v>
      </c>
      <c r="F3" s="73" t="s">
        <v>1012</v>
      </c>
      <c r="G3" s="277" t="s">
        <v>1012</v>
      </c>
    </row>
    <row r="4" spans="1:7" ht="15" customHeight="1">
      <c r="A4" s="328"/>
      <c r="B4" s="76" t="s">
        <v>717</v>
      </c>
      <c r="C4" s="77" t="s">
        <v>1013</v>
      </c>
      <c r="D4" s="76" t="s">
        <v>717</v>
      </c>
      <c r="E4" s="77" t="s">
        <v>1013</v>
      </c>
      <c r="F4" s="76" t="s">
        <v>1014</v>
      </c>
      <c r="G4" s="75" t="s">
        <v>1015</v>
      </c>
    </row>
    <row r="5" spans="1:7" ht="15" customHeight="1">
      <c r="A5" s="328"/>
      <c r="B5" s="76"/>
      <c r="C5" s="77" t="s">
        <v>1016</v>
      </c>
      <c r="D5" s="76"/>
      <c r="E5" s="77" t="s">
        <v>1016</v>
      </c>
      <c r="F5" s="76" t="s">
        <v>1017</v>
      </c>
      <c r="G5" s="75" t="s">
        <v>1018</v>
      </c>
    </row>
    <row r="6" spans="1:7" ht="24" customHeight="1">
      <c r="A6" s="329"/>
      <c r="B6" s="82"/>
      <c r="C6" s="81" t="s">
        <v>1019</v>
      </c>
      <c r="D6" s="82"/>
      <c r="E6" s="81" t="s">
        <v>1019</v>
      </c>
      <c r="F6" s="82"/>
      <c r="G6" s="79"/>
    </row>
    <row r="7" spans="1:7" ht="1.5" customHeight="1" thickBot="1">
      <c r="A7" s="427">
        <v>1996</v>
      </c>
      <c r="B7" s="644">
        <v>834.29346030999989</v>
      </c>
      <c r="C7" s="206">
        <v>147.33000000000001</v>
      </c>
      <c r="D7" s="644">
        <v>872.50191104999999</v>
      </c>
      <c r="E7" s="206">
        <v>174.02</v>
      </c>
      <c r="F7" s="207">
        <v>1497811</v>
      </c>
      <c r="G7" s="645">
        <v>150</v>
      </c>
    </row>
    <row r="8" spans="1:7" ht="0.75" customHeight="1" thickBot="1">
      <c r="A8" s="333">
        <v>1997</v>
      </c>
      <c r="B8" s="219">
        <v>560.57016199999998</v>
      </c>
      <c r="C8" s="215">
        <v>177.97135605247547</v>
      </c>
      <c r="D8" s="219">
        <v>621.52611999999999</v>
      </c>
      <c r="E8" s="215">
        <v>219.40142149615536</v>
      </c>
      <c r="F8" s="216">
        <v>962507</v>
      </c>
      <c r="G8" s="646">
        <v>134</v>
      </c>
    </row>
    <row r="9" spans="1:7" ht="0.75" customHeight="1" thickBot="1">
      <c r="A9" s="333">
        <v>1998</v>
      </c>
      <c r="B9" s="219">
        <v>511.39633099999998</v>
      </c>
      <c r="C9" s="215">
        <v>210.006745555365</v>
      </c>
      <c r="D9" s="219">
        <v>456.36259100000001</v>
      </c>
      <c r="E9" s="215">
        <v>198.92326535477412</v>
      </c>
      <c r="F9" s="216">
        <v>822171</v>
      </c>
      <c r="G9" s="646">
        <v>115</v>
      </c>
    </row>
    <row r="10" spans="1:7" ht="19.75" hidden="1" customHeight="1" thickBot="1">
      <c r="A10" s="333">
        <v>1999</v>
      </c>
      <c r="B10" s="219">
        <v>464.48300699999999</v>
      </c>
      <c r="C10" s="215">
        <v>208.58087392018217</v>
      </c>
      <c r="D10" s="219">
        <v>412.14915300000001</v>
      </c>
      <c r="E10" s="215">
        <v>192.54405491703864</v>
      </c>
      <c r="F10" s="216">
        <v>727206</v>
      </c>
      <c r="G10" s="646">
        <v>109</v>
      </c>
    </row>
    <row r="11" spans="1:7" ht="20" customHeight="1" thickBot="1">
      <c r="A11" s="333">
        <v>2000</v>
      </c>
      <c r="B11" s="219">
        <v>439.22602000000001</v>
      </c>
      <c r="C11" s="215">
        <v>209.03</v>
      </c>
      <c r="D11" s="219">
        <v>381.63992000000002</v>
      </c>
      <c r="E11" s="215">
        <v>199.95</v>
      </c>
      <c r="F11" s="216">
        <v>639885</v>
      </c>
      <c r="G11" s="646">
        <v>102</v>
      </c>
    </row>
    <row r="12" spans="1:7" ht="20" customHeight="1" thickBot="1">
      <c r="A12" s="333">
        <v>2001</v>
      </c>
      <c r="B12" s="219">
        <v>400.71188914999999</v>
      </c>
      <c r="C12" s="215">
        <v>221.99</v>
      </c>
      <c r="D12" s="219">
        <v>351.97137099999998</v>
      </c>
      <c r="E12" s="215">
        <v>196.51</v>
      </c>
      <c r="F12" s="216">
        <v>561848</v>
      </c>
      <c r="G12" s="646">
        <v>102</v>
      </c>
    </row>
    <row r="13" spans="1:7" ht="20" customHeight="1" thickBot="1">
      <c r="A13" s="333">
        <v>2002</v>
      </c>
      <c r="B13" s="219">
        <v>371.74367599999999</v>
      </c>
      <c r="C13" s="215">
        <v>218.55</v>
      </c>
      <c r="D13" s="219">
        <v>329.14910600000002</v>
      </c>
      <c r="E13" s="215">
        <v>192.51</v>
      </c>
      <c r="F13" s="216">
        <v>495344</v>
      </c>
      <c r="G13" s="646">
        <v>93</v>
      </c>
    </row>
    <row r="14" spans="1:7" ht="20" customHeight="1" thickBot="1">
      <c r="A14" s="333">
        <v>2003</v>
      </c>
      <c r="B14" s="219">
        <v>357.14315599999998</v>
      </c>
      <c r="C14" s="215">
        <v>230.55</v>
      </c>
      <c r="D14" s="219">
        <v>309.91303299999998</v>
      </c>
      <c r="E14" s="215">
        <v>196.87</v>
      </c>
      <c r="F14" s="216">
        <v>439082</v>
      </c>
      <c r="G14" s="646">
        <v>92</v>
      </c>
    </row>
    <row r="15" spans="1:7" ht="20" customHeight="1" thickBot="1">
      <c r="A15" s="333">
        <v>2004</v>
      </c>
      <c r="B15" s="219">
        <v>356.58952599999998</v>
      </c>
      <c r="C15" s="215">
        <v>237.95</v>
      </c>
      <c r="D15" s="219">
        <v>277.93515500000001</v>
      </c>
      <c r="E15" s="215">
        <v>191.46</v>
      </c>
      <c r="F15" s="216">
        <v>384858</v>
      </c>
      <c r="G15" s="646">
        <v>93</v>
      </c>
    </row>
    <row r="16" spans="1:7" ht="20" customHeight="1" thickBot="1">
      <c r="A16" s="333">
        <v>2005</v>
      </c>
      <c r="B16" s="219">
        <v>342.30109299999998</v>
      </c>
      <c r="C16" s="215">
        <v>202.99</v>
      </c>
      <c r="D16" s="219">
        <v>251.061485</v>
      </c>
      <c r="E16" s="215">
        <v>158.24</v>
      </c>
      <c r="F16" s="216">
        <v>409989</v>
      </c>
      <c r="G16" s="646">
        <v>82</v>
      </c>
    </row>
    <row r="17" spans="1:7" ht="20" customHeight="1" thickBot="1">
      <c r="A17" s="333">
        <v>2006</v>
      </c>
      <c r="B17" s="219">
        <v>318.09682500000002</v>
      </c>
      <c r="C17" s="215">
        <v>203.43</v>
      </c>
      <c r="D17" s="219">
        <v>220.62135799999999</v>
      </c>
      <c r="E17" s="215">
        <v>148.53</v>
      </c>
      <c r="F17" s="216">
        <v>376229</v>
      </c>
      <c r="G17" s="646">
        <v>81</v>
      </c>
    </row>
    <row r="18" spans="1:7" ht="20" customHeight="1" thickBot="1">
      <c r="A18" s="333">
        <v>2007</v>
      </c>
      <c r="B18" s="219">
        <v>302.25500452</v>
      </c>
      <c r="C18" s="215">
        <v>192.28</v>
      </c>
      <c r="D18" s="219">
        <v>207.71949053</v>
      </c>
      <c r="E18" s="215">
        <v>139.46</v>
      </c>
      <c r="F18" s="216">
        <v>342046.54</v>
      </c>
      <c r="G18" s="646">
        <v>81</v>
      </c>
    </row>
    <row r="19" spans="1:7" ht="20" customHeight="1" thickBot="1">
      <c r="A19" s="333">
        <v>2008</v>
      </c>
      <c r="B19" s="219">
        <v>280.99848664999996</v>
      </c>
      <c r="C19" s="215">
        <v>185.89</v>
      </c>
      <c r="D19" s="219">
        <v>198.28856277</v>
      </c>
      <c r="E19" s="215">
        <v>126.72</v>
      </c>
      <c r="F19" s="216">
        <v>314150.3</v>
      </c>
      <c r="G19" s="646">
        <v>82</v>
      </c>
    </row>
    <row r="20" spans="1:7" ht="20" customHeight="1" thickBot="1">
      <c r="A20" s="333">
        <v>2009</v>
      </c>
      <c r="B20" s="219">
        <v>267.72326984</v>
      </c>
      <c r="C20" s="215">
        <v>176.37</v>
      </c>
      <c r="D20" s="219">
        <v>197.19709437999998</v>
      </c>
      <c r="E20" s="215">
        <v>135.19999999999999</v>
      </c>
      <c r="F20" s="216">
        <v>285966.94</v>
      </c>
      <c r="G20" s="646">
        <v>74</v>
      </c>
    </row>
    <row r="21" spans="1:7" ht="30" customHeight="1" thickBot="1">
      <c r="A21" s="647">
        <v>2010</v>
      </c>
      <c r="B21" s="648">
        <v>248.75569699000002</v>
      </c>
      <c r="C21" s="321">
        <v>187.17</v>
      </c>
      <c r="D21" s="648">
        <v>191.6446435</v>
      </c>
      <c r="E21" s="321">
        <v>146.13</v>
      </c>
      <c r="F21" s="320">
        <v>245655.8</v>
      </c>
      <c r="G21" s="649">
        <v>78</v>
      </c>
    </row>
    <row r="22" spans="1:7" ht="20" customHeight="1">
      <c r="A22" s="95" t="s">
        <v>678</v>
      </c>
      <c r="B22" s="95"/>
      <c r="C22" s="95"/>
      <c r="D22" s="95"/>
      <c r="E22" s="95"/>
      <c r="F22" s="95"/>
      <c r="G22" s="95"/>
    </row>
    <row r="23" spans="1:7" ht="13.5" customHeight="1">
      <c r="A23" s="96"/>
      <c r="B23" s="96"/>
      <c r="C23" s="96"/>
      <c r="D23" s="96"/>
      <c r="E23" s="96"/>
      <c r="F23" s="96"/>
      <c r="G23" s="96"/>
    </row>
    <row r="24" spans="1:7" ht="15.75" customHeight="1">
      <c r="A24" s="96" t="s">
        <v>1020</v>
      </c>
      <c r="B24" s="96"/>
      <c r="C24" s="96"/>
      <c r="D24" s="96"/>
      <c r="E24" s="96"/>
      <c r="F24" s="96"/>
      <c r="G24" s="96"/>
    </row>
    <row r="25" spans="1:7" ht="14.25" customHeight="1">
      <c r="A25" s="96"/>
      <c r="B25" s="96"/>
      <c r="C25" s="96"/>
      <c r="D25" s="96"/>
      <c r="E25" s="96"/>
      <c r="F25" s="96"/>
      <c r="G25" s="96"/>
    </row>
    <row r="26" spans="1:7" ht="12.75" customHeight="1">
      <c r="A26" s="96" t="s">
        <v>1021</v>
      </c>
      <c r="B26" s="96"/>
      <c r="C26" s="96"/>
      <c r="D26" s="96"/>
      <c r="E26" s="96"/>
      <c r="F26" s="96"/>
      <c r="G26" s="96"/>
    </row>
    <row r="27" spans="1:7">
      <c r="A27" s="3" t="s">
        <v>1022</v>
      </c>
    </row>
    <row r="30" spans="1:7">
      <c r="A30" s="3" t="s">
        <v>677</v>
      </c>
    </row>
  </sheetData>
  <mergeCells count="1">
    <mergeCell ref="A2:F2"/>
  </mergeCells>
  <pageMargins left="0.62" right="0.64" top="1.01" bottom="0.49" header="0.53" footer="0.4921259845"/>
  <pageSetup paperSize="9" scale="85" orientation="portrait" horizontalDpi="4294967292" verticalDpi="4294967292"/>
  <headerFooter alignWithMargins="0"/>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DDE10-C55B-8F41-BAD8-97BFBFCD4C92}">
  <sheetPr>
    <pageSetUpPr fitToPage="1"/>
  </sheetPr>
  <dimension ref="A1:K27"/>
  <sheetViews>
    <sheetView topLeftCell="A3" zoomScaleNormal="100" workbookViewId="0">
      <selection activeCell="G19" sqref="G19"/>
    </sheetView>
  </sheetViews>
  <sheetFormatPr baseColWidth="10" defaultColWidth="11.3984375" defaultRowHeight="13"/>
  <cols>
    <col min="1" max="1" width="16.796875" style="3" customWidth="1"/>
    <col min="2" max="2" width="14.59765625" style="3" customWidth="1"/>
    <col min="3" max="3" width="14.59765625" style="49" customWidth="1"/>
    <col min="4" max="4" width="14.59765625" style="3" customWidth="1"/>
    <col min="5" max="5" width="14.59765625" style="49" customWidth="1"/>
    <col min="6" max="6" width="14.59765625" style="3" customWidth="1"/>
    <col min="7" max="7" width="15.3984375" style="49" customWidth="1"/>
    <col min="8" max="16384" width="11.3984375" style="3"/>
  </cols>
  <sheetData>
    <row r="1" spans="1:11" s="2" customFormat="1" ht="14" customHeight="1">
      <c r="C1" s="261"/>
      <c r="E1" s="261"/>
      <c r="G1" s="261"/>
    </row>
    <row r="2" spans="1:11" s="2" customFormat="1" ht="28" customHeight="1">
      <c r="A2" s="47" t="s">
        <v>1023</v>
      </c>
      <c r="C2" s="261"/>
      <c r="E2" s="261"/>
      <c r="G2" s="47"/>
    </row>
    <row r="3" spans="1:11" ht="24" customHeight="1">
      <c r="A3" s="72" t="s">
        <v>695</v>
      </c>
      <c r="B3" s="73" t="s">
        <v>1024</v>
      </c>
      <c r="C3" s="277" t="s">
        <v>585</v>
      </c>
      <c r="D3" s="73" t="s">
        <v>1025</v>
      </c>
      <c r="E3" s="277" t="s">
        <v>585</v>
      </c>
      <c r="F3" s="73" t="s">
        <v>547</v>
      </c>
      <c r="G3" s="277" t="s">
        <v>585</v>
      </c>
    </row>
    <row r="4" spans="1:11" ht="15" customHeight="1">
      <c r="A4" s="328"/>
      <c r="B4" s="76" t="s">
        <v>547</v>
      </c>
      <c r="C4" s="75" t="s">
        <v>586</v>
      </c>
      <c r="D4" s="76" t="s">
        <v>1026</v>
      </c>
      <c r="E4" s="75" t="s">
        <v>586</v>
      </c>
      <c r="F4" s="76" t="s">
        <v>1027</v>
      </c>
      <c r="G4" s="75" t="s">
        <v>586</v>
      </c>
    </row>
    <row r="5" spans="1:11" ht="15" customHeight="1">
      <c r="A5" s="328"/>
      <c r="B5" s="76" t="s">
        <v>1028</v>
      </c>
      <c r="C5" s="75" t="s">
        <v>210</v>
      </c>
      <c r="D5" s="76" t="s">
        <v>1029</v>
      </c>
      <c r="E5" s="75" t="s">
        <v>210</v>
      </c>
      <c r="F5" s="76" t="s">
        <v>918</v>
      </c>
      <c r="G5" s="75" t="s">
        <v>210</v>
      </c>
    </row>
    <row r="6" spans="1:11" ht="24" customHeight="1">
      <c r="A6" s="329"/>
      <c r="B6" s="82"/>
      <c r="C6" s="79"/>
      <c r="D6" s="82" t="s">
        <v>1030</v>
      </c>
      <c r="E6" s="79"/>
      <c r="F6" s="82"/>
      <c r="G6" s="79"/>
    </row>
    <row r="7" spans="1:11" ht="1.5" customHeight="1" thickBot="1">
      <c r="A7" s="427">
        <v>1996</v>
      </c>
      <c r="B7" s="123">
        <v>842626041.5999999</v>
      </c>
      <c r="C7" s="309">
        <v>-0.22395165786377283</v>
      </c>
      <c r="D7" s="123">
        <v>918792074.10000002</v>
      </c>
      <c r="E7" s="309">
        <v>-0.174100182026726</v>
      </c>
      <c r="F7" s="123">
        <v>-76164233.309999987</v>
      </c>
      <c r="G7" s="309">
        <v>-1.8543740517491432</v>
      </c>
      <c r="I7" s="9"/>
      <c r="J7" s="9"/>
      <c r="K7" s="9"/>
    </row>
    <row r="8" spans="1:11" ht="0.75" hidden="1" customHeight="1" thickBot="1">
      <c r="A8" s="333">
        <v>1997</v>
      </c>
      <c r="B8" s="133">
        <v>582586264.20000005</v>
      </c>
      <c r="C8" s="452">
        <v>-0.30860638594343665</v>
      </c>
      <c r="D8" s="133">
        <v>600844654.99000001</v>
      </c>
      <c r="E8" s="452">
        <v>-0.34604937076916387</v>
      </c>
      <c r="F8" s="133">
        <v>-18258290.829999998</v>
      </c>
      <c r="G8" s="452">
        <v>0.76027736331716245</v>
      </c>
    </row>
    <row r="9" spans="1:11" ht="19.5" hidden="1" customHeight="1" thickBot="1">
      <c r="A9" s="333">
        <v>1998</v>
      </c>
      <c r="B9" s="133">
        <v>506597985.24000001</v>
      </c>
      <c r="C9" s="452">
        <v>-0.13043266487641306</v>
      </c>
      <c r="D9" s="133">
        <v>466707907.44999999</v>
      </c>
      <c r="E9" s="452">
        <v>-0.22324696812395292</v>
      </c>
      <c r="F9" s="133">
        <v>39890107.789999999</v>
      </c>
      <c r="G9" s="452">
        <v>3.1847668087561076</v>
      </c>
    </row>
    <row r="10" spans="1:11" ht="0.5" customHeight="1" thickBot="1">
      <c r="A10" s="333">
        <v>1999</v>
      </c>
      <c r="B10" s="133">
        <v>464005598.98000002</v>
      </c>
      <c r="C10" s="452">
        <v>-8.4075317117224449E-2</v>
      </c>
      <c r="D10" s="133">
        <v>422158429.66000003</v>
      </c>
      <c r="E10" s="452">
        <v>-9.5454731061681661E-2</v>
      </c>
      <c r="F10" s="133">
        <v>41847169.719999999</v>
      </c>
      <c r="G10" s="452">
        <v>4.9061334712427351E-2</v>
      </c>
    </row>
    <row r="11" spans="1:11" ht="20" customHeight="1" thickBot="1">
      <c r="A11" s="333">
        <v>2000</v>
      </c>
      <c r="B11" s="133">
        <v>458973777.85000002</v>
      </c>
      <c r="C11" s="452">
        <v>-1.0844311234737667E-2</v>
      </c>
      <c r="D11" s="133">
        <v>416527371.23000002</v>
      </c>
      <c r="E11" s="452">
        <v>-1.3338732651945802E-2</v>
      </c>
      <c r="F11" s="133">
        <v>42446406.640000001</v>
      </c>
      <c r="G11" s="452">
        <v>1.4319652296905794E-2</v>
      </c>
    </row>
    <row r="12" spans="1:11" ht="20" customHeight="1" thickBot="1">
      <c r="A12" s="333">
        <v>2001</v>
      </c>
      <c r="B12" s="133">
        <v>405199385</v>
      </c>
      <c r="C12" s="452">
        <v>-0.11716223332387053</v>
      </c>
      <c r="D12" s="133">
        <v>389159830</v>
      </c>
      <c r="E12" s="452">
        <v>-6.5704064415224431E-2</v>
      </c>
      <c r="F12" s="133">
        <v>16039555</v>
      </c>
      <c r="G12" s="452">
        <v>-0.62212219432292559</v>
      </c>
    </row>
    <row r="13" spans="1:11" ht="20" customHeight="1" thickBot="1">
      <c r="A13" s="333">
        <v>2002</v>
      </c>
      <c r="B13" s="133">
        <v>372184863.34999996</v>
      </c>
      <c r="C13" s="452">
        <v>-8.147722546518682E-2</v>
      </c>
      <c r="D13" s="133">
        <v>361726442.44999999</v>
      </c>
      <c r="E13" s="452">
        <v>-7.0493883065988625E-2</v>
      </c>
      <c r="F13" s="133">
        <v>10458420.890000001</v>
      </c>
      <c r="G13" s="452">
        <v>-0.34796065788608221</v>
      </c>
    </row>
    <row r="14" spans="1:11" ht="20" customHeight="1" thickBot="1">
      <c r="A14" s="333">
        <v>2003</v>
      </c>
      <c r="B14" s="133">
        <v>364678826.25</v>
      </c>
      <c r="C14" s="452">
        <v>-2.016749695954545E-2</v>
      </c>
      <c r="D14" s="133">
        <v>338730046.06999999</v>
      </c>
      <c r="E14" s="452">
        <v>-6.357399869427216E-2</v>
      </c>
      <c r="F14" s="133">
        <v>25948780.16</v>
      </c>
      <c r="G14" s="452">
        <v>1.4811374903463079</v>
      </c>
    </row>
    <row r="15" spans="1:11" ht="20" customHeight="1" thickBot="1">
      <c r="A15" s="333">
        <v>2004</v>
      </c>
      <c r="B15" s="133">
        <v>363267822.86999995</v>
      </c>
      <c r="C15" s="452">
        <v>-3.8691672738706551E-3</v>
      </c>
      <c r="D15" s="133">
        <v>315178869.18000001</v>
      </c>
      <c r="E15" s="452">
        <v>-6.9527864927379501E-2</v>
      </c>
      <c r="F15" s="133">
        <v>48088953.700000003</v>
      </c>
      <c r="G15" s="452">
        <v>0.85322598609583356</v>
      </c>
    </row>
    <row r="16" spans="1:11" ht="20" customHeight="1" thickBot="1">
      <c r="A16" s="333">
        <v>2005</v>
      </c>
      <c r="B16" s="133">
        <v>347836052.75999999</v>
      </c>
      <c r="C16" s="452">
        <v>-4.2480421161668391E-2</v>
      </c>
      <c r="D16" s="133">
        <v>299546558.91000003</v>
      </c>
      <c r="E16" s="452">
        <v>-4.9598218023532259E-2</v>
      </c>
      <c r="F16" s="133">
        <v>48289493.789999999</v>
      </c>
      <c r="G16" s="452">
        <v>4.1701903362476589E-3</v>
      </c>
    </row>
    <row r="17" spans="1:7" ht="20" customHeight="1" thickBot="1">
      <c r="A17" s="333">
        <v>2006</v>
      </c>
      <c r="B17" s="133">
        <v>318876960.83999997</v>
      </c>
      <c r="C17" s="452">
        <v>-8.3255003873854427E-2</v>
      </c>
      <c r="D17" s="133">
        <v>268580125.52999997</v>
      </c>
      <c r="E17" s="452">
        <v>-0.10337769691857501</v>
      </c>
      <c r="F17" s="133">
        <v>50296835.340000004</v>
      </c>
      <c r="G17" s="452">
        <v>4.1568908523445636E-2</v>
      </c>
    </row>
    <row r="18" spans="1:7" ht="20" customHeight="1" thickBot="1">
      <c r="A18" s="333">
        <v>2007</v>
      </c>
      <c r="B18" s="133">
        <v>303789909.62</v>
      </c>
      <c r="C18" s="452">
        <v>-4.7313080193241208E-2</v>
      </c>
      <c r="D18" s="133">
        <v>263420170.53999999</v>
      </c>
      <c r="E18" s="452">
        <v>-1.9211976239186135E-2</v>
      </c>
      <c r="F18" s="133">
        <v>40369739.060000002</v>
      </c>
      <c r="G18" s="452">
        <v>-0.19737019661165822</v>
      </c>
    </row>
    <row r="19" spans="1:7" ht="20" customHeight="1" thickBot="1">
      <c r="A19" s="333">
        <v>2008</v>
      </c>
      <c r="B19" s="133">
        <v>271278805.46999997</v>
      </c>
      <c r="C19" s="452">
        <v>-0.10701838053366231</v>
      </c>
      <c r="D19" s="133">
        <v>245016339.53</v>
      </c>
      <c r="E19" s="452">
        <v>-6.9864927094508089E-2</v>
      </c>
      <c r="F19" s="133">
        <v>26262465.899999999</v>
      </c>
      <c r="G19" s="452">
        <v>-0.34945168060246568</v>
      </c>
    </row>
    <row r="20" spans="1:7" ht="20" customHeight="1" thickBot="1">
      <c r="A20" s="333">
        <v>2009</v>
      </c>
      <c r="B20" s="133">
        <v>277148196.68000001</v>
      </c>
      <c r="C20" s="452">
        <v>2.1636010966028518E-2</v>
      </c>
      <c r="D20" s="133">
        <v>250833615.63</v>
      </c>
      <c r="E20" s="452">
        <v>2.374240065441735E-2</v>
      </c>
      <c r="F20" s="133">
        <v>26314581.050000001</v>
      </c>
      <c r="G20" s="452">
        <v>1.9843966746475594E-3</v>
      </c>
    </row>
    <row r="21" spans="1:7" ht="30" customHeight="1" thickBot="1">
      <c r="A21" s="647">
        <v>2010</v>
      </c>
      <c r="B21" s="270">
        <v>251294287.29999998</v>
      </c>
      <c r="C21" s="314">
        <v>-9.3285504613444759E-2</v>
      </c>
      <c r="D21" s="270">
        <v>234293636.81</v>
      </c>
      <c r="E21" s="314">
        <v>-6.5940040685765977E-2</v>
      </c>
      <c r="F21" s="270">
        <v>17000650.449999999</v>
      </c>
      <c r="G21" s="314">
        <v>-0.35394561601808217</v>
      </c>
    </row>
    <row r="22" spans="1:7" ht="20" customHeight="1">
      <c r="A22" s="95" t="s">
        <v>678</v>
      </c>
      <c r="B22" s="95"/>
      <c r="C22" s="292"/>
      <c r="D22" s="95"/>
      <c r="E22" s="292"/>
      <c r="F22" s="95"/>
      <c r="G22" s="292"/>
    </row>
    <row r="23" spans="1:7" ht="15.75" customHeight="1">
      <c r="A23" s="96"/>
      <c r="B23" s="96"/>
      <c r="C23" s="316"/>
      <c r="D23" s="96"/>
      <c r="E23" s="316"/>
      <c r="F23" s="96"/>
      <c r="G23" s="316"/>
    </row>
    <row r="24" spans="1:7" ht="15.75" customHeight="1">
      <c r="A24" s="96" t="s">
        <v>1031</v>
      </c>
      <c r="B24" s="96"/>
      <c r="C24" s="316"/>
      <c r="D24" s="96"/>
      <c r="E24" s="316"/>
      <c r="F24" s="96"/>
      <c r="G24" s="316"/>
    </row>
    <row r="27" spans="1:7">
      <c r="A27" s="3" t="s">
        <v>677</v>
      </c>
    </row>
  </sheetData>
  <pageMargins left="0.57999999999999996" right="0.65" top="0.96" bottom="0.49" header="0.49" footer="0.4921259845"/>
  <pageSetup paperSize="9" scale="84" orientation="portrait" horizontalDpi="4294967292" verticalDpi="4294967292"/>
  <headerFooter alignWithMargins="0"/>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9660D-25B6-3F4A-96FD-6AE5A23029BD}">
  <sheetPr>
    <pageSetUpPr fitToPage="1"/>
  </sheetPr>
  <dimension ref="A1:H39"/>
  <sheetViews>
    <sheetView zoomScaleNormal="100" workbookViewId="0">
      <selection activeCell="E5" sqref="E5"/>
    </sheetView>
  </sheetViews>
  <sheetFormatPr baseColWidth="10" defaultColWidth="11.3984375" defaultRowHeight="13"/>
  <cols>
    <col min="1" max="1" width="33.796875" style="3" customWidth="1"/>
    <col min="2" max="3" width="17.59765625" style="3" customWidth="1"/>
    <col min="4" max="4" width="17.59765625" style="248" customWidth="1"/>
    <col min="5" max="5" width="17.59765625" style="667" customWidth="1"/>
    <col min="6" max="6" width="11.3984375" style="3"/>
    <col min="7" max="7" width="14.59765625" style="3" hidden="1" customWidth="1"/>
    <col min="8" max="8" width="14.3984375" style="3" hidden="1" customWidth="1"/>
    <col min="9" max="16384" width="11.3984375" style="3"/>
  </cols>
  <sheetData>
    <row r="1" spans="1:8" s="2" customFormat="1" ht="14" customHeight="1">
      <c r="D1" s="17"/>
      <c r="E1" s="650"/>
    </row>
    <row r="2" spans="1:8" s="2" customFormat="1" ht="40.5" customHeight="1">
      <c r="A2" s="1807" t="s">
        <v>1032</v>
      </c>
      <c r="B2" s="1811"/>
      <c r="C2" s="1811"/>
      <c r="D2" s="1811"/>
      <c r="E2" s="47">
        <v>2010</v>
      </c>
    </row>
    <row r="3" spans="1:8" ht="24" customHeight="1">
      <c r="A3" s="72" t="s">
        <v>1033</v>
      </c>
      <c r="B3" s="73" t="s">
        <v>1034</v>
      </c>
      <c r="C3" s="74" t="s">
        <v>1035</v>
      </c>
      <c r="D3" s="651" t="s">
        <v>190</v>
      </c>
      <c r="E3" s="652" t="s">
        <v>585</v>
      </c>
    </row>
    <row r="4" spans="1:8" ht="15" customHeight="1">
      <c r="A4" s="328"/>
      <c r="B4" s="76" t="s">
        <v>923</v>
      </c>
      <c r="C4" s="77" t="s">
        <v>1036</v>
      </c>
      <c r="D4" s="188"/>
      <c r="E4" s="653" t="s">
        <v>586</v>
      </c>
    </row>
    <row r="5" spans="1:8" ht="15" customHeight="1">
      <c r="A5" s="328"/>
      <c r="B5" s="76"/>
      <c r="C5" s="77"/>
      <c r="D5" s="188"/>
      <c r="E5" s="653" t="s">
        <v>210</v>
      </c>
    </row>
    <row r="6" spans="1:8" ht="24" customHeight="1">
      <c r="A6" s="329"/>
      <c r="B6" s="82"/>
      <c r="C6" s="81"/>
      <c r="D6" s="199"/>
      <c r="E6" s="654"/>
      <c r="G6" s="655" t="s">
        <v>1037</v>
      </c>
      <c r="H6" s="655" t="s">
        <v>1038</v>
      </c>
    </row>
    <row r="7" spans="1:8" ht="30" customHeight="1" thickBot="1">
      <c r="A7" s="656" t="s">
        <v>1039</v>
      </c>
      <c r="B7" s="123">
        <v>76</v>
      </c>
      <c r="C7" s="124">
        <v>46</v>
      </c>
      <c r="D7" s="278">
        <v>78</v>
      </c>
      <c r="E7" s="657">
        <v>5.4054054054054057E-2</v>
      </c>
      <c r="F7" s="8"/>
      <c r="G7" s="131">
        <v>109</v>
      </c>
      <c r="H7" s="131">
        <v>109</v>
      </c>
    </row>
    <row r="8" spans="1:8" ht="25.5" customHeight="1" thickBot="1">
      <c r="A8" s="658" t="s">
        <v>1040</v>
      </c>
      <c r="B8" s="133"/>
      <c r="C8" s="132"/>
      <c r="D8" s="267"/>
      <c r="E8" s="452" t="s">
        <v>1442</v>
      </c>
      <c r="G8" s="133"/>
      <c r="H8" s="133"/>
    </row>
    <row r="9" spans="1:8" ht="20" customHeight="1" thickBot="1">
      <c r="A9" s="215" t="s">
        <v>505</v>
      </c>
      <c r="B9" s="133">
        <v>106471.47</v>
      </c>
      <c r="C9" s="132" t="s">
        <v>35</v>
      </c>
      <c r="D9" s="267" t="s">
        <v>35</v>
      </c>
      <c r="E9" s="452">
        <v>-0.14073365015534697</v>
      </c>
      <c r="G9" s="133">
        <v>747913</v>
      </c>
      <c r="H9" s="133">
        <v>541989</v>
      </c>
    </row>
    <row r="10" spans="1:8" ht="20" customHeight="1" thickBot="1">
      <c r="A10" s="215" t="s">
        <v>507</v>
      </c>
      <c r="B10" s="133">
        <v>139184.32999999999</v>
      </c>
      <c r="C10" s="132" t="s">
        <v>35</v>
      </c>
      <c r="D10" s="267" t="s">
        <v>35</v>
      </c>
      <c r="E10" s="452">
        <v>-0.14114072068380809</v>
      </c>
      <c r="G10" s="133">
        <v>671493</v>
      </c>
      <c r="H10" s="133">
        <v>525355</v>
      </c>
    </row>
    <row r="11" spans="1:8" ht="20" customHeight="1" thickBot="1">
      <c r="A11" s="215" t="s">
        <v>190</v>
      </c>
      <c r="B11" s="133">
        <v>245655.8</v>
      </c>
      <c r="C11" s="132" t="s">
        <v>35</v>
      </c>
      <c r="D11" s="267" t="s">
        <v>35</v>
      </c>
      <c r="E11" s="452">
        <v>-0.14096433664674671</v>
      </c>
      <c r="G11" s="133">
        <v>1419406</v>
      </c>
      <c r="H11" s="133">
        <v>1067344</v>
      </c>
    </row>
    <row r="12" spans="1:8" ht="24" customHeight="1" thickBot="1">
      <c r="A12" s="658" t="s">
        <v>1041</v>
      </c>
      <c r="B12" s="133"/>
      <c r="C12" s="132"/>
      <c r="D12" s="267"/>
      <c r="E12" s="452" t="s">
        <v>1442</v>
      </c>
      <c r="G12" s="133"/>
      <c r="H12" s="133"/>
    </row>
    <row r="13" spans="1:8" ht="20" customHeight="1" thickBot="1">
      <c r="A13" s="215" t="s">
        <v>505</v>
      </c>
      <c r="B13" s="133">
        <v>28624105.780000001</v>
      </c>
      <c r="C13" s="132">
        <v>143954736.56999999</v>
      </c>
      <c r="D13" s="267">
        <v>172578842.34</v>
      </c>
      <c r="E13" s="659">
        <v>-7.9909255382422217E-2</v>
      </c>
      <c r="G13" s="133">
        <v>346254879</v>
      </c>
      <c r="H13" s="133">
        <v>346254879</v>
      </c>
    </row>
    <row r="14" spans="1:8" ht="20" customHeight="1" thickBot="1">
      <c r="A14" s="215" t="s">
        <v>507</v>
      </c>
      <c r="B14" s="133">
        <v>17354273.09</v>
      </c>
      <c r="C14" s="132">
        <v>58822581.549999997</v>
      </c>
      <c r="D14" s="267">
        <v>76176854.640000001</v>
      </c>
      <c r="E14" s="659">
        <v>-4.9643372733506511E-2</v>
      </c>
      <c r="G14" s="133">
        <v>118228128</v>
      </c>
      <c r="H14" s="133">
        <v>118228128</v>
      </c>
    </row>
    <row r="15" spans="1:8" ht="20" customHeight="1" thickBot="1">
      <c r="A15" s="215" t="s">
        <v>190</v>
      </c>
      <c r="B15" s="133">
        <v>45978378.859999999</v>
      </c>
      <c r="C15" s="132">
        <v>202777318.12</v>
      </c>
      <c r="D15" s="267">
        <v>248755696.99000001</v>
      </c>
      <c r="E15" s="659">
        <v>-7.084768111989527E-2</v>
      </c>
      <c r="G15" s="133">
        <v>464483007</v>
      </c>
      <c r="H15" s="133">
        <v>464483007</v>
      </c>
    </row>
    <row r="16" spans="1:8" ht="33.75" customHeight="1" thickBot="1">
      <c r="A16" s="660" t="s">
        <v>1042</v>
      </c>
      <c r="B16" s="133"/>
      <c r="C16" s="132"/>
      <c r="D16" s="267"/>
      <c r="E16" s="452"/>
      <c r="G16" s="133"/>
      <c r="H16" s="133"/>
    </row>
    <row r="17" spans="1:8" ht="20" customHeight="1" thickBot="1">
      <c r="A17" s="215" t="s">
        <v>505</v>
      </c>
      <c r="B17" s="133">
        <v>268.83999999999997</v>
      </c>
      <c r="C17" s="132" t="s">
        <v>35</v>
      </c>
      <c r="D17" s="267" t="s">
        <v>35</v>
      </c>
      <c r="E17" s="452">
        <v>6.8054507170950559E-2</v>
      </c>
      <c r="G17" s="133">
        <v>462.96</v>
      </c>
      <c r="H17" s="133">
        <v>638.86</v>
      </c>
    </row>
    <row r="18" spans="1:8" ht="20" customHeight="1" thickBot="1">
      <c r="A18" s="215" t="s">
        <v>507</v>
      </c>
      <c r="B18" s="133">
        <v>124.69</v>
      </c>
      <c r="C18" s="132" t="s">
        <v>35</v>
      </c>
      <c r="D18" s="267" t="s">
        <v>35</v>
      </c>
      <c r="E18" s="452">
        <v>4.984423676012463E-2</v>
      </c>
      <c r="G18" s="133">
        <v>176.07</v>
      </c>
      <c r="H18" s="133">
        <v>225.04</v>
      </c>
    </row>
    <row r="19" spans="1:8" ht="20" customHeight="1" thickBot="1">
      <c r="A19" s="215" t="s">
        <v>644</v>
      </c>
      <c r="B19" s="133">
        <v>187.17</v>
      </c>
      <c r="C19" s="132" t="s">
        <v>35</v>
      </c>
      <c r="D19" s="267" t="s">
        <v>35</v>
      </c>
      <c r="E19" s="452">
        <v>6.1234903895220176E-2</v>
      </c>
      <c r="G19" s="133">
        <v>327.24</v>
      </c>
      <c r="H19" s="133">
        <v>435.18</v>
      </c>
    </row>
    <row r="20" spans="1:8" ht="24" customHeight="1" thickBot="1">
      <c r="A20" s="658" t="s">
        <v>1043</v>
      </c>
      <c r="B20" s="133"/>
      <c r="C20" s="132"/>
      <c r="D20" s="267"/>
      <c r="E20" s="452"/>
      <c r="G20" s="133"/>
      <c r="H20" s="133"/>
    </row>
    <row r="21" spans="1:8" ht="20" customHeight="1" thickBot="1">
      <c r="A21" s="215" t="s">
        <v>505</v>
      </c>
      <c r="B21" s="133">
        <v>23690423.84</v>
      </c>
      <c r="C21" s="132">
        <v>109582938.31</v>
      </c>
      <c r="D21" s="267">
        <v>133273362.14</v>
      </c>
      <c r="E21" s="659">
        <v>-1.5463176528223198E-2</v>
      </c>
      <c r="G21" s="133">
        <v>297772901</v>
      </c>
      <c r="H21" s="133">
        <v>297772901</v>
      </c>
    </row>
    <row r="22" spans="1:8" ht="20" customHeight="1" thickBot="1">
      <c r="A22" s="215" t="s">
        <v>507</v>
      </c>
      <c r="B22" s="133">
        <v>12206191.33</v>
      </c>
      <c r="C22" s="132">
        <v>46165090.020000003</v>
      </c>
      <c r="D22" s="267">
        <v>58371281.359999999</v>
      </c>
      <c r="E22" s="659">
        <v>-5.5947338423849018E-2</v>
      </c>
      <c r="G22" s="133">
        <v>114376252</v>
      </c>
      <c r="H22" s="133">
        <v>114376252</v>
      </c>
    </row>
    <row r="23" spans="1:8" ht="20" customHeight="1" thickBot="1">
      <c r="A23" s="215" t="s">
        <v>190</v>
      </c>
      <c r="B23" s="133">
        <v>35896615.18</v>
      </c>
      <c r="C23" s="132">
        <v>155748028.33000001</v>
      </c>
      <c r="D23" s="267">
        <v>191644643.5</v>
      </c>
      <c r="E23" s="659">
        <v>-2.8156859498651581E-2</v>
      </c>
      <c r="G23" s="133">
        <v>412149153</v>
      </c>
      <c r="H23" s="133">
        <v>412149153</v>
      </c>
    </row>
    <row r="24" spans="1:8" ht="24" customHeight="1" thickBot="1">
      <c r="A24" s="384" t="s">
        <v>1044</v>
      </c>
      <c r="B24" s="133">
        <v>163972.12</v>
      </c>
      <c r="C24" s="132">
        <v>4062510.63</v>
      </c>
      <c r="D24" s="267">
        <v>4226482.75</v>
      </c>
      <c r="E24" s="659">
        <v>-6.2556061245022887E-2</v>
      </c>
      <c r="G24" s="268">
        <v>21005933</v>
      </c>
      <c r="H24" s="268">
        <v>21005933</v>
      </c>
    </row>
    <row r="25" spans="1:8" ht="34.5" customHeight="1" thickBot="1">
      <c r="A25" s="660" t="s">
        <v>1045</v>
      </c>
      <c r="B25" s="133"/>
      <c r="C25" s="132"/>
      <c r="D25" s="267"/>
      <c r="E25" s="452" t="s">
        <v>1442</v>
      </c>
      <c r="G25" s="133"/>
      <c r="H25" s="133"/>
    </row>
    <row r="26" spans="1:8" ht="20" customHeight="1" thickBot="1">
      <c r="A26" s="215" t="s">
        <v>505</v>
      </c>
      <c r="B26" s="133">
        <v>222.5</v>
      </c>
      <c r="C26" s="132" t="s">
        <v>35</v>
      </c>
      <c r="D26" s="267" t="s">
        <v>35</v>
      </c>
      <c r="E26" s="452">
        <v>0.2036135453856972</v>
      </c>
      <c r="G26" s="133">
        <v>398.14</v>
      </c>
      <c r="H26" s="133">
        <v>549.41</v>
      </c>
    </row>
    <row r="27" spans="1:8" ht="20" customHeight="1" thickBot="1">
      <c r="A27" s="215" t="s">
        <v>507</v>
      </c>
      <c r="B27" s="133">
        <v>87.7</v>
      </c>
      <c r="C27" s="132" t="s">
        <v>35</v>
      </c>
      <c r="D27" s="267" t="s">
        <v>35</v>
      </c>
      <c r="E27" s="452">
        <v>-9.8107774578362741E-2</v>
      </c>
      <c r="G27" s="133">
        <v>170.33</v>
      </c>
      <c r="H27" s="133">
        <v>217.71</v>
      </c>
    </row>
    <row r="28" spans="1:8" ht="30" customHeight="1" thickBot="1">
      <c r="A28" s="661" t="s">
        <v>644</v>
      </c>
      <c r="B28" s="268">
        <v>146.13</v>
      </c>
      <c r="C28" s="269" t="s">
        <v>35</v>
      </c>
      <c r="D28" s="270" t="s">
        <v>35</v>
      </c>
      <c r="E28" s="662">
        <v>8.0843195266272247E-2</v>
      </c>
      <c r="G28" s="663">
        <v>290.37</v>
      </c>
      <c r="H28" s="663">
        <v>386.14</v>
      </c>
    </row>
    <row r="29" spans="1:8" ht="20" customHeight="1">
      <c r="A29" s="95" t="s">
        <v>678</v>
      </c>
      <c r="B29" s="95"/>
      <c r="C29" s="95"/>
      <c r="D29" s="664"/>
      <c r="E29" s="665"/>
    </row>
    <row r="30" spans="1:8" ht="14.25" customHeight="1">
      <c r="A30" s="96"/>
      <c r="B30" s="96"/>
      <c r="C30" s="96"/>
      <c r="D30" s="241"/>
      <c r="E30" s="666"/>
    </row>
    <row r="31" spans="1:8" ht="14.25" customHeight="1">
      <c r="A31" s="96" t="s">
        <v>1046</v>
      </c>
      <c r="B31" s="96"/>
      <c r="C31" s="96"/>
      <c r="D31" s="241"/>
      <c r="E31" s="666"/>
    </row>
    <row r="32" spans="1:8" ht="14.25" customHeight="1">
      <c r="A32" s="96"/>
      <c r="B32" s="96"/>
      <c r="C32" s="96"/>
      <c r="D32" s="241"/>
      <c r="E32" s="666"/>
    </row>
    <row r="33" spans="1:1">
      <c r="A33" s="96" t="s">
        <v>1047</v>
      </c>
    </row>
    <row r="34" spans="1:1">
      <c r="A34" s="3" t="s">
        <v>1048</v>
      </c>
    </row>
    <row r="35" spans="1:1">
      <c r="A35" s="3" t="s">
        <v>1049</v>
      </c>
    </row>
    <row r="36" spans="1:1">
      <c r="A36" s="3" t="s">
        <v>1050</v>
      </c>
    </row>
    <row r="39" spans="1:1">
      <c r="A39" s="3" t="s">
        <v>677</v>
      </c>
    </row>
  </sheetData>
  <mergeCells count="1">
    <mergeCell ref="A2:D2"/>
  </mergeCells>
  <pageMargins left="0.55118110236220474" right="0.55118110236220474" top="0.94488188976377963" bottom="0.47244094488188981" header="0.55118110236220474" footer="0.51181102362204722"/>
  <pageSetup paperSize="9" scale="89" orientation="portrait" horizontalDpi="1200" verticalDpi="1200"/>
  <headerFooter alignWithMargins="0"/>
  <legacyDrawing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619F9-D81C-8F4E-BE09-6EFBC75F94D0}">
  <dimension ref="A1:E37"/>
  <sheetViews>
    <sheetView zoomScaleNormal="100" workbookViewId="0">
      <selection activeCell="A4" sqref="A4"/>
    </sheetView>
  </sheetViews>
  <sheetFormatPr baseColWidth="10" defaultColWidth="11.3984375" defaultRowHeight="13"/>
  <cols>
    <col min="1" max="1" width="8.796875" style="3" customWidth="1"/>
    <col min="2" max="2" width="48.796875" style="49" customWidth="1"/>
    <col min="3" max="3" width="16.796875" style="3" customWidth="1"/>
    <col min="4" max="4" width="16.796875" style="8" customWidth="1"/>
    <col min="5" max="5" width="16.796875" style="294" customWidth="1"/>
    <col min="6" max="16384" width="11.3984375" style="3"/>
  </cols>
  <sheetData>
    <row r="1" spans="1:5" s="2" customFormat="1" ht="14" customHeight="1">
      <c r="B1" s="261"/>
      <c r="D1" s="100"/>
      <c r="E1" s="668"/>
    </row>
    <row r="2" spans="1:5" s="2" customFormat="1" ht="28" customHeight="1">
      <c r="A2" s="47" t="s">
        <v>1051</v>
      </c>
      <c r="B2" s="261"/>
      <c r="D2" s="100"/>
      <c r="E2" s="47">
        <v>2010</v>
      </c>
    </row>
    <row r="3" spans="1:5" ht="39" customHeight="1">
      <c r="A3" s="276" t="s">
        <v>417</v>
      </c>
      <c r="B3" s="277"/>
      <c r="C3" s="73" t="s">
        <v>418</v>
      </c>
      <c r="D3" s="104" t="s">
        <v>419</v>
      </c>
      <c r="E3" s="262" t="s">
        <v>190</v>
      </c>
    </row>
    <row r="4" spans="1:5" ht="38" customHeight="1">
      <c r="A4" s="263"/>
      <c r="B4" s="264"/>
      <c r="C4" s="82" t="s">
        <v>420</v>
      </c>
      <c r="D4" s="109" t="s">
        <v>420</v>
      </c>
      <c r="E4" s="265" t="s">
        <v>420</v>
      </c>
    </row>
    <row r="5" spans="1:5" ht="30" customHeight="1" thickBot="1">
      <c r="A5" s="84">
        <v>60</v>
      </c>
      <c r="B5" s="84" t="s">
        <v>421</v>
      </c>
      <c r="C5" s="123">
        <v>239332866.12</v>
      </c>
      <c r="D5" s="124">
        <v>9422831.6099999994</v>
      </c>
      <c r="E5" s="278">
        <v>248755697.72999999</v>
      </c>
    </row>
    <row r="6" spans="1:5" ht="20" customHeight="1" thickBot="1">
      <c r="A6" s="89">
        <v>64</v>
      </c>
      <c r="B6" s="89" t="s">
        <v>422</v>
      </c>
      <c r="C6" s="133">
        <v>-1664658.5</v>
      </c>
      <c r="D6" s="132">
        <v>-56728.33</v>
      </c>
      <c r="E6" s="267">
        <v>-1721386.83</v>
      </c>
    </row>
    <row r="7" spans="1:5" ht="20" customHeight="1" thickBot="1">
      <c r="A7" s="89">
        <v>65</v>
      </c>
      <c r="B7" s="89" t="s">
        <v>423</v>
      </c>
      <c r="C7" s="133">
        <v>706911.1</v>
      </c>
      <c r="D7" s="132">
        <v>6669.27</v>
      </c>
      <c r="E7" s="267">
        <v>713580.37</v>
      </c>
    </row>
    <row r="8" spans="1:5" ht="27" customHeight="1" thickBot="1">
      <c r="A8" s="90" t="s">
        <v>424</v>
      </c>
      <c r="B8" s="90" t="s">
        <v>425</v>
      </c>
      <c r="C8" s="133">
        <v>238375118.71000001</v>
      </c>
      <c r="D8" s="132">
        <v>9372772.5500000007</v>
      </c>
      <c r="E8" s="267">
        <v>247747891.25999999</v>
      </c>
    </row>
    <row r="9" spans="1:5" ht="20" customHeight="1" thickBot="1">
      <c r="A9" s="89">
        <v>66</v>
      </c>
      <c r="B9" s="89" t="s">
        <v>426</v>
      </c>
      <c r="C9" s="133">
        <v>-1321236.04</v>
      </c>
      <c r="D9" s="132">
        <v>-65436.36</v>
      </c>
      <c r="E9" s="267">
        <v>-1386672.4</v>
      </c>
    </row>
    <row r="10" spans="1:5" ht="27" customHeight="1" thickBot="1">
      <c r="A10" s="90" t="s">
        <v>427</v>
      </c>
      <c r="B10" s="90" t="s">
        <v>428</v>
      </c>
      <c r="C10" s="133">
        <v>237053882.68000001</v>
      </c>
      <c r="D10" s="132">
        <v>9307336.1999999993</v>
      </c>
      <c r="E10" s="267">
        <v>246361218.88</v>
      </c>
    </row>
    <row r="11" spans="1:5" ht="20" customHeight="1" thickBot="1">
      <c r="A11" s="89">
        <v>67</v>
      </c>
      <c r="B11" s="89" t="s">
        <v>429</v>
      </c>
      <c r="C11" s="133">
        <v>139179.85</v>
      </c>
      <c r="D11" s="132">
        <v>12821.4</v>
      </c>
      <c r="E11" s="267">
        <v>152001.25</v>
      </c>
    </row>
    <row r="12" spans="1:5" ht="20" customHeight="1" thickBot="1">
      <c r="A12" s="89">
        <v>68</v>
      </c>
      <c r="B12" s="89" t="s">
        <v>430</v>
      </c>
      <c r="C12" s="133">
        <v>-24.96</v>
      </c>
      <c r="D12" s="132">
        <v>-7.75</v>
      </c>
      <c r="E12" s="267">
        <v>-32.71</v>
      </c>
    </row>
    <row r="13" spans="1:5" ht="20" customHeight="1" thickBot="1">
      <c r="A13" s="89">
        <v>69</v>
      </c>
      <c r="B13" s="89" t="s">
        <v>431</v>
      </c>
      <c r="C13" s="133">
        <v>2040517.27</v>
      </c>
      <c r="D13" s="132">
        <v>26182.44</v>
      </c>
      <c r="E13" s="267">
        <v>2066699.71</v>
      </c>
    </row>
    <row r="14" spans="1:5" ht="27" customHeight="1" thickBot="1">
      <c r="A14" s="90">
        <v>6</v>
      </c>
      <c r="B14" s="90" t="s">
        <v>432</v>
      </c>
      <c r="C14" s="133">
        <v>239233554.84</v>
      </c>
      <c r="D14" s="132">
        <v>9346332.2899999991</v>
      </c>
      <c r="E14" s="267">
        <v>248579887.13</v>
      </c>
    </row>
    <row r="15" spans="1:5" ht="20" customHeight="1" thickBot="1">
      <c r="A15" s="89">
        <v>30</v>
      </c>
      <c r="B15" s="89" t="s">
        <v>433</v>
      </c>
      <c r="C15" s="133">
        <v>183121017.53</v>
      </c>
      <c r="D15" s="132">
        <v>8523625.6899999995</v>
      </c>
      <c r="E15" s="267">
        <v>191644643.22</v>
      </c>
    </row>
    <row r="16" spans="1:5" ht="20" customHeight="1" thickBot="1">
      <c r="A16" s="89">
        <v>32</v>
      </c>
      <c r="B16" s="89" t="s">
        <v>434</v>
      </c>
      <c r="C16" s="133" t="s">
        <v>1365</v>
      </c>
      <c r="D16" s="132" t="s">
        <v>1365</v>
      </c>
      <c r="E16" s="267" t="s">
        <v>1365</v>
      </c>
    </row>
    <row r="17" spans="1:5" ht="27" customHeight="1" thickBot="1">
      <c r="A17" s="90" t="s">
        <v>435</v>
      </c>
      <c r="B17" s="90" t="s">
        <v>262</v>
      </c>
      <c r="C17" s="133">
        <v>183121017.53</v>
      </c>
      <c r="D17" s="132">
        <v>8523625.6899999995</v>
      </c>
      <c r="E17" s="267">
        <v>191644643.22</v>
      </c>
    </row>
    <row r="18" spans="1:5" ht="20" customHeight="1" thickBot="1">
      <c r="A18" s="89">
        <v>34</v>
      </c>
      <c r="B18" s="89" t="s">
        <v>436</v>
      </c>
      <c r="C18" s="133">
        <v>875289.02</v>
      </c>
      <c r="D18" s="132">
        <v>21051.34</v>
      </c>
      <c r="E18" s="267">
        <v>896340.36</v>
      </c>
    </row>
    <row r="19" spans="1:5" ht="20" customHeight="1" thickBot="1">
      <c r="A19" s="89">
        <v>35</v>
      </c>
      <c r="B19" s="89" t="s">
        <v>437</v>
      </c>
      <c r="C19" s="133">
        <v>-4373911.03</v>
      </c>
      <c r="D19" s="132">
        <v>-91559.09</v>
      </c>
      <c r="E19" s="267">
        <v>-4465470.12</v>
      </c>
    </row>
    <row r="20" spans="1:5" ht="27" customHeight="1" thickBot="1">
      <c r="A20" s="90" t="s">
        <v>438</v>
      </c>
      <c r="B20" s="90" t="s">
        <v>248</v>
      </c>
      <c r="C20" s="133">
        <v>179622395.50999999</v>
      </c>
      <c r="D20" s="132">
        <v>8453117.9399999995</v>
      </c>
      <c r="E20" s="267">
        <v>188075513.44999999</v>
      </c>
    </row>
    <row r="21" spans="1:5" ht="20" customHeight="1" thickBot="1">
      <c r="A21" s="89">
        <v>36</v>
      </c>
      <c r="B21" s="89" t="s">
        <v>439</v>
      </c>
      <c r="C21" s="133">
        <v>-674184.83</v>
      </c>
      <c r="D21" s="132">
        <v>-35393.550000000003</v>
      </c>
      <c r="E21" s="267">
        <v>-709578.38</v>
      </c>
    </row>
    <row r="22" spans="1:5" ht="20" customHeight="1" thickBot="1">
      <c r="A22" s="89">
        <v>37</v>
      </c>
      <c r="B22" s="89" t="s">
        <v>440</v>
      </c>
      <c r="C22" s="133" t="s">
        <v>1365</v>
      </c>
      <c r="D22" s="132" t="s">
        <v>1365</v>
      </c>
      <c r="E22" s="267" t="s">
        <v>1365</v>
      </c>
    </row>
    <row r="23" spans="1:5" ht="27" customHeight="1" thickBot="1">
      <c r="A23" s="90">
        <v>3</v>
      </c>
      <c r="B23" s="90" t="s">
        <v>441</v>
      </c>
      <c r="C23" s="133">
        <v>178948210.69</v>
      </c>
      <c r="D23" s="132">
        <v>8417724.3900000006</v>
      </c>
      <c r="E23" s="267">
        <v>187365935.08000001</v>
      </c>
    </row>
    <row r="24" spans="1:5" ht="20" customHeight="1" thickBot="1">
      <c r="A24" s="89" t="s">
        <v>442</v>
      </c>
      <c r="B24" s="89" t="s">
        <v>443</v>
      </c>
      <c r="C24" s="133">
        <v>43217034.299999997</v>
      </c>
      <c r="D24" s="132">
        <v>1881162.17</v>
      </c>
      <c r="E24" s="267">
        <v>45098196.469999999</v>
      </c>
    </row>
    <row r="25" spans="1:5" ht="20" customHeight="1" thickBot="1">
      <c r="A25" s="89">
        <v>48</v>
      </c>
      <c r="B25" s="89" t="s">
        <v>444</v>
      </c>
      <c r="C25" s="133">
        <v>965724.87</v>
      </c>
      <c r="D25" s="132">
        <v>55223.360000000001</v>
      </c>
      <c r="E25" s="267">
        <v>1020948.23</v>
      </c>
    </row>
    <row r="26" spans="1:5" ht="20" customHeight="1" thickBot="1">
      <c r="A26" s="89">
        <v>49</v>
      </c>
      <c r="B26" s="89" t="s">
        <v>445</v>
      </c>
      <c r="C26" s="133">
        <v>777622.88</v>
      </c>
      <c r="D26" s="132">
        <v>30934.15</v>
      </c>
      <c r="E26" s="267">
        <v>808557.03</v>
      </c>
    </row>
    <row r="27" spans="1:5" ht="27" customHeight="1" thickBot="1">
      <c r="A27" s="90">
        <v>4</v>
      </c>
      <c r="B27" s="90" t="s">
        <v>446</v>
      </c>
      <c r="C27" s="133">
        <v>44960382.079999998</v>
      </c>
      <c r="D27" s="132">
        <v>1967319.66</v>
      </c>
      <c r="E27" s="267">
        <v>46927701.740000002</v>
      </c>
    </row>
    <row r="28" spans="1:5" ht="27" customHeight="1" thickBot="1">
      <c r="A28" s="90" t="s">
        <v>447</v>
      </c>
      <c r="B28" s="90" t="s">
        <v>448</v>
      </c>
      <c r="C28" s="133">
        <v>223908592.75</v>
      </c>
      <c r="D28" s="132">
        <v>10385044.060000001</v>
      </c>
      <c r="E28" s="267">
        <v>234293636.81</v>
      </c>
    </row>
    <row r="29" spans="1:5" ht="27" customHeight="1" thickBot="1">
      <c r="A29" s="90"/>
      <c r="B29" s="90" t="s">
        <v>449</v>
      </c>
      <c r="C29" s="133">
        <v>15324962.060000001</v>
      </c>
      <c r="D29" s="132">
        <v>-1038711.78</v>
      </c>
      <c r="E29" s="267">
        <v>14286250.279999999</v>
      </c>
    </row>
    <row r="30" spans="1:5" ht="27" customHeight="1" thickBot="1">
      <c r="A30" s="90">
        <v>7</v>
      </c>
      <c r="B30" s="90" t="s">
        <v>450</v>
      </c>
      <c r="C30" s="133">
        <v>2492491.73</v>
      </c>
      <c r="D30" s="132">
        <v>221908.44</v>
      </c>
      <c r="E30" s="267">
        <v>2714400.17</v>
      </c>
    </row>
    <row r="31" spans="1:5" ht="34.5" customHeight="1" thickBot="1">
      <c r="A31" s="669"/>
      <c r="B31" s="669" t="s">
        <v>451</v>
      </c>
      <c r="C31" s="268">
        <v>17817453.789999999</v>
      </c>
      <c r="D31" s="269">
        <v>-816803.34</v>
      </c>
      <c r="E31" s="270">
        <v>17000650.449999999</v>
      </c>
    </row>
    <row r="32" spans="1:5" ht="19.5" customHeight="1">
      <c r="A32" s="95" t="s">
        <v>678</v>
      </c>
      <c r="B32" s="292"/>
      <c r="C32" s="95"/>
      <c r="D32" s="117"/>
      <c r="E32" s="293"/>
    </row>
    <row r="34" spans="1:1">
      <c r="A34" s="3" t="s">
        <v>1052</v>
      </c>
    </row>
    <row r="37" spans="1:1">
      <c r="A37" s="3" t="s">
        <v>677</v>
      </c>
    </row>
  </sheetData>
  <pageMargins left="0.62" right="0.68" top="0.87" bottom="0.49" header="0.49" footer="0.4921259845"/>
  <pageSetup paperSize="9" scale="80" orientation="portrait" horizontalDpi="1200" verticalDpi="1200"/>
  <headerFooter alignWithMargins="0"/>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D23E0-F31C-8940-989D-94F5324A71E8}">
  <sheetPr>
    <pageSetUpPr fitToPage="1"/>
  </sheetPr>
  <dimension ref="A1:E40"/>
  <sheetViews>
    <sheetView zoomScaleNormal="100" workbookViewId="0">
      <selection activeCell="A4" sqref="A4"/>
    </sheetView>
  </sheetViews>
  <sheetFormatPr baseColWidth="10" defaultColWidth="11.3984375" defaultRowHeight="13"/>
  <cols>
    <col min="1" max="1" width="8.796875" style="3" customWidth="1"/>
    <col min="2" max="2" width="48.796875" style="49" customWidth="1"/>
    <col min="3" max="3" width="16.796875" style="3" customWidth="1"/>
    <col min="4" max="4" width="16.796875" style="8" customWidth="1"/>
    <col min="5" max="5" width="16.796875" style="294" customWidth="1"/>
    <col min="6" max="16384" width="11.3984375" style="3"/>
  </cols>
  <sheetData>
    <row r="1" spans="1:5" s="2" customFormat="1" ht="14" customHeight="1">
      <c r="B1" s="261"/>
      <c r="D1" s="100"/>
      <c r="E1" s="668"/>
    </row>
    <row r="2" spans="1:5" s="2" customFormat="1" ht="28" customHeight="1">
      <c r="A2" s="47" t="s">
        <v>1053</v>
      </c>
      <c r="B2" s="261"/>
      <c r="D2" s="100"/>
      <c r="E2" s="47">
        <v>2010</v>
      </c>
    </row>
    <row r="3" spans="1:5" ht="39" customHeight="1">
      <c r="A3" s="276" t="s">
        <v>417</v>
      </c>
      <c r="B3" s="277"/>
      <c r="C3" s="73" t="s">
        <v>418</v>
      </c>
      <c r="D3" s="104" t="s">
        <v>419</v>
      </c>
      <c r="E3" s="262" t="s">
        <v>190</v>
      </c>
    </row>
    <row r="4" spans="1:5" ht="38" customHeight="1">
      <c r="A4" s="263"/>
      <c r="B4" s="264"/>
      <c r="C4" s="82" t="s">
        <v>420</v>
      </c>
      <c r="D4" s="109" t="s">
        <v>420</v>
      </c>
      <c r="E4" s="265" t="s">
        <v>420</v>
      </c>
    </row>
    <row r="5" spans="1:5" ht="30" customHeight="1" thickBot="1">
      <c r="A5" s="670">
        <v>60</v>
      </c>
      <c r="B5" s="670" t="s">
        <v>421</v>
      </c>
      <c r="C5" s="290">
        <v>40619785.039999999</v>
      </c>
      <c r="D5" s="291">
        <v>5358594.0199999996</v>
      </c>
      <c r="E5" s="125">
        <v>45978379.060000002</v>
      </c>
    </row>
    <row r="6" spans="1:5" ht="20" customHeight="1" thickBot="1">
      <c r="A6" s="90">
        <v>64</v>
      </c>
      <c r="B6" s="90" t="s">
        <v>422</v>
      </c>
      <c r="C6" s="268">
        <v>-333360.74</v>
      </c>
      <c r="D6" s="269">
        <v>-21705.43</v>
      </c>
      <c r="E6" s="270">
        <v>-355066.17</v>
      </c>
    </row>
    <row r="7" spans="1:5" ht="20" customHeight="1" thickBot="1">
      <c r="A7" s="90">
        <v>65</v>
      </c>
      <c r="B7" s="90" t="s">
        <v>423</v>
      </c>
      <c r="C7" s="268">
        <v>60915.81</v>
      </c>
      <c r="D7" s="269">
        <v>3273.7</v>
      </c>
      <c r="E7" s="270">
        <v>64189.51</v>
      </c>
    </row>
    <row r="8" spans="1:5" ht="27" customHeight="1" thickBot="1">
      <c r="A8" s="90" t="s">
        <v>424</v>
      </c>
      <c r="B8" s="90" t="s">
        <v>425</v>
      </c>
      <c r="C8" s="268">
        <v>40347340.100000001</v>
      </c>
      <c r="D8" s="269">
        <v>5340162.3</v>
      </c>
      <c r="E8" s="270">
        <v>45687502.399999999</v>
      </c>
    </row>
    <row r="9" spans="1:5" ht="20" customHeight="1" thickBot="1">
      <c r="A9" s="90">
        <v>66</v>
      </c>
      <c r="B9" s="90" t="s">
        <v>426</v>
      </c>
      <c r="C9" s="268">
        <v>-440616.52</v>
      </c>
      <c r="D9" s="269">
        <v>-56351.360000000001</v>
      </c>
      <c r="E9" s="270">
        <v>-496967.88</v>
      </c>
    </row>
    <row r="10" spans="1:5" ht="27" customHeight="1" thickBot="1">
      <c r="A10" s="90" t="s">
        <v>427</v>
      </c>
      <c r="B10" s="90" t="s">
        <v>428</v>
      </c>
      <c r="C10" s="268">
        <v>39906723.579999998</v>
      </c>
      <c r="D10" s="269">
        <v>5283810.95</v>
      </c>
      <c r="E10" s="270">
        <v>45190534.530000001</v>
      </c>
    </row>
    <row r="11" spans="1:5" ht="20" customHeight="1" thickBot="1">
      <c r="A11" s="90">
        <v>67</v>
      </c>
      <c r="B11" s="90" t="s">
        <v>429</v>
      </c>
      <c r="C11" s="268">
        <v>139179.85</v>
      </c>
      <c r="D11" s="269">
        <v>12821.4</v>
      </c>
      <c r="E11" s="270">
        <v>152001.25</v>
      </c>
    </row>
    <row r="12" spans="1:5" ht="20" customHeight="1" thickBot="1">
      <c r="A12" s="90">
        <v>68</v>
      </c>
      <c r="B12" s="90" t="s">
        <v>430</v>
      </c>
      <c r="C12" s="268">
        <v>-24.96</v>
      </c>
      <c r="D12" s="269">
        <v>-7.75</v>
      </c>
      <c r="E12" s="270">
        <v>-32.71</v>
      </c>
    </row>
    <row r="13" spans="1:5" ht="20" customHeight="1" thickBot="1">
      <c r="A13" s="90">
        <v>69</v>
      </c>
      <c r="B13" s="90" t="s">
        <v>431</v>
      </c>
      <c r="C13" s="268">
        <v>265658.57</v>
      </c>
      <c r="D13" s="269">
        <v>16929.75</v>
      </c>
      <c r="E13" s="270">
        <v>282588.32</v>
      </c>
    </row>
    <row r="14" spans="1:5" ht="27" customHeight="1" thickBot="1">
      <c r="A14" s="90">
        <v>6</v>
      </c>
      <c r="B14" s="90" t="s">
        <v>432</v>
      </c>
      <c r="C14" s="268">
        <v>40311537.039999999</v>
      </c>
      <c r="D14" s="269">
        <v>5313554.3499999996</v>
      </c>
      <c r="E14" s="270">
        <v>45625091.390000001</v>
      </c>
    </row>
    <row r="15" spans="1:5" ht="20" customHeight="1" thickBot="1">
      <c r="A15" s="90">
        <v>30</v>
      </c>
      <c r="B15" s="90" t="s">
        <v>433</v>
      </c>
      <c r="C15" s="268">
        <v>33016824.469999999</v>
      </c>
      <c r="D15" s="269">
        <v>2879790.58</v>
      </c>
      <c r="E15" s="270">
        <v>35896615.049999997</v>
      </c>
    </row>
    <row r="16" spans="1:5" ht="20" customHeight="1" thickBot="1">
      <c r="A16" s="90">
        <v>32</v>
      </c>
      <c r="B16" s="90" t="s">
        <v>434</v>
      </c>
      <c r="C16" s="268" t="s">
        <v>1365</v>
      </c>
      <c r="D16" s="269" t="s">
        <v>1365</v>
      </c>
      <c r="E16" s="270" t="s">
        <v>1365</v>
      </c>
    </row>
    <row r="17" spans="1:5" ht="27" customHeight="1" thickBot="1">
      <c r="A17" s="90" t="s">
        <v>435</v>
      </c>
      <c r="B17" s="90" t="s">
        <v>262</v>
      </c>
      <c r="C17" s="268">
        <v>33016824.469999999</v>
      </c>
      <c r="D17" s="269">
        <v>2879790.58</v>
      </c>
      <c r="E17" s="270">
        <v>35896615.049999997</v>
      </c>
    </row>
    <row r="18" spans="1:5" ht="20" customHeight="1" thickBot="1">
      <c r="A18" s="90">
        <v>34</v>
      </c>
      <c r="B18" s="90" t="s">
        <v>436</v>
      </c>
      <c r="C18" s="268">
        <v>341478.40000000002</v>
      </c>
      <c r="D18" s="269">
        <v>15790.64</v>
      </c>
      <c r="E18" s="270">
        <v>357269.04</v>
      </c>
    </row>
    <row r="19" spans="1:5" ht="20" customHeight="1" thickBot="1">
      <c r="A19" s="90">
        <v>35</v>
      </c>
      <c r="B19" s="90" t="s">
        <v>437</v>
      </c>
      <c r="C19" s="268">
        <v>-889438.26</v>
      </c>
      <c r="D19" s="269">
        <v>-153621.72</v>
      </c>
      <c r="E19" s="270">
        <v>-1043059.98</v>
      </c>
    </row>
    <row r="20" spans="1:5" ht="27" customHeight="1" thickBot="1">
      <c r="A20" s="90" t="s">
        <v>438</v>
      </c>
      <c r="B20" s="90" t="s">
        <v>248</v>
      </c>
      <c r="C20" s="268">
        <v>32468864.609999999</v>
      </c>
      <c r="D20" s="269">
        <v>2741959.49</v>
      </c>
      <c r="E20" s="270">
        <v>35210824.100000001</v>
      </c>
    </row>
    <row r="21" spans="1:5" ht="20" customHeight="1" thickBot="1">
      <c r="A21" s="90">
        <v>36</v>
      </c>
      <c r="B21" s="90" t="s">
        <v>439</v>
      </c>
      <c r="C21" s="268">
        <v>-295130.07</v>
      </c>
      <c r="D21" s="269">
        <v>-31311.98</v>
      </c>
      <c r="E21" s="270">
        <v>-326442.05</v>
      </c>
    </row>
    <row r="22" spans="1:5" ht="20" customHeight="1" thickBot="1">
      <c r="A22" s="90">
        <v>37</v>
      </c>
      <c r="B22" s="90" t="s">
        <v>440</v>
      </c>
      <c r="C22" s="268" t="s">
        <v>1365</v>
      </c>
      <c r="D22" s="269" t="s">
        <v>1365</v>
      </c>
      <c r="E22" s="270" t="s">
        <v>1365</v>
      </c>
    </row>
    <row r="23" spans="1:5" ht="27" customHeight="1" thickBot="1">
      <c r="A23" s="90">
        <v>3</v>
      </c>
      <c r="B23" s="90" t="s">
        <v>441</v>
      </c>
      <c r="C23" s="268">
        <v>32173734.539999999</v>
      </c>
      <c r="D23" s="269">
        <v>2710647.51</v>
      </c>
      <c r="E23" s="270">
        <v>34884382.049999997</v>
      </c>
    </row>
    <row r="24" spans="1:5" ht="20" customHeight="1" thickBot="1">
      <c r="A24" s="89" t="s">
        <v>442</v>
      </c>
      <c r="B24" s="89" t="s">
        <v>443</v>
      </c>
      <c r="C24" s="268">
        <v>8150098.9900000002</v>
      </c>
      <c r="D24" s="269">
        <v>1044987.54</v>
      </c>
      <c r="E24" s="270">
        <v>9195086.5299999993</v>
      </c>
    </row>
    <row r="25" spans="1:5" ht="20" customHeight="1" thickBot="1">
      <c r="A25" s="89">
        <v>48</v>
      </c>
      <c r="B25" s="89" t="s">
        <v>444</v>
      </c>
      <c r="C25" s="268">
        <v>223962.57</v>
      </c>
      <c r="D25" s="269">
        <v>35193.5</v>
      </c>
      <c r="E25" s="270">
        <v>259156.07</v>
      </c>
    </row>
    <row r="26" spans="1:5" ht="20" customHeight="1" thickBot="1">
      <c r="A26" s="90">
        <v>49</v>
      </c>
      <c r="B26" s="90" t="s">
        <v>445</v>
      </c>
      <c r="C26" s="268">
        <v>64515.28</v>
      </c>
      <c r="D26" s="269">
        <v>20412.650000000001</v>
      </c>
      <c r="E26" s="270">
        <v>84927.93</v>
      </c>
    </row>
    <row r="27" spans="1:5" ht="27" customHeight="1" thickBot="1">
      <c r="A27" s="90">
        <v>4</v>
      </c>
      <c r="B27" s="90" t="s">
        <v>446</v>
      </c>
      <c r="C27" s="268">
        <v>8438576.8499999996</v>
      </c>
      <c r="D27" s="269">
        <v>1100593.69</v>
      </c>
      <c r="E27" s="270">
        <v>9539170.5399999991</v>
      </c>
    </row>
    <row r="28" spans="1:5" ht="27" customHeight="1" thickBot="1">
      <c r="A28" s="90" t="s">
        <v>447</v>
      </c>
      <c r="B28" s="90" t="s">
        <v>448</v>
      </c>
      <c r="C28" s="268">
        <v>40612311.380000003</v>
      </c>
      <c r="D28" s="269">
        <v>3811241.22</v>
      </c>
      <c r="E28" s="270">
        <v>44423552.600000001</v>
      </c>
    </row>
    <row r="29" spans="1:5" ht="27" customHeight="1" thickBot="1">
      <c r="A29" s="90"/>
      <c r="B29" s="90" t="s">
        <v>449</v>
      </c>
      <c r="C29" s="268">
        <v>-300774.36</v>
      </c>
      <c r="D29" s="269">
        <v>1502313.12</v>
      </c>
      <c r="E29" s="270">
        <v>1201538.76</v>
      </c>
    </row>
    <row r="30" spans="1:5" ht="27" customHeight="1" thickBot="1">
      <c r="A30" s="90">
        <v>7</v>
      </c>
      <c r="B30" s="90" t="s">
        <v>450</v>
      </c>
      <c r="C30" s="268">
        <v>-75142.070000000007</v>
      </c>
      <c r="D30" s="269">
        <v>153986.66</v>
      </c>
      <c r="E30" s="270">
        <v>78844.59</v>
      </c>
    </row>
    <row r="31" spans="1:5" ht="34.5" customHeight="1" thickBot="1">
      <c r="A31" s="669"/>
      <c r="B31" s="669" t="s">
        <v>451</v>
      </c>
      <c r="C31" s="268">
        <v>-375916.42</v>
      </c>
      <c r="D31" s="269">
        <v>1656299.8</v>
      </c>
      <c r="E31" s="270">
        <v>1280383.3799999999</v>
      </c>
    </row>
    <row r="32" spans="1:5" ht="20" customHeight="1">
      <c r="A32" s="95" t="s">
        <v>678</v>
      </c>
      <c r="B32" s="292"/>
      <c r="C32" s="95"/>
      <c r="D32" s="117"/>
      <c r="E32" s="293"/>
    </row>
    <row r="33" spans="1:5" ht="15.75" customHeight="1">
      <c r="A33" s="96"/>
      <c r="B33" s="316"/>
      <c r="C33" s="96"/>
      <c r="D33" s="119"/>
      <c r="E33" s="671"/>
    </row>
    <row r="34" spans="1:5" ht="15.75" customHeight="1">
      <c r="A34" s="3" t="s">
        <v>1054</v>
      </c>
      <c r="B34" s="316"/>
      <c r="C34" s="96"/>
      <c r="D34" s="119"/>
      <c r="E34" s="671"/>
    </row>
    <row r="35" spans="1:5" ht="13.5" customHeight="1">
      <c r="A35" s="96"/>
      <c r="B35" s="316"/>
      <c r="C35" s="96"/>
      <c r="D35" s="119"/>
      <c r="E35" s="671"/>
    </row>
    <row r="36" spans="1:5">
      <c r="A36" s="96" t="s">
        <v>1047</v>
      </c>
    </row>
    <row r="37" spans="1:5">
      <c r="A37" s="3" t="s">
        <v>1048</v>
      </c>
    </row>
    <row r="40" spans="1:5">
      <c r="A40" s="3" t="s">
        <v>677</v>
      </c>
    </row>
  </sheetData>
  <pageMargins left="0.6" right="0.6" top="0.78" bottom="0.49" header="0.49" footer="0.4921259845"/>
  <pageSetup paperSize="9" scale="83" orientation="portrait"/>
  <headerFooter alignWithMargins="0"/>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8392F-87F6-964A-A3E0-7BB2560F0561}">
  <sheetPr>
    <pageSetUpPr fitToPage="1"/>
  </sheetPr>
  <dimension ref="A1:E40"/>
  <sheetViews>
    <sheetView zoomScaleNormal="100" workbookViewId="0">
      <selection activeCell="A4" sqref="A4"/>
    </sheetView>
  </sheetViews>
  <sheetFormatPr baseColWidth="10" defaultColWidth="11.3984375" defaultRowHeight="13"/>
  <cols>
    <col min="1" max="1" width="8.796875" style="3" customWidth="1"/>
    <col min="2" max="2" width="48.796875" style="49" customWidth="1"/>
    <col min="3" max="3" width="16.796875" style="3" customWidth="1"/>
    <col min="4" max="4" width="16.796875" style="8" customWidth="1"/>
    <col min="5" max="5" width="16.796875" style="294" customWidth="1"/>
    <col min="6" max="16384" width="11.3984375" style="3"/>
  </cols>
  <sheetData>
    <row r="1" spans="1:5" s="2" customFormat="1" ht="14" customHeight="1">
      <c r="B1" s="261"/>
      <c r="D1" s="100"/>
      <c r="E1" s="668"/>
    </row>
    <row r="2" spans="1:5" s="2" customFormat="1" ht="28" customHeight="1">
      <c r="A2" s="47" t="s">
        <v>1055</v>
      </c>
      <c r="B2" s="261"/>
      <c r="D2" s="100"/>
      <c r="E2" s="47">
        <v>2010</v>
      </c>
    </row>
    <row r="3" spans="1:5" ht="39" customHeight="1">
      <c r="A3" s="276" t="s">
        <v>417</v>
      </c>
      <c r="B3" s="277"/>
      <c r="C3" s="73" t="s">
        <v>418</v>
      </c>
      <c r="D3" s="104" t="s">
        <v>419</v>
      </c>
      <c r="E3" s="262" t="s">
        <v>190</v>
      </c>
    </row>
    <row r="4" spans="1:5" ht="38" customHeight="1">
      <c r="A4" s="263"/>
      <c r="B4" s="264"/>
      <c r="C4" s="82" t="s">
        <v>420</v>
      </c>
      <c r="D4" s="109" t="s">
        <v>420</v>
      </c>
      <c r="E4" s="265" t="s">
        <v>420</v>
      </c>
    </row>
    <row r="5" spans="1:5" ht="30" customHeight="1" thickBot="1">
      <c r="A5" s="670">
        <v>60</v>
      </c>
      <c r="B5" s="670" t="s">
        <v>421</v>
      </c>
      <c r="C5" s="290">
        <v>198713081.08000001</v>
      </c>
      <c r="D5" s="291">
        <v>4064237.59</v>
      </c>
      <c r="E5" s="125">
        <v>202777318.66999999</v>
      </c>
    </row>
    <row r="6" spans="1:5" ht="20" customHeight="1" thickBot="1">
      <c r="A6" s="90">
        <v>64</v>
      </c>
      <c r="B6" s="90" t="s">
        <v>422</v>
      </c>
      <c r="C6" s="290">
        <v>-1331297.76</v>
      </c>
      <c r="D6" s="291">
        <v>-35022.9</v>
      </c>
      <c r="E6" s="125">
        <v>-1366320.66</v>
      </c>
    </row>
    <row r="7" spans="1:5" ht="20" customHeight="1" thickBot="1">
      <c r="A7" s="90">
        <v>65</v>
      </c>
      <c r="B7" s="90" t="s">
        <v>423</v>
      </c>
      <c r="C7" s="290">
        <v>645995.29</v>
      </c>
      <c r="D7" s="291">
        <v>3395.57</v>
      </c>
      <c r="E7" s="125">
        <v>649390.86</v>
      </c>
    </row>
    <row r="8" spans="1:5" ht="27" customHeight="1" thickBot="1">
      <c r="A8" s="90" t="s">
        <v>424</v>
      </c>
      <c r="B8" s="90" t="s">
        <v>425</v>
      </c>
      <c r="C8" s="290">
        <v>198027778.61000001</v>
      </c>
      <c r="D8" s="291">
        <v>4032610.25</v>
      </c>
      <c r="E8" s="125">
        <v>202060388.86000001</v>
      </c>
    </row>
    <row r="9" spans="1:5" ht="20" customHeight="1" thickBot="1">
      <c r="A9" s="90">
        <v>66</v>
      </c>
      <c r="B9" s="90" t="s">
        <v>426</v>
      </c>
      <c r="C9" s="290">
        <v>-880619.52000000002</v>
      </c>
      <c r="D9" s="291">
        <v>-9085</v>
      </c>
      <c r="E9" s="125">
        <v>-889704.52</v>
      </c>
    </row>
    <row r="10" spans="1:5" ht="27" customHeight="1" thickBot="1">
      <c r="A10" s="90" t="s">
        <v>427</v>
      </c>
      <c r="B10" s="90" t="s">
        <v>428</v>
      </c>
      <c r="C10" s="290">
        <v>197147159.09999999</v>
      </c>
      <c r="D10" s="291">
        <v>4023525.25</v>
      </c>
      <c r="E10" s="125">
        <v>201170684.34999999</v>
      </c>
    </row>
    <row r="11" spans="1:5" ht="20" customHeight="1" thickBot="1">
      <c r="A11" s="90">
        <v>67</v>
      </c>
      <c r="B11" s="90" t="s">
        <v>429</v>
      </c>
      <c r="C11" s="290">
        <v>0</v>
      </c>
      <c r="D11" s="291">
        <v>0</v>
      </c>
      <c r="E11" s="125">
        <v>0</v>
      </c>
    </row>
    <row r="12" spans="1:5" ht="20" customHeight="1" thickBot="1">
      <c r="A12" s="90">
        <v>68</v>
      </c>
      <c r="B12" s="90" t="s">
        <v>430</v>
      </c>
      <c r="C12" s="290">
        <v>0</v>
      </c>
      <c r="D12" s="291">
        <v>0</v>
      </c>
      <c r="E12" s="125">
        <v>0</v>
      </c>
    </row>
    <row r="13" spans="1:5" ht="20" customHeight="1" thickBot="1">
      <c r="A13" s="90">
        <v>69</v>
      </c>
      <c r="B13" s="90" t="s">
        <v>431</v>
      </c>
      <c r="C13" s="290">
        <v>1774858.7</v>
      </c>
      <c r="D13" s="291">
        <v>9252.69</v>
      </c>
      <c r="E13" s="125">
        <v>1784111.39</v>
      </c>
    </row>
    <row r="14" spans="1:5" ht="27" customHeight="1" thickBot="1">
      <c r="A14" s="90">
        <v>6</v>
      </c>
      <c r="B14" s="90" t="s">
        <v>432</v>
      </c>
      <c r="C14" s="290">
        <v>198922017.80000001</v>
      </c>
      <c r="D14" s="291">
        <v>4032777.94</v>
      </c>
      <c r="E14" s="125">
        <v>202954795.74000001</v>
      </c>
    </row>
    <row r="15" spans="1:5" ht="20" customHeight="1" thickBot="1">
      <c r="A15" s="90">
        <v>30</v>
      </c>
      <c r="B15" s="90" t="s">
        <v>433</v>
      </c>
      <c r="C15" s="290">
        <v>150104193.06</v>
      </c>
      <c r="D15" s="291">
        <v>5643835.1100000003</v>
      </c>
      <c r="E15" s="125">
        <v>155748028.16999999</v>
      </c>
    </row>
    <row r="16" spans="1:5" ht="20" customHeight="1" thickBot="1">
      <c r="A16" s="90">
        <v>32</v>
      </c>
      <c r="B16" s="90" t="s">
        <v>434</v>
      </c>
      <c r="C16" s="290" t="s">
        <v>1365</v>
      </c>
      <c r="D16" s="291" t="s">
        <v>1365</v>
      </c>
      <c r="E16" s="125" t="s">
        <v>1365</v>
      </c>
    </row>
    <row r="17" spans="1:5" ht="27" customHeight="1" thickBot="1">
      <c r="A17" s="90" t="s">
        <v>435</v>
      </c>
      <c r="B17" s="90" t="s">
        <v>262</v>
      </c>
      <c r="C17" s="290">
        <v>150104193.06</v>
      </c>
      <c r="D17" s="291">
        <v>5643835.1100000003</v>
      </c>
      <c r="E17" s="125">
        <v>155748028.16999999</v>
      </c>
    </row>
    <row r="18" spans="1:5" ht="20" customHeight="1" thickBot="1">
      <c r="A18" s="90">
        <v>34</v>
      </c>
      <c r="B18" s="90" t="s">
        <v>436</v>
      </c>
      <c r="C18" s="290">
        <v>533810.62</v>
      </c>
      <c r="D18" s="291">
        <v>5260.7</v>
      </c>
      <c r="E18" s="125">
        <v>539071.31999999995</v>
      </c>
    </row>
    <row r="19" spans="1:5" ht="20" customHeight="1" thickBot="1">
      <c r="A19" s="90">
        <v>35</v>
      </c>
      <c r="B19" s="90" t="s">
        <v>437</v>
      </c>
      <c r="C19" s="290">
        <v>-3484472.77</v>
      </c>
      <c r="D19" s="291">
        <v>62062.63</v>
      </c>
      <c r="E19" s="125">
        <v>-3422410.14</v>
      </c>
    </row>
    <row r="20" spans="1:5" ht="27" customHeight="1" thickBot="1">
      <c r="A20" s="90" t="s">
        <v>438</v>
      </c>
      <c r="B20" s="90" t="s">
        <v>248</v>
      </c>
      <c r="C20" s="290">
        <v>147153530.90000001</v>
      </c>
      <c r="D20" s="291">
        <v>5711158.4500000002</v>
      </c>
      <c r="E20" s="125">
        <v>152864689.34999999</v>
      </c>
    </row>
    <row r="21" spans="1:5" ht="20" customHeight="1" thickBot="1">
      <c r="A21" s="90">
        <v>36</v>
      </c>
      <c r="B21" s="90" t="s">
        <v>439</v>
      </c>
      <c r="C21" s="290">
        <v>-379054.76</v>
      </c>
      <c r="D21" s="291">
        <v>-4081.57</v>
      </c>
      <c r="E21" s="125">
        <v>-383136.33</v>
      </c>
    </row>
    <row r="22" spans="1:5" ht="20" customHeight="1" thickBot="1">
      <c r="A22" s="90">
        <v>37</v>
      </c>
      <c r="B22" s="90" t="s">
        <v>440</v>
      </c>
      <c r="C22" s="290" t="s">
        <v>1365</v>
      </c>
      <c r="D22" s="291" t="s">
        <v>1365</v>
      </c>
      <c r="E22" s="125" t="s">
        <v>1365</v>
      </c>
    </row>
    <row r="23" spans="1:5" ht="27" customHeight="1" thickBot="1">
      <c r="A23" s="90">
        <v>3</v>
      </c>
      <c r="B23" s="90" t="s">
        <v>441</v>
      </c>
      <c r="C23" s="290">
        <v>146774476.15000001</v>
      </c>
      <c r="D23" s="291">
        <v>5707076.8799999999</v>
      </c>
      <c r="E23" s="125">
        <v>152481553.03</v>
      </c>
    </row>
    <row r="24" spans="1:5" ht="20" customHeight="1" thickBot="1">
      <c r="A24" s="89" t="s">
        <v>442</v>
      </c>
      <c r="B24" s="89" t="s">
        <v>443</v>
      </c>
      <c r="C24" s="290">
        <v>35066935.310000002</v>
      </c>
      <c r="D24" s="291">
        <v>836174.63</v>
      </c>
      <c r="E24" s="125">
        <v>35903109.939999998</v>
      </c>
    </row>
    <row r="25" spans="1:5" ht="20" customHeight="1" thickBot="1">
      <c r="A25" s="89">
        <v>48</v>
      </c>
      <c r="B25" s="89" t="s">
        <v>444</v>
      </c>
      <c r="C25" s="290">
        <v>741762.3</v>
      </c>
      <c r="D25" s="291">
        <v>20029.86</v>
      </c>
      <c r="E25" s="125">
        <v>761792.16</v>
      </c>
    </row>
    <row r="26" spans="1:5" ht="20" customHeight="1" thickBot="1">
      <c r="A26" s="90">
        <v>49</v>
      </c>
      <c r="B26" s="90" t="s">
        <v>445</v>
      </c>
      <c r="C26" s="290">
        <v>713107.6</v>
      </c>
      <c r="D26" s="291">
        <v>10521.5</v>
      </c>
      <c r="E26" s="125">
        <v>723629.1</v>
      </c>
    </row>
    <row r="27" spans="1:5" ht="27" customHeight="1" thickBot="1">
      <c r="A27" s="90">
        <v>4</v>
      </c>
      <c r="B27" s="90" t="s">
        <v>446</v>
      </c>
      <c r="C27" s="290">
        <v>36521805.229999997</v>
      </c>
      <c r="D27" s="291">
        <v>866725.97</v>
      </c>
      <c r="E27" s="125">
        <v>37388531.200000003</v>
      </c>
    </row>
    <row r="28" spans="1:5" ht="27" customHeight="1" thickBot="1">
      <c r="A28" s="90" t="s">
        <v>447</v>
      </c>
      <c r="B28" s="90" t="s">
        <v>448</v>
      </c>
      <c r="C28" s="290">
        <v>183296281.37</v>
      </c>
      <c r="D28" s="291">
        <v>6573802.8399999999</v>
      </c>
      <c r="E28" s="125">
        <v>189870084.21000001</v>
      </c>
    </row>
    <row r="29" spans="1:5" ht="27" customHeight="1" thickBot="1">
      <c r="A29" s="90"/>
      <c r="B29" s="90" t="s">
        <v>449</v>
      </c>
      <c r="C29" s="290">
        <v>15625736.42</v>
      </c>
      <c r="D29" s="291">
        <v>-2541024.9</v>
      </c>
      <c r="E29" s="125">
        <v>13084711.52</v>
      </c>
    </row>
    <row r="30" spans="1:5" ht="27" customHeight="1" thickBot="1">
      <c r="A30" s="90">
        <v>7</v>
      </c>
      <c r="B30" s="90" t="s">
        <v>450</v>
      </c>
      <c r="C30" s="290">
        <v>2567633.7999999998</v>
      </c>
      <c r="D30" s="291">
        <v>67921.78</v>
      </c>
      <c r="E30" s="125">
        <v>2635555.58</v>
      </c>
    </row>
    <row r="31" spans="1:5" ht="34.5" customHeight="1" thickBot="1">
      <c r="A31" s="669"/>
      <c r="B31" s="669" t="s">
        <v>451</v>
      </c>
      <c r="C31" s="290">
        <v>18193370.210000001</v>
      </c>
      <c r="D31" s="291">
        <v>-2473103.14</v>
      </c>
      <c r="E31" s="125">
        <v>15720267.07</v>
      </c>
    </row>
    <row r="32" spans="1:5" ht="20" customHeight="1">
      <c r="A32" s="95" t="s">
        <v>678</v>
      </c>
      <c r="B32" s="292"/>
      <c r="C32" s="95"/>
      <c r="D32" s="117"/>
      <c r="E32" s="293"/>
    </row>
    <row r="33" spans="1:5" ht="14.25" customHeight="1">
      <c r="A33" s="96"/>
      <c r="B33" s="316"/>
      <c r="C33" s="96"/>
      <c r="D33" s="119"/>
      <c r="E33" s="671"/>
    </row>
    <row r="34" spans="1:5" ht="15.75" customHeight="1">
      <c r="A34" s="3" t="s">
        <v>1056</v>
      </c>
      <c r="B34" s="316"/>
      <c r="C34" s="96"/>
      <c r="D34" s="119"/>
      <c r="E34" s="671"/>
    </row>
    <row r="35" spans="1:5" ht="13.5" customHeight="1">
      <c r="A35" s="96"/>
      <c r="B35" s="316"/>
      <c r="C35" s="96"/>
      <c r="D35" s="119"/>
      <c r="E35" s="671"/>
    </row>
    <row r="36" spans="1:5">
      <c r="A36" s="96" t="s">
        <v>1047</v>
      </c>
    </row>
    <row r="37" spans="1:5">
      <c r="A37" s="3" t="s">
        <v>1048</v>
      </c>
    </row>
    <row r="40" spans="1:5">
      <c r="A40" s="3" t="s">
        <v>677</v>
      </c>
    </row>
  </sheetData>
  <pageMargins left="0.57999999999999996" right="0.65" top="0.92" bottom="0.49" header="0.49" footer="0.4921259845"/>
  <pageSetup paperSize="9" scale="83" orientation="portrait"/>
  <headerFooter alignWithMargins="0"/>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4729B-6C98-454E-96E6-90E370C95894}">
  <sheetPr>
    <pageSetUpPr fitToPage="1"/>
  </sheetPr>
  <dimension ref="A1:B10"/>
  <sheetViews>
    <sheetView workbookViewId="0">
      <selection activeCell="B8" sqref="B8"/>
    </sheetView>
  </sheetViews>
  <sheetFormatPr baseColWidth="10" defaultColWidth="11.59765625" defaultRowHeight="13"/>
  <cols>
    <col min="1" max="1" width="5.59765625" style="673" customWidth="1"/>
    <col min="2" max="16384" width="11.59765625" style="673"/>
  </cols>
  <sheetData>
    <row r="1" spans="1:2" ht="16">
      <c r="A1" s="672" t="s">
        <v>1057</v>
      </c>
    </row>
    <row r="2" spans="1:2" ht="16">
      <c r="A2" s="674"/>
    </row>
    <row r="3" spans="1:2">
      <c r="A3" s="675">
        <v>7.01</v>
      </c>
      <c r="B3" s="676" t="s">
        <v>1058</v>
      </c>
    </row>
    <row r="4" spans="1:2">
      <c r="A4" s="675">
        <v>7.02</v>
      </c>
      <c r="B4" s="676" t="s">
        <v>1059</v>
      </c>
    </row>
    <row r="5" spans="1:2">
      <c r="A5" s="675">
        <v>7.03</v>
      </c>
      <c r="B5" s="676" t="s">
        <v>1060</v>
      </c>
    </row>
    <row r="6" spans="1:2">
      <c r="A6" s="675">
        <v>7.04</v>
      </c>
      <c r="B6" s="676" t="s">
        <v>1061</v>
      </c>
    </row>
    <row r="7" spans="1:2">
      <c r="A7" s="675">
        <v>7.05</v>
      </c>
      <c r="B7" s="676" t="s">
        <v>1062</v>
      </c>
    </row>
    <row r="10" spans="1:2">
      <c r="A10" s="677" t="s">
        <v>677</v>
      </c>
    </row>
  </sheetData>
  <pageMargins left="0.46" right="0.35" top="0.62" bottom="0.984251969" header="0.36" footer="0.4921259845"/>
  <pageSetup paperSize="9" orientation="portrait"/>
  <headerFooter alignWithMargins="0"/>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4B930-C439-EE44-913E-392BC5B6BB75}">
  <sheetPr>
    <pageSetUpPr fitToPage="1"/>
  </sheetPr>
  <dimension ref="A1:K33"/>
  <sheetViews>
    <sheetView zoomScaleNormal="100" workbookViewId="0">
      <selection activeCell="J20" sqref="J20"/>
    </sheetView>
  </sheetViews>
  <sheetFormatPr baseColWidth="10" defaultColWidth="11.3984375" defaultRowHeight="13"/>
  <cols>
    <col min="1" max="1" width="16.796875" style="3" customWidth="1"/>
    <col min="2" max="2" width="16.3984375" style="3" customWidth="1"/>
    <col min="3" max="3" width="15" style="49" customWidth="1"/>
    <col min="4" max="4" width="16.19921875" style="3" customWidth="1"/>
    <col min="5" max="5" width="15" style="49" customWidth="1"/>
    <col min="6" max="6" width="15" style="3" customWidth="1"/>
    <col min="7" max="7" width="15" style="49" customWidth="1"/>
    <col min="8" max="16384" width="11.3984375" style="3"/>
  </cols>
  <sheetData>
    <row r="1" spans="1:11" s="2" customFormat="1" ht="14" customHeight="1">
      <c r="C1" s="261"/>
      <c r="E1" s="261"/>
      <c r="G1" s="261"/>
    </row>
    <row r="2" spans="1:11" s="2" customFormat="1" ht="34.75" customHeight="1">
      <c r="A2" s="129" t="s">
        <v>1063</v>
      </c>
      <c r="B2" s="137"/>
      <c r="C2" s="137"/>
      <c r="D2" s="137"/>
      <c r="E2" s="137"/>
      <c r="F2" s="137"/>
      <c r="G2" s="678"/>
    </row>
    <row r="3" spans="1:11" ht="24" customHeight="1">
      <c r="A3" s="72" t="s">
        <v>1064</v>
      </c>
      <c r="B3" s="73" t="s">
        <v>1024</v>
      </c>
      <c r="C3" s="277" t="s">
        <v>585</v>
      </c>
      <c r="D3" s="73" t="s">
        <v>1025</v>
      </c>
      <c r="E3" s="277" t="s">
        <v>585</v>
      </c>
      <c r="F3" s="73" t="s">
        <v>547</v>
      </c>
      <c r="G3" s="277" t="s">
        <v>585</v>
      </c>
    </row>
    <row r="4" spans="1:11" ht="15" customHeight="1">
      <c r="A4" s="328"/>
      <c r="B4" s="76" t="s">
        <v>547</v>
      </c>
      <c r="C4" s="75" t="s">
        <v>586</v>
      </c>
      <c r="D4" s="76" t="s">
        <v>1026</v>
      </c>
      <c r="E4" s="75" t="s">
        <v>586</v>
      </c>
      <c r="F4" s="76" t="s">
        <v>1027</v>
      </c>
      <c r="G4" s="75" t="s">
        <v>586</v>
      </c>
    </row>
    <row r="5" spans="1:11" ht="15" customHeight="1">
      <c r="A5" s="328"/>
      <c r="B5" s="76" t="s">
        <v>1028</v>
      </c>
      <c r="C5" s="75" t="s">
        <v>210</v>
      </c>
      <c r="D5" s="76" t="s">
        <v>1029</v>
      </c>
      <c r="E5" s="75" t="s">
        <v>210</v>
      </c>
      <c r="F5" s="76" t="s">
        <v>918</v>
      </c>
      <c r="G5" s="75" t="s">
        <v>210</v>
      </c>
    </row>
    <row r="6" spans="1:11" ht="24" customHeight="1">
      <c r="A6" s="329"/>
      <c r="B6" s="82"/>
      <c r="C6" s="79"/>
      <c r="D6" s="82" t="s">
        <v>1065</v>
      </c>
      <c r="E6" s="79"/>
      <c r="F6" s="82"/>
      <c r="G6" s="79"/>
    </row>
    <row r="7" spans="1:11" ht="1.5" customHeight="1" thickBot="1">
      <c r="A7" s="427">
        <v>1996</v>
      </c>
      <c r="B7" s="123">
        <v>4599022226.4899998</v>
      </c>
      <c r="C7" s="309">
        <v>4.7135061423122571E-2</v>
      </c>
      <c r="D7" s="123">
        <v>4507461189</v>
      </c>
      <c r="E7" s="309">
        <v>8.2125105302542703E-2</v>
      </c>
      <c r="F7" s="123">
        <v>91699445.469999999</v>
      </c>
      <c r="G7" s="309">
        <v>-0.59537068849307151</v>
      </c>
      <c r="I7" s="9"/>
      <c r="J7" s="9"/>
      <c r="K7" s="9"/>
    </row>
    <row r="8" spans="1:11" ht="0.75" hidden="1" customHeight="1" thickBot="1">
      <c r="A8" s="333">
        <v>1997</v>
      </c>
      <c r="B8" s="133">
        <v>4851626656</v>
      </c>
      <c r="C8" s="452">
        <v>5.4925681388321837E-2</v>
      </c>
      <c r="D8" s="133">
        <v>4710142665.8999996</v>
      </c>
      <c r="E8" s="452">
        <v>4.4965773059704457E-2</v>
      </c>
      <c r="F8" s="133">
        <v>141483990.28999999</v>
      </c>
      <c r="G8" s="452">
        <v>0.54290998778490207</v>
      </c>
    </row>
    <row r="9" spans="1:11" ht="19.5" hidden="1" customHeight="1" thickBot="1">
      <c r="A9" s="333">
        <v>1998</v>
      </c>
      <c r="B9" s="133">
        <v>4992640209.6999998</v>
      </c>
      <c r="C9" s="452">
        <v>2.9065211257673453E-2</v>
      </c>
      <c r="D9" s="133">
        <v>4882154897.6999998</v>
      </c>
      <c r="E9" s="452">
        <v>3.6519537517476157E-2</v>
      </c>
      <c r="F9" s="133">
        <v>110485312.03</v>
      </c>
      <c r="G9" s="452">
        <v>-0.2190967203883771</v>
      </c>
    </row>
    <row r="10" spans="1:11" ht="0.5" customHeight="1" thickBot="1">
      <c r="A10" s="333">
        <v>1999</v>
      </c>
      <c r="B10" s="133">
        <v>4257016347.5999999</v>
      </c>
      <c r="C10" s="452">
        <v>-0.14734165315393366</v>
      </c>
      <c r="D10" s="133">
        <v>4120691131.5999999</v>
      </c>
      <c r="E10" s="452">
        <v>-0.15596878469766051</v>
      </c>
      <c r="F10" s="133">
        <v>136325216.02000001</v>
      </c>
      <c r="G10" s="452">
        <v>0.23387637248092957</v>
      </c>
    </row>
    <row r="11" spans="1:11" ht="20" customHeight="1" thickBot="1">
      <c r="A11" s="333">
        <v>2000</v>
      </c>
      <c r="B11" s="133">
        <v>3297340718.6999998</v>
      </c>
      <c r="C11" s="452">
        <v>-0.22543386037054836</v>
      </c>
      <c r="D11" s="133">
        <v>3197872772.4000001</v>
      </c>
      <c r="E11" s="452">
        <v>-0.22394747136548521</v>
      </c>
      <c r="F11" s="133">
        <v>99467946.299999997</v>
      </c>
      <c r="G11" s="452">
        <v>-0.27036281911772475</v>
      </c>
    </row>
    <row r="12" spans="1:11" ht="19.5" customHeight="1" thickBot="1">
      <c r="A12" s="333">
        <v>2001</v>
      </c>
      <c r="B12" s="133">
        <v>2297775177.9000001</v>
      </c>
      <c r="C12" s="452">
        <v>-0.30314293428374783</v>
      </c>
      <c r="D12" s="133">
        <v>2245296158.4000001</v>
      </c>
      <c r="E12" s="452">
        <v>-0.29787820898362138</v>
      </c>
      <c r="F12" s="133">
        <v>52479019.649999999</v>
      </c>
      <c r="G12" s="452">
        <v>-0.4724027025578591</v>
      </c>
    </row>
    <row r="13" spans="1:11" ht="19.5" customHeight="1" thickBot="1">
      <c r="A13" s="333">
        <v>2002</v>
      </c>
      <c r="B13" s="133">
        <v>2179075331.1500001</v>
      </c>
      <c r="C13" s="452">
        <v>-5.1658599105628311E-2</v>
      </c>
      <c r="D13" s="133">
        <v>2190020061.2499995</v>
      </c>
      <c r="E13" s="452">
        <v>-2.4618621887898429E-2</v>
      </c>
      <c r="F13" s="133">
        <v>-10944730.16</v>
      </c>
      <c r="G13" s="452">
        <v>-1.2085543943654824</v>
      </c>
    </row>
    <row r="14" spans="1:11" ht="19.5" customHeight="1" thickBot="1">
      <c r="A14" s="333">
        <v>2003</v>
      </c>
      <c r="B14" s="133">
        <v>2288718484.4899998</v>
      </c>
      <c r="C14" s="452">
        <v>5.0316366659125977E-2</v>
      </c>
      <c r="D14" s="133">
        <v>2230195619.6600003</v>
      </c>
      <c r="E14" s="452">
        <v>1.8344835794366965E-2</v>
      </c>
      <c r="F14" s="133">
        <v>58522864.830000006</v>
      </c>
      <c r="G14" s="452">
        <v>6.3471272452093057</v>
      </c>
    </row>
    <row r="15" spans="1:11" ht="19.5" customHeight="1" thickBot="1">
      <c r="A15" s="333">
        <v>2004</v>
      </c>
      <c r="B15" s="133">
        <v>1913538530.5999999</v>
      </c>
      <c r="C15" s="452">
        <v>-0.16392577611990666</v>
      </c>
      <c r="D15" s="133">
        <v>1875065073.2299998</v>
      </c>
      <c r="E15" s="452">
        <v>-0.15923739751768551</v>
      </c>
      <c r="F15" s="133">
        <v>38473457.389999993</v>
      </c>
      <c r="G15" s="452">
        <v>-0.34259101119264213</v>
      </c>
    </row>
    <row r="16" spans="1:11" ht="19.5" customHeight="1" thickBot="1">
      <c r="A16" s="333">
        <v>2005</v>
      </c>
      <c r="B16" s="133">
        <v>2014328063.2799997</v>
      </c>
      <c r="C16" s="452">
        <v>5.2671807266089665E-2</v>
      </c>
      <c r="D16" s="133">
        <v>1987939073.0000002</v>
      </c>
      <c r="E16" s="452">
        <v>6.0197377350516668E-2</v>
      </c>
      <c r="F16" s="133">
        <v>26388990.279999997</v>
      </c>
      <c r="G16" s="452">
        <v>-0.31409880810818386</v>
      </c>
    </row>
    <row r="17" spans="1:7" ht="19.5" customHeight="1" thickBot="1">
      <c r="A17" s="333">
        <v>2006</v>
      </c>
      <c r="B17" s="133">
        <v>2046344832.71</v>
      </c>
      <c r="C17" s="452">
        <v>1.5894515900188644E-2</v>
      </c>
      <c r="D17" s="133">
        <v>2023719014.0099998</v>
      </c>
      <c r="E17" s="452">
        <v>1.7998509861775647E-2</v>
      </c>
      <c r="F17" s="133">
        <v>22625818.670000002</v>
      </c>
      <c r="G17" s="452">
        <v>-0.14260384994162029</v>
      </c>
    </row>
    <row r="18" spans="1:7" ht="19.5" customHeight="1" thickBot="1">
      <c r="A18" s="333">
        <v>2007</v>
      </c>
      <c r="B18" s="133">
        <v>1992425089.54</v>
      </c>
      <c r="C18" s="452">
        <v>-2.6349294756247699E-2</v>
      </c>
      <c r="D18" s="133">
        <v>1981658420.0599999</v>
      </c>
      <c r="E18" s="452">
        <v>-2.0783811220242865E-2</v>
      </c>
      <c r="F18" s="133">
        <v>10766669.48</v>
      </c>
      <c r="G18" s="452">
        <v>-0.5241423244377128</v>
      </c>
    </row>
    <row r="19" spans="1:7" ht="19.5" customHeight="1" thickBot="1">
      <c r="A19" s="333">
        <v>2008</v>
      </c>
      <c r="B19" s="133">
        <v>2066551567.6799998</v>
      </c>
      <c r="C19" s="452">
        <v>3.7204148115357105E-2</v>
      </c>
      <c r="D19" s="133">
        <v>2052929240.27</v>
      </c>
      <c r="E19" s="452">
        <v>3.596523976510646E-2</v>
      </c>
      <c r="F19" s="133">
        <v>13622327.400000002</v>
      </c>
      <c r="G19" s="452">
        <v>0.26523131645348896</v>
      </c>
    </row>
    <row r="20" spans="1:7" ht="19.5" customHeight="1" thickBot="1">
      <c r="A20" s="333">
        <v>2009</v>
      </c>
      <c r="B20" s="133">
        <v>2135418664.95</v>
      </c>
      <c r="C20" s="452">
        <v>3.332464495299936E-2</v>
      </c>
      <c r="D20" s="133">
        <v>2108516747.25</v>
      </c>
      <c r="E20" s="452">
        <v>2.7077166562589072E-2</v>
      </c>
      <c r="F20" s="133">
        <v>26901917.710000001</v>
      </c>
      <c r="G20" s="452">
        <v>0.97484004899192167</v>
      </c>
    </row>
    <row r="21" spans="1:7" ht="30" customHeight="1" thickBot="1">
      <c r="A21" s="647">
        <v>2010</v>
      </c>
      <c r="B21" s="270">
        <v>2230865076.8600001</v>
      </c>
      <c r="C21" s="314">
        <v>4.4696814482622749E-2</v>
      </c>
      <c r="D21" s="270">
        <v>2166575635.6500001</v>
      </c>
      <c r="E21" s="314">
        <v>2.7535417243293114E-2</v>
      </c>
      <c r="F21" s="270">
        <v>64289441.209999993</v>
      </c>
      <c r="G21" s="314">
        <v>1.3897716847933959</v>
      </c>
    </row>
    <row r="22" spans="1:7" ht="20" customHeight="1">
      <c r="A22" s="95" t="s">
        <v>678</v>
      </c>
      <c r="B22" s="95"/>
      <c r="C22" s="292"/>
      <c r="D22" s="95"/>
      <c r="E22" s="292"/>
      <c r="F22" s="95"/>
      <c r="G22" s="292"/>
    </row>
    <row r="23" spans="1:7" ht="9.75" customHeight="1">
      <c r="A23" s="96"/>
      <c r="B23" s="96"/>
      <c r="C23" s="316"/>
      <c r="D23" s="96"/>
      <c r="E23" s="316"/>
      <c r="F23" s="96"/>
      <c r="G23" s="316"/>
    </row>
    <row r="24" spans="1:7">
      <c r="A24" s="96" t="s">
        <v>1066</v>
      </c>
    </row>
    <row r="25" spans="1:7">
      <c r="A25" s="3" t="s">
        <v>1067</v>
      </c>
    </row>
    <row r="26" spans="1:7">
      <c r="A26" s="3" t="s">
        <v>1068</v>
      </c>
    </row>
    <row r="27" spans="1:7">
      <c r="A27" s="3" t="s">
        <v>1069</v>
      </c>
    </row>
    <row r="28" spans="1:7">
      <c r="A28" s="3" t="s">
        <v>1070</v>
      </c>
    </row>
    <row r="30" spans="1:7" ht="15.75" customHeight="1">
      <c r="A30" s="96" t="s">
        <v>1071</v>
      </c>
      <c r="B30" s="96"/>
      <c r="C30" s="316"/>
      <c r="D30" s="96"/>
      <c r="E30" s="316"/>
      <c r="F30" s="96"/>
      <c r="G30" s="316"/>
    </row>
    <row r="33" spans="1:1">
      <c r="A33" s="3" t="s">
        <v>677</v>
      </c>
    </row>
  </sheetData>
  <pageMargins left="0.55118110236220474" right="0.59055118110236227" top="0.9055118110236221" bottom="0.47244094488188981" header="0.47244094488188981" footer="0.51181102362204722"/>
  <pageSetup paperSize="9" scale="84" orientation="portrait" horizontalDpi="1200" verticalDpi="1200"/>
  <headerFooter alignWithMargins="0"/>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75E40-6B11-D746-92AA-D47A5A66B716}">
  <sheetPr>
    <pageSetUpPr fitToPage="1"/>
  </sheetPr>
  <dimension ref="A1:I23"/>
  <sheetViews>
    <sheetView zoomScaleNormal="100" workbookViewId="0">
      <selection activeCell="A4" sqref="A4"/>
    </sheetView>
  </sheetViews>
  <sheetFormatPr baseColWidth="10" defaultColWidth="11.3984375" defaultRowHeight="13"/>
  <cols>
    <col min="1" max="1" width="37" style="3" customWidth="1"/>
    <col min="2" max="2" width="15.3984375" style="3" customWidth="1"/>
    <col min="3" max="3" width="15.59765625" style="3" customWidth="1"/>
    <col min="4" max="4" width="15.3984375" style="3" customWidth="1"/>
    <col min="5" max="5" width="17.59765625" style="248" customWidth="1"/>
    <col min="6" max="6" width="15.19921875" style="3" customWidth="1"/>
    <col min="7" max="16384" width="11.3984375" style="3"/>
  </cols>
  <sheetData>
    <row r="1" spans="1:9" s="2" customFormat="1" ht="14" customHeight="1">
      <c r="E1" s="17"/>
    </row>
    <row r="2" spans="1:9" s="2" customFormat="1" ht="28" customHeight="1">
      <c r="A2" s="47" t="s">
        <v>1072</v>
      </c>
      <c r="E2" s="17"/>
      <c r="F2" s="47">
        <v>2010</v>
      </c>
    </row>
    <row r="3" spans="1:9" ht="24" customHeight="1">
      <c r="A3" s="276" t="s">
        <v>417</v>
      </c>
      <c r="B3" s="73" t="s">
        <v>785</v>
      </c>
      <c r="C3" s="74" t="s">
        <v>1073</v>
      </c>
      <c r="D3" s="73" t="s">
        <v>785</v>
      </c>
      <c r="E3" s="327" t="s">
        <v>190</v>
      </c>
      <c r="F3" s="299" t="s">
        <v>585</v>
      </c>
    </row>
    <row r="4" spans="1:9" ht="15" customHeight="1">
      <c r="A4" s="328"/>
      <c r="B4" s="76" t="s">
        <v>1074</v>
      </c>
      <c r="C4" s="77" t="s">
        <v>923</v>
      </c>
      <c r="D4" s="76" t="s">
        <v>1074</v>
      </c>
      <c r="E4" s="189"/>
      <c r="F4" s="78" t="s">
        <v>586</v>
      </c>
    </row>
    <row r="5" spans="1:9" ht="15" customHeight="1">
      <c r="A5" s="328"/>
      <c r="B5" s="76" t="s">
        <v>769</v>
      </c>
      <c r="C5" s="77" t="s">
        <v>1075</v>
      </c>
      <c r="D5" s="76" t="s">
        <v>501</v>
      </c>
      <c r="E5" s="189"/>
      <c r="F5" s="78" t="s">
        <v>210</v>
      </c>
    </row>
    <row r="6" spans="1:9" ht="15" customHeight="1">
      <c r="A6" s="328"/>
      <c r="B6" s="76"/>
      <c r="C6" s="77"/>
      <c r="D6" s="76" t="s">
        <v>1076</v>
      </c>
      <c r="E6" s="189"/>
      <c r="F6" s="679"/>
    </row>
    <row r="7" spans="1:9" ht="15" customHeight="1">
      <c r="A7" s="328"/>
      <c r="B7" s="76"/>
      <c r="C7" s="77"/>
      <c r="D7" s="440" t="s">
        <v>1077</v>
      </c>
      <c r="E7" s="189"/>
      <c r="F7" s="78"/>
    </row>
    <row r="8" spans="1:9" ht="24" customHeight="1">
      <c r="A8" s="329"/>
      <c r="B8" s="82"/>
      <c r="C8" s="81"/>
      <c r="D8" s="82"/>
      <c r="E8" s="201"/>
      <c r="F8" s="80"/>
    </row>
    <row r="9" spans="1:9" ht="30" customHeight="1" thickBot="1">
      <c r="A9" s="680" t="s">
        <v>1078</v>
      </c>
      <c r="B9" s="290">
        <v>2067533241.04</v>
      </c>
      <c r="C9" s="291">
        <v>117125830.02</v>
      </c>
      <c r="D9" s="290">
        <v>3592843.88</v>
      </c>
      <c r="E9" s="681">
        <v>2188251914.9400001</v>
      </c>
      <c r="F9" s="410">
        <v>4.4764744672857244E-2</v>
      </c>
      <c r="G9" s="8"/>
    </row>
    <row r="10" spans="1:9" ht="20" customHeight="1" thickBot="1">
      <c r="A10" s="90" t="s">
        <v>1079</v>
      </c>
      <c r="B10" s="268">
        <v>2078093357.02</v>
      </c>
      <c r="C10" s="269">
        <v>65360241.009999998</v>
      </c>
      <c r="D10" s="268">
        <v>3591607.14</v>
      </c>
      <c r="E10" s="322">
        <v>2147045205.1700001</v>
      </c>
      <c r="F10" s="682">
        <v>4.0921555646088542E-2</v>
      </c>
      <c r="H10" s="9"/>
      <c r="I10" s="9"/>
    </row>
    <row r="11" spans="1:9" ht="20" customHeight="1" thickBot="1">
      <c r="A11" s="333" t="s">
        <v>1080</v>
      </c>
      <c r="B11" s="268">
        <v>41478079.869999997</v>
      </c>
      <c r="C11" s="269">
        <v>1065955.74</v>
      </c>
      <c r="D11" s="268">
        <v>69126.31</v>
      </c>
      <c r="E11" s="322">
        <v>42613161.920000002</v>
      </c>
      <c r="F11" s="682">
        <v>4.1220328223668175E-2</v>
      </c>
      <c r="H11" s="9"/>
      <c r="I11" s="9"/>
    </row>
    <row r="12" spans="1:9" ht="20" customHeight="1" thickBot="1">
      <c r="A12" s="333" t="s">
        <v>1081</v>
      </c>
      <c r="B12" s="268">
        <v>2109011320.9099998</v>
      </c>
      <c r="C12" s="269">
        <v>118191785.75999999</v>
      </c>
      <c r="D12" s="268">
        <v>3661970.19</v>
      </c>
      <c r="E12" s="322">
        <v>2230865076.8600001</v>
      </c>
      <c r="F12" s="682">
        <v>4.4696814482622742E-2</v>
      </c>
      <c r="H12" s="9"/>
      <c r="I12" s="9"/>
    </row>
    <row r="13" spans="1:9" ht="20" customHeight="1" thickBot="1">
      <c r="A13" s="333" t="s">
        <v>1082</v>
      </c>
      <c r="B13" s="268">
        <v>1723563810.97</v>
      </c>
      <c r="C13" s="269">
        <v>99071166.109999999</v>
      </c>
      <c r="D13" s="268">
        <v>8695316.2400000002</v>
      </c>
      <c r="E13" s="322">
        <v>1831330293.3199999</v>
      </c>
      <c r="F13" s="682">
        <v>4.8813105568575113E-2</v>
      </c>
      <c r="H13" s="9"/>
      <c r="I13" s="9"/>
    </row>
    <row r="14" spans="1:9" ht="20" customHeight="1" thickBot="1">
      <c r="A14" s="90" t="s">
        <v>1083</v>
      </c>
      <c r="B14" s="268">
        <v>1735418142.8399999</v>
      </c>
      <c r="C14" s="269">
        <v>99071166.109999999</v>
      </c>
      <c r="D14" s="268">
        <v>8695316.2400000002</v>
      </c>
      <c r="E14" s="322">
        <v>1843184625.1899998</v>
      </c>
      <c r="F14" s="682">
        <v>5.0651407695255397E-2</v>
      </c>
      <c r="H14" s="9"/>
      <c r="I14" s="9"/>
    </row>
    <row r="15" spans="1:9" ht="20" customHeight="1" thickBot="1">
      <c r="A15" s="333" t="s">
        <v>1084</v>
      </c>
      <c r="B15" s="268">
        <v>328961694.56999999</v>
      </c>
      <c r="C15" s="269">
        <v>5848384.0599999996</v>
      </c>
      <c r="D15" s="268">
        <v>435263.69</v>
      </c>
      <c r="E15" s="322">
        <v>335245342.31999999</v>
      </c>
      <c r="F15" s="682">
        <v>-7.4978343284547139E-2</v>
      </c>
      <c r="H15" s="9"/>
      <c r="I15" s="9"/>
    </row>
    <row r="16" spans="1:9" ht="20" customHeight="1" thickBot="1">
      <c r="A16" s="333" t="s">
        <v>1085</v>
      </c>
      <c r="B16" s="268">
        <v>2052525505.54</v>
      </c>
      <c r="C16" s="269">
        <v>104919550.17</v>
      </c>
      <c r="D16" s="268">
        <v>9130579.9399999995</v>
      </c>
      <c r="E16" s="322">
        <v>2166575635.6500001</v>
      </c>
      <c r="F16" s="682">
        <v>2.753541724329318E-2</v>
      </c>
      <c r="H16" s="9"/>
      <c r="I16" s="9"/>
    </row>
    <row r="17" spans="1:6" ht="30" customHeight="1" thickBot="1">
      <c r="A17" s="683" t="s">
        <v>451</v>
      </c>
      <c r="B17" s="268">
        <v>56485815.369999997</v>
      </c>
      <c r="C17" s="269">
        <v>13272235.59</v>
      </c>
      <c r="D17" s="268">
        <v>-5468609.75</v>
      </c>
      <c r="E17" s="322">
        <v>64289441.209999993</v>
      </c>
      <c r="F17" s="682">
        <v>1.3897716847933959</v>
      </c>
    </row>
    <row r="18" spans="1:6" ht="20" customHeight="1">
      <c r="A18" s="95" t="s">
        <v>678</v>
      </c>
      <c r="B18" s="95"/>
      <c r="C18" s="95"/>
      <c r="D18" s="95"/>
      <c r="E18" s="664"/>
      <c r="F18" s="95"/>
    </row>
    <row r="19" spans="1:6">
      <c r="A19" s="96"/>
    </row>
    <row r="20" spans="1:6">
      <c r="A20" s="3" t="s">
        <v>1086</v>
      </c>
    </row>
    <row r="23" spans="1:6">
      <c r="A23" s="3" t="s">
        <v>677</v>
      </c>
    </row>
  </sheetData>
  <pageMargins left="0.47" right="0.47" top="0.92" bottom="0.49" header="0.49" footer="0.4921259845"/>
  <pageSetup paperSize="9" scale="81" orientation="portrait" horizontalDpi="1200" verticalDpi="1200"/>
  <headerFooter alignWithMargins="0"/>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C2AE3-D48E-B640-94C9-85176766A3E5}">
  <sheetPr>
    <pageSetUpPr fitToPage="1"/>
  </sheetPr>
  <dimension ref="A1:E43"/>
  <sheetViews>
    <sheetView zoomScaleNormal="100" workbookViewId="0">
      <selection activeCell="A4" sqref="A4"/>
    </sheetView>
  </sheetViews>
  <sheetFormatPr baseColWidth="10" defaultColWidth="11.3984375" defaultRowHeight="13"/>
  <cols>
    <col min="1" max="1" width="8.796875" style="3" customWidth="1"/>
    <col min="2" max="2" width="48.796875" style="49" customWidth="1"/>
    <col min="3" max="3" width="16.59765625" style="3" customWidth="1"/>
    <col min="4" max="4" width="16.59765625" style="8" customWidth="1"/>
    <col min="5" max="5" width="15.3984375" style="294" customWidth="1"/>
    <col min="6" max="16384" width="11.3984375" style="3"/>
  </cols>
  <sheetData>
    <row r="1" spans="1:5" s="2" customFormat="1" ht="14" customHeight="1">
      <c r="B1" s="261"/>
      <c r="D1" s="100"/>
      <c r="E1" s="668"/>
    </row>
    <row r="2" spans="1:5" s="2" customFormat="1" ht="25.5" customHeight="1">
      <c r="A2" s="1807" t="s">
        <v>1087</v>
      </c>
      <c r="B2" s="1811"/>
      <c r="C2" s="1811"/>
      <c r="D2" s="1811"/>
      <c r="E2" s="47">
        <v>2010</v>
      </c>
    </row>
    <row r="3" spans="1:5" ht="39" customHeight="1">
      <c r="A3" s="276" t="s">
        <v>417</v>
      </c>
      <c r="B3" s="277"/>
      <c r="C3" s="73" t="s">
        <v>418</v>
      </c>
      <c r="D3" s="104" t="s">
        <v>419</v>
      </c>
      <c r="E3" s="262" t="s">
        <v>190</v>
      </c>
    </row>
    <row r="4" spans="1:5" ht="38" customHeight="1">
      <c r="A4" s="263"/>
      <c r="B4" s="264"/>
      <c r="C4" s="82" t="s">
        <v>420</v>
      </c>
      <c r="D4" s="109" t="s">
        <v>420</v>
      </c>
      <c r="E4" s="265" t="s">
        <v>420</v>
      </c>
    </row>
    <row r="5" spans="1:5" ht="30" customHeight="1" thickBot="1">
      <c r="A5" s="84">
        <v>63</v>
      </c>
      <c r="B5" s="84" t="s">
        <v>421</v>
      </c>
      <c r="C5" s="123">
        <v>2021983484.55</v>
      </c>
      <c r="D5" s="124">
        <v>70002537.939999998</v>
      </c>
      <c r="E5" s="278">
        <v>2091986022.49</v>
      </c>
    </row>
    <row r="6" spans="1:5" ht="20" customHeight="1" thickBot="1">
      <c r="A6" s="89">
        <v>64</v>
      </c>
      <c r="B6" s="89" t="s">
        <v>422</v>
      </c>
      <c r="C6" s="133">
        <v>-13992865.1</v>
      </c>
      <c r="D6" s="132">
        <v>-394565.14</v>
      </c>
      <c r="E6" s="267">
        <v>-14387430.24</v>
      </c>
    </row>
    <row r="7" spans="1:5" ht="20" customHeight="1" thickBot="1">
      <c r="A7" s="89">
        <v>65</v>
      </c>
      <c r="B7" s="89" t="s">
        <v>423</v>
      </c>
      <c r="C7" s="133">
        <v>472371.62</v>
      </c>
      <c r="D7" s="132">
        <v>22393.15</v>
      </c>
      <c r="E7" s="267">
        <v>494764.77</v>
      </c>
    </row>
    <row r="8" spans="1:5" ht="27" customHeight="1" thickBot="1">
      <c r="A8" s="90" t="s">
        <v>424</v>
      </c>
      <c r="B8" s="90" t="s">
        <v>425</v>
      </c>
      <c r="C8" s="133">
        <v>2008462991.05</v>
      </c>
      <c r="D8" s="132">
        <v>69630365.969999999</v>
      </c>
      <c r="E8" s="267">
        <v>2078093357.02</v>
      </c>
    </row>
    <row r="9" spans="1:5" ht="20" customHeight="1" thickBot="1">
      <c r="A9" s="89">
        <v>66</v>
      </c>
      <c r="B9" s="89" t="s">
        <v>426</v>
      </c>
      <c r="C9" s="133">
        <v>-14822238.800000001</v>
      </c>
      <c r="D9" s="132">
        <v>-1484915.77</v>
      </c>
      <c r="E9" s="267">
        <v>-16307154.57</v>
      </c>
    </row>
    <row r="10" spans="1:5" ht="27" customHeight="1" thickBot="1">
      <c r="A10" s="90" t="s">
        <v>427</v>
      </c>
      <c r="B10" s="90" t="s">
        <v>428</v>
      </c>
      <c r="C10" s="133">
        <v>1993640752.24</v>
      </c>
      <c r="D10" s="132">
        <v>68145450.209999993</v>
      </c>
      <c r="E10" s="267">
        <v>2061786202.45</v>
      </c>
    </row>
    <row r="11" spans="1:5" ht="20" customHeight="1" thickBot="1">
      <c r="A11" s="89">
        <v>67</v>
      </c>
      <c r="B11" s="89" t="s">
        <v>429</v>
      </c>
      <c r="C11" s="133">
        <v>0</v>
      </c>
      <c r="D11" s="132">
        <v>0</v>
      </c>
      <c r="E11" s="267">
        <v>0</v>
      </c>
    </row>
    <row r="12" spans="1:5" ht="20" customHeight="1" thickBot="1">
      <c r="A12" s="89">
        <v>68</v>
      </c>
      <c r="B12" s="89" t="s">
        <v>430</v>
      </c>
      <c r="C12" s="133">
        <v>-3249020.3</v>
      </c>
      <c r="D12" s="132">
        <v>-1582.7</v>
      </c>
      <c r="E12" s="267">
        <v>-3250603</v>
      </c>
    </row>
    <row r="13" spans="1:5" ht="20" customHeight="1" thickBot="1">
      <c r="A13" s="89">
        <v>69</v>
      </c>
      <c r="B13" s="89" t="s">
        <v>431</v>
      </c>
      <c r="C13" s="133">
        <v>8712438.4100000001</v>
      </c>
      <c r="D13" s="132">
        <v>285203.17</v>
      </c>
      <c r="E13" s="267">
        <v>8997641.5800000001</v>
      </c>
    </row>
    <row r="14" spans="1:5" ht="27" customHeight="1" thickBot="1">
      <c r="A14" s="90">
        <v>6</v>
      </c>
      <c r="B14" s="90" t="s">
        <v>432</v>
      </c>
      <c r="C14" s="133">
        <v>1999104170.3599999</v>
      </c>
      <c r="D14" s="132">
        <v>68429070.680000007</v>
      </c>
      <c r="E14" s="267">
        <v>2067533241.04</v>
      </c>
    </row>
    <row r="15" spans="1:5" ht="20" customHeight="1" thickBot="1">
      <c r="A15" s="89">
        <v>33</v>
      </c>
      <c r="B15" s="89" t="s">
        <v>433</v>
      </c>
      <c r="C15" s="133">
        <v>1702554758.77</v>
      </c>
      <c r="D15" s="132">
        <v>43386787.960000001</v>
      </c>
      <c r="E15" s="267">
        <v>1745941546.73</v>
      </c>
    </row>
    <row r="16" spans="1:5" ht="20" customHeight="1" thickBot="1">
      <c r="A16" s="89">
        <v>32</v>
      </c>
      <c r="B16" s="89" t="s">
        <v>434</v>
      </c>
      <c r="C16" s="133">
        <v>-40811361.859999999</v>
      </c>
      <c r="D16" s="132">
        <v>-988232.65</v>
      </c>
      <c r="E16" s="267">
        <v>-41799594.509999998</v>
      </c>
    </row>
    <row r="17" spans="1:5" ht="27" customHeight="1" thickBot="1">
      <c r="A17" s="90" t="s">
        <v>435</v>
      </c>
      <c r="B17" s="90" t="s">
        <v>262</v>
      </c>
      <c r="C17" s="133">
        <v>1661743396.9200001</v>
      </c>
      <c r="D17" s="132">
        <v>42398555.299999997</v>
      </c>
      <c r="E17" s="267">
        <v>1704141952.22</v>
      </c>
    </row>
    <row r="18" spans="1:5" ht="20" customHeight="1" thickBot="1">
      <c r="A18" s="89">
        <v>34</v>
      </c>
      <c r="B18" s="89" t="s">
        <v>436</v>
      </c>
      <c r="C18" s="133">
        <v>17932278.030000001</v>
      </c>
      <c r="D18" s="132">
        <v>261733.25</v>
      </c>
      <c r="E18" s="267">
        <v>18194011.280000001</v>
      </c>
    </row>
    <row r="19" spans="1:5" ht="20" customHeight="1" thickBot="1">
      <c r="A19" s="89">
        <v>35</v>
      </c>
      <c r="B19" s="89" t="s">
        <v>437</v>
      </c>
      <c r="C19" s="133">
        <v>13417395.119999999</v>
      </c>
      <c r="D19" s="132">
        <v>-335215.8</v>
      </c>
      <c r="E19" s="267">
        <v>13082179.32</v>
      </c>
    </row>
    <row r="20" spans="1:5" ht="27" customHeight="1" thickBot="1">
      <c r="A20" s="90" t="s">
        <v>438</v>
      </c>
      <c r="B20" s="90" t="s">
        <v>248</v>
      </c>
      <c r="C20" s="133">
        <v>1693093070.0799999</v>
      </c>
      <c r="D20" s="132">
        <v>42325072.759999998</v>
      </c>
      <c r="E20" s="267">
        <v>1735418142.8399999</v>
      </c>
    </row>
    <row r="21" spans="1:5" ht="20" customHeight="1" thickBot="1">
      <c r="A21" s="89">
        <v>36</v>
      </c>
      <c r="B21" s="89" t="s">
        <v>439</v>
      </c>
      <c r="C21" s="133">
        <v>-11158484.66</v>
      </c>
      <c r="D21" s="132">
        <v>-695847.2</v>
      </c>
      <c r="E21" s="267">
        <v>-11854331.859999999</v>
      </c>
    </row>
    <row r="22" spans="1:5" ht="20" customHeight="1" thickBot="1">
      <c r="A22" s="89">
        <v>37</v>
      </c>
      <c r="B22" s="89" t="s">
        <v>440</v>
      </c>
      <c r="C22" s="133">
        <v>0</v>
      </c>
      <c r="D22" s="132">
        <v>0</v>
      </c>
      <c r="E22" s="267">
        <v>0</v>
      </c>
    </row>
    <row r="23" spans="1:5" ht="26.25" customHeight="1" thickBot="1">
      <c r="A23" s="90">
        <v>3</v>
      </c>
      <c r="B23" s="90" t="s">
        <v>441</v>
      </c>
      <c r="C23" s="133">
        <v>1681934585.4100001</v>
      </c>
      <c r="D23" s="132">
        <v>41629225.560000002</v>
      </c>
      <c r="E23" s="267">
        <v>1723563810.97</v>
      </c>
    </row>
    <row r="24" spans="1:5" ht="20" customHeight="1" thickBot="1">
      <c r="A24" s="89" t="s">
        <v>442</v>
      </c>
      <c r="B24" s="89" t="s">
        <v>443</v>
      </c>
      <c r="C24" s="133">
        <v>308675636.13999999</v>
      </c>
      <c r="D24" s="132">
        <v>12391569.890000001</v>
      </c>
      <c r="E24" s="267">
        <v>321067206.02999997</v>
      </c>
    </row>
    <row r="25" spans="1:5" ht="20" customHeight="1" thickBot="1">
      <c r="A25" s="89">
        <v>48</v>
      </c>
      <c r="B25" s="89" t="s">
        <v>444</v>
      </c>
      <c r="C25" s="133">
        <v>4400797.9800000004</v>
      </c>
      <c r="D25" s="132">
        <v>256235.56</v>
      </c>
      <c r="E25" s="267">
        <v>4657033.54</v>
      </c>
    </row>
    <row r="26" spans="1:5" ht="20" customHeight="1" thickBot="1">
      <c r="A26" s="89">
        <v>49</v>
      </c>
      <c r="B26" s="89" t="s">
        <v>445</v>
      </c>
      <c r="C26" s="133">
        <v>3001988.16</v>
      </c>
      <c r="D26" s="132">
        <v>235466.85</v>
      </c>
      <c r="E26" s="267">
        <v>3237455.01</v>
      </c>
    </row>
    <row r="27" spans="1:5" ht="27" customHeight="1" thickBot="1">
      <c r="A27" s="90">
        <v>4</v>
      </c>
      <c r="B27" s="90" t="s">
        <v>446</v>
      </c>
      <c r="C27" s="133">
        <v>316078422.27999997</v>
      </c>
      <c r="D27" s="132">
        <v>12883272.289999999</v>
      </c>
      <c r="E27" s="267">
        <v>328961694.56999999</v>
      </c>
    </row>
    <row r="28" spans="1:5" ht="27" customHeight="1" thickBot="1">
      <c r="A28" s="90" t="s">
        <v>447</v>
      </c>
      <c r="B28" s="90" t="s">
        <v>448</v>
      </c>
      <c r="C28" s="133">
        <v>1998013007.7</v>
      </c>
      <c r="D28" s="132">
        <v>54512497.840000004</v>
      </c>
      <c r="E28" s="267">
        <v>2052525505.54</v>
      </c>
    </row>
    <row r="29" spans="1:5" ht="27" customHeight="1" thickBot="1">
      <c r="A29" s="90"/>
      <c r="B29" s="90" t="s">
        <v>449</v>
      </c>
      <c r="C29" s="133">
        <v>1091162.68</v>
      </c>
      <c r="D29" s="132">
        <v>13916572.82</v>
      </c>
      <c r="E29" s="267">
        <v>15007735.5</v>
      </c>
    </row>
    <row r="30" spans="1:5" ht="27" customHeight="1" thickBot="1">
      <c r="A30" s="90">
        <v>7</v>
      </c>
      <c r="B30" s="90" t="s">
        <v>450</v>
      </c>
      <c r="C30" s="133">
        <v>40149536.909999996</v>
      </c>
      <c r="D30" s="132">
        <v>1328542.96</v>
      </c>
      <c r="E30" s="267">
        <v>41478079.869999997</v>
      </c>
    </row>
    <row r="31" spans="1:5" ht="28.5" customHeight="1" thickBot="1">
      <c r="A31" s="280"/>
      <c r="B31" s="280" t="s">
        <v>451</v>
      </c>
      <c r="C31" s="281">
        <v>41240699.579999998</v>
      </c>
      <c r="D31" s="282">
        <v>15245115.789999999</v>
      </c>
      <c r="E31" s="283">
        <v>56485815.369999997</v>
      </c>
    </row>
    <row r="32" spans="1:5" ht="20" customHeight="1">
      <c r="A32" s="284"/>
      <c r="B32" s="284"/>
      <c r="C32" s="285"/>
      <c r="D32" s="285"/>
      <c r="E32" s="286"/>
    </row>
    <row r="33" spans="1:5" ht="23.25" customHeight="1">
      <c r="A33" s="287" t="s">
        <v>1088</v>
      </c>
      <c r="B33" s="288"/>
      <c r="C33" s="288"/>
      <c r="D33" s="288"/>
      <c r="E33" s="288"/>
    </row>
    <row r="34" spans="1:5" ht="19.5" customHeight="1" thickBot="1">
      <c r="A34" s="289"/>
      <c r="B34" s="289" t="s">
        <v>1089</v>
      </c>
      <c r="C34" s="290" t="s">
        <v>35</v>
      </c>
      <c r="D34" s="291" t="s">
        <v>35</v>
      </c>
      <c r="E34" s="125">
        <v>635462348.08000004</v>
      </c>
    </row>
    <row r="35" spans="1:5" ht="19.5" customHeight="1" thickBot="1">
      <c r="A35" s="90"/>
      <c r="B35" s="90" t="s">
        <v>1090</v>
      </c>
      <c r="C35" s="268" t="s">
        <v>35</v>
      </c>
      <c r="D35" s="269" t="s">
        <v>35</v>
      </c>
      <c r="E35" s="270">
        <v>422561099.56999999</v>
      </c>
    </row>
    <row r="36" spans="1:5" ht="15.75" customHeight="1">
      <c r="A36" s="95" t="s">
        <v>678</v>
      </c>
      <c r="B36" s="292"/>
      <c r="C36" s="95"/>
      <c r="D36" s="117"/>
      <c r="E36" s="293"/>
    </row>
    <row r="37" spans="1:5">
      <c r="A37" s="96"/>
    </row>
    <row r="38" spans="1:5">
      <c r="A38" s="96" t="s">
        <v>1091</v>
      </c>
    </row>
    <row r="39" spans="1:5">
      <c r="A39" s="96"/>
    </row>
    <row r="40" spans="1:5">
      <c r="A40" s="3" t="s">
        <v>1092</v>
      </c>
    </row>
    <row r="43" spans="1:5">
      <c r="A43" s="3" t="s">
        <v>677</v>
      </c>
    </row>
  </sheetData>
  <mergeCells count="1">
    <mergeCell ref="A2:D2"/>
  </mergeCells>
  <pageMargins left="0.51181102362204722" right="0.47244094488188981" top="0.74" bottom="0.57999999999999996" header="0.41" footer="0.37"/>
  <pageSetup paperSize="9" scale="84" orientation="portrait" horizontalDpi="1200" verticalDpi="1200"/>
  <headerFooter alignWithMargins="0"/>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61227-D7BA-B846-8BE7-23B02D00D200}">
  <sheetPr>
    <pageSetUpPr fitToPage="1"/>
  </sheetPr>
  <dimension ref="A1:H37"/>
  <sheetViews>
    <sheetView topLeftCell="A13" zoomScaleNormal="100" workbookViewId="0">
      <selection activeCell="B21" sqref="B21"/>
    </sheetView>
  </sheetViews>
  <sheetFormatPr baseColWidth="10" defaultColWidth="11.3984375" defaultRowHeight="13"/>
  <cols>
    <col min="1" max="1" width="8.796875" style="3" customWidth="1"/>
    <col min="2" max="2" width="48.796875" style="49" customWidth="1"/>
    <col min="3" max="3" width="17.3984375" style="3" customWidth="1"/>
    <col min="4" max="4" width="17.3984375" style="8" customWidth="1"/>
    <col min="5" max="5" width="17" style="294" customWidth="1"/>
    <col min="6" max="16384" width="11.3984375" style="3"/>
  </cols>
  <sheetData>
    <row r="1" spans="1:8" s="2" customFormat="1" ht="14" customHeight="1">
      <c r="B1" s="261"/>
      <c r="D1" s="100"/>
      <c r="E1" s="668"/>
    </row>
    <row r="2" spans="1:8" s="2" customFormat="1" ht="28" customHeight="1">
      <c r="A2" s="47" t="s">
        <v>1093</v>
      </c>
      <c r="B2" s="261"/>
      <c r="D2" s="100"/>
      <c r="E2" s="47">
        <v>2010</v>
      </c>
    </row>
    <row r="3" spans="1:8" ht="39" customHeight="1">
      <c r="A3" s="276" t="s">
        <v>417</v>
      </c>
      <c r="B3" s="277"/>
      <c r="C3" s="73" t="s">
        <v>418</v>
      </c>
      <c r="D3" s="104" t="s">
        <v>419</v>
      </c>
      <c r="E3" s="262" t="s">
        <v>190</v>
      </c>
      <c r="G3" s="4"/>
      <c r="H3" s="4"/>
    </row>
    <row r="4" spans="1:8" ht="38" customHeight="1">
      <c r="A4" s="263"/>
      <c r="B4" s="264"/>
      <c r="C4" s="82" t="s">
        <v>420</v>
      </c>
      <c r="D4" s="109" t="s">
        <v>420</v>
      </c>
      <c r="E4" s="265" t="s">
        <v>420</v>
      </c>
      <c r="G4" s="405"/>
      <c r="H4" s="684"/>
    </row>
    <row r="5" spans="1:8" ht="30" customHeight="1" thickBot="1">
      <c r="A5" s="84">
        <v>63</v>
      </c>
      <c r="B5" s="84" t="s">
        <v>421</v>
      </c>
      <c r="C5" s="123">
        <v>64089590.5</v>
      </c>
      <c r="D5" s="124">
        <v>1374485.5</v>
      </c>
      <c r="E5" s="278">
        <v>65464076</v>
      </c>
      <c r="G5" s="48"/>
      <c r="H5" s="684"/>
    </row>
    <row r="6" spans="1:8" ht="20" customHeight="1" thickBot="1">
      <c r="A6" s="89">
        <v>64</v>
      </c>
      <c r="B6" s="89" t="s">
        <v>422</v>
      </c>
      <c r="C6" s="133">
        <v>-101664.62</v>
      </c>
      <c r="D6" s="132">
        <v>-2170.37</v>
      </c>
      <c r="E6" s="267">
        <v>-103834.99</v>
      </c>
      <c r="G6" s="48"/>
      <c r="H6" s="684"/>
    </row>
    <row r="7" spans="1:8" ht="20" customHeight="1" thickBot="1">
      <c r="A7" s="89">
        <v>65</v>
      </c>
      <c r="B7" s="89" t="s">
        <v>423</v>
      </c>
      <c r="C7" s="133">
        <v>0</v>
      </c>
      <c r="D7" s="132">
        <v>0</v>
      </c>
      <c r="E7" s="267">
        <v>0</v>
      </c>
      <c r="G7" s="48"/>
      <c r="H7" s="684"/>
    </row>
    <row r="8" spans="1:8" ht="27" customHeight="1" thickBot="1">
      <c r="A8" s="90" t="s">
        <v>424</v>
      </c>
      <c r="B8" s="90" t="s">
        <v>425</v>
      </c>
      <c r="C8" s="133">
        <v>63987925.880000003</v>
      </c>
      <c r="D8" s="132">
        <v>1372315.13</v>
      </c>
      <c r="E8" s="267">
        <v>65360241.009999998</v>
      </c>
      <c r="G8" s="48"/>
      <c r="H8" s="684"/>
    </row>
    <row r="9" spans="1:8" ht="21" customHeight="1" thickBot="1">
      <c r="A9" s="89">
        <v>66</v>
      </c>
      <c r="B9" s="89" t="s">
        <v>426</v>
      </c>
      <c r="C9" s="133">
        <v>0</v>
      </c>
      <c r="D9" s="132">
        <v>0</v>
      </c>
      <c r="E9" s="267">
        <v>0</v>
      </c>
      <c r="G9" s="48"/>
      <c r="H9" s="684"/>
    </row>
    <row r="10" spans="1:8" ht="27" customHeight="1" thickBot="1">
      <c r="A10" s="90" t="s">
        <v>427</v>
      </c>
      <c r="B10" s="90" t="s">
        <v>428</v>
      </c>
      <c r="C10" s="133">
        <v>63987925.880000003</v>
      </c>
      <c r="D10" s="132">
        <v>1372315.13</v>
      </c>
      <c r="E10" s="267">
        <v>65360241.009999998</v>
      </c>
      <c r="G10" s="48"/>
      <c r="H10" s="684"/>
    </row>
    <row r="11" spans="1:8" ht="20" customHeight="1" thickBot="1">
      <c r="A11" s="89">
        <v>67</v>
      </c>
      <c r="B11" s="89" t="s">
        <v>429</v>
      </c>
      <c r="C11" s="133">
        <v>48240017.759999998</v>
      </c>
      <c r="D11" s="132">
        <v>1142008.82</v>
      </c>
      <c r="E11" s="267">
        <v>49382026.579999998</v>
      </c>
      <c r="G11" s="685"/>
      <c r="H11" s="684"/>
    </row>
    <row r="12" spans="1:8" ht="20" customHeight="1" thickBot="1">
      <c r="A12" s="89">
        <v>68</v>
      </c>
      <c r="B12" s="89" t="s">
        <v>430</v>
      </c>
      <c r="C12" s="133">
        <v>0</v>
      </c>
      <c r="D12" s="132">
        <v>0</v>
      </c>
      <c r="E12" s="267">
        <v>0</v>
      </c>
      <c r="G12" s="48"/>
      <c r="H12" s="684"/>
    </row>
    <row r="13" spans="1:8" ht="20" customHeight="1" thickBot="1">
      <c r="A13" s="89">
        <v>69</v>
      </c>
      <c r="B13" s="89" t="s">
        <v>431</v>
      </c>
      <c r="C13" s="133">
        <v>2333716.7999999998</v>
      </c>
      <c r="D13" s="132">
        <v>49845.63</v>
      </c>
      <c r="E13" s="267">
        <v>2383562.4300000002</v>
      </c>
    </row>
    <row r="14" spans="1:8" ht="27" customHeight="1" thickBot="1">
      <c r="A14" s="90">
        <v>6</v>
      </c>
      <c r="B14" s="90" t="s">
        <v>432</v>
      </c>
      <c r="C14" s="133">
        <v>114561660.44</v>
      </c>
      <c r="D14" s="132">
        <v>2564169.58</v>
      </c>
      <c r="E14" s="267">
        <v>117125830.02</v>
      </c>
    </row>
    <row r="15" spans="1:8" ht="20" customHeight="1" thickBot="1">
      <c r="A15" s="89">
        <v>33</v>
      </c>
      <c r="B15" s="89" t="s">
        <v>433</v>
      </c>
      <c r="C15" s="133">
        <v>102799759.75</v>
      </c>
      <c r="D15" s="132">
        <v>2433863.2999999998</v>
      </c>
      <c r="E15" s="267">
        <v>105233623.05</v>
      </c>
    </row>
    <row r="16" spans="1:8" ht="20" customHeight="1" thickBot="1">
      <c r="A16" s="89">
        <v>32</v>
      </c>
      <c r="B16" s="89" t="s">
        <v>434</v>
      </c>
      <c r="C16" s="133">
        <v>-7267970.1200000001</v>
      </c>
      <c r="D16" s="132">
        <v>-93799.55</v>
      </c>
      <c r="E16" s="267">
        <v>-7361769.6699999999</v>
      </c>
    </row>
    <row r="17" spans="1:5" ht="27" customHeight="1" thickBot="1">
      <c r="A17" s="90" t="s">
        <v>435</v>
      </c>
      <c r="B17" s="90" t="s">
        <v>262</v>
      </c>
      <c r="C17" s="133">
        <v>95531789.629999995</v>
      </c>
      <c r="D17" s="132">
        <v>2340063.75</v>
      </c>
      <c r="E17" s="267">
        <v>97871853.379999995</v>
      </c>
    </row>
    <row r="18" spans="1:5" ht="20" customHeight="1" thickBot="1">
      <c r="A18" s="89">
        <v>34</v>
      </c>
      <c r="B18" s="89" t="s">
        <v>436</v>
      </c>
      <c r="C18" s="133">
        <v>954755.37</v>
      </c>
      <c r="D18" s="132">
        <v>22396.11</v>
      </c>
      <c r="E18" s="267">
        <v>977151.48</v>
      </c>
    </row>
    <row r="19" spans="1:5" ht="20" customHeight="1" thickBot="1">
      <c r="A19" s="89">
        <v>35</v>
      </c>
      <c r="B19" s="89" t="s">
        <v>437</v>
      </c>
      <c r="C19" s="133">
        <v>216851.37</v>
      </c>
      <c r="D19" s="132">
        <v>5309.88</v>
      </c>
      <c r="E19" s="267">
        <v>222161.25</v>
      </c>
    </row>
    <row r="20" spans="1:5" ht="27" customHeight="1" thickBot="1">
      <c r="A20" s="90" t="s">
        <v>438</v>
      </c>
      <c r="B20" s="90" t="s">
        <v>248</v>
      </c>
      <c r="C20" s="133">
        <v>96703396.370000005</v>
      </c>
      <c r="D20" s="132">
        <v>2367769.7400000002</v>
      </c>
      <c r="E20" s="267">
        <v>99071166.109999999</v>
      </c>
    </row>
    <row r="21" spans="1:5" ht="20" customHeight="1" thickBot="1">
      <c r="A21" s="89">
        <v>36</v>
      </c>
      <c r="B21" s="89" t="s">
        <v>439</v>
      </c>
      <c r="C21" s="133">
        <v>0</v>
      </c>
      <c r="D21" s="132">
        <v>0</v>
      </c>
      <c r="E21" s="267">
        <v>0</v>
      </c>
    </row>
    <row r="22" spans="1:5" ht="20" customHeight="1" thickBot="1">
      <c r="A22" s="89">
        <v>37</v>
      </c>
      <c r="B22" s="89" t="s">
        <v>440</v>
      </c>
      <c r="C22" s="133">
        <v>0</v>
      </c>
      <c r="D22" s="132">
        <v>0</v>
      </c>
      <c r="E22" s="267">
        <v>0</v>
      </c>
    </row>
    <row r="23" spans="1:5" ht="27" customHeight="1" thickBot="1">
      <c r="A23" s="90">
        <v>3</v>
      </c>
      <c r="B23" s="90" t="s">
        <v>441</v>
      </c>
      <c r="C23" s="133">
        <v>96703396.370000005</v>
      </c>
      <c r="D23" s="132">
        <v>2367769.7400000002</v>
      </c>
      <c r="E23" s="267">
        <v>99071166.109999999</v>
      </c>
    </row>
    <row r="24" spans="1:5" ht="20" customHeight="1" thickBot="1">
      <c r="A24" s="89" t="s">
        <v>442</v>
      </c>
      <c r="B24" s="89" t="s">
        <v>443</v>
      </c>
      <c r="C24" s="133">
        <v>5601333.4199999999</v>
      </c>
      <c r="D24" s="132">
        <v>120196.26</v>
      </c>
      <c r="E24" s="267">
        <v>5721529.6799999997</v>
      </c>
    </row>
    <row r="25" spans="1:5" ht="20" customHeight="1" thickBot="1">
      <c r="A25" s="89">
        <v>48</v>
      </c>
      <c r="B25" s="89" t="s">
        <v>444</v>
      </c>
      <c r="C25" s="133">
        <v>124192.68</v>
      </c>
      <c r="D25" s="132">
        <v>2657.4</v>
      </c>
      <c r="E25" s="267">
        <v>126850.08</v>
      </c>
    </row>
    <row r="26" spans="1:5" ht="20" customHeight="1" thickBot="1">
      <c r="A26" s="89">
        <v>49</v>
      </c>
      <c r="B26" s="89" t="s">
        <v>445</v>
      </c>
      <c r="C26" s="133">
        <v>4.25</v>
      </c>
      <c r="D26" s="132">
        <v>0.05</v>
      </c>
      <c r="E26" s="267">
        <v>4.3</v>
      </c>
    </row>
    <row r="27" spans="1:5" ht="27" customHeight="1" thickBot="1">
      <c r="A27" s="90">
        <v>4</v>
      </c>
      <c r="B27" s="90" t="s">
        <v>446</v>
      </c>
      <c r="C27" s="133">
        <v>5725530.3600000003</v>
      </c>
      <c r="D27" s="132">
        <v>122853.7</v>
      </c>
      <c r="E27" s="267">
        <v>5848384.0599999996</v>
      </c>
    </row>
    <row r="28" spans="1:5" ht="27" customHeight="1" thickBot="1">
      <c r="A28" s="90" t="s">
        <v>447</v>
      </c>
      <c r="B28" s="90" t="s">
        <v>448</v>
      </c>
      <c r="C28" s="133">
        <v>102428926.73</v>
      </c>
      <c r="D28" s="132">
        <v>2490623.44</v>
      </c>
      <c r="E28" s="267">
        <v>104919550.17</v>
      </c>
    </row>
    <row r="29" spans="1:5" ht="27" customHeight="1" thickBot="1">
      <c r="A29" s="90"/>
      <c r="B29" s="90" t="s">
        <v>449</v>
      </c>
      <c r="C29" s="133">
        <v>12132733.720000001</v>
      </c>
      <c r="D29" s="132">
        <v>73546.13</v>
      </c>
      <c r="E29" s="267">
        <v>12206279.85</v>
      </c>
    </row>
    <row r="30" spans="1:5" ht="27" customHeight="1" thickBot="1">
      <c r="A30" s="90">
        <v>7</v>
      </c>
      <c r="B30" s="90" t="s">
        <v>450</v>
      </c>
      <c r="C30" s="133">
        <v>1043689.19</v>
      </c>
      <c r="D30" s="132">
        <v>22266.55</v>
      </c>
      <c r="E30" s="267">
        <v>1065955.74</v>
      </c>
    </row>
    <row r="31" spans="1:5" ht="26.25" customHeight="1" thickBot="1">
      <c r="A31" s="669"/>
      <c r="B31" s="669" t="s">
        <v>451</v>
      </c>
      <c r="C31" s="133">
        <v>13176422.91</v>
      </c>
      <c r="D31" s="132">
        <v>95812.68</v>
      </c>
      <c r="E31" s="267">
        <v>13272235.59</v>
      </c>
    </row>
    <row r="32" spans="1:5" ht="20.25" customHeight="1">
      <c r="A32" s="95" t="s">
        <v>678</v>
      </c>
      <c r="B32" s="292"/>
      <c r="C32" s="95"/>
      <c r="D32" s="117"/>
      <c r="E32" s="293"/>
    </row>
    <row r="34" spans="1:1">
      <c r="A34" s="3" t="s">
        <v>1094</v>
      </c>
    </row>
    <row r="37" spans="1:1">
      <c r="A37" s="3" t="s">
        <v>677</v>
      </c>
    </row>
  </sheetData>
  <pageMargins left="0.51" right="0.56000000000000005" top="0.74" bottom="0.49" header="0.44" footer="0.4921259845"/>
  <pageSetup paperSize="9" scale="85" orientation="portrait"/>
  <headerFooter alignWithMargins="0"/>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9F8AB-D87D-A049-918F-C9E4A0FA1407}">
  <sheetPr>
    <pageSetUpPr fitToPage="1"/>
  </sheetPr>
  <dimension ref="A1:H39"/>
  <sheetViews>
    <sheetView zoomScaleNormal="100" workbookViewId="0">
      <selection activeCell="A2" sqref="A2"/>
    </sheetView>
  </sheetViews>
  <sheetFormatPr baseColWidth="10" defaultColWidth="11.3984375" defaultRowHeight="13"/>
  <cols>
    <col min="1" max="1" width="8.796875" style="3" customWidth="1"/>
    <col min="2" max="2" width="50.59765625" style="49" customWidth="1"/>
    <col min="3" max="3" width="16.796875" style="3" customWidth="1"/>
    <col min="4" max="4" width="16.796875" style="8" customWidth="1"/>
    <col min="5" max="5" width="16.796875" style="294" customWidth="1"/>
    <col min="6" max="16384" width="11.3984375" style="3"/>
  </cols>
  <sheetData>
    <row r="1" spans="1:8" s="2" customFormat="1" ht="31.25" customHeight="1">
      <c r="A1" s="1809" t="s">
        <v>1095</v>
      </c>
      <c r="B1" s="1810"/>
      <c r="C1" s="1810"/>
      <c r="D1" s="1810"/>
      <c r="E1" s="47">
        <v>2010</v>
      </c>
    </row>
    <row r="2" spans="1:8" s="2" customFormat="1" ht="12" customHeight="1">
      <c r="A2" s="137"/>
      <c r="B2" s="137"/>
      <c r="C2" s="137"/>
      <c r="D2" s="137"/>
      <c r="E2" s="137"/>
    </row>
    <row r="3" spans="1:8" ht="39" customHeight="1">
      <c r="A3" s="276" t="s">
        <v>417</v>
      </c>
      <c r="B3" s="277"/>
      <c r="C3" s="73" t="s">
        <v>418</v>
      </c>
      <c r="D3" s="104" t="s">
        <v>419</v>
      </c>
      <c r="E3" s="262" t="s">
        <v>190</v>
      </c>
      <c r="G3" s="4"/>
      <c r="H3" s="4"/>
    </row>
    <row r="4" spans="1:8" ht="38" customHeight="1">
      <c r="A4" s="263"/>
      <c r="B4" s="264"/>
      <c r="C4" s="82" t="s">
        <v>420</v>
      </c>
      <c r="D4" s="109" t="s">
        <v>420</v>
      </c>
      <c r="E4" s="265" t="s">
        <v>420</v>
      </c>
      <c r="G4" s="405"/>
      <c r="H4" s="684"/>
    </row>
    <row r="5" spans="1:8" ht="30" customHeight="1" thickBot="1">
      <c r="A5" s="84">
        <v>63</v>
      </c>
      <c r="B5" s="84" t="s">
        <v>421</v>
      </c>
      <c r="C5" s="123">
        <v>3463366.4</v>
      </c>
      <c r="D5" s="124">
        <v>149402.9</v>
      </c>
      <c r="E5" s="278">
        <v>3612769.3</v>
      </c>
      <c r="G5" s="48"/>
      <c r="H5" s="684"/>
    </row>
    <row r="6" spans="1:8" ht="20" customHeight="1" thickBot="1">
      <c r="A6" s="89">
        <v>64</v>
      </c>
      <c r="B6" s="89" t="s">
        <v>422</v>
      </c>
      <c r="C6" s="133">
        <v>-20332.349999999999</v>
      </c>
      <c r="D6" s="132">
        <v>-829.81</v>
      </c>
      <c r="E6" s="267">
        <v>-21162.16</v>
      </c>
      <c r="G6" s="48"/>
      <c r="H6" s="684"/>
    </row>
    <row r="7" spans="1:8" ht="20" customHeight="1" thickBot="1">
      <c r="A7" s="89">
        <v>65</v>
      </c>
      <c r="B7" s="89" t="s">
        <v>423</v>
      </c>
      <c r="C7" s="133">
        <v>0</v>
      </c>
      <c r="D7" s="132">
        <v>0</v>
      </c>
      <c r="E7" s="267">
        <v>0</v>
      </c>
      <c r="G7" s="48"/>
      <c r="H7" s="684"/>
    </row>
    <row r="8" spans="1:8" ht="27" customHeight="1" thickBot="1">
      <c r="A8" s="90" t="s">
        <v>424</v>
      </c>
      <c r="B8" s="90" t="s">
        <v>425</v>
      </c>
      <c r="C8" s="133">
        <v>3443034.05</v>
      </c>
      <c r="D8" s="132">
        <v>148573.09</v>
      </c>
      <c r="E8" s="267">
        <v>3591607.14</v>
      </c>
      <c r="G8" s="48"/>
      <c r="H8" s="684"/>
    </row>
    <row r="9" spans="1:8" ht="20" customHeight="1" thickBot="1">
      <c r="A9" s="89">
        <v>66</v>
      </c>
      <c r="B9" s="89" t="s">
        <v>426</v>
      </c>
      <c r="C9" s="133">
        <v>0</v>
      </c>
      <c r="D9" s="132">
        <v>0</v>
      </c>
      <c r="E9" s="267">
        <v>0</v>
      </c>
      <c r="G9" s="48"/>
      <c r="H9" s="684"/>
    </row>
    <row r="10" spans="1:8" ht="27" customHeight="1" thickBot="1">
      <c r="A10" s="90" t="s">
        <v>427</v>
      </c>
      <c r="B10" s="90" t="s">
        <v>428</v>
      </c>
      <c r="C10" s="133">
        <v>3443034.05</v>
      </c>
      <c r="D10" s="132">
        <v>148573.09</v>
      </c>
      <c r="E10" s="267">
        <v>3591607.14</v>
      </c>
      <c r="G10" s="48"/>
      <c r="H10" s="684"/>
    </row>
    <row r="11" spans="1:8" ht="21" customHeight="1" thickBot="1">
      <c r="A11" s="89">
        <v>67</v>
      </c>
      <c r="B11" s="89" t="s">
        <v>429</v>
      </c>
      <c r="C11" s="133">
        <v>0</v>
      </c>
      <c r="D11" s="132">
        <v>0</v>
      </c>
      <c r="E11" s="267">
        <v>0</v>
      </c>
      <c r="G11" s="685"/>
      <c r="H11" s="684"/>
    </row>
    <row r="12" spans="1:8" ht="21" customHeight="1" thickBot="1">
      <c r="A12" s="89">
        <v>68</v>
      </c>
      <c r="B12" s="89" t="s">
        <v>430</v>
      </c>
      <c r="C12" s="133">
        <v>0</v>
      </c>
      <c r="D12" s="132">
        <v>0</v>
      </c>
      <c r="E12" s="267">
        <v>0</v>
      </c>
      <c r="G12" s="48"/>
      <c r="H12" s="684"/>
    </row>
    <row r="13" spans="1:8" ht="21" customHeight="1" thickBot="1">
      <c r="A13" s="89">
        <v>69</v>
      </c>
      <c r="B13" s="89" t="s">
        <v>431</v>
      </c>
      <c r="C13" s="133">
        <v>1185.23</v>
      </c>
      <c r="D13" s="132">
        <v>51.51</v>
      </c>
      <c r="E13" s="267">
        <v>1236.74</v>
      </c>
    </row>
    <row r="14" spans="1:8" ht="27" customHeight="1" thickBot="1">
      <c r="A14" s="90">
        <v>6</v>
      </c>
      <c r="B14" s="90" t="s">
        <v>432</v>
      </c>
      <c r="C14" s="133">
        <v>3444219.29</v>
      </c>
      <c r="D14" s="132">
        <v>148624.59</v>
      </c>
      <c r="E14" s="267">
        <v>3592843.88</v>
      </c>
    </row>
    <row r="15" spans="1:8" ht="20" customHeight="1" thickBot="1">
      <c r="A15" s="89">
        <v>33</v>
      </c>
      <c r="B15" s="89" t="s">
        <v>433</v>
      </c>
      <c r="C15" s="133">
        <v>8459286.3000000007</v>
      </c>
      <c r="D15" s="132">
        <v>54167.5</v>
      </c>
      <c r="E15" s="267">
        <v>8513453.8000000007</v>
      </c>
    </row>
    <row r="16" spans="1:8" ht="20" customHeight="1" thickBot="1">
      <c r="A16" s="89">
        <v>32</v>
      </c>
      <c r="B16" s="89" t="s">
        <v>434</v>
      </c>
      <c r="C16" s="133">
        <v>-74232.800000000003</v>
      </c>
      <c r="D16" s="132">
        <v>-5578.05</v>
      </c>
      <c r="E16" s="267">
        <v>-79810.850000000006</v>
      </c>
    </row>
    <row r="17" spans="1:5" ht="27" customHeight="1" thickBot="1">
      <c r="A17" s="90" t="s">
        <v>435</v>
      </c>
      <c r="B17" s="90" t="s">
        <v>262</v>
      </c>
      <c r="C17" s="133">
        <v>8385053.5</v>
      </c>
      <c r="D17" s="132">
        <v>48589.45</v>
      </c>
      <c r="E17" s="267">
        <v>8433642.9499999993</v>
      </c>
    </row>
    <row r="18" spans="1:5" ht="20" customHeight="1" thickBot="1">
      <c r="A18" s="89">
        <v>34</v>
      </c>
      <c r="B18" s="89" t="s">
        <v>436</v>
      </c>
      <c r="C18" s="133">
        <v>148945.15</v>
      </c>
      <c r="D18" s="132">
        <v>968.94</v>
      </c>
      <c r="E18" s="267">
        <v>149914.09</v>
      </c>
    </row>
    <row r="19" spans="1:5" ht="20" customHeight="1" thickBot="1">
      <c r="A19" s="89">
        <v>35</v>
      </c>
      <c r="B19" s="89" t="s">
        <v>437</v>
      </c>
      <c r="C19" s="133">
        <v>111040.08</v>
      </c>
      <c r="D19" s="132">
        <v>719.12</v>
      </c>
      <c r="E19" s="267">
        <v>111759.2</v>
      </c>
    </row>
    <row r="20" spans="1:5" ht="27" customHeight="1" thickBot="1">
      <c r="A20" s="90" t="s">
        <v>438</v>
      </c>
      <c r="B20" s="90" t="s">
        <v>248</v>
      </c>
      <c r="C20" s="133">
        <v>8645038.7300000004</v>
      </c>
      <c r="D20" s="132">
        <v>50277.51</v>
      </c>
      <c r="E20" s="267">
        <v>8695316.2400000002</v>
      </c>
    </row>
    <row r="21" spans="1:5" ht="20" customHeight="1" thickBot="1">
      <c r="A21" s="89">
        <v>36</v>
      </c>
      <c r="B21" s="89" t="s">
        <v>439</v>
      </c>
      <c r="C21" s="133">
        <v>0</v>
      </c>
      <c r="D21" s="132">
        <v>0</v>
      </c>
      <c r="E21" s="267">
        <v>0</v>
      </c>
    </row>
    <row r="22" spans="1:5" ht="20" customHeight="1" thickBot="1">
      <c r="A22" s="89">
        <v>37</v>
      </c>
      <c r="B22" s="89" t="s">
        <v>440</v>
      </c>
      <c r="C22" s="133">
        <v>0</v>
      </c>
      <c r="D22" s="132">
        <v>0</v>
      </c>
      <c r="E22" s="267">
        <v>0</v>
      </c>
    </row>
    <row r="23" spans="1:5" ht="27" customHeight="1" thickBot="1">
      <c r="A23" s="90">
        <v>3</v>
      </c>
      <c r="B23" s="90" t="s">
        <v>441</v>
      </c>
      <c r="C23" s="133">
        <v>8645038.7300000004</v>
      </c>
      <c r="D23" s="132">
        <v>50277.51</v>
      </c>
      <c r="E23" s="267">
        <v>8695316.2400000002</v>
      </c>
    </row>
    <row r="24" spans="1:5" ht="20" customHeight="1" thickBot="1">
      <c r="A24" s="89" t="s">
        <v>442</v>
      </c>
      <c r="B24" s="89" t="s">
        <v>443</v>
      </c>
      <c r="C24" s="133">
        <v>413452.93</v>
      </c>
      <c r="D24" s="132">
        <v>17760.98</v>
      </c>
      <c r="E24" s="267">
        <v>431213.91</v>
      </c>
    </row>
    <row r="25" spans="1:5" ht="20" customHeight="1" thickBot="1">
      <c r="A25" s="89">
        <v>48</v>
      </c>
      <c r="B25" s="89" t="s">
        <v>444</v>
      </c>
      <c r="C25" s="133">
        <v>3635.76</v>
      </c>
      <c r="D25" s="132">
        <v>152.41999999999999</v>
      </c>
      <c r="E25" s="267">
        <v>3788.18</v>
      </c>
    </row>
    <row r="26" spans="1:5" ht="20" customHeight="1" thickBot="1">
      <c r="A26" s="89">
        <v>49</v>
      </c>
      <c r="B26" s="89" t="s">
        <v>445</v>
      </c>
      <c r="C26" s="133">
        <v>252.6</v>
      </c>
      <c r="D26" s="132">
        <v>9</v>
      </c>
      <c r="E26" s="267">
        <v>261.60000000000002</v>
      </c>
    </row>
    <row r="27" spans="1:5" ht="27" customHeight="1" thickBot="1">
      <c r="A27" s="90">
        <v>4</v>
      </c>
      <c r="B27" s="90" t="s">
        <v>446</v>
      </c>
      <c r="C27" s="133">
        <v>417341.29</v>
      </c>
      <c r="D27" s="132">
        <v>17922.400000000001</v>
      </c>
      <c r="E27" s="267">
        <v>435263.69</v>
      </c>
    </row>
    <row r="28" spans="1:5" ht="27" customHeight="1" thickBot="1">
      <c r="A28" s="90" t="s">
        <v>447</v>
      </c>
      <c r="B28" s="90" t="s">
        <v>448</v>
      </c>
      <c r="C28" s="133">
        <v>9062380.0199999996</v>
      </c>
      <c r="D28" s="132">
        <v>68199.92</v>
      </c>
      <c r="E28" s="267">
        <v>9130579.9399999995</v>
      </c>
    </row>
    <row r="29" spans="1:5" ht="27" customHeight="1" thickBot="1">
      <c r="A29" s="90"/>
      <c r="B29" s="90" t="s">
        <v>449</v>
      </c>
      <c r="C29" s="133">
        <v>-5618160.7400000002</v>
      </c>
      <c r="D29" s="132">
        <v>80424.67</v>
      </c>
      <c r="E29" s="267">
        <v>-5537736.0700000003</v>
      </c>
    </row>
    <row r="30" spans="1:5" ht="27" customHeight="1" thickBot="1">
      <c r="A30" s="90">
        <v>7</v>
      </c>
      <c r="B30" s="90" t="s">
        <v>450</v>
      </c>
      <c r="C30" s="133">
        <v>66306.39</v>
      </c>
      <c r="D30" s="132">
        <v>2819.92</v>
      </c>
      <c r="E30" s="267">
        <v>69126.31</v>
      </c>
    </row>
    <row r="31" spans="1:5" ht="27.75" customHeight="1" thickBot="1">
      <c r="A31" s="669"/>
      <c r="B31" s="669" t="s">
        <v>451</v>
      </c>
      <c r="C31" s="133">
        <v>-5551854.3499999996</v>
      </c>
      <c r="D31" s="132">
        <v>83244.600000000006</v>
      </c>
      <c r="E31" s="267">
        <v>-5468609.75</v>
      </c>
    </row>
    <row r="32" spans="1:5" ht="19.5" customHeight="1">
      <c r="A32" s="95" t="s">
        <v>678</v>
      </c>
      <c r="B32" s="292"/>
      <c r="C32" s="95"/>
      <c r="D32" s="117"/>
      <c r="E32" s="293"/>
    </row>
    <row r="34" spans="1:1">
      <c r="A34" s="686" t="s">
        <v>1096</v>
      </c>
    </row>
    <row r="35" spans="1:1">
      <c r="A35" s="275"/>
    </row>
    <row r="36" spans="1:1">
      <c r="A36" s="3" t="s">
        <v>1097</v>
      </c>
    </row>
    <row r="39" spans="1:1">
      <c r="A39" s="3" t="s">
        <v>677</v>
      </c>
    </row>
  </sheetData>
  <mergeCells count="1">
    <mergeCell ref="A1:D1"/>
  </mergeCells>
  <pageMargins left="0.51181102362204722" right="0.59055118110236227" top="0.9055118110236221" bottom="0.47244094488188981" header="0.47244094488188981" footer="0.51181102362204722"/>
  <pageSetup paperSize="9" scale="83" orientation="portrait"/>
  <headerFooter alignWithMargins="0"/>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DD10A-A94A-8041-B305-1DA29D3B38AD}">
  <sheetPr>
    <pageSetUpPr fitToPage="1"/>
  </sheetPr>
  <dimension ref="A1:B17"/>
  <sheetViews>
    <sheetView workbookViewId="0">
      <selection activeCell="B4" sqref="B4"/>
    </sheetView>
  </sheetViews>
  <sheetFormatPr baseColWidth="10" defaultColWidth="11.59765625" defaultRowHeight="13"/>
  <cols>
    <col min="1" max="1" width="5.59765625" style="474" customWidth="1"/>
    <col min="2" max="16384" width="11.59765625" style="474"/>
  </cols>
  <sheetData>
    <row r="1" spans="1:2" ht="16">
      <c r="A1" s="473" t="s">
        <v>1098</v>
      </c>
    </row>
    <row r="2" spans="1:2" ht="16">
      <c r="A2" s="473"/>
    </row>
    <row r="3" spans="1:2">
      <c r="A3" s="687">
        <v>8.01</v>
      </c>
      <c r="B3" s="688" t="s">
        <v>1099</v>
      </c>
    </row>
    <row r="4" spans="1:2">
      <c r="A4" s="687">
        <v>8.02</v>
      </c>
      <c r="B4" s="643" t="s">
        <v>1100</v>
      </c>
    </row>
    <row r="5" spans="1:2">
      <c r="A5" s="687">
        <v>8.0299999999999994</v>
      </c>
      <c r="B5" s="688" t="s">
        <v>1101</v>
      </c>
    </row>
    <row r="6" spans="1:2">
      <c r="A6" s="687">
        <v>8.0399999999999991</v>
      </c>
      <c r="B6" s="688" t="s">
        <v>1102</v>
      </c>
    </row>
    <row r="7" spans="1:2">
      <c r="A7" s="687">
        <v>8.0500000000000007</v>
      </c>
      <c r="B7" s="688" t="s">
        <v>1103</v>
      </c>
    </row>
    <row r="8" spans="1:2">
      <c r="A8" s="687">
        <v>8.06</v>
      </c>
      <c r="B8" s="688" t="s">
        <v>1104</v>
      </c>
    </row>
    <row r="9" spans="1:2">
      <c r="A9" s="687">
        <v>8.07</v>
      </c>
      <c r="B9" s="688" t="s">
        <v>1105</v>
      </c>
    </row>
    <row r="10" spans="1:2">
      <c r="A10" s="687">
        <v>8.08</v>
      </c>
      <c r="B10" s="688" t="s">
        <v>1106</v>
      </c>
    </row>
    <row r="11" spans="1:2">
      <c r="A11" s="687">
        <v>8.09</v>
      </c>
      <c r="B11" s="688" t="s">
        <v>1107</v>
      </c>
    </row>
    <row r="12" spans="1:2">
      <c r="A12" s="687">
        <v>8.1</v>
      </c>
      <c r="B12" s="688" t="s">
        <v>1108</v>
      </c>
    </row>
    <row r="13" spans="1:2">
      <c r="A13" s="687">
        <v>8.11</v>
      </c>
      <c r="B13" s="643" t="s">
        <v>1109</v>
      </c>
    </row>
    <row r="14" spans="1:2">
      <c r="A14" s="687">
        <v>8.1199999999999992</v>
      </c>
      <c r="B14" s="643" t="s">
        <v>1110</v>
      </c>
    </row>
    <row r="15" spans="1:2">
      <c r="B15" s="689"/>
    </row>
    <row r="17" spans="1:1">
      <c r="A17" s="690" t="s">
        <v>677</v>
      </c>
    </row>
  </sheetData>
  <pageMargins left="0.54" right="0.53" top="0.65" bottom="0.984251969" header="0.38" footer="0.4921259845"/>
  <pageSetup paperSize="9" orientation="portrait"/>
  <headerFooter alignWithMargins="0"/>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AC09D-D301-E54C-A5F4-DACA3ADAE0CF}">
  <sheetPr>
    <pageSetUpPr fitToPage="1"/>
  </sheetPr>
  <dimension ref="A1:G32"/>
  <sheetViews>
    <sheetView topLeftCell="A8" zoomScaleNormal="100" workbookViewId="0">
      <selection activeCell="J25" sqref="J25"/>
    </sheetView>
  </sheetViews>
  <sheetFormatPr baseColWidth="10" defaultColWidth="11.3984375" defaultRowHeight="13"/>
  <cols>
    <col min="1" max="1" width="12.796875" style="3" customWidth="1"/>
    <col min="2" max="2" width="15.3984375" style="49" customWidth="1"/>
    <col min="3" max="4" width="15.3984375" style="3" customWidth="1"/>
    <col min="5" max="5" width="15.796875" style="49" customWidth="1"/>
    <col min="6" max="6" width="15.3984375" style="49" customWidth="1"/>
    <col min="7" max="7" width="15.3984375" style="3" customWidth="1"/>
    <col min="8" max="16384" width="11.3984375" style="3"/>
  </cols>
  <sheetData>
    <row r="1" spans="1:7" s="2" customFormat="1" ht="14" customHeight="1">
      <c r="B1" s="261"/>
      <c r="E1" s="261"/>
      <c r="F1" s="261"/>
    </row>
    <row r="2" spans="1:7" s="2" customFormat="1" ht="24" customHeight="1">
      <c r="A2" s="47" t="s">
        <v>1111</v>
      </c>
      <c r="B2" s="691"/>
      <c r="C2" s="47"/>
      <c r="D2" s="47"/>
      <c r="E2" s="261"/>
      <c r="F2" s="358"/>
      <c r="G2" s="358"/>
    </row>
    <row r="3" spans="1:7" ht="24" customHeight="1">
      <c r="A3" s="692"/>
      <c r="B3" s="75" t="s">
        <v>1112</v>
      </c>
      <c r="C3" s="72"/>
      <c r="D3" s="72"/>
      <c r="E3" s="299" t="s">
        <v>1113</v>
      </c>
      <c r="F3" s="299" t="s">
        <v>1114</v>
      </c>
      <c r="G3" s="299" t="s">
        <v>1115</v>
      </c>
    </row>
    <row r="4" spans="1:7" ht="20.25" customHeight="1">
      <c r="A4" s="693" t="s">
        <v>695</v>
      </c>
      <c r="B4" s="75"/>
      <c r="C4" s="75"/>
      <c r="D4" s="75"/>
      <c r="E4" s="693" t="s">
        <v>1116</v>
      </c>
      <c r="F4" s="78"/>
      <c r="G4" s="78"/>
    </row>
    <row r="5" spans="1:7" ht="20.25" customHeight="1">
      <c r="A5" s="693"/>
      <c r="B5" s="75" t="s">
        <v>1117</v>
      </c>
      <c r="C5" s="75" t="s">
        <v>1118</v>
      </c>
      <c r="D5" s="75" t="s">
        <v>1119</v>
      </c>
      <c r="E5" s="78" t="s">
        <v>1120</v>
      </c>
      <c r="F5" s="78" t="s">
        <v>1121</v>
      </c>
      <c r="G5" s="78" t="s">
        <v>1122</v>
      </c>
    </row>
    <row r="6" spans="1:7" ht="15" customHeight="1">
      <c r="A6" s="693"/>
      <c r="B6" s="75" t="s">
        <v>946</v>
      </c>
      <c r="C6" s="75"/>
      <c r="D6" s="75"/>
      <c r="E6" s="78" t="s">
        <v>1073</v>
      </c>
      <c r="F6" s="78" t="s">
        <v>920</v>
      </c>
      <c r="G6" s="78" t="s">
        <v>920</v>
      </c>
    </row>
    <row r="7" spans="1:7" ht="29.25" customHeight="1">
      <c r="A7" s="694"/>
      <c r="B7" s="79" t="s">
        <v>1123</v>
      </c>
      <c r="C7" s="79"/>
      <c r="D7" s="79"/>
      <c r="E7" s="80" t="s">
        <v>923</v>
      </c>
      <c r="F7" s="80" t="s">
        <v>923</v>
      </c>
      <c r="G7" s="80" t="s">
        <v>923</v>
      </c>
    </row>
    <row r="8" spans="1:7" ht="21" customHeight="1" thickBot="1">
      <c r="A8" s="695">
        <v>1996</v>
      </c>
      <c r="B8" s="696">
        <v>159</v>
      </c>
      <c r="C8" s="696">
        <v>0</v>
      </c>
      <c r="D8" s="696">
        <v>25</v>
      </c>
      <c r="E8" s="697">
        <v>145</v>
      </c>
      <c r="F8" s="697">
        <v>150</v>
      </c>
      <c r="G8" s="697">
        <v>136</v>
      </c>
    </row>
    <row r="9" spans="1:7" ht="19.75" customHeight="1" thickBot="1">
      <c r="A9" s="698">
        <v>1997</v>
      </c>
      <c r="B9" s="699">
        <v>142</v>
      </c>
      <c r="C9" s="699">
        <v>1</v>
      </c>
      <c r="D9" s="699">
        <v>18</v>
      </c>
      <c r="E9" s="700">
        <v>129</v>
      </c>
      <c r="F9" s="700">
        <v>135</v>
      </c>
      <c r="G9" s="700">
        <v>122</v>
      </c>
    </row>
    <row r="10" spans="1:7" ht="19.75" customHeight="1" thickBot="1">
      <c r="A10" s="698">
        <v>1998</v>
      </c>
      <c r="B10" s="699">
        <v>127</v>
      </c>
      <c r="C10" s="699">
        <v>0</v>
      </c>
      <c r="D10" s="699">
        <v>15</v>
      </c>
      <c r="E10" s="700">
        <v>118</v>
      </c>
      <c r="F10" s="700">
        <v>115</v>
      </c>
      <c r="G10" s="700">
        <v>106</v>
      </c>
    </row>
    <row r="11" spans="1:7" ht="20.25" customHeight="1" thickBot="1">
      <c r="A11" s="698">
        <v>1999</v>
      </c>
      <c r="B11" s="699">
        <v>119</v>
      </c>
      <c r="C11" s="699">
        <v>2</v>
      </c>
      <c r="D11" s="699">
        <v>10</v>
      </c>
      <c r="E11" s="700">
        <v>109</v>
      </c>
      <c r="F11" s="700">
        <v>109</v>
      </c>
      <c r="G11" s="700">
        <v>99</v>
      </c>
    </row>
    <row r="12" spans="1:7" ht="20.25" customHeight="1" thickBot="1">
      <c r="A12" s="698">
        <v>2000</v>
      </c>
      <c r="B12" s="699">
        <v>110</v>
      </c>
      <c r="C12" s="699">
        <v>0</v>
      </c>
      <c r="D12" s="699">
        <v>9</v>
      </c>
      <c r="E12" s="700">
        <v>101</v>
      </c>
      <c r="F12" s="700">
        <v>102</v>
      </c>
      <c r="G12" s="700">
        <v>93</v>
      </c>
    </row>
    <row r="13" spans="1:7" ht="20.25" customHeight="1" thickBot="1">
      <c r="A13" s="698">
        <v>2001</v>
      </c>
      <c r="B13" s="699">
        <v>108</v>
      </c>
      <c r="C13" s="699">
        <v>0</v>
      </c>
      <c r="D13" s="699">
        <v>2</v>
      </c>
      <c r="E13" s="700">
        <v>99</v>
      </c>
      <c r="F13" s="700">
        <v>102</v>
      </c>
      <c r="G13" s="700">
        <v>92</v>
      </c>
    </row>
    <row r="14" spans="1:7" ht="20.25" customHeight="1" thickBot="1">
      <c r="A14" s="695">
        <v>2002</v>
      </c>
      <c r="B14" s="696">
        <v>101</v>
      </c>
      <c r="C14" s="696">
        <v>1</v>
      </c>
      <c r="D14" s="696">
        <v>8</v>
      </c>
      <c r="E14" s="697">
        <v>93</v>
      </c>
      <c r="F14" s="697">
        <v>93</v>
      </c>
      <c r="G14" s="697">
        <v>85</v>
      </c>
    </row>
    <row r="15" spans="1:7" ht="20.25" customHeight="1" thickBot="1">
      <c r="A15" s="695">
        <v>2003</v>
      </c>
      <c r="B15" s="696">
        <v>99</v>
      </c>
      <c r="C15" s="696">
        <v>2</v>
      </c>
      <c r="D15" s="696">
        <v>3</v>
      </c>
      <c r="E15" s="697">
        <v>93</v>
      </c>
      <c r="F15" s="697">
        <v>92</v>
      </c>
      <c r="G15" s="697">
        <v>86</v>
      </c>
    </row>
    <row r="16" spans="1:7" ht="20.25" customHeight="1" thickBot="1">
      <c r="A16" s="695">
        <v>2004</v>
      </c>
      <c r="B16" s="696">
        <v>98</v>
      </c>
      <c r="C16" s="696">
        <v>0</v>
      </c>
      <c r="D16" s="696">
        <v>2</v>
      </c>
      <c r="E16" s="697">
        <v>92</v>
      </c>
      <c r="F16" s="697">
        <v>93</v>
      </c>
      <c r="G16" s="697">
        <v>87</v>
      </c>
    </row>
    <row r="17" spans="1:7" ht="20.25" customHeight="1" thickBot="1">
      <c r="A17" s="695">
        <v>2005</v>
      </c>
      <c r="B17" s="696">
        <v>90</v>
      </c>
      <c r="C17" s="696">
        <v>2</v>
      </c>
      <c r="D17" s="696">
        <v>9</v>
      </c>
      <c r="E17" s="697">
        <v>85</v>
      </c>
      <c r="F17" s="697">
        <v>82</v>
      </c>
      <c r="G17" s="697">
        <v>76</v>
      </c>
    </row>
    <row r="18" spans="1:7" ht="20.25" customHeight="1" thickBot="1">
      <c r="A18" s="695">
        <v>2006</v>
      </c>
      <c r="B18" s="696">
        <v>92</v>
      </c>
      <c r="C18" s="696">
        <v>2</v>
      </c>
      <c r="D18" s="696">
        <v>0</v>
      </c>
      <c r="E18" s="697">
        <v>87</v>
      </c>
      <c r="F18" s="697">
        <v>82</v>
      </c>
      <c r="G18" s="697">
        <v>77</v>
      </c>
    </row>
    <row r="19" spans="1:7" ht="20.25" customHeight="1" thickBot="1">
      <c r="A19" s="695">
        <v>2007</v>
      </c>
      <c r="B19" s="696">
        <v>92</v>
      </c>
      <c r="C19" s="696">
        <v>0</v>
      </c>
      <c r="D19" s="696">
        <v>0</v>
      </c>
      <c r="E19" s="697">
        <v>87</v>
      </c>
      <c r="F19" s="697">
        <v>82</v>
      </c>
      <c r="G19" s="697">
        <v>77</v>
      </c>
    </row>
    <row r="20" spans="1:7" ht="20.25" customHeight="1" thickBot="1">
      <c r="A20" s="695">
        <v>2008</v>
      </c>
      <c r="B20" s="696">
        <v>91</v>
      </c>
      <c r="C20" s="696">
        <v>0</v>
      </c>
      <c r="D20" s="696">
        <v>1</v>
      </c>
      <c r="E20" s="697">
        <v>86</v>
      </c>
      <c r="F20" s="697">
        <v>83</v>
      </c>
      <c r="G20" s="697">
        <v>78</v>
      </c>
    </row>
    <row r="21" spans="1:7" ht="20.25" customHeight="1" thickBot="1">
      <c r="A21" s="695">
        <v>2009</v>
      </c>
      <c r="B21" s="696">
        <v>86</v>
      </c>
      <c r="C21" s="696">
        <v>2</v>
      </c>
      <c r="D21" s="696">
        <v>7</v>
      </c>
      <c r="E21" s="697">
        <v>81</v>
      </c>
      <c r="F21" s="697">
        <v>74</v>
      </c>
      <c r="G21" s="697">
        <v>69</v>
      </c>
    </row>
    <row r="22" spans="1:7" ht="25.5" customHeight="1" thickBot="1">
      <c r="A22" s="701">
        <v>2010</v>
      </c>
      <c r="B22" s="702">
        <v>86</v>
      </c>
      <c r="C22" s="703">
        <v>1</v>
      </c>
      <c r="D22" s="702">
        <v>1</v>
      </c>
      <c r="E22" s="704">
        <v>81</v>
      </c>
      <c r="F22" s="704">
        <v>78</v>
      </c>
      <c r="G22" s="705">
        <v>73</v>
      </c>
    </row>
    <row r="23" spans="1:7" ht="20" customHeight="1">
      <c r="A23" s="95" t="s">
        <v>678</v>
      </c>
      <c r="B23" s="292"/>
      <c r="C23" s="95"/>
      <c r="D23" s="95"/>
      <c r="E23" s="292"/>
      <c r="F23" s="292"/>
    </row>
    <row r="24" spans="1:7" ht="12.75" customHeight="1">
      <c r="A24" s="96"/>
      <c r="B24" s="316"/>
      <c r="C24" s="96"/>
      <c r="D24" s="96"/>
      <c r="E24" s="316"/>
      <c r="F24" s="316"/>
    </row>
    <row r="25" spans="1:7" ht="12.75" customHeight="1">
      <c r="A25" s="96" t="s">
        <v>1124</v>
      </c>
      <c r="B25" s="316"/>
      <c r="C25" s="96"/>
      <c r="D25" s="96"/>
      <c r="E25" s="316"/>
      <c r="F25" s="316"/>
    </row>
    <row r="26" spans="1:7" ht="12.75" customHeight="1">
      <c r="A26" s="96" t="s">
        <v>1125</v>
      </c>
      <c r="B26" s="316"/>
      <c r="C26" s="96"/>
      <c r="D26" s="96"/>
      <c r="E26" s="316"/>
      <c r="F26" s="316"/>
    </row>
    <row r="27" spans="1:7" ht="12.75" customHeight="1">
      <c r="A27" s="96"/>
      <c r="B27" s="316"/>
      <c r="C27" s="96"/>
      <c r="D27" s="96"/>
      <c r="E27" s="316"/>
      <c r="F27" s="316"/>
    </row>
    <row r="28" spans="1:7" ht="12.75" customHeight="1">
      <c r="A28" s="96"/>
      <c r="B28" s="316"/>
      <c r="C28" s="96"/>
      <c r="D28" s="96"/>
      <c r="E28" s="316"/>
      <c r="F28" s="316"/>
    </row>
    <row r="29" spans="1:7" ht="12" customHeight="1">
      <c r="A29" s="138" t="s">
        <v>1126</v>
      </c>
    </row>
    <row r="32" spans="1:7">
      <c r="A32" s="3" t="s">
        <v>677</v>
      </c>
    </row>
  </sheetData>
  <pageMargins left="0.56000000000000005" right="0.42" top="0.76" bottom="0.49" header="0.44" footer="0.4921259845"/>
  <pageSetup paperSize="9" scale="80" orientation="portrait" horizontalDpi="1200" verticalDpi="1200"/>
  <headerFooter alignWithMargins="0"/>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603B8-F82C-A348-82C0-A53B5ECBFACF}">
  <sheetPr>
    <pageSetUpPr fitToPage="1"/>
  </sheetPr>
  <dimension ref="A1:M27"/>
  <sheetViews>
    <sheetView topLeftCell="A3" zoomScaleNormal="100" workbookViewId="0">
      <selection activeCell="K15" sqref="K15"/>
    </sheetView>
  </sheetViews>
  <sheetFormatPr baseColWidth="10" defaultColWidth="11.3984375" defaultRowHeight="13"/>
  <cols>
    <col min="1" max="1" width="12.796875" style="3" customWidth="1"/>
    <col min="2" max="8" width="11.796875" style="3" customWidth="1"/>
    <col min="9" max="9" width="13" style="3" customWidth="1"/>
    <col min="10" max="16384" width="11.3984375" style="3"/>
  </cols>
  <sheetData>
    <row r="1" spans="1:13" s="2" customFormat="1" ht="14" customHeight="1"/>
    <row r="2" spans="1:13" s="2" customFormat="1" ht="24" customHeight="1">
      <c r="A2" s="71" t="s">
        <v>1127</v>
      </c>
      <c r="I2" s="358"/>
    </row>
    <row r="3" spans="1:13" ht="24" customHeight="1">
      <c r="A3" s="706" t="s">
        <v>695</v>
      </c>
      <c r="B3" s="707" t="s">
        <v>1128</v>
      </c>
      <c r="C3" s="708" t="s">
        <v>1129</v>
      </c>
      <c r="D3" s="73" t="s">
        <v>1130</v>
      </c>
      <c r="E3" s="708" t="s">
        <v>1131</v>
      </c>
      <c r="F3" s="73" t="s">
        <v>1132</v>
      </c>
      <c r="G3" s="708" t="s">
        <v>1133</v>
      </c>
      <c r="H3" s="73" t="s">
        <v>190</v>
      </c>
      <c r="I3" s="709" t="s">
        <v>585</v>
      </c>
    </row>
    <row r="4" spans="1:13" ht="15" customHeight="1">
      <c r="A4" s="710"/>
      <c r="B4" s="711"/>
      <c r="C4" s="712">
        <v>10000</v>
      </c>
      <c r="D4" s="105">
        <v>50000</v>
      </c>
      <c r="E4" s="712">
        <v>100000</v>
      </c>
      <c r="F4" s="105">
        <v>500000</v>
      </c>
      <c r="G4" s="712">
        <v>500000</v>
      </c>
      <c r="H4" s="76"/>
      <c r="I4" s="713" t="s">
        <v>586</v>
      </c>
    </row>
    <row r="5" spans="1:13" ht="15" customHeight="1">
      <c r="A5" s="710"/>
      <c r="B5" s="711"/>
      <c r="C5" s="714"/>
      <c r="D5" s="76"/>
      <c r="E5" s="714"/>
      <c r="F5" s="76"/>
      <c r="G5" s="714"/>
      <c r="H5" s="76"/>
      <c r="I5" s="713" t="s">
        <v>210</v>
      </c>
    </row>
    <row r="6" spans="1:13" ht="24" customHeight="1">
      <c r="A6" s="715"/>
      <c r="B6" s="716"/>
      <c r="C6" s="717"/>
      <c r="D6" s="82"/>
      <c r="E6" s="717"/>
      <c r="F6" s="82"/>
      <c r="G6" s="717"/>
      <c r="H6" s="82"/>
      <c r="I6" s="718"/>
    </row>
    <row r="7" spans="1:13" ht="1.5" customHeight="1" thickBot="1">
      <c r="A7" s="719">
        <v>1996</v>
      </c>
      <c r="B7" s="720">
        <v>90</v>
      </c>
      <c r="C7" s="721">
        <v>14</v>
      </c>
      <c r="D7" s="123">
        <v>20</v>
      </c>
      <c r="E7" s="721">
        <v>6</v>
      </c>
      <c r="F7" s="123">
        <v>12</v>
      </c>
      <c r="G7" s="721">
        <v>3</v>
      </c>
      <c r="H7" s="123">
        <v>145</v>
      </c>
      <c r="I7" s="722">
        <v>-0.12650602409638553</v>
      </c>
    </row>
    <row r="8" spans="1:13" ht="19.5" hidden="1" customHeight="1" thickBot="1">
      <c r="A8" s="723">
        <v>1997</v>
      </c>
      <c r="B8" s="724">
        <v>76</v>
      </c>
      <c r="C8" s="725">
        <v>14</v>
      </c>
      <c r="D8" s="133">
        <v>20</v>
      </c>
      <c r="E8" s="725">
        <v>4</v>
      </c>
      <c r="F8" s="133">
        <v>11</v>
      </c>
      <c r="G8" s="725">
        <v>4</v>
      </c>
      <c r="H8" s="133">
        <v>129</v>
      </c>
      <c r="I8" s="726">
        <v>-0.1103448275862069</v>
      </c>
      <c r="K8" s="9"/>
      <c r="L8" s="9"/>
      <c r="M8" s="9"/>
    </row>
    <row r="9" spans="1:13" ht="19.5" hidden="1" customHeight="1" thickBot="1">
      <c r="A9" s="723">
        <v>1998</v>
      </c>
      <c r="B9" s="724">
        <v>64</v>
      </c>
      <c r="C9" s="725">
        <v>13</v>
      </c>
      <c r="D9" s="133">
        <v>21</v>
      </c>
      <c r="E9" s="725">
        <v>6</v>
      </c>
      <c r="F9" s="133">
        <v>10</v>
      </c>
      <c r="G9" s="725">
        <v>4</v>
      </c>
      <c r="H9" s="133">
        <v>118</v>
      </c>
      <c r="I9" s="726">
        <v>-8.5271317829457363E-2</v>
      </c>
    </row>
    <row r="10" spans="1:13" ht="19.75" hidden="1" customHeight="1" thickBot="1">
      <c r="A10" s="723">
        <v>1999</v>
      </c>
      <c r="B10" s="724">
        <v>56</v>
      </c>
      <c r="C10" s="725">
        <v>12</v>
      </c>
      <c r="D10" s="133">
        <v>19</v>
      </c>
      <c r="E10" s="725">
        <v>8</v>
      </c>
      <c r="F10" s="133">
        <v>10</v>
      </c>
      <c r="G10" s="725">
        <v>4</v>
      </c>
      <c r="H10" s="133">
        <v>109</v>
      </c>
      <c r="I10" s="726">
        <v>-7.6271186440677971E-2</v>
      </c>
    </row>
    <row r="11" spans="1:13" ht="20" customHeight="1" thickBot="1">
      <c r="A11" s="723">
        <v>2000</v>
      </c>
      <c r="B11" s="724">
        <v>48</v>
      </c>
      <c r="C11" s="725">
        <v>11</v>
      </c>
      <c r="D11" s="133">
        <v>19</v>
      </c>
      <c r="E11" s="725">
        <v>9</v>
      </c>
      <c r="F11" s="133">
        <v>10</v>
      </c>
      <c r="G11" s="725">
        <v>4</v>
      </c>
      <c r="H11" s="133">
        <v>101</v>
      </c>
      <c r="I11" s="726">
        <v>-7.3394495412844041E-2</v>
      </c>
    </row>
    <row r="12" spans="1:13" ht="20" customHeight="1" thickBot="1">
      <c r="A12" s="723">
        <v>2001</v>
      </c>
      <c r="B12" s="724">
        <v>43</v>
      </c>
      <c r="C12" s="725">
        <v>9</v>
      </c>
      <c r="D12" s="133">
        <v>23</v>
      </c>
      <c r="E12" s="725">
        <v>9</v>
      </c>
      <c r="F12" s="133">
        <v>11</v>
      </c>
      <c r="G12" s="725">
        <v>4</v>
      </c>
      <c r="H12" s="133">
        <v>99</v>
      </c>
      <c r="I12" s="726">
        <v>-1.9801980198019802E-2</v>
      </c>
    </row>
    <row r="13" spans="1:13" ht="20" customHeight="1" thickBot="1">
      <c r="A13" s="723">
        <v>2002</v>
      </c>
      <c r="B13" s="724">
        <v>33</v>
      </c>
      <c r="C13" s="725">
        <v>10</v>
      </c>
      <c r="D13" s="133">
        <v>25</v>
      </c>
      <c r="E13" s="725">
        <v>9</v>
      </c>
      <c r="F13" s="133">
        <v>13</v>
      </c>
      <c r="G13" s="725">
        <v>3</v>
      </c>
      <c r="H13" s="133">
        <v>93</v>
      </c>
      <c r="I13" s="726">
        <v>-6.0606060606060608E-2</v>
      </c>
    </row>
    <row r="14" spans="1:13" ht="20" customHeight="1" thickBot="1">
      <c r="A14" s="723">
        <v>2003</v>
      </c>
      <c r="B14" s="724">
        <v>32</v>
      </c>
      <c r="C14" s="725">
        <v>10</v>
      </c>
      <c r="D14" s="133">
        <v>26</v>
      </c>
      <c r="E14" s="725">
        <v>9</v>
      </c>
      <c r="F14" s="133">
        <v>12</v>
      </c>
      <c r="G14" s="725">
        <v>4</v>
      </c>
      <c r="H14" s="133">
        <v>93</v>
      </c>
      <c r="I14" s="726">
        <v>0</v>
      </c>
    </row>
    <row r="15" spans="1:13" ht="20" customHeight="1" thickBot="1">
      <c r="A15" s="723">
        <v>2004</v>
      </c>
      <c r="B15" s="724">
        <v>32</v>
      </c>
      <c r="C15" s="725">
        <v>11</v>
      </c>
      <c r="D15" s="133">
        <v>24</v>
      </c>
      <c r="E15" s="725">
        <v>9</v>
      </c>
      <c r="F15" s="133">
        <v>12</v>
      </c>
      <c r="G15" s="725">
        <v>4</v>
      </c>
      <c r="H15" s="133">
        <v>92</v>
      </c>
      <c r="I15" s="726">
        <v>-1.0752688172043012E-2</v>
      </c>
    </row>
    <row r="16" spans="1:13" ht="20" customHeight="1" thickBot="1">
      <c r="A16" s="723">
        <v>2005</v>
      </c>
      <c r="B16" s="724">
        <v>27</v>
      </c>
      <c r="C16" s="725">
        <v>13</v>
      </c>
      <c r="D16" s="133">
        <v>20</v>
      </c>
      <c r="E16" s="725">
        <v>8</v>
      </c>
      <c r="F16" s="133">
        <v>13</v>
      </c>
      <c r="G16" s="725">
        <v>4</v>
      </c>
      <c r="H16" s="133">
        <v>85</v>
      </c>
      <c r="I16" s="726">
        <v>-7.6086956521739135E-2</v>
      </c>
    </row>
    <row r="17" spans="1:9" ht="20" customHeight="1" thickBot="1">
      <c r="A17" s="723">
        <v>2006</v>
      </c>
      <c r="B17" s="724">
        <v>28</v>
      </c>
      <c r="C17" s="725">
        <v>14</v>
      </c>
      <c r="D17" s="133">
        <v>20</v>
      </c>
      <c r="E17" s="725">
        <v>7</v>
      </c>
      <c r="F17" s="133">
        <v>14</v>
      </c>
      <c r="G17" s="725">
        <v>4</v>
      </c>
      <c r="H17" s="133">
        <v>87</v>
      </c>
      <c r="I17" s="726">
        <v>2.3529411764705882E-2</v>
      </c>
    </row>
    <row r="18" spans="1:9" ht="20" customHeight="1" thickBot="1">
      <c r="A18" s="723">
        <v>2007</v>
      </c>
      <c r="B18" s="724">
        <v>27</v>
      </c>
      <c r="C18" s="725">
        <v>13</v>
      </c>
      <c r="D18" s="133">
        <v>21</v>
      </c>
      <c r="E18" s="725">
        <v>8</v>
      </c>
      <c r="F18" s="133">
        <v>14</v>
      </c>
      <c r="G18" s="725">
        <v>4</v>
      </c>
      <c r="H18" s="133">
        <v>87</v>
      </c>
      <c r="I18" s="726">
        <v>0</v>
      </c>
    </row>
    <row r="19" spans="1:9" ht="20" customHeight="1" thickBot="1">
      <c r="A19" s="723">
        <v>2008</v>
      </c>
      <c r="B19" s="724">
        <v>26</v>
      </c>
      <c r="C19" s="725">
        <v>13</v>
      </c>
      <c r="D19" s="133">
        <v>19</v>
      </c>
      <c r="E19" s="725">
        <v>9</v>
      </c>
      <c r="F19" s="133">
        <v>15</v>
      </c>
      <c r="G19" s="725">
        <v>4</v>
      </c>
      <c r="H19" s="133">
        <v>86</v>
      </c>
      <c r="I19" s="726">
        <v>-1.1494252873563204E-2</v>
      </c>
    </row>
    <row r="20" spans="1:9" ht="20" customHeight="1" thickBot="1">
      <c r="A20" s="723">
        <v>2009</v>
      </c>
      <c r="B20" s="724">
        <v>22</v>
      </c>
      <c r="C20" s="725">
        <v>10</v>
      </c>
      <c r="D20" s="133">
        <v>20</v>
      </c>
      <c r="E20" s="725">
        <v>8</v>
      </c>
      <c r="F20" s="133">
        <v>17</v>
      </c>
      <c r="G20" s="725">
        <v>4</v>
      </c>
      <c r="H20" s="133">
        <v>81</v>
      </c>
      <c r="I20" s="726">
        <v>-5.8139534883720922E-2</v>
      </c>
    </row>
    <row r="21" spans="1:9" ht="26.25" customHeight="1" thickBot="1">
      <c r="A21" s="727">
        <v>2010</v>
      </c>
      <c r="B21" s="728">
        <v>19</v>
      </c>
      <c r="C21" s="729">
        <v>10</v>
      </c>
      <c r="D21" s="435">
        <v>22</v>
      </c>
      <c r="E21" s="729">
        <v>9</v>
      </c>
      <c r="F21" s="435">
        <v>16</v>
      </c>
      <c r="G21" s="729">
        <v>5</v>
      </c>
      <c r="H21" s="435">
        <v>81</v>
      </c>
      <c r="I21" s="730">
        <v>0</v>
      </c>
    </row>
    <row r="22" spans="1:9" ht="20" customHeight="1">
      <c r="A22" s="95" t="s">
        <v>678</v>
      </c>
      <c r="B22" s="135"/>
      <c r="C22" s="135"/>
      <c r="D22" s="135"/>
      <c r="E22" s="135"/>
      <c r="F22" s="135"/>
      <c r="G22" s="135"/>
      <c r="H22" s="135"/>
      <c r="I22" s="731"/>
    </row>
    <row r="23" spans="1:9" ht="13.5" customHeight="1">
      <c r="A23" s="96"/>
      <c r="B23" s="136"/>
      <c r="C23" s="136"/>
      <c r="D23" s="136"/>
      <c r="E23" s="136"/>
      <c r="F23" s="136"/>
      <c r="G23" s="136"/>
      <c r="H23" s="136"/>
      <c r="I23" s="732"/>
    </row>
    <row r="24" spans="1:9">
      <c r="A24" s="3" t="s">
        <v>1134</v>
      </c>
    </row>
    <row r="27" spans="1:9">
      <c r="A27" s="3" t="s">
        <v>677</v>
      </c>
    </row>
  </sheetData>
  <pageMargins left="0.53" right="0.61" top="1.03" bottom="0.49" header="0.56000000000000005" footer="0.4921259845"/>
  <pageSetup paperSize="9" scale="85" orientation="portrait" horizontalDpi="4294967292" verticalDpi="4294967292"/>
  <headerFooter alignWithMargins="0"/>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B5368-5758-5845-BB9B-A63831E225AE}">
  <sheetPr>
    <pageSetUpPr fitToPage="1"/>
  </sheetPr>
  <dimension ref="A1:P32"/>
  <sheetViews>
    <sheetView topLeftCell="A4" zoomScaleNormal="100" workbookViewId="0">
      <selection activeCell="A25" sqref="A25"/>
    </sheetView>
  </sheetViews>
  <sheetFormatPr baseColWidth="10" defaultColWidth="11.3984375" defaultRowHeight="13"/>
  <cols>
    <col min="1" max="1" width="14.59765625" style="3" customWidth="1"/>
    <col min="2" max="7" width="12.796875" style="3" customWidth="1"/>
    <col min="8" max="8" width="13.3984375" style="667" customWidth="1"/>
    <col min="9" max="9" width="12.59765625" style="3" customWidth="1"/>
    <col min="10" max="10" width="2.3984375" style="3" customWidth="1"/>
    <col min="11" max="11" width="12.59765625" style="3" customWidth="1"/>
    <col min="12" max="12" width="13" style="3" customWidth="1"/>
    <col min="13" max="13" width="11.796875" style="3" customWidth="1"/>
    <col min="14" max="14" width="12.59765625" style="3" customWidth="1"/>
    <col min="15" max="16384" width="11.3984375" style="3"/>
  </cols>
  <sheetData>
    <row r="1" spans="1:14" s="2" customFormat="1" ht="14" customHeight="1">
      <c r="A1" s="242"/>
      <c r="B1" s="242"/>
      <c r="C1" s="242"/>
      <c r="D1" s="242"/>
      <c r="E1" s="242"/>
      <c r="F1" s="242"/>
      <c r="G1" s="242"/>
      <c r="H1" s="733"/>
    </row>
    <row r="2" spans="1:14" s="2" customFormat="1" ht="28" customHeight="1">
      <c r="A2" s="47" t="s">
        <v>1135</v>
      </c>
      <c r="B2" s="734"/>
      <c r="C2" s="242"/>
      <c r="D2" s="242"/>
      <c r="E2" s="242"/>
      <c r="F2" s="242"/>
      <c r="G2" s="242"/>
      <c r="H2" s="358"/>
    </row>
    <row r="3" spans="1:14" ht="27" customHeight="1">
      <c r="A3" s="735" t="s">
        <v>1136</v>
      </c>
      <c r="B3" s="1826" t="s">
        <v>1137</v>
      </c>
      <c r="C3" s="1827"/>
      <c r="D3" s="1826" t="s">
        <v>1138</v>
      </c>
      <c r="E3" s="1827"/>
      <c r="F3" s="1826" t="s">
        <v>1139</v>
      </c>
      <c r="G3" s="1827"/>
      <c r="H3" s="1826" t="s">
        <v>1139</v>
      </c>
      <c r="I3" s="1827"/>
      <c r="K3" s="1826" t="s">
        <v>1140</v>
      </c>
      <c r="L3" s="1827"/>
      <c r="M3" s="1826" t="s">
        <v>1141</v>
      </c>
      <c r="N3" s="1828"/>
    </row>
    <row r="4" spans="1:14" ht="18" customHeight="1">
      <c r="A4" s="328"/>
      <c r="B4" s="494" t="s">
        <v>1142</v>
      </c>
      <c r="C4" s="736" t="s">
        <v>1143</v>
      </c>
      <c r="D4" s="494" t="s">
        <v>1142</v>
      </c>
      <c r="E4" s="736" t="s">
        <v>1143</v>
      </c>
      <c r="F4" s="494" t="s">
        <v>1142</v>
      </c>
      <c r="G4" s="736"/>
      <c r="H4" s="494" t="s">
        <v>1143</v>
      </c>
      <c r="I4" s="736"/>
      <c r="K4" s="494" t="s">
        <v>190</v>
      </c>
      <c r="L4" s="736"/>
      <c r="M4" s="494" t="s">
        <v>1144</v>
      </c>
      <c r="N4" s="736" t="s">
        <v>1144</v>
      </c>
    </row>
    <row r="5" spans="1:14" ht="15" customHeight="1">
      <c r="A5" s="328"/>
      <c r="B5" s="693"/>
      <c r="C5" s="77"/>
      <c r="D5" s="76"/>
      <c r="E5" s="77"/>
      <c r="F5" s="76"/>
      <c r="G5" s="737" t="s">
        <v>1145</v>
      </c>
      <c r="H5" s="738"/>
      <c r="I5" s="737" t="s">
        <v>1145</v>
      </c>
      <c r="K5" s="494" t="s">
        <v>1146</v>
      </c>
      <c r="L5" s="737" t="s">
        <v>1145</v>
      </c>
      <c r="M5" s="738" t="s">
        <v>1147</v>
      </c>
      <c r="N5" s="736" t="s">
        <v>1148</v>
      </c>
    </row>
    <row r="6" spans="1:14" ht="23.25" customHeight="1">
      <c r="A6" s="329"/>
      <c r="B6" s="694"/>
      <c r="C6" s="81"/>
      <c r="D6" s="82"/>
      <c r="E6" s="81"/>
      <c r="F6" s="82"/>
      <c r="G6" s="81"/>
      <c r="H6" s="739"/>
      <c r="I6" s="81"/>
      <c r="K6" s="740" t="s">
        <v>1149</v>
      </c>
      <c r="L6" s="81"/>
      <c r="M6" s="741"/>
      <c r="N6" s="742"/>
    </row>
    <row r="7" spans="1:14" ht="1.5" customHeight="1" thickBot="1">
      <c r="A7" s="427">
        <v>1996</v>
      </c>
      <c r="B7" s="743">
        <v>5252</v>
      </c>
      <c r="C7" s="124">
        <v>5728</v>
      </c>
      <c r="D7" s="123">
        <v>5623</v>
      </c>
      <c r="E7" s="124">
        <v>7761</v>
      </c>
      <c r="F7" s="123">
        <v>10875</v>
      </c>
      <c r="G7" s="744" t="s">
        <v>35</v>
      </c>
      <c r="H7" s="123">
        <v>13489</v>
      </c>
      <c r="I7" s="744" t="s">
        <v>35</v>
      </c>
      <c r="J7" s="9"/>
      <c r="K7" s="743" t="s">
        <v>35</v>
      </c>
      <c r="L7" s="744" t="s">
        <v>35</v>
      </c>
      <c r="M7" s="745" t="s">
        <v>35</v>
      </c>
      <c r="N7" s="746" t="s">
        <v>35</v>
      </c>
    </row>
    <row r="8" spans="1:14" ht="23.25" hidden="1" customHeight="1" thickBot="1">
      <c r="A8" s="333">
        <v>1997</v>
      </c>
      <c r="B8" s="747">
        <v>5702</v>
      </c>
      <c r="C8" s="132">
        <v>6184</v>
      </c>
      <c r="D8" s="133">
        <v>4631</v>
      </c>
      <c r="E8" s="132">
        <v>6865</v>
      </c>
      <c r="F8" s="133">
        <v>10333</v>
      </c>
      <c r="G8" s="748" t="s">
        <v>35</v>
      </c>
      <c r="H8" s="133">
        <v>13049</v>
      </c>
      <c r="I8" s="748" t="s">
        <v>35</v>
      </c>
      <c r="K8" s="747" t="s">
        <v>35</v>
      </c>
      <c r="L8" s="748" t="s">
        <v>35</v>
      </c>
      <c r="M8" s="749" t="s">
        <v>35</v>
      </c>
      <c r="N8" s="750" t="s">
        <v>35</v>
      </c>
    </row>
    <row r="9" spans="1:14" ht="23.25" hidden="1" customHeight="1" thickBot="1">
      <c r="A9" s="333">
        <v>1998</v>
      </c>
      <c r="B9" s="747">
        <v>5440</v>
      </c>
      <c r="C9" s="132">
        <v>5884</v>
      </c>
      <c r="D9" s="133">
        <v>4852</v>
      </c>
      <c r="E9" s="132">
        <v>6728</v>
      </c>
      <c r="F9" s="133">
        <v>10292</v>
      </c>
      <c r="G9" s="748" t="s">
        <v>35</v>
      </c>
      <c r="H9" s="133">
        <v>12612</v>
      </c>
      <c r="I9" s="748" t="s">
        <v>35</v>
      </c>
      <c r="K9" s="747" t="s">
        <v>35</v>
      </c>
      <c r="L9" s="748" t="s">
        <v>35</v>
      </c>
      <c r="M9" s="749" t="s">
        <v>35</v>
      </c>
      <c r="N9" s="750" t="s">
        <v>35</v>
      </c>
    </row>
    <row r="10" spans="1:14" ht="1.25" customHeight="1" thickBot="1">
      <c r="A10" s="333">
        <v>1999</v>
      </c>
      <c r="B10" s="747">
        <v>5286</v>
      </c>
      <c r="C10" s="132">
        <v>5825</v>
      </c>
      <c r="D10" s="133">
        <v>4444</v>
      </c>
      <c r="E10" s="132">
        <v>6096</v>
      </c>
      <c r="F10" s="133">
        <v>9729</v>
      </c>
      <c r="G10" s="748" t="s">
        <v>35</v>
      </c>
      <c r="H10" s="133">
        <v>11920</v>
      </c>
      <c r="I10" s="748" t="s">
        <v>35</v>
      </c>
      <c r="K10" s="747" t="s">
        <v>35</v>
      </c>
      <c r="L10" s="748" t="s">
        <v>35</v>
      </c>
      <c r="M10" s="749" t="s">
        <v>35</v>
      </c>
      <c r="N10" s="750" t="s">
        <v>35</v>
      </c>
    </row>
    <row r="11" spans="1:14" ht="20" customHeight="1" thickBot="1">
      <c r="A11" s="333">
        <v>2000</v>
      </c>
      <c r="B11" s="747">
        <v>4367</v>
      </c>
      <c r="C11" s="132">
        <v>4846</v>
      </c>
      <c r="D11" s="133">
        <v>5837</v>
      </c>
      <c r="E11" s="132">
        <v>7246</v>
      </c>
      <c r="F11" s="133">
        <v>10204</v>
      </c>
      <c r="G11" s="748" t="s">
        <v>35</v>
      </c>
      <c r="H11" s="133">
        <v>12092</v>
      </c>
      <c r="I11" s="748" t="s">
        <v>35</v>
      </c>
      <c r="K11" s="747" t="s">
        <v>35</v>
      </c>
      <c r="L11" s="748" t="s">
        <v>35</v>
      </c>
      <c r="M11" s="749" t="s">
        <v>35</v>
      </c>
      <c r="N11" s="750" t="s">
        <v>35</v>
      </c>
    </row>
    <row r="12" spans="1:14" ht="20" customHeight="1" thickBot="1">
      <c r="A12" s="333">
        <v>2001</v>
      </c>
      <c r="B12" s="747">
        <v>4317</v>
      </c>
      <c r="C12" s="132">
        <v>4736</v>
      </c>
      <c r="D12" s="133">
        <v>3995</v>
      </c>
      <c r="E12" s="132">
        <v>4942</v>
      </c>
      <c r="F12" s="133">
        <v>8312</v>
      </c>
      <c r="G12" s="748" t="s">
        <v>35</v>
      </c>
      <c r="H12" s="133">
        <v>9678</v>
      </c>
      <c r="I12" s="748" t="s">
        <v>35</v>
      </c>
      <c r="K12" s="747" t="s">
        <v>35</v>
      </c>
      <c r="L12" s="748" t="s">
        <v>35</v>
      </c>
      <c r="M12" s="749" t="s">
        <v>35</v>
      </c>
      <c r="N12" s="750" t="s">
        <v>35</v>
      </c>
    </row>
    <row r="13" spans="1:14" ht="20" customHeight="1" thickBot="1">
      <c r="A13" s="333">
        <v>2002</v>
      </c>
      <c r="B13" s="747">
        <v>4346</v>
      </c>
      <c r="C13" s="132">
        <v>4839</v>
      </c>
      <c r="D13" s="133">
        <v>3951</v>
      </c>
      <c r="E13" s="132">
        <v>4838</v>
      </c>
      <c r="F13" s="133">
        <v>8297</v>
      </c>
      <c r="G13" s="748" t="s">
        <v>35</v>
      </c>
      <c r="H13" s="133">
        <v>9677</v>
      </c>
      <c r="I13" s="748" t="s">
        <v>35</v>
      </c>
      <c r="K13" s="747" t="s">
        <v>35</v>
      </c>
      <c r="L13" s="748" t="s">
        <v>35</v>
      </c>
      <c r="M13" s="749" t="s">
        <v>35</v>
      </c>
      <c r="N13" s="750" t="s">
        <v>35</v>
      </c>
    </row>
    <row r="14" spans="1:14" ht="20" customHeight="1" thickBot="1">
      <c r="A14" s="333">
        <v>2003</v>
      </c>
      <c r="B14" s="747">
        <v>5023</v>
      </c>
      <c r="C14" s="132">
        <v>5690</v>
      </c>
      <c r="D14" s="133">
        <v>2968</v>
      </c>
      <c r="E14" s="132">
        <v>3779</v>
      </c>
      <c r="F14" s="133">
        <v>7991</v>
      </c>
      <c r="G14" s="748" t="s">
        <v>35</v>
      </c>
      <c r="H14" s="133">
        <v>9469</v>
      </c>
      <c r="I14" s="748" t="s">
        <v>35</v>
      </c>
      <c r="K14" s="747" t="s">
        <v>35</v>
      </c>
      <c r="L14" s="748" t="s">
        <v>35</v>
      </c>
      <c r="M14" s="749" t="s">
        <v>35</v>
      </c>
      <c r="N14" s="750" t="s">
        <v>35</v>
      </c>
    </row>
    <row r="15" spans="1:14" ht="20" customHeight="1" thickBot="1">
      <c r="A15" s="333">
        <v>2004</v>
      </c>
      <c r="B15" s="747">
        <v>5428</v>
      </c>
      <c r="C15" s="132">
        <v>6333</v>
      </c>
      <c r="D15" s="133">
        <v>2801</v>
      </c>
      <c r="E15" s="132">
        <v>3511</v>
      </c>
      <c r="F15" s="133">
        <v>8229</v>
      </c>
      <c r="G15" s="748" t="s">
        <v>35</v>
      </c>
      <c r="H15" s="133">
        <v>9844</v>
      </c>
      <c r="I15" s="748" t="s">
        <v>35</v>
      </c>
      <c r="K15" s="747" t="s">
        <v>35</v>
      </c>
      <c r="L15" s="748" t="s">
        <v>35</v>
      </c>
      <c r="M15" s="749" t="s">
        <v>35</v>
      </c>
      <c r="N15" s="750" t="s">
        <v>35</v>
      </c>
    </row>
    <row r="16" spans="1:14" ht="20" customHeight="1" thickBot="1">
      <c r="A16" s="333">
        <v>2005</v>
      </c>
      <c r="B16" s="747">
        <v>5554</v>
      </c>
      <c r="C16" s="132">
        <v>6193</v>
      </c>
      <c r="D16" s="133">
        <v>3178</v>
      </c>
      <c r="E16" s="132">
        <v>3889</v>
      </c>
      <c r="F16" s="133">
        <v>8732</v>
      </c>
      <c r="G16" s="748" t="s">
        <v>35</v>
      </c>
      <c r="H16" s="133">
        <v>10082</v>
      </c>
      <c r="I16" s="748" t="s">
        <v>35</v>
      </c>
      <c r="K16" s="747" t="s">
        <v>35</v>
      </c>
      <c r="L16" s="748" t="s">
        <v>35</v>
      </c>
      <c r="M16" s="749" t="s">
        <v>35</v>
      </c>
      <c r="N16" s="750" t="s">
        <v>35</v>
      </c>
    </row>
    <row r="17" spans="1:16" ht="20" customHeight="1" thickBot="1">
      <c r="A17" s="333">
        <v>2006</v>
      </c>
      <c r="B17" s="747">
        <v>5770</v>
      </c>
      <c r="C17" s="132">
        <v>6389</v>
      </c>
      <c r="D17" s="133">
        <v>3049</v>
      </c>
      <c r="E17" s="132">
        <v>3717</v>
      </c>
      <c r="F17" s="133">
        <v>8819</v>
      </c>
      <c r="G17" s="748" t="s">
        <v>35</v>
      </c>
      <c r="H17" s="133">
        <v>10106</v>
      </c>
      <c r="I17" s="748" t="s">
        <v>35</v>
      </c>
      <c r="K17" s="747" t="s">
        <v>35</v>
      </c>
      <c r="L17" s="748" t="s">
        <v>35</v>
      </c>
      <c r="M17" s="749" t="s">
        <v>35</v>
      </c>
      <c r="N17" s="750" t="s">
        <v>35</v>
      </c>
    </row>
    <row r="18" spans="1:16" ht="20" customHeight="1" thickBot="1">
      <c r="A18" s="333">
        <v>2007</v>
      </c>
      <c r="B18" s="747">
        <v>7087</v>
      </c>
      <c r="C18" s="132">
        <v>7977</v>
      </c>
      <c r="D18" s="133">
        <v>3002</v>
      </c>
      <c r="E18" s="132">
        <v>3628</v>
      </c>
      <c r="F18" s="133">
        <v>10089</v>
      </c>
      <c r="G18" s="132">
        <v>702</v>
      </c>
      <c r="H18" s="133">
        <v>11605</v>
      </c>
      <c r="I18" s="132">
        <v>689</v>
      </c>
      <c r="K18" s="429">
        <v>832.84199999999998</v>
      </c>
      <c r="L18" s="430">
        <v>99.68</v>
      </c>
      <c r="M18" s="751">
        <v>87877.15912059712</v>
      </c>
      <c r="N18" s="752">
        <v>172150.46913302015</v>
      </c>
    </row>
    <row r="19" spans="1:16" ht="20" customHeight="1" thickBot="1">
      <c r="A19" s="333">
        <v>2008</v>
      </c>
      <c r="B19" s="747">
        <v>7011.76</v>
      </c>
      <c r="C19" s="132">
        <v>8068.23</v>
      </c>
      <c r="D19" s="133">
        <v>2796.16</v>
      </c>
      <c r="E19" s="132">
        <v>3914.2</v>
      </c>
      <c r="F19" s="133">
        <v>9807.92</v>
      </c>
      <c r="G19" s="132">
        <v>542.97</v>
      </c>
      <c r="H19" s="133">
        <v>11982.43</v>
      </c>
      <c r="I19" s="132">
        <v>630.20000000000005</v>
      </c>
      <c r="K19" s="429">
        <v>578.09929999999997</v>
      </c>
      <c r="L19" s="430">
        <v>61.971699999999998</v>
      </c>
      <c r="M19" s="751">
        <v>87494.52836879433</v>
      </c>
      <c r="N19" s="752">
        <v>150903.96050356733</v>
      </c>
    </row>
    <row r="20" spans="1:16" ht="20" customHeight="1" thickBot="1">
      <c r="A20" s="333">
        <v>2009</v>
      </c>
      <c r="B20" s="747">
        <v>7104.1</v>
      </c>
      <c r="C20" s="132">
        <v>8234</v>
      </c>
      <c r="D20" s="133">
        <v>2676.38</v>
      </c>
      <c r="E20" s="132">
        <v>3912</v>
      </c>
      <c r="F20" s="133">
        <v>9780.48</v>
      </c>
      <c r="G20" s="132">
        <v>334.41</v>
      </c>
      <c r="H20" s="133">
        <v>12146</v>
      </c>
      <c r="I20" s="132">
        <v>436</v>
      </c>
      <c r="K20" s="429">
        <v>581.29669999999999</v>
      </c>
      <c r="L20" s="430">
        <v>35.061199999999999</v>
      </c>
      <c r="M20" s="751">
        <v>86570.241074114543</v>
      </c>
      <c r="N20" s="752">
        <v>161757.10896750502</v>
      </c>
    </row>
    <row r="21" spans="1:16" ht="24" customHeight="1" thickBot="1">
      <c r="A21" s="91">
        <v>2010</v>
      </c>
      <c r="B21" s="753">
        <v>7281.82</v>
      </c>
      <c r="C21" s="436">
        <v>8352.0499999999993</v>
      </c>
      <c r="D21" s="435">
        <v>2803.23</v>
      </c>
      <c r="E21" s="436">
        <v>3867.44</v>
      </c>
      <c r="F21" s="435">
        <v>10085.049999999999</v>
      </c>
      <c r="G21" s="436">
        <v>317.44</v>
      </c>
      <c r="H21" s="435">
        <v>12219.49</v>
      </c>
      <c r="I21" s="134">
        <v>422.42</v>
      </c>
      <c r="K21" s="450">
        <v>621.44240000000002</v>
      </c>
      <c r="L21" s="754">
        <v>36.380200000000002</v>
      </c>
      <c r="M21" s="755">
        <v>84055.261236585749</v>
      </c>
      <c r="N21" s="756">
        <v>196328.26290875449</v>
      </c>
      <c r="P21" s="12" t="s">
        <v>1150</v>
      </c>
    </row>
    <row r="22" spans="1:16" ht="20.25" customHeight="1">
      <c r="A22" s="95" t="s">
        <v>678</v>
      </c>
      <c r="B22" s="470"/>
      <c r="C22" s="470"/>
      <c r="D22" s="470"/>
      <c r="E22" s="470"/>
      <c r="F22" s="470"/>
      <c r="G22" s="470"/>
      <c r="H22" s="757"/>
    </row>
    <row r="23" spans="1:16" ht="14.25" customHeight="1">
      <c r="A23" s="352"/>
      <c r="B23" s="352"/>
      <c r="C23" s="352"/>
      <c r="D23" s="352"/>
      <c r="E23" s="352"/>
      <c r="F23" s="352"/>
      <c r="G23" s="352"/>
      <c r="H23" s="758"/>
    </row>
    <row r="24" spans="1:16">
      <c r="A24" s="3" t="s">
        <v>1151</v>
      </c>
    </row>
    <row r="25" spans="1:16">
      <c r="A25" s="3" t="s">
        <v>1152</v>
      </c>
    </row>
    <row r="26" spans="1:16">
      <c r="A26" s="3" t="s">
        <v>1153</v>
      </c>
    </row>
    <row r="27" spans="1:16">
      <c r="A27" s="4" t="s">
        <v>1154</v>
      </c>
    </row>
    <row r="29" spans="1:16">
      <c r="A29" s="3" t="s">
        <v>1155</v>
      </c>
    </row>
    <row r="32" spans="1:16">
      <c r="A32" s="3" t="s">
        <v>677</v>
      </c>
    </row>
  </sheetData>
  <mergeCells count="6">
    <mergeCell ref="B3:C3"/>
    <mergeCell ref="D3:E3"/>
    <mergeCell ref="F3:G3"/>
    <mergeCell ref="H3:I3"/>
    <mergeCell ref="K3:L3"/>
    <mergeCell ref="M3:N3"/>
  </mergeCells>
  <pageMargins left="0.49" right="0.54" top="0.72" bottom="0.49" header="0.56000000000000005" footer="0.4921259845"/>
  <pageSetup paperSize="9" scale="80" orientation="landscape" horizontalDpi="4294967292" verticalDpi="4294967292"/>
  <headerFooter alignWithMargins="0"/>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45E63-60F7-E246-8827-41173EAECC8D}">
  <sheetPr>
    <pageSetUpPr fitToPage="1"/>
  </sheetPr>
  <dimension ref="A1:K32"/>
  <sheetViews>
    <sheetView topLeftCell="A4" zoomScaleNormal="100" workbookViewId="0">
      <selection activeCell="A27" sqref="A27"/>
    </sheetView>
  </sheetViews>
  <sheetFormatPr baseColWidth="10" defaultColWidth="11.3984375" defaultRowHeight="13"/>
  <cols>
    <col min="1" max="1" width="15.59765625" style="3" customWidth="1"/>
    <col min="2" max="2" width="15.3984375" style="3" customWidth="1"/>
    <col min="3" max="3" width="15.3984375" style="667" customWidth="1"/>
    <col min="4" max="4" width="15.3984375" style="3" customWidth="1"/>
    <col min="5" max="5" width="15.3984375" style="667" customWidth="1"/>
    <col min="6" max="6" width="15.3984375" style="3" customWidth="1"/>
    <col min="7" max="7" width="15.3984375" style="667" customWidth="1"/>
    <col min="8" max="8" width="10.3984375" style="3" customWidth="1"/>
    <col min="9" max="16384" width="11.3984375" style="3"/>
  </cols>
  <sheetData>
    <row r="1" spans="1:11" s="2" customFormat="1" ht="14" customHeight="1">
      <c r="C1" s="650"/>
      <c r="E1" s="650"/>
      <c r="G1" s="650"/>
    </row>
    <row r="2" spans="1:11" s="2" customFormat="1" ht="28" customHeight="1">
      <c r="A2" s="47" t="s">
        <v>1156</v>
      </c>
      <c r="C2" s="650"/>
      <c r="E2" s="650"/>
      <c r="G2" s="358"/>
    </row>
    <row r="3" spans="1:11" ht="24" customHeight="1">
      <c r="A3" s="72" t="s">
        <v>1157</v>
      </c>
      <c r="B3" s="73" t="s">
        <v>1024</v>
      </c>
      <c r="C3" s="652" t="s">
        <v>585</v>
      </c>
      <c r="D3" s="73" t="s">
        <v>1025</v>
      </c>
      <c r="E3" s="652" t="s">
        <v>585</v>
      </c>
      <c r="F3" s="73" t="s">
        <v>547</v>
      </c>
      <c r="G3" s="652" t="s">
        <v>585</v>
      </c>
    </row>
    <row r="4" spans="1:11" ht="15" customHeight="1">
      <c r="A4" s="328"/>
      <c r="B4" s="76" t="s">
        <v>547</v>
      </c>
      <c r="C4" s="653" t="s">
        <v>586</v>
      </c>
      <c r="D4" s="76" t="s">
        <v>1026</v>
      </c>
      <c r="E4" s="653" t="s">
        <v>586</v>
      </c>
      <c r="F4" s="76" t="s">
        <v>1027</v>
      </c>
      <c r="G4" s="653" t="s">
        <v>586</v>
      </c>
    </row>
    <row r="5" spans="1:11" ht="15" customHeight="1">
      <c r="A5" s="328"/>
      <c r="B5" s="76" t="s">
        <v>1028</v>
      </c>
      <c r="C5" s="653" t="s">
        <v>210</v>
      </c>
      <c r="D5" s="76" t="s">
        <v>1029</v>
      </c>
      <c r="E5" s="653" t="s">
        <v>210</v>
      </c>
      <c r="F5" s="76" t="s">
        <v>1158</v>
      </c>
      <c r="G5" s="653" t="s">
        <v>210</v>
      </c>
    </row>
    <row r="6" spans="1:11" ht="24" customHeight="1">
      <c r="A6" s="329"/>
      <c r="B6" s="82"/>
      <c r="C6" s="654"/>
      <c r="D6" s="82" t="s">
        <v>1065</v>
      </c>
      <c r="E6" s="654"/>
      <c r="F6" s="82"/>
      <c r="G6" s="654"/>
    </row>
    <row r="7" spans="1:11" ht="2.25" customHeight="1" thickBot="1">
      <c r="A7" s="427">
        <v>1996</v>
      </c>
      <c r="B7" s="123">
        <v>16879.057940520001</v>
      </c>
      <c r="C7" s="309">
        <v>3.1990175768496547E-2</v>
      </c>
      <c r="D7" s="123">
        <v>17192.470827740002</v>
      </c>
      <c r="E7" s="309">
        <v>6.792517720196245E-2</v>
      </c>
      <c r="F7" s="123">
        <v>-313.41288724000009</v>
      </c>
      <c r="G7" s="309">
        <v>-2.2198566405891191</v>
      </c>
      <c r="I7" s="9"/>
      <c r="J7" s="9"/>
      <c r="K7" s="9"/>
    </row>
    <row r="8" spans="1:11" ht="0.75" hidden="1" customHeight="1" thickBot="1">
      <c r="A8" s="333">
        <v>1997</v>
      </c>
      <c r="B8" s="133">
        <v>17865.03228775</v>
      </c>
      <c r="C8" s="452">
        <v>5.8414062603758345E-2</v>
      </c>
      <c r="D8" s="133">
        <v>17672.056997619999</v>
      </c>
      <c r="E8" s="452">
        <v>2.7895127738485698E-2</v>
      </c>
      <c r="F8" s="133">
        <v>192.97529009999997</v>
      </c>
      <c r="G8" s="452">
        <v>1.6157222563481464</v>
      </c>
    </row>
    <row r="9" spans="1:11" ht="0.75" hidden="1" customHeight="1" thickBot="1">
      <c r="A9" s="333">
        <v>1998</v>
      </c>
      <c r="B9" s="133">
        <v>18556.3398476</v>
      </c>
      <c r="C9" s="452">
        <v>3.8696127088671844E-2</v>
      </c>
      <c r="D9" s="133">
        <v>18402.610160249998</v>
      </c>
      <c r="E9" s="452">
        <v>4.1339452601832818E-2</v>
      </c>
      <c r="F9" s="133">
        <v>153.72876116999998</v>
      </c>
      <c r="G9" s="452">
        <v>-0.20337592916514025</v>
      </c>
    </row>
    <row r="10" spans="1:11" ht="19.25" hidden="1" customHeight="1" thickBot="1">
      <c r="A10" s="333">
        <v>1999</v>
      </c>
      <c r="B10" s="133">
        <v>18130.009685380002</v>
      </c>
      <c r="C10" s="452">
        <v>-2.2974905920099209E-2</v>
      </c>
      <c r="D10" s="133">
        <v>18002.60641059</v>
      </c>
      <c r="E10" s="452">
        <v>-2.1736250791423828E-2</v>
      </c>
      <c r="F10" s="133">
        <v>127.40327493000001</v>
      </c>
      <c r="G10" s="452">
        <v>-0.17124633048260957</v>
      </c>
    </row>
    <row r="11" spans="1:11" ht="19.5" customHeight="1" thickBot="1">
      <c r="A11" s="333">
        <v>2000</v>
      </c>
      <c r="B11" s="429">
        <v>17664.531028940004</v>
      </c>
      <c r="C11" s="452">
        <v>-2.5674484708927636E-2</v>
      </c>
      <c r="D11" s="429">
        <v>17831.851511680001</v>
      </c>
      <c r="E11" s="452">
        <v>-9.4850098377728953E-3</v>
      </c>
      <c r="F11" s="429">
        <v>-167.29975024999999</v>
      </c>
      <c r="G11" s="452">
        <v>-2.3131510971120686</v>
      </c>
    </row>
    <row r="12" spans="1:11" ht="19.5" customHeight="1" thickBot="1">
      <c r="A12" s="333">
        <v>2001</v>
      </c>
      <c r="B12" s="429">
        <v>16854.501682999999</v>
      </c>
      <c r="C12" s="452">
        <v>-4.5856261035910006E-2</v>
      </c>
      <c r="D12" s="429">
        <v>17581.378779999999</v>
      </c>
      <c r="E12" s="452">
        <v>-1.4046367059300624E-2</v>
      </c>
      <c r="F12" s="429">
        <v>-724.67685832999996</v>
      </c>
      <c r="G12" s="452">
        <v>-3.3316075322712564</v>
      </c>
    </row>
    <row r="13" spans="1:11" ht="19.5" customHeight="1" thickBot="1">
      <c r="A13" s="333">
        <v>2002</v>
      </c>
      <c r="B13" s="429">
        <v>17923.033692000001</v>
      </c>
      <c r="C13" s="452">
        <v>6.3397425156613174E-2</v>
      </c>
      <c r="D13" s="429">
        <v>18156.411305000001</v>
      </c>
      <c r="E13" s="452">
        <v>3.2706907245189543E-2</v>
      </c>
      <c r="F13" s="429">
        <v>-233.37761233999998</v>
      </c>
      <c r="G13" s="452">
        <v>0.67795630610060742</v>
      </c>
    </row>
    <row r="14" spans="1:11" ht="19.5" customHeight="1" thickBot="1">
      <c r="A14" s="333">
        <v>2003</v>
      </c>
      <c r="B14" s="429">
        <v>19735.068495</v>
      </c>
      <c r="C14" s="452">
        <v>0.10110089810347267</v>
      </c>
      <c r="D14" s="429">
        <v>19234.994873</v>
      </c>
      <c r="E14" s="452">
        <v>5.9405107643875299E-2</v>
      </c>
      <c r="F14" s="429">
        <v>500.07362212000004</v>
      </c>
      <c r="G14" s="452">
        <v>3.1427660395782078</v>
      </c>
    </row>
    <row r="15" spans="1:11" ht="19.5" customHeight="1" thickBot="1">
      <c r="A15" s="333">
        <v>2004</v>
      </c>
      <c r="B15" s="429">
        <v>20469.211171999999</v>
      </c>
      <c r="C15" s="452">
        <v>3.7199905193437743E-2</v>
      </c>
      <c r="D15" s="429">
        <v>19860.79033</v>
      </c>
      <c r="E15" s="452">
        <v>3.2534214910471482E-2</v>
      </c>
      <c r="F15" s="429">
        <v>608.42084196000008</v>
      </c>
      <c r="G15" s="452">
        <v>0.21666253736934862</v>
      </c>
    </row>
    <row r="16" spans="1:11" ht="19.5" customHeight="1" thickBot="1">
      <c r="A16" s="333">
        <v>2005</v>
      </c>
      <c r="B16" s="429">
        <v>21134.645651759998</v>
      </c>
      <c r="C16" s="452">
        <v>3.2509043664088688E-2</v>
      </c>
      <c r="D16" s="429">
        <v>20885.686091</v>
      </c>
      <c r="E16" s="452">
        <v>5.1603976678203045E-2</v>
      </c>
      <c r="F16" s="429">
        <v>248.95956138999998</v>
      </c>
      <c r="G16" s="452">
        <v>-0.59081026779426549</v>
      </c>
    </row>
    <row r="17" spans="1:9" ht="19.5" customHeight="1" thickBot="1">
      <c r="A17" s="333">
        <v>2006</v>
      </c>
      <c r="B17" s="429">
        <v>21891.095507740003</v>
      </c>
      <c r="C17" s="452">
        <v>3.5791934648168988E-2</v>
      </c>
      <c r="D17" s="429">
        <v>21334.273675</v>
      </c>
      <c r="E17" s="452">
        <v>2.147823069088961E-2</v>
      </c>
      <c r="F17" s="429">
        <v>556.82183227999997</v>
      </c>
      <c r="G17" s="452">
        <v>1.2365954903323748</v>
      </c>
    </row>
    <row r="18" spans="1:9" ht="19.5" customHeight="1" thickBot="1">
      <c r="A18" s="333">
        <v>2007</v>
      </c>
      <c r="B18" s="429">
        <v>22327.610027520001</v>
      </c>
      <c r="C18" s="452">
        <v>1.9940277526342198E-2</v>
      </c>
      <c r="D18" s="429">
        <v>22091.411327379999</v>
      </c>
      <c r="E18" s="452">
        <v>3.5489263141272653E-2</v>
      </c>
      <c r="F18" s="429">
        <v>236.19870014000003</v>
      </c>
      <c r="G18" s="452">
        <v>-0.57580919704091882</v>
      </c>
    </row>
    <row r="19" spans="1:9" ht="19.5" customHeight="1" thickBot="1">
      <c r="A19" s="333">
        <v>2008</v>
      </c>
      <c r="B19" s="429">
        <v>22243.624231310001</v>
      </c>
      <c r="C19" s="452">
        <v>-3.761521994807393E-3</v>
      </c>
      <c r="D19" s="429">
        <v>22986.427970659999</v>
      </c>
      <c r="E19" s="452">
        <v>4.0514235601177617E-2</v>
      </c>
      <c r="F19" s="429">
        <v>-742.80373934999989</v>
      </c>
      <c r="G19" s="452">
        <v>-4.1448256866347029</v>
      </c>
    </row>
    <row r="20" spans="1:9" ht="19.5" customHeight="1" thickBot="1">
      <c r="A20" s="333">
        <v>2009</v>
      </c>
      <c r="B20" s="429">
        <v>23404.08514187</v>
      </c>
      <c r="C20" s="452">
        <v>5.217049607080404E-2</v>
      </c>
      <c r="D20" s="429">
        <v>23827.526591220001</v>
      </c>
      <c r="E20" s="452">
        <v>3.6591097217609558E-2</v>
      </c>
      <c r="F20" s="429">
        <v>-423.44144935000003</v>
      </c>
      <c r="G20" s="452">
        <v>0.42994168322235699</v>
      </c>
    </row>
    <row r="21" spans="1:9" s="236" customFormat="1" ht="26.25" customHeight="1" thickBot="1">
      <c r="A21" s="647">
        <v>2010</v>
      </c>
      <c r="B21" s="313">
        <v>25088.370668240004</v>
      </c>
      <c r="C21" s="314">
        <v>7.1965450311783918E-2</v>
      </c>
      <c r="D21" s="313">
        <v>24788.780569209994</v>
      </c>
      <c r="E21" s="314">
        <v>4.0342163686607702E-2</v>
      </c>
      <c r="F21" s="313">
        <v>299.59009902999998</v>
      </c>
      <c r="G21" s="314">
        <v>1.707512454177273</v>
      </c>
      <c r="I21" s="759"/>
    </row>
    <row r="22" spans="1:9" ht="20" customHeight="1">
      <c r="A22" s="95" t="s">
        <v>678</v>
      </c>
      <c r="B22" s="95"/>
      <c r="C22" s="665"/>
      <c r="D22" s="95"/>
      <c r="E22" s="665"/>
      <c r="F22" s="95"/>
      <c r="G22" s="665"/>
    </row>
    <row r="23" spans="1:9" ht="13.5" customHeight="1">
      <c r="A23" s="96"/>
      <c r="B23" s="96"/>
      <c r="C23" s="666"/>
      <c r="D23" s="96"/>
      <c r="E23" s="666"/>
      <c r="F23" s="96"/>
      <c r="G23" s="666"/>
    </row>
    <row r="24" spans="1:9">
      <c r="A24" s="96" t="s">
        <v>1159</v>
      </c>
    </row>
    <row r="25" spans="1:9">
      <c r="A25" s="3" t="s">
        <v>1069</v>
      </c>
    </row>
    <row r="26" spans="1:9">
      <c r="A26" s="3" t="s">
        <v>1160</v>
      </c>
    </row>
    <row r="27" spans="1:9">
      <c r="A27" s="3" t="s">
        <v>1161</v>
      </c>
    </row>
    <row r="29" spans="1:9">
      <c r="A29" s="3" t="s">
        <v>1162</v>
      </c>
    </row>
    <row r="32" spans="1:9">
      <c r="A32" s="3" t="s">
        <v>677</v>
      </c>
    </row>
  </sheetData>
  <pageMargins left="0.67" right="0.78740157480314965" top="1.1000000000000001" bottom="0.49" header="0.59" footer="0.4921259845"/>
  <pageSetup paperSize="9" scale="74" orientation="portrait" horizontalDpi="4294967292" verticalDpi="4294967292"/>
  <headerFooter alignWithMargins="0"/>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27CC8-E715-0F4D-9892-BAEB1E17E878}">
  <sheetPr>
    <pageSetUpPr fitToPage="1"/>
  </sheetPr>
  <dimension ref="A1:D48"/>
  <sheetViews>
    <sheetView zoomScaleNormal="100" workbookViewId="0">
      <selection activeCell="D4" sqref="D4"/>
    </sheetView>
  </sheetViews>
  <sheetFormatPr baseColWidth="10" defaultColWidth="11.3984375" defaultRowHeight="13"/>
  <cols>
    <col min="1" max="1" width="10.59765625" style="3" customWidth="1"/>
    <col min="2" max="2" width="60.3984375" style="49" customWidth="1"/>
    <col min="3" max="3" width="18.3984375" style="8" customWidth="1"/>
    <col min="4" max="4" width="17" style="667" customWidth="1"/>
    <col min="5" max="16384" width="11.3984375" style="3"/>
  </cols>
  <sheetData>
    <row r="1" spans="1:4" s="2" customFormat="1" ht="14" customHeight="1">
      <c r="B1" s="261"/>
      <c r="C1" s="100"/>
      <c r="D1" s="650"/>
    </row>
    <row r="2" spans="1:4" s="2" customFormat="1" ht="28" customHeight="1">
      <c r="A2" s="47" t="s">
        <v>1163</v>
      </c>
      <c r="B2" s="261"/>
      <c r="C2" s="100"/>
      <c r="D2" s="358">
        <v>2010</v>
      </c>
    </row>
    <row r="3" spans="1:4" ht="39" customHeight="1">
      <c r="A3" s="276" t="s">
        <v>417</v>
      </c>
      <c r="B3" s="277"/>
      <c r="C3" s="103" t="s">
        <v>1164</v>
      </c>
      <c r="D3" s="652" t="s">
        <v>1203</v>
      </c>
    </row>
    <row r="4" spans="1:4" ht="38" customHeight="1">
      <c r="A4" s="263"/>
      <c r="B4" s="264"/>
      <c r="C4" s="110" t="s">
        <v>420</v>
      </c>
      <c r="D4" s="654" t="s">
        <v>506</v>
      </c>
    </row>
    <row r="5" spans="1:4" ht="30" customHeight="1" thickBot="1">
      <c r="A5" s="84">
        <v>60</v>
      </c>
      <c r="B5" s="84" t="s">
        <v>94</v>
      </c>
      <c r="C5" s="123">
        <v>248755697.73000005</v>
      </c>
      <c r="D5" s="309">
        <v>9.9151794677884795E-3</v>
      </c>
    </row>
    <row r="6" spans="1:4" ht="16" customHeight="1" thickBot="1">
      <c r="A6" s="89">
        <v>600</v>
      </c>
      <c r="B6" s="89" t="s">
        <v>1165</v>
      </c>
      <c r="C6" s="133">
        <v>264436016.88000005</v>
      </c>
      <c r="D6" s="452">
        <v>1.0540182954756653E-2</v>
      </c>
    </row>
    <row r="7" spans="1:4" ht="16" customHeight="1" thickBot="1">
      <c r="A7" s="89">
        <v>601</v>
      </c>
      <c r="B7" s="89" t="s">
        <v>1166</v>
      </c>
      <c r="C7" s="133">
        <v>-15680319.15</v>
      </c>
      <c r="D7" s="452">
        <v>-6.2500348696817158E-4</v>
      </c>
    </row>
    <row r="8" spans="1:4" ht="19.5" customHeight="1" thickBot="1">
      <c r="A8" s="89">
        <v>61</v>
      </c>
      <c r="B8" s="89" t="s">
        <v>1167</v>
      </c>
      <c r="C8" s="133">
        <v>22185081827.370003</v>
      </c>
      <c r="D8" s="452">
        <v>0.88427750533256633</v>
      </c>
    </row>
    <row r="9" spans="1:4" ht="18" customHeight="1" thickBot="1">
      <c r="A9" s="89">
        <v>63</v>
      </c>
      <c r="B9" s="89" t="s">
        <v>1168</v>
      </c>
      <c r="C9" s="133">
        <v>2161062867.79</v>
      </c>
      <c r="D9" s="452">
        <v>8.6138031694730319E-2</v>
      </c>
    </row>
    <row r="10" spans="1:4" ht="21.75" customHeight="1" thickBot="1">
      <c r="A10" s="90" t="s">
        <v>1169</v>
      </c>
      <c r="B10" s="90" t="s">
        <v>267</v>
      </c>
      <c r="C10" s="133">
        <v>24594900392.890003</v>
      </c>
      <c r="D10" s="452">
        <v>0.98033071649508519</v>
      </c>
    </row>
    <row r="11" spans="1:4" ht="16" customHeight="1" thickBot="1">
      <c r="A11" s="89">
        <v>64</v>
      </c>
      <c r="B11" s="89" t="s">
        <v>1170</v>
      </c>
      <c r="C11" s="133">
        <v>-117220232.17999998</v>
      </c>
      <c r="D11" s="452">
        <v>-4.6722935391094169E-3</v>
      </c>
    </row>
    <row r="12" spans="1:4" ht="16" customHeight="1" thickBot="1">
      <c r="A12" s="89">
        <v>65</v>
      </c>
      <c r="B12" s="89" t="s">
        <v>1171</v>
      </c>
      <c r="C12" s="133">
        <v>5587806.6200000001</v>
      </c>
      <c r="D12" s="452">
        <v>2.2272497062050123E-4</v>
      </c>
    </row>
    <row r="13" spans="1:4" ht="21.75" customHeight="1" thickBot="1">
      <c r="A13" s="90" t="s">
        <v>1172</v>
      </c>
      <c r="B13" s="90" t="s">
        <v>425</v>
      </c>
      <c r="C13" s="133">
        <v>24483267967.329987</v>
      </c>
      <c r="D13" s="452">
        <v>0.97588114792659564</v>
      </c>
    </row>
    <row r="14" spans="1:4" ht="16" customHeight="1" thickBot="1">
      <c r="A14" s="89">
        <v>66</v>
      </c>
      <c r="B14" s="89" t="s">
        <v>1173</v>
      </c>
      <c r="C14" s="133">
        <v>-26690712.450000003</v>
      </c>
      <c r="D14" s="452">
        <v>-1.063867909277522E-3</v>
      </c>
    </row>
    <row r="15" spans="1:4" ht="21.75" customHeight="1" thickBot="1">
      <c r="A15" s="90" t="s">
        <v>1174</v>
      </c>
      <c r="B15" s="90" t="s">
        <v>428</v>
      </c>
      <c r="C15" s="133">
        <v>24456577254.879993</v>
      </c>
      <c r="D15" s="452">
        <v>0.97481728001731838</v>
      </c>
    </row>
    <row r="16" spans="1:4" ht="16" customHeight="1" thickBot="1">
      <c r="A16" s="89">
        <v>67</v>
      </c>
      <c r="B16" s="89" t="s">
        <v>1175</v>
      </c>
      <c r="C16" s="133">
        <v>2032592279.8799999</v>
      </c>
      <c r="D16" s="452">
        <v>8.1017309045625235E-2</v>
      </c>
    </row>
    <row r="17" spans="1:4" ht="16" customHeight="1" thickBot="1">
      <c r="A17" s="89">
        <v>670</v>
      </c>
      <c r="B17" s="89" t="s">
        <v>1176</v>
      </c>
      <c r="C17" s="133">
        <v>1990601010.1199999</v>
      </c>
      <c r="D17" s="452">
        <v>7.9343574616423829E-2</v>
      </c>
    </row>
    <row r="18" spans="1:4" ht="16" customHeight="1" thickBot="1">
      <c r="A18" s="89">
        <v>672</v>
      </c>
      <c r="B18" s="89" t="s">
        <v>1177</v>
      </c>
      <c r="C18" s="133">
        <v>42474353.629999995</v>
      </c>
      <c r="D18" s="452">
        <v>1.6929897198852111E-3</v>
      </c>
    </row>
    <row r="19" spans="1:4" ht="16" customHeight="1" thickBot="1">
      <c r="A19" s="89">
        <v>673</v>
      </c>
      <c r="B19" s="89" t="s">
        <v>1178</v>
      </c>
      <c r="C19" s="133">
        <v>-407613.47</v>
      </c>
      <c r="D19" s="452">
        <v>-1.6247108088051651E-5</v>
      </c>
    </row>
    <row r="20" spans="1:4" ht="16" customHeight="1" thickBot="1">
      <c r="A20" s="89">
        <v>675</v>
      </c>
      <c r="B20" s="89" t="s">
        <v>1179</v>
      </c>
      <c r="C20" s="133">
        <v>-75470.400000000009</v>
      </c>
      <c r="D20" s="452">
        <v>-3.0081825957530143E-6</v>
      </c>
    </row>
    <row r="21" spans="1:4" ht="16" customHeight="1" thickBot="1">
      <c r="A21" s="89">
        <v>68</v>
      </c>
      <c r="B21" s="89" t="s">
        <v>1180</v>
      </c>
      <c r="C21" s="133">
        <v>-1990780328.3199995</v>
      </c>
      <c r="D21" s="452">
        <v>-7.9350722079380709E-2</v>
      </c>
    </row>
    <row r="22" spans="1:4" ht="21.75" customHeight="1" thickBot="1">
      <c r="A22" s="90" t="s">
        <v>1181</v>
      </c>
      <c r="B22" s="90" t="s">
        <v>1182</v>
      </c>
      <c r="C22" s="133">
        <v>41811951.559999995</v>
      </c>
      <c r="D22" s="452">
        <v>1.6665869662445152E-3</v>
      </c>
    </row>
    <row r="23" spans="1:4" ht="16" customHeight="1" thickBot="1">
      <c r="A23" s="89">
        <v>69</v>
      </c>
      <c r="B23" s="89" t="s">
        <v>431</v>
      </c>
      <c r="C23" s="133">
        <v>135543989.88</v>
      </c>
      <c r="D23" s="452">
        <v>5.4026621207246637E-3</v>
      </c>
    </row>
    <row r="24" spans="1:4" ht="21.75" customHeight="1" thickBot="1">
      <c r="A24" s="90">
        <v>6</v>
      </c>
      <c r="B24" s="90" t="s">
        <v>432</v>
      </c>
      <c r="C24" s="133">
        <v>24633933196.32</v>
      </c>
      <c r="D24" s="452">
        <v>0.98188652910428775</v>
      </c>
    </row>
    <row r="25" spans="1:4" ht="16" customHeight="1" thickBot="1">
      <c r="A25" s="89">
        <v>70</v>
      </c>
      <c r="B25" s="89" t="s">
        <v>1183</v>
      </c>
      <c r="C25" s="133">
        <v>49087228.079999998</v>
      </c>
      <c r="D25" s="452">
        <v>1.9565729767433938E-3</v>
      </c>
    </row>
    <row r="26" spans="1:4" ht="16" customHeight="1" thickBot="1">
      <c r="A26" s="89">
        <v>701</v>
      </c>
      <c r="B26" s="89" t="s">
        <v>1184</v>
      </c>
      <c r="C26" s="133">
        <v>49087228.079999998</v>
      </c>
      <c r="D26" s="452">
        <v>1.9565729767433938E-3</v>
      </c>
    </row>
    <row r="27" spans="1:4" ht="16" customHeight="1" thickBot="1">
      <c r="A27" s="89">
        <v>72</v>
      </c>
      <c r="B27" s="89" t="s">
        <v>1185</v>
      </c>
      <c r="C27" s="133">
        <v>414556722.04000014</v>
      </c>
      <c r="D27" s="452">
        <v>1.6523859899949495E-2</v>
      </c>
    </row>
    <row r="28" spans="1:4" ht="16" customHeight="1" thickBot="1">
      <c r="A28" s="89">
        <v>720</v>
      </c>
      <c r="B28" s="89" t="s">
        <v>1186</v>
      </c>
      <c r="C28" s="133">
        <v>520889260.8500002</v>
      </c>
      <c r="D28" s="452">
        <v>2.0762179726139286E-2</v>
      </c>
    </row>
    <row r="29" spans="1:4" ht="16" customHeight="1" thickBot="1">
      <c r="A29" s="89">
        <v>721</v>
      </c>
      <c r="B29" s="89" t="s">
        <v>1187</v>
      </c>
      <c r="C29" s="133">
        <v>-176855100.78999999</v>
      </c>
      <c r="D29" s="452">
        <v>-7.0492860269274196E-3</v>
      </c>
    </row>
    <row r="30" spans="1:4" ht="16" customHeight="1" thickBot="1">
      <c r="A30" s="89">
        <v>722</v>
      </c>
      <c r="B30" s="89" t="s">
        <v>1188</v>
      </c>
      <c r="C30" s="133">
        <v>-43514151.980000004</v>
      </c>
      <c r="D30" s="452">
        <v>-1.7344351514658404E-3</v>
      </c>
    </row>
    <row r="31" spans="1:4" ht="16" customHeight="1" thickBot="1">
      <c r="A31" s="89">
        <v>723</v>
      </c>
      <c r="B31" s="89" t="s">
        <v>1189</v>
      </c>
      <c r="C31" s="133">
        <v>3988472.0900000003</v>
      </c>
      <c r="D31" s="452">
        <v>1.5897692770655317E-4</v>
      </c>
    </row>
    <row r="32" spans="1:4" ht="16" customHeight="1" thickBot="1">
      <c r="A32" s="89">
        <v>724</v>
      </c>
      <c r="B32" s="89" t="s">
        <v>1190</v>
      </c>
      <c r="C32" s="133">
        <v>110048241.87000002</v>
      </c>
      <c r="D32" s="452">
        <v>4.3864244244969175E-3</v>
      </c>
    </row>
    <row r="33" spans="1:4" ht="16" customHeight="1" thickBot="1">
      <c r="A33" s="89">
        <v>76</v>
      </c>
      <c r="B33" s="89" t="s">
        <v>1191</v>
      </c>
      <c r="C33" s="133">
        <v>-9206478.1999999993</v>
      </c>
      <c r="D33" s="452">
        <v>-3.6696198098088172E-4</v>
      </c>
    </row>
    <row r="34" spans="1:4" ht="21.75" customHeight="1" thickBot="1">
      <c r="A34" s="90">
        <v>7</v>
      </c>
      <c r="B34" s="90" t="s">
        <v>1192</v>
      </c>
      <c r="C34" s="133">
        <v>454437471.9199999</v>
      </c>
      <c r="D34" s="452">
        <v>1.8113470895711997E-2</v>
      </c>
    </row>
    <row r="35" spans="1:4" s="248" customFormat="1" ht="21.75" customHeight="1" thickBot="1">
      <c r="A35" s="390" t="s">
        <v>1193</v>
      </c>
      <c r="B35" s="390" t="s">
        <v>1194</v>
      </c>
      <c r="C35" s="267">
        <v>25088370668.240005</v>
      </c>
      <c r="D35" s="659">
        <v>1</v>
      </c>
    </row>
    <row r="36" spans="1:4" ht="21.75" customHeight="1" thickBot="1">
      <c r="A36" s="90" t="s">
        <v>1195</v>
      </c>
      <c r="B36" s="90" t="s">
        <v>1196</v>
      </c>
      <c r="C36" s="133">
        <v>40644761.590000004</v>
      </c>
      <c r="D36" s="452" t="s">
        <v>1222</v>
      </c>
    </row>
    <row r="37" spans="1:4" s="236" customFormat="1" ht="35.25" customHeight="1" thickBot="1">
      <c r="A37" s="669"/>
      <c r="B37" s="669" t="s">
        <v>1197</v>
      </c>
      <c r="C37" s="268">
        <v>25129015429.830006</v>
      </c>
      <c r="D37" s="662" t="s">
        <v>1222</v>
      </c>
    </row>
    <row r="38" spans="1:4" ht="20" customHeight="1">
      <c r="A38" s="95" t="s">
        <v>678</v>
      </c>
      <c r="B38" s="292"/>
      <c r="C38" s="117"/>
      <c r="D38" s="665"/>
    </row>
    <row r="39" spans="1:4" ht="11.25" customHeight="1">
      <c r="A39" s="96"/>
      <c r="B39" s="316"/>
      <c r="C39" s="119"/>
      <c r="D39" s="666"/>
    </row>
    <row r="40" spans="1:4" ht="11.25" customHeight="1">
      <c r="A40" s="96" t="s">
        <v>1198</v>
      </c>
      <c r="B40" s="316"/>
      <c r="C40" s="119"/>
      <c r="D40" s="666"/>
    </row>
    <row r="41" spans="1:4" ht="11.25" customHeight="1">
      <c r="A41" s="96" t="s">
        <v>1199</v>
      </c>
      <c r="B41" s="316"/>
      <c r="C41" s="119"/>
      <c r="D41" s="666"/>
    </row>
    <row r="42" spans="1:4">
      <c r="A42" s="96" t="s">
        <v>1200</v>
      </c>
    </row>
    <row r="43" spans="1:4">
      <c r="A43" s="3" t="s">
        <v>1201</v>
      </c>
    </row>
    <row r="45" spans="1:4">
      <c r="A45" s="3" t="s">
        <v>1202</v>
      </c>
    </row>
    <row r="48" spans="1:4">
      <c r="A48" s="324" t="s">
        <v>677</v>
      </c>
    </row>
  </sheetData>
  <pageMargins left="0.69" right="0.71" top="0.85" bottom="0.49" header="0.44" footer="0.4921259845"/>
  <pageSetup paperSize="9" scale="83" orientation="portrait" horizontalDpi="1200" verticalDpi="1200"/>
  <headerFooter alignWithMargins="0"/>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11617-44A4-0049-9B41-39884A2CF5FE}">
  <sheetPr>
    <pageSetUpPr fitToPage="1"/>
  </sheetPr>
  <dimension ref="A1:D41"/>
  <sheetViews>
    <sheetView zoomScaleNormal="100" workbookViewId="0">
      <selection activeCell="B13" sqref="B13"/>
    </sheetView>
  </sheetViews>
  <sheetFormatPr baseColWidth="10" defaultColWidth="11.3984375" defaultRowHeight="13"/>
  <cols>
    <col min="1" max="1" width="10.59765625" style="3" customWidth="1"/>
    <col min="2" max="2" width="60.59765625" style="49" customWidth="1"/>
    <col min="3" max="3" width="17" style="8" customWidth="1"/>
    <col min="4" max="4" width="17" style="767" customWidth="1"/>
    <col min="5" max="16384" width="11.3984375" style="3"/>
  </cols>
  <sheetData>
    <row r="1" spans="1:4" s="2" customFormat="1" ht="14" customHeight="1">
      <c r="B1" s="261"/>
      <c r="C1" s="100"/>
      <c r="D1" s="760"/>
    </row>
    <row r="2" spans="1:4" s="2" customFormat="1" ht="28" customHeight="1">
      <c r="A2" s="47" t="s">
        <v>1204</v>
      </c>
      <c r="B2" s="261"/>
      <c r="C2" s="100"/>
      <c r="D2" s="358">
        <v>2010</v>
      </c>
    </row>
    <row r="3" spans="1:4" ht="39" customHeight="1">
      <c r="A3" s="276" t="s">
        <v>417</v>
      </c>
      <c r="B3" s="277"/>
      <c r="C3" s="103" t="s">
        <v>1164</v>
      </c>
      <c r="D3" s="761" t="s">
        <v>1203</v>
      </c>
    </row>
    <row r="4" spans="1:4" ht="38" customHeight="1">
      <c r="A4" s="263"/>
      <c r="B4" s="264"/>
      <c r="C4" s="110" t="s">
        <v>420</v>
      </c>
      <c r="D4" s="108" t="s">
        <v>506</v>
      </c>
    </row>
    <row r="5" spans="1:4" ht="30" customHeight="1" thickBot="1">
      <c r="A5" s="84">
        <v>30</v>
      </c>
      <c r="B5" s="84" t="s">
        <v>94</v>
      </c>
      <c r="C5" s="123">
        <v>191644643.19999999</v>
      </c>
      <c r="D5" s="309">
        <v>7.7311041043318087E-3</v>
      </c>
    </row>
    <row r="6" spans="1:4" ht="16" customHeight="1" thickBot="1">
      <c r="A6" s="89">
        <v>31</v>
      </c>
      <c r="B6" s="89" t="s">
        <v>1167</v>
      </c>
      <c r="C6" s="123">
        <v>24378491148.540001</v>
      </c>
      <c r="D6" s="309">
        <v>0.98344858394609325</v>
      </c>
    </row>
    <row r="7" spans="1:4" ht="16" customHeight="1" thickBot="1">
      <c r="A7" s="89">
        <v>32</v>
      </c>
      <c r="B7" s="89" t="s">
        <v>1205</v>
      </c>
      <c r="C7" s="123">
        <v>-3462948050.5999999</v>
      </c>
      <c r="D7" s="309">
        <v>-0.13969820100393757</v>
      </c>
    </row>
    <row r="8" spans="1:4" ht="18.75" customHeight="1" thickBot="1">
      <c r="A8" s="89">
        <v>33</v>
      </c>
      <c r="B8" s="89" t="s">
        <v>1168</v>
      </c>
      <c r="C8" s="123">
        <v>1859688623.5800006</v>
      </c>
      <c r="D8" s="309">
        <v>7.5021383903406264E-2</v>
      </c>
    </row>
    <row r="9" spans="1:4" ht="21.75" customHeight="1" thickBot="1">
      <c r="A9" s="90" t="s">
        <v>1206</v>
      </c>
      <c r="B9" s="90" t="s">
        <v>262</v>
      </c>
      <c r="C9" s="123">
        <v>22966876364.720001</v>
      </c>
      <c r="D9" s="309">
        <v>0.9265028709498937</v>
      </c>
    </row>
    <row r="10" spans="1:4" ht="16" customHeight="1" thickBot="1">
      <c r="A10" s="89">
        <v>34</v>
      </c>
      <c r="B10" s="89" t="s">
        <v>436</v>
      </c>
      <c r="C10" s="123">
        <v>110241562.41000001</v>
      </c>
      <c r="D10" s="309">
        <v>4.447236204387175E-3</v>
      </c>
    </row>
    <row r="11" spans="1:4" ht="39" customHeight="1" thickBot="1">
      <c r="A11" s="762">
        <v>35</v>
      </c>
      <c r="B11" s="762" t="s">
        <v>1207</v>
      </c>
      <c r="C11" s="290">
        <v>163881163.81</v>
      </c>
      <c r="D11" s="411">
        <v>6.6111022828430647E-3</v>
      </c>
    </row>
    <row r="12" spans="1:4" ht="21.75" customHeight="1" thickBot="1">
      <c r="A12" s="90" t="s">
        <v>1208</v>
      </c>
      <c r="B12" s="90" t="s">
        <v>248</v>
      </c>
      <c r="C12" s="123">
        <v>23240999090.940002</v>
      </c>
      <c r="D12" s="309">
        <v>0.93756120943712395</v>
      </c>
    </row>
    <row r="13" spans="1:4" ht="16" customHeight="1" thickBot="1">
      <c r="A13" s="89">
        <v>36</v>
      </c>
      <c r="B13" s="89" t="s">
        <v>1209</v>
      </c>
      <c r="C13" s="123">
        <v>-19485657.109999996</v>
      </c>
      <c r="D13" s="309">
        <v>-7.8606759439401469E-4</v>
      </c>
    </row>
    <row r="14" spans="1:4" ht="16" customHeight="1" thickBot="1">
      <c r="A14" s="90">
        <v>37</v>
      </c>
      <c r="B14" s="90" t="s">
        <v>440</v>
      </c>
      <c r="C14" s="123">
        <v>-70224096.089999974</v>
      </c>
      <c r="D14" s="309">
        <v>-2.8328983708551169E-3</v>
      </c>
    </row>
    <row r="15" spans="1:4" ht="21.75" customHeight="1" thickBot="1">
      <c r="A15" s="90">
        <v>3</v>
      </c>
      <c r="B15" s="90" t="s">
        <v>441</v>
      </c>
      <c r="C15" s="123">
        <v>23151289337.740005</v>
      </c>
      <c r="D15" s="309">
        <v>0.93394224347187504</v>
      </c>
    </row>
    <row r="16" spans="1:4" ht="16" customHeight="1" thickBot="1">
      <c r="A16" s="89">
        <v>400</v>
      </c>
      <c r="B16" s="89" t="s">
        <v>1210</v>
      </c>
      <c r="C16" s="123">
        <v>1285621434.6899998</v>
      </c>
      <c r="D16" s="309">
        <v>5.1863036630646647E-2</v>
      </c>
    </row>
    <row r="17" spans="1:4" ht="16" customHeight="1" thickBot="1">
      <c r="A17" s="89">
        <v>410</v>
      </c>
      <c r="B17" s="89" t="s">
        <v>1211</v>
      </c>
      <c r="C17" s="123">
        <v>120342247.67</v>
      </c>
      <c r="D17" s="309">
        <v>4.8547062383325311E-3</v>
      </c>
    </row>
    <row r="18" spans="1:4" ht="16" customHeight="1" thickBot="1">
      <c r="A18" s="89">
        <v>420</v>
      </c>
      <c r="B18" s="89" t="s">
        <v>1212</v>
      </c>
      <c r="C18" s="123">
        <v>186590275.88999999</v>
      </c>
      <c r="D18" s="309">
        <v>7.5272067284246616E-3</v>
      </c>
    </row>
    <row r="19" spans="1:4" ht="16" customHeight="1" thickBot="1">
      <c r="A19" s="89">
        <v>430</v>
      </c>
      <c r="B19" s="89" t="s">
        <v>1213</v>
      </c>
      <c r="C19" s="123">
        <v>42201449.329999991</v>
      </c>
      <c r="D19" s="309">
        <v>1.7024415223723499E-3</v>
      </c>
    </row>
    <row r="20" spans="1:4" ht="16" customHeight="1" thickBot="1">
      <c r="A20" s="90">
        <v>450</v>
      </c>
      <c r="B20" s="90" t="s">
        <v>1214</v>
      </c>
      <c r="C20" s="123">
        <v>93682883.019999996</v>
      </c>
      <c r="D20" s="309">
        <v>3.7792453226345056E-3</v>
      </c>
    </row>
    <row r="21" spans="1:4" ht="16" customHeight="1" thickBot="1">
      <c r="A21" s="89">
        <v>453</v>
      </c>
      <c r="B21" s="89" t="s">
        <v>1215</v>
      </c>
      <c r="C21" s="123">
        <v>49013787.689999998</v>
      </c>
      <c r="D21" s="309">
        <v>1.9772569107687266E-3</v>
      </c>
    </row>
    <row r="22" spans="1:4" ht="16" customHeight="1" thickBot="1">
      <c r="A22" s="90">
        <v>460</v>
      </c>
      <c r="B22" s="90" t="s">
        <v>1216</v>
      </c>
      <c r="C22" s="123">
        <v>457444144.49000001</v>
      </c>
      <c r="D22" s="309">
        <v>1.8453676783850709E-2</v>
      </c>
    </row>
    <row r="23" spans="1:4" ht="16" customHeight="1" thickBot="1">
      <c r="A23" s="89">
        <v>470</v>
      </c>
      <c r="B23" s="89" t="s">
        <v>1217</v>
      </c>
      <c r="C23" s="123">
        <v>-707623967.10000014</v>
      </c>
      <c r="D23" s="309">
        <v>-2.8546138650278583E-2</v>
      </c>
    </row>
    <row r="24" spans="1:4" ht="21.75" customHeight="1" thickBot="1">
      <c r="A24" s="90" t="s">
        <v>1218</v>
      </c>
      <c r="B24" s="90" t="s">
        <v>1219</v>
      </c>
      <c r="C24" s="123">
        <v>1527272255.6700001</v>
      </c>
      <c r="D24" s="309">
        <v>6.1611431486348157E-2</v>
      </c>
    </row>
    <row r="25" spans="1:4" ht="16" customHeight="1" thickBot="1">
      <c r="A25" s="89">
        <v>48</v>
      </c>
      <c r="B25" s="89" t="s">
        <v>444</v>
      </c>
      <c r="C25" s="123">
        <v>86382397.719999999</v>
      </c>
      <c r="D25" s="309">
        <v>3.4847376811788428E-3</v>
      </c>
    </row>
    <row r="26" spans="1:4" ht="16" customHeight="1" thickBot="1">
      <c r="A26" s="89">
        <v>49</v>
      </c>
      <c r="B26" s="89" t="s">
        <v>445</v>
      </c>
      <c r="C26" s="123">
        <v>23836578.080000002</v>
      </c>
      <c r="D26" s="309">
        <v>9.615873605984185E-4</v>
      </c>
    </row>
    <row r="27" spans="1:4" ht="21.75" customHeight="1" thickBot="1">
      <c r="A27" s="90">
        <v>4</v>
      </c>
      <c r="B27" s="90" t="s">
        <v>446</v>
      </c>
      <c r="C27" s="123">
        <v>1637491231.4699993</v>
      </c>
      <c r="D27" s="309">
        <v>6.6057756528125386E-2</v>
      </c>
    </row>
    <row r="28" spans="1:4" s="248" customFormat="1" ht="21.75" customHeight="1" thickBot="1">
      <c r="A28" s="390" t="s">
        <v>1220</v>
      </c>
      <c r="B28" s="390" t="s">
        <v>448</v>
      </c>
      <c r="C28" s="278">
        <v>24788780569.209995</v>
      </c>
      <c r="D28" s="657">
        <v>1</v>
      </c>
    </row>
    <row r="29" spans="1:4" ht="21.75" customHeight="1" thickBot="1">
      <c r="A29" s="90" t="s">
        <v>1195</v>
      </c>
      <c r="B29" s="90" t="s">
        <v>1221</v>
      </c>
      <c r="C29" s="290">
        <v>340234860.62</v>
      </c>
      <c r="D29" s="763" t="s">
        <v>1222</v>
      </c>
    </row>
    <row r="30" spans="1:4" ht="35.25" customHeight="1" thickBot="1">
      <c r="A30" s="669"/>
      <c r="B30" s="669" t="s">
        <v>1197</v>
      </c>
      <c r="C30" s="290">
        <v>25129015429.830006</v>
      </c>
      <c r="D30" s="764" t="s">
        <v>1222</v>
      </c>
    </row>
    <row r="31" spans="1:4" ht="20" customHeight="1">
      <c r="A31" s="95" t="s">
        <v>678</v>
      </c>
      <c r="B31" s="292"/>
      <c r="C31" s="117"/>
      <c r="D31" s="765"/>
    </row>
    <row r="32" spans="1:4" ht="15.75" customHeight="1">
      <c r="A32" s="96"/>
      <c r="B32" s="316"/>
      <c r="C32" s="119"/>
      <c r="D32" s="766"/>
    </row>
    <row r="33" spans="1:4" ht="15.75" customHeight="1">
      <c r="A33" s="96" t="s">
        <v>1198</v>
      </c>
      <c r="B33" s="316"/>
      <c r="C33" s="119"/>
      <c r="D33" s="766"/>
    </row>
    <row r="34" spans="1:4" ht="15.75" customHeight="1">
      <c r="A34" s="96" t="s">
        <v>1199</v>
      </c>
      <c r="B34" s="316"/>
      <c r="C34" s="119"/>
      <c r="D34" s="766"/>
    </row>
    <row r="35" spans="1:4">
      <c r="A35" s="96" t="s">
        <v>1200</v>
      </c>
    </row>
    <row r="36" spans="1:4">
      <c r="A36" s="3" t="s">
        <v>1201</v>
      </c>
    </row>
    <row r="38" spans="1:4">
      <c r="A38" s="3" t="s">
        <v>1223</v>
      </c>
    </row>
    <row r="41" spans="1:4">
      <c r="A41" s="324" t="s">
        <v>677</v>
      </c>
    </row>
  </sheetData>
  <pageMargins left="0.65" right="0.74" top="0.83" bottom="0.49" header="0.53" footer="0.4921259845"/>
  <pageSetup paperSize="9" scale="84" orientation="portrait" horizontalDpi="1200" verticalDpi="1200"/>
  <headerFooter alignWithMargins="0"/>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9D1AA-FE4D-7142-B548-3643D8161FBC}">
  <dimension ref="A1:K31"/>
  <sheetViews>
    <sheetView zoomScaleNormal="100" workbookViewId="0">
      <selection activeCell="A3" sqref="A3"/>
    </sheetView>
  </sheetViews>
  <sheetFormatPr baseColWidth="10" defaultColWidth="11.3984375" defaultRowHeight="13"/>
  <cols>
    <col min="1" max="1" width="13.796875" style="3" customWidth="1"/>
    <col min="2" max="6" width="15" style="3" customWidth="1"/>
    <col min="7" max="7" width="15" style="667" customWidth="1"/>
    <col min="8" max="16384" width="11.3984375" style="3"/>
  </cols>
  <sheetData>
    <row r="1" spans="1:11" s="2" customFormat="1" ht="14" customHeight="1">
      <c r="G1" s="650"/>
    </row>
    <row r="2" spans="1:11" s="2" customFormat="1" ht="28" customHeight="1">
      <c r="A2" s="47" t="s">
        <v>1224</v>
      </c>
      <c r="G2" s="358"/>
    </row>
    <row r="3" spans="1:11" ht="24" customHeight="1">
      <c r="A3" s="72" t="s">
        <v>1157</v>
      </c>
      <c r="B3" s="73" t="s">
        <v>1225</v>
      </c>
      <c r="C3" s="74"/>
      <c r="D3" s="73" t="s">
        <v>1226</v>
      </c>
      <c r="E3" s="74"/>
      <c r="F3" s="73" t="s">
        <v>1227</v>
      </c>
      <c r="G3" s="652" t="s">
        <v>585</v>
      </c>
    </row>
    <row r="4" spans="1:11" ht="15" customHeight="1">
      <c r="A4" s="328"/>
      <c r="B4" s="76" t="s">
        <v>1228</v>
      </c>
      <c r="C4" s="77" t="s">
        <v>1229</v>
      </c>
      <c r="D4" s="76" t="s">
        <v>1230</v>
      </c>
      <c r="E4" s="77" t="s">
        <v>1231</v>
      </c>
      <c r="F4" s="76" t="s">
        <v>1232</v>
      </c>
      <c r="G4" s="653" t="s">
        <v>586</v>
      </c>
    </row>
    <row r="5" spans="1:11" ht="15" customHeight="1">
      <c r="A5" s="328"/>
      <c r="B5" s="76" t="s">
        <v>1233</v>
      </c>
      <c r="C5" s="77" t="s">
        <v>1233</v>
      </c>
      <c r="D5" s="76" t="s">
        <v>1234</v>
      </c>
      <c r="E5" s="77" t="s">
        <v>714</v>
      </c>
      <c r="F5" s="76"/>
      <c r="G5" s="653" t="s">
        <v>210</v>
      </c>
    </row>
    <row r="6" spans="1:11" ht="24" customHeight="1">
      <c r="A6" s="329"/>
      <c r="B6" s="82"/>
      <c r="C6" s="81"/>
      <c r="D6" s="82"/>
      <c r="E6" s="81"/>
      <c r="F6" s="82"/>
      <c r="G6" s="654"/>
    </row>
    <row r="7" spans="1:11" ht="1.5" customHeight="1" thickBot="1">
      <c r="A7" s="427">
        <v>1996</v>
      </c>
      <c r="B7" s="308">
        <v>4170.9064983500002</v>
      </c>
      <c r="C7" s="428">
        <v>8662.5285187900008</v>
      </c>
      <c r="D7" s="308">
        <v>8044.1419523000004</v>
      </c>
      <c r="E7" s="428">
        <v>4789.2930648399997</v>
      </c>
      <c r="F7" s="308">
        <v>12833.435017170003</v>
      </c>
      <c r="G7" s="309">
        <v>-6.5875098254165963E-3</v>
      </c>
      <c r="I7" s="9"/>
      <c r="J7" s="9"/>
      <c r="K7" s="9"/>
    </row>
    <row r="8" spans="1:11" ht="19.5" hidden="1" customHeight="1" thickBot="1">
      <c r="A8" s="333">
        <v>1997</v>
      </c>
      <c r="B8" s="429">
        <v>4394.7098477299996</v>
      </c>
      <c r="C8" s="430">
        <v>9362.3509974099998</v>
      </c>
      <c r="D8" s="429">
        <v>9077.9116548700003</v>
      </c>
      <c r="E8" s="430">
        <v>4679.1491902700009</v>
      </c>
      <c r="F8" s="429">
        <v>13757.060845139998</v>
      </c>
      <c r="G8" s="452">
        <v>7.1970273487516487E-2</v>
      </c>
    </row>
    <row r="9" spans="1:11" ht="0.75" hidden="1" customHeight="1" thickBot="1">
      <c r="A9" s="333">
        <v>1998</v>
      </c>
      <c r="B9" s="429">
        <v>4492.0042062100001</v>
      </c>
      <c r="C9" s="430">
        <v>10278.585833719999</v>
      </c>
      <c r="D9" s="429">
        <v>9968.5479871799998</v>
      </c>
      <c r="E9" s="430">
        <v>4802.0420530199999</v>
      </c>
      <c r="F9" s="429">
        <v>14770.59003996</v>
      </c>
      <c r="G9" s="452">
        <v>7.3673381707696217E-2</v>
      </c>
    </row>
    <row r="10" spans="1:11" ht="19.75" hidden="1" customHeight="1" thickBot="1">
      <c r="A10" s="333">
        <v>1999</v>
      </c>
      <c r="B10" s="429">
        <v>4039.0720529599998</v>
      </c>
      <c r="C10" s="430">
        <v>10698.624229800002</v>
      </c>
      <c r="D10" s="429">
        <v>9829.3330688500009</v>
      </c>
      <c r="E10" s="430">
        <v>4908.3632139400006</v>
      </c>
      <c r="F10" s="429">
        <v>14737.696282749999</v>
      </c>
      <c r="G10" s="452">
        <v>-2.2269765203022374E-3</v>
      </c>
    </row>
    <row r="11" spans="1:11" ht="20" customHeight="1" thickBot="1">
      <c r="A11" s="333">
        <v>2000</v>
      </c>
      <c r="B11" s="429">
        <v>4332.0125006399994</v>
      </c>
      <c r="C11" s="430">
        <v>10499.430512299999</v>
      </c>
      <c r="D11" s="429">
        <v>10459.0563088</v>
      </c>
      <c r="E11" s="430">
        <v>4372.38670413</v>
      </c>
      <c r="F11" s="429">
        <v>14831.443012869999</v>
      </c>
      <c r="G11" s="452">
        <v>6.361016560622712E-3</v>
      </c>
    </row>
    <row r="12" spans="1:11" ht="20" customHeight="1" thickBot="1">
      <c r="A12" s="333">
        <v>2001</v>
      </c>
      <c r="B12" s="429">
        <v>4480.2212955000005</v>
      </c>
      <c r="C12" s="430">
        <v>9101.4192862999989</v>
      </c>
      <c r="D12" s="429">
        <v>10583.525388</v>
      </c>
      <c r="E12" s="430">
        <v>2998.1151934999998</v>
      </c>
      <c r="F12" s="429">
        <v>13581.640582</v>
      </c>
      <c r="G12" s="452">
        <v>-8.4267082426536799E-2</v>
      </c>
    </row>
    <row r="13" spans="1:11" ht="20" customHeight="1" thickBot="1">
      <c r="A13" s="333">
        <v>2002</v>
      </c>
      <c r="B13" s="429">
        <v>5055.0187533999997</v>
      </c>
      <c r="C13" s="430">
        <v>8256.3197148999989</v>
      </c>
      <c r="D13" s="429">
        <v>10485.582893000001</v>
      </c>
      <c r="E13" s="430">
        <v>2730.3161460000001</v>
      </c>
      <c r="F13" s="429">
        <v>13311.318467999999</v>
      </c>
      <c r="G13" s="452">
        <v>-1.9903494895768592E-2</v>
      </c>
    </row>
    <row r="14" spans="1:11" ht="20" customHeight="1" thickBot="1">
      <c r="A14" s="333">
        <v>2003</v>
      </c>
      <c r="B14" s="429">
        <v>6067.1959962000001</v>
      </c>
      <c r="C14" s="430">
        <v>8398.4942018000002</v>
      </c>
      <c r="D14" s="429">
        <v>11252.005746999999</v>
      </c>
      <c r="E14" s="430">
        <v>3213.6844504999999</v>
      </c>
      <c r="F14" s="429">
        <v>14465.690198</v>
      </c>
      <c r="G14" s="452">
        <v>8.6721066194537677E-2</v>
      </c>
    </row>
    <row r="15" spans="1:11" ht="20" customHeight="1" thickBot="1">
      <c r="A15" s="333">
        <v>2004</v>
      </c>
      <c r="B15" s="429">
        <v>6542.9172908</v>
      </c>
      <c r="C15" s="430">
        <v>8401.4767168999988</v>
      </c>
      <c r="D15" s="429">
        <v>11192.037166</v>
      </c>
      <c r="E15" s="430">
        <v>3752.3568421999998</v>
      </c>
      <c r="F15" s="429">
        <v>14944.394007999999</v>
      </c>
      <c r="G15" s="452">
        <v>3.3092358777750075E-2</v>
      </c>
    </row>
    <row r="16" spans="1:11" ht="20" customHeight="1" thickBot="1">
      <c r="A16" s="333">
        <v>2005</v>
      </c>
      <c r="B16" s="429">
        <v>6906.5407365000001</v>
      </c>
      <c r="C16" s="430">
        <v>9245.4417635000009</v>
      </c>
      <c r="D16" s="429">
        <v>12133.7989425</v>
      </c>
      <c r="E16" s="430">
        <v>4018.1835572</v>
      </c>
      <c r="F16" s="429">
        <v>16151.982499600001</v>
      </c>
      <c r="G16" s="452">
        <v>8.0805450589268357E-2</v>
      </c>
    </row>
    <row r="17" spans="1:7" ht="20" customHeight="1" thickBot="1">
      <c r="A17" s="333">
        <v>2006</v>
      </c>
      <c r="B17" s="429">
        <v>7617.7471638000006</v>
      </c>
      <c r="C17" s="430">
        <v>10441.159153100001</v>
      </c>
      <c r="D17" s="429">
        <v>13475.7956639</v>
      </c>
      <c r="E17" s="430">
        <v>4583.1106529999997</v>
      </c>
      <c r="F17" s="429">
        <v>18058.9063169</v>
      </c>
      <c r="G17" s="452">
        <v>0.11806128550146866</v>
      </c>
    </row>
    <row r="18" spans="1:7" ht="20" customHeight="1" thickBot="1">
      <c r="A18" s="333">
        <v>2007</v>
      </c>
      <c r="B18" s="429">
        <v>7365.8641676499992</v>
      </c>
      <c r="C18" s="430">
        <v>11399.08539328</v>
      </c>
      <c r="D18" s="429">
        <v>13954.63675686</v>
      </c>
      <c r="E18" s="430">
        <v>4810.3128043300003</v>
      </c>
      <c r="F18" s="429">
        <v>18764.949561189998</v>
      </c>
      <c r="G18" s="452">
        <v>3.9096677943849967E-2</v>
      </c>
    </row>
    <row r="19" spans="1:7" ht="20" customHeight="1" thickBot="1">
      <c r="A19" s="333">
        <v>2008</v>
      </c>
      <c r="B19" s="429">
        <v>7264.3011704499995</v>
      </c>
      <c r="C19" s="430">
        <v>10486.349606420001</v>
      </c>
      <c r="D19" s="429">
        <v>13652.812469889999</v>
      </c>
      <c r="E19" s="430">
        <v>4097.8383069800002</v>
      </c>
      <c r="F19" s="429">
        <v>17750.650776869999</v>
      </c>
      <c r="G19" s="452">
        <v>-5.4052838299005646E-2</v>
      </c>
    </row>
    <row r="20" spans="1:7" ht="20" customHeight="1" thickBot="1">
      <c r="A20" s="333">
        <v>2009</v>
      </c>
      <c r="B20" s="429">
        <v>6894.4859353700003</v>
      </c>
      <c r="C20" s="430">
        <v>10208.640743260001</v>
      </c>
      <c r="D20" s="429">
        <v>13357.56575199</v>
      </c>
      <c r="E20" s="430">
        <v>3745.5609266199999</v>
      </c>
      <c r="F20" s="429">
        <v>17103.126678610002</v>
      </c>
      <c r="G20" s="452">
        <v>-3.6478893444501392E-2</v>
      </c>
    </row>
    <row r="21" spans="1:7" s="236" customFormat="1" ht="27.75" customHeight="1" thickBot="1">
      <c r="A21" s="647">
        <v>2010</v>
      </c>
      <c r="B21" s="313">
        <v>8001.951770560001</v>
      </c>
      <c r="C21" s="768">
        <v>10157.524135550002</v>
      </c>
      <c r="D21" s="313">
        <v>14095.938375880005</v>
      </c>
      <c r="E21" s="768">
        <v>4063.5375305399994</v>
      </c>
      <c r="F21" s="313">
        <v>18159.475906430001</v>
      </c>
      <c r="G21" s="314">
        <v>6.1763515389330559E-2</v>
      </c>
    </row>
    <row r="22" spans="1:7" ht="20" customHeight="1">
      <c r="A22" s="95" t="s">
        <v>678</v>
      </c>
      <c r="B22" s="95"/>
      <c r="C22" s="95"/>
      <c r="D22" s="95"/>
      <c r="E22" s="95"/>
      <c r="F22" s="95"/>
      <c r="G22" s="665"/>
    </row>
    <row r="23" spans="1:7" ht="10.5" customHeight="1">
      <c r="A23" s="96"/>
      <c r="B23" s="96"/>
      <c r="C23" s="96"/>
      <c r="D23" s="96"/>
      <c r="E23" s="96"/>
      <c r="F23" s="96"/>
      <c r="G23" s="666"/>
    </row>
    <row r="24" spans="1:7">
      <c r="A24" s="96" t="s">
        <v>1235</v>
      </c>
    </row>
    <row r="25" spans="1:7">
      <c r="A25" s="3" t="s">
        <v>1236</v>
      </c>
    </row>
    <row r="26" spans="1:7">
      <c r="A26" s="3" t="s">
        <v>1237</v>
      </c>
    </row>
    <row r="28" spans="1:7">
      <c r="A28" s="3" t="s">
        <v>1238</v>
      </c>
    </row>
    <row r="31" spans="1:7">
      <c r="A31" s="3" t="s">
        <v>677</v>
      </c>
    </row>
  </sheetData>
  <pageMargins left="0.65" right="0.61" top="0.99" bottom="0.49" header="0.56000000000000005" footer="0.4921259845"/>
  <pageSetup paperSize="9" scale="80" orientation="portrait" horizontalDpi="4294967292" verticalDpi="4294967292"/>
  <headerFooter alignWithMargins="0"/>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49EB3-FBDD-5845-929F-F08685038849}">
  <sheetPr>
    <pageSetUpPr fitToPage="1"/>
  </sheetPr>
  <dimension ref="A1:I29"/>
  <sheetViews>
    <sheetView topLeftCell="A3" zoomScaleNormal="100" workbookViewId="0">
      <selection activeCell="K16" sqref="K16"/>
    </sheetView>
  </sheetViews>
  <sheetFormatPr baseColWidth="10" defaultColWidth="11.3984375" defaultRowHeight="13"/>
  <cols>
    <col min="1" max="1" width="14.19921875" style="3" customWidth="1"/>
    <col min="2" max="2" width="14" style="3" customWidth="1"/>
    <col min="3" max="5" width="14" style="667" customWidth="1"/>
    <col min="6" max="8" width="14" style="3" customWidth="1"/>
    <col min="9" max="16384" width="11.3984375" style="3"/>
  </cols>
  <sheetData>
    <row r="1" spans="1:9" s="2" customFormat="1" ht="14" customHeight="1">
      <c r="C1" s="650"/>
      <c r="D1" s="650"/>
      <c r="E1" s="650"/>
    </row>
    <row r="2" spans="1:9" s="2" customFormat="1" ht="33" customHeight="1">
      <c r="A2" s="1807" t="s">
        <v>1239</v>
      </c>
      <c r="B2" s="1811"/>
      <c r="C2" s="1811"/>
      <c r="D2" s="1811"/>
      <c r="E2" s="1811"/>
      <c r="F2" s="1811"/>
      <c r="G2" s="1811"/>
      <c r="H2" s="358"/>
    </row>
    <row r="3" spans="1:9" ht="24" customHeight="1">
      <c r="A3" s="72" t="s">
        <v>680</v>
      </c>
      <c r="B3" s="73" t="s">
        <v>1240</v>
      </c>
      <c r="C3" s="652" t="s">
        <v>585</v>
      </c>
      <c r="D3" s="769" t="s">
        <v>1241</v>
      </c>
      <c r="E3" s="652" t="s">
        <v>1242</v>
      </c>
      <c r="F3" s="299" t="s">
        <v>585</v>
      </c>
      <c r="G3" s="652" t="s">
        <v>1243</v>
      </c>
      <c r="H3" s="299" t="s">
        <v>585</v>
      </c>
    </row>
    <row r="4" spans="1:9" ht="15" customHeight="1">
      <c r="A4" s="328"/>
      <c r="B4" s="76" t="s">
        <v>717</v>
      </c>
      <c r="C4" s="653" t="s">
        <v>586</v>
      </c>
      <c r="D4" s="770" t="s">
        <v>1244</v>
      </c>
      <c r="E4" s="653" t="s">
        <v>1245</v>
      </c>
      <c r="F4" s="78" t="s">
        <v>586</v>
      </c>
      <c r="G4" s="653" t="s">
        <v>1246</v>
      </c>
      <c r="H4" s="78" t="s">
        <v>586</v>
      </c>
    </row>
    <row r="5" spans="1:9" ht="15" customHeight="1">
      <c r="A5" s="328"/>
      <c r="B5" s="76"/>
      <c r="C5" s="653" t="s">
        <v>210</v>
      </c>
      <c r="D5" s="770"/>
      <c r="E5" s="75" t="s">
        <v>717</v>
      </c>
      <c r="F5" s="770" t="s">
        <v>210</v>
      </c>
      <c r="G5" s="75" t="s">
        <v>717</v>
      </c>
      <c r="H5" s="770" t="s">
        <v>210</v>
      </c>
    </row>
    <row r="6" spans="1:9" ht="24" customHeight="1">
      <c r="A6" s="329"/>
      <c r="B6" s="82"/>
      <c r="C6" s="654"/>
      <c r="D6" s="771"/>
      <c r="E6" s="654"/>
      <c r="F6" s="80"/>
      <c r="G6" s="654"/>
      <c r="H6" s="771"/>
    </row>
    <row r="7" spans="1:9" ht="1.5" customHeight="1" thickBot="1">
      <c r="A7" s="427">
        <v>1996</v>
      </c>
      <c r="B7" s="308">
        <v>4007.8366596000001</v>
      </c>
      <c r="C7" s="309">
        <v>-1.767505493939879E-2</v>
      </c>
      <c r="D7" s="300">
        <v>0.24196501185861982</v>
      </c>
      <c r="E7" s="428">
        <v>7634.4120938999995</v>
      </c>
      <c r="F7" s="300" t="s">
        <v>35</v>
      </c>
      <c r="G7" s="428">
        <v>878.70776672</v>
      </c>
      <c r="H7" s="300" t="s">
        <v>35</v>
      </c>
      <c r="I7" s="9"/>
    </row>
    <row r="8" spans="1:9" ht="0.75" hidden="1" customHeight="1" thickBot="1">
      <c r="A8" s="333">
        <v>1997</v>
      </c>
      <c r="B8" s="429">
        <v>4017.3956079</v>
      </c>
      <c r="C8" s="452">
        <v>2.385064340659509E-3</v>
      </c>
      <c r="D8" s="301">
        <v>0.22399999999999998</v>
      </c>
      <c r="E8" s="430">
        <v>8314.1764980999997</v>
      </c>
      <c r="F8" s="301">
        <v>8.9039522079655792E-2</v>
      </c>
      <c r="G8" s="430">
        <v>892.88593902000002</v>
      </c>
      <c r="H8" s="301">
        <v>1.6135253194499075E-2</v>
      </c>
    </row>
    <row r="9" spans="1:9" ht="19.5" hidden="1" customHeight="1" thickBot="1">
      <c r="A9" s="333">
        <v>1998</v>
      </c>
      <c r="B9" s="429">
        <v>4117.6667946999996</v>
      </c>
      <c r="C9" s="452">
        <v>2.4959251362455213E-2</v>
      </c>
      <c r="D9" s="301">
        <v>0.22</v>
      </c>
      <c r="E9" s="430">
        <v>9206.9689780000008</v>
      </c>
      <c r="F9" s="301">
        <v>0.1073819493853693</v>
      </c>
      <c r="G9" s="430">
        <v>910.20990798000003</v>
      </c>
      <c r="H9" s="301">
        <v>1.9402219480591416E-2</v>
      </c>
    </row>
    <row r="10" spans="1:9" ht="19.75" hidden="1" customHeight="1" thickBot="1">
      <c r="A10" s="333">
        <v>1999</v>
      </c>
      <c r="B10" s="429">
        <v>4531.0035571000008</v>
      </c>
      <c r="C10" s="452">
        <v>0.10038130402683909</v>
      </c>
      <c r="D10" s="301">
        <v>0.248</v>
      </c>
      <c r="E10" s="430">
        <v>9587.3624237999993</v>
      </c>
      <c r="F10" s="301">
        <v>4.1315817041302827E-2</v>
      </c>
      <c r="G10" s="430">
        <v>929.94977453999991</v>
      </c>
      <c r="H10" s="301">
        <v>2.168715851908054E-2</v>
      </c>
    </row>
    <row r="11" spans="1:9" ht="20" customHeight="1" thickBot="1">
      <c r="A11" s="333">
        <v>2000</v>
      </c>
      <c r="B11" s="429">
        <v>4046.3173426999997</v>
      </c>
      <c r="C11" s="452">
        <v>-0.10697105139997221</v>
      </c>
      <c r="D11" s="301">
        <v>0.22899999999999998</v>
      </c>
      <c r="E11" s="430">
        <v>9383.0818280000003</v>
      </c>
      <c r="F11" s="301">
        <v>-2.1307277932133384E-2</v>
      </c>
      <c r="G11" s="430">
        <v>935.15434852999999</v>
      </c>
      <c r="H11" s="301">
        <v>5.5966183685292048E-3</v>
      </c>
    </row>
    <row r="12" spans="1:9" ht="20" customHeight="1" thickBot="1">
      <c r="A12" s="333">
        <v>2001</v>
      </c>
      <c r="B12" s="429">
        <v>2721.4537870999998</v>
      </c>
      <c r="C12" s="452">
        <v>-0.32742453035479269</v>
      </c>
      <c r="D12" s="301">
        <v>0.16266572127677031</v>
      </c>
      <c r="E12" s="430">
        <v>7961.4574869999997</v>
      </c>
      <c r="F12" s="301">
        <v>-0.15150931933234768</v>
      </c>
      <c r="G12" s="430">
        <v>954.93160932000001</v>
      </c>
      <c r="H12" s="301">
        <v>2.1148659385574753E-2</v>
      </c>
    </row>
    <row r="13" spans="1:9" ht="20" customHeight="1" thickBot="1">
      <c r="A13" s="333">
        <v>2002</v>
      </c>
      <c r="B13" s="429">
        <v>2517.2839804</v>
      </c>
      <c r="C13" s="452">
        <v>-7.5022330957000949E-2</v>
      </c>
      <c r="D13" s="301">
        <v>0.13972376589664312</v>
      </c>
      <c r="E13" s="430">
        <v>7106.5237452000001</v>
      </c>
      <c r="F13" s="301">
        <v>-0.10738407423464769</v>
      </c>
      <c r="G13" s="430">
        <v>984.65094364999993</v>
      </c>
      <c r="H13" s="301">
        <v>3.1121950556399325E-2</v>
      </c>
    </row>
    <row r="14" spans="1:9" ht="20" customHeight="1" thickBot="1">
      <c r="A14" s="333">
        <v>2003</v>
      </c>
      <c r="B14" s="429">
        <v>3007.4782717600006</v>
      </c>
      <c r="C14" s="452">
        <v>0.19473142290529655</v>
      </c>
      <c r="D14" s="301">
        <v>0.15444074863234167</v>
      </c>
      <c r="E14" s="430">
        <v>7378.0453514999999</v>
      </c>
      <c r="F14" s="301">
        <v>3.820737339875846E-2</v>
      </c>
      <c r="G14" s="430">
        <v>885.89521162999995</v>
      </c>
      <c r="H14" s="301">
        <v>-0.1002951682084644</v>
      </c>
    </row>
    <row r="15" spans="1:9" ht="20" customHeight="1" thickBot="1">
      <c r="A15" s="333">
        <v>2004</v>
      </c>
      <c r="B15" s="429">
        <v>3581.7878758600004</v>
      </c>
      <c r="C15" s="452">
        <v>0.19096051648742551</v>
      </c>
      <c r="D15" s="301">
        <v>0.17609858201884715</v>
      </c>
      <c r="E15" s="430">
        <v>7386.4198756999995</v>
      </c>
      <c r="F15" s="301">
        <v>1.1350600058723792E-3</v>
      </c>
      <c r="G15" s="430">
        <v>876.33966492999991</v>
      </c>
      <c r="H15" s="301">
        <v>-1.0786317133849699E-2</v>
      </c>
    </row>
    <row r="16" spans="1:9" ht="20" customHeight="1" thickBot="1">
      <c r="A16" s="333">
        <v>2005</v>
      </c>
      <c r="B16" s="429">
        <v>3869.5470762</v>
      </c>
      <c r="C16" s="452">
        <v>8.0339542796321384E-2</v>
      </c>
      <c r="D16" s="301">
        <v>0.18526823405593668</v>
      </c>
      <c r="E16" s="430">
        <v>8227.3219200000003</v>
      </c>
      <c r="F16" s="301">
        <v>0.11384433303966635</v>
      </c>
      <c r="G16" s="430">
        <v>864.96945500000004</v>
      </c>
      <c r="H16" s="301">
        <v>-1.2974660836455598E-2</v>
      </c>
    </row>
    <row r="17" spans="1:8" ht="20" customHeight="1" thickBot="1">
      <c r="A17" s="333">
        <v>2006</v>
      </c>
      <c r="B17" s="429">
        <v>4510.5379199999998</v>
      </c>
      <c r="C17" s="452">
        <v>0.16565009578058176</v>
      </c>
      <c r="D17" s="301">
        <v>0.20772626624087148</v>
      </c>
      <c r="E17" s="430">
        <v>9466.6831490000004</v>
      </c>
      <c r="F17" s="301">
        <v>0.15063969066133254</v>
      </c>
      <c r="G17" s="430">
        <v>858.28986799999996</v>
      </c>
      <c r="H17" s="301">
        <v>-7.7223385882453366E-3</v>
      </c>
    </row>
    <row r="18" spans="1:8" ht="20" customHeight="1" thickBot="1">
      <c r="A18" s="333">
        <v>2007</v>
      </c>
      <c r="B18" s="429">
        <v>4787.9201766100005</v>
      </c>
      <c r="C18" s="452">
        <v>6.1496491445082624E-2</v>
      </c>
      <c r="D18" s="301">
        <v>0.21638748853648229</v>
      </c>
      <c r="E18" s="430">
        <v>10372.83324</v>
      </c>
      <c r="F18" s="301">
        <v>9.5719913378078836E-2</v>
      </c>
      <c r="G18" s="430">
        <v>895.33742199999995</v>
      </c>
      <c r="H18" s="301">
        <v>4.3164384645864251E-2</v>
      </c>
    </row>
    <row r="19" spans="1:8" ht="20" customHeight="1" thickBot="1">
      <c r="A19" s="333">
        <v>2008</v>
      </c>
      <c r="B19" s="429">
        <v>4080.91032378</v>
      </c>
      <c r="C19" s="452">
        <v>-0.1476653383412474</v>
      </c>
      <c r="D19" s="301">
        <v>0.18391331751178366</v>
      </c>
      <c r="E19" s="430">
        <v>9350.3630895499991</v>
      </c>
      <c r="F19" s="301">
        <v>-9.8571925990974529E-2</v>
      </c>
      <c r="G19" s="430">
        <v>999.65196694000008</v>
      </c>
      <c r="H19" s="301">
        <v>0.11650863951043489</v>
      </c>
    </row>
    <row r="20" spans="1:8" ht="20" customHeight="1" thickBot="1">
      <c r="A20" s="333">
        <v>2009</v>
      </c>
      <c r="B20" s="429">
        <v>3730.97067328</v>
      </c>
      <c r="C20" s="452">
        <v>-8.5750389676748306E-2</v>
      </c>
      <c r="D20" s="301">
        <v>0.16506146744457434</v>
      </c>
      <c r="E20" s="430">
        <v>9018.8227868199992</v>
      </c>
      <c r="F20" s="301">
        <v>-3.5457478982878321E-2</v>
      </c>
      <c r="G20" s="430">
        <v>1016.50244943</v>
      </c>
      <c r="H20" s="301">
        <v>1.6856349056742603E-2</v>
      </c>
    </row>
    <row r="21" spans="1:8" s="236" customFormat="1" ht="28.5" customHeight="1" thickBot="1">
      <c r="A21" s="647">
        <v>2010</v>
      </c>
      <c r="B21" s="313">
        <v>4055.8357633599976</v>
      </c>
      <c r="C21" s="314">
        <v>8.7072539166972218E-2</v>
      </c>
      <c r="D21" s="302">
        <v>0.16490555759813022</v>
      </c>
      <c r="E21" s="768">
        <v>9041.5524071900018</v>
      </c>
      <c r="F21" s="772">
        <v>2.5202424869927853E-3</v>
      </c>
      <c r="G21" s="754">
        <v>966.36126515000001</v>
      </c>
      <c r="H21" s="772">
        <v>-4.932716523026226E-2</v>
      </c>
    </row>
    <row r="22" spans="1:8" ht="20" customHeight="1">
      <c r="A22" s="95" t="s">
        <v>678</v>
      </c>
      <c r="B22" s="95"/>
      <c r="C22" s="665"/>
      <c r="D22" s="665"/>
      <c r="E22" s="665"/>
    </row>
    <row r="23" spans="1:8" ht="11.25" customHeight="1">
      <c r="A23" s="96"/>
      <c r="B23" s="96"/>
      <c r="C23" s="666"/>
      <c r="D23" s="666"/>
      <c r="E23" s="666"/>
    </row>
    <row r="24" spans="1:8">
      <c r="A24" s="3" t="s">
        <v>1247</v>
      </c>
    </row>
    <row r="26" spans="1:8">
      <c r="A26" s="3" t="s">
        <v>1248</v>
      </c>
    </row>
    <row r="29" spans="1:8">
      <c r="A29" s="3" t="s">
        <v>677</v>
      </c>
    </row>
  </sheetData>
  <mergeCells count="1">
    <mergeCell ref="A2:G2"/>
  </mergeCells>
  <pageMargins left="0.69" right="0.56000000000000005" top="1.08" bottom="0.49" header="0.53" footer="0.4921259845"/>
  <pageSetup paperSize="9" scale="80" orientation="portrait" horizontalDpi="4294967292" verticalDpi="4294967292"/>
  <headerFooter alignWithMargins="0"/>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B8F29-A9EB-244B-984F-3B8F33367334}">
  <sheetPr>
    <pageSetUpPr fitToPage="1"/>
  </sheetPr>
  <dimension ref="A1:D33"/>
  <sheetViews>
    <sheetView zoomScaleNormal="100" workbookViewId="0">
      <selection activeCell="D4" sqref="D4"/>
    </sheetView>
  </sheetViews>
  <sheetFormatPr baseColWidth="10" defaultColWidth="11.3984375" defaultRowHeight="13"/>
  <cols>
    <col min="1" max="1" width="10.59765625" style="3" customWidth="1"/>
    <col min="2" max="2" width="60.59765625" style="49" customWidth="1"/>
    <col min="3" max="3" width="17" style="8" customWidth="1"/>
    <col min="4" max="4" width="17" style="667" customWidth="1"/>
    <col min="5" max="16384" width="11.3984375" style="3"/>
  </cols>
  <sheetData>
    <row r="1" spans="1:4" s="2" customFormat="1" ht="14" customHeight="1">
      <c r="B1" s="261"/>
      <c r="C1" s="100"/>
      <c r="D1" s="650"/>
    </row>
    <row r="2" spans="1:4" s="2" customFormat="1" ht="28" customHeight="1">
      <c r="A2" s="47" t="s">
        <v>1249</v>
      </c>
      <c r="B2" s="261"/>
      <c r="C2" s="100"/>
      <c r="D2" s="358">
        <v>2010</v>
      </c>
    </row>
    <row r="3" spans="1:4" ht="39" customHeight="1">
      <c r="A3" s="276" t="s">
        <v>417</v>
      </c>
      <c r="B3" s="277"/>
      <c r="C3" s="103" t="s">
        <v>1164</v>
      </c>
      <c r="D3" s="652" t="s">
        <v>1203</v>
      </c>
    </row>
    <row r="4" spans="1:4" ht="38" customHeight="1">
      <c r="A4" s="263"/>
      <c r="B4" s="264"/>
      <c r="C4" s="110" t="s">
        <v>420</v>
      </c>
      <c r="D4" s="654" t="s">
        <v>506</v>
      </c>
    </row>
    <row r="5" spans="1:4" ht="30" customHeight="1" thickBot="1">
      <c r="A5" s="84"/>
      <c r="B5" s="773" t="s">
        <v>1250</v>
      </c>
      <c r="C5" s="278">
        <v>8001951770.5600014</v>
      </c>
      <c r="D5" s="309">
        <v>0.44064882774880293</v>
      </c>
    </row>
    <row r="6" spans="1:4" ht="21.75" customHeight="1" thickBot="1">
      <c r="A6" s="89">
        <v>10</v>
      </c>
      <c r="B6" s="89" t="s">
        <v>1251</v>
      </c>
      <c r="C6" s="123">
        <v>2865322625.9500012</v>
      </c>
      <c r="D6" s="452">
        <v>0.15778663661685993</v>
      </c>
    </row>
    <row r="7" spans="1:4" ht="21.75" customHeight="1" thickBot="1">
      <c r="A7" s="89">
        <v>11</v>
      </c>
      <c r="B7" s="89" t="s">
        <v>1252</v>
      </c>
      <c r="C7" s="123">
        <v>3243370290.7399993</v>
      </c>
      <c r="D7" s="452">
        <v>0.17860484011263367</v>
      </c>
    </row>
    <row r="8" spans="1:4" ht="18.75" customHeight="1" thickBot="1">
      <c r="A8" s="89"/>
      <c r="B8" s="774" t="s">
        <v>1253</v>
      </c>
      <c r="C8" s="775">
        <v>3484216430.8599987</v>
      </c>
      <c r="D8" s="452">
        <v>0.19186767552513384</v>
      </c>
    </row>
    <row r="9" spans="1:4" ht="18.75" customHeight="1" thickBot="1">
      <c r="A9" s="89"/>
      <c r="B9" s="774" t="s">
        <v>1254</v>
      </c>
      <c r="C9" s="775">
        <v>-240846140.11999997</v>
      </c>
      <c r="D9" s="452">
        <v>-1.3262835412500208E-2</v>
      </c>
    </row>
    <row r="10" spans="1:4" ht="21.75" customHeight="1" thickBot="1">
      <c r="A10" s="89">
        <v>12</v>
      </c>
      <c r="B10" s="89" t="s">
        <v>1255</v>
      </c>
      <c r="C10" s="123">
        <v>852420563.92000008</v>
      </c>
      <c r="D10" s="452">
        <v>4.6940813067914137E-2</v>
      </c>
    </row>
    <row r="11" spans="1:4" ht="18.75" customHeight="1" thickBot="1">
      <c r="A11" s="89"/>
      <c r="B11" s="774" t="s">
        <v>1256</v>
      </c>
      <c r="C11" s="775">
        <v>873146370.55000007</v>
      </c>
      <c r="D11" s="452">
        <v>4.8082134917573162E-2</v>
      </c>
    </row>
    <row r="12" spans="1:4" ht="18.75" customHeight="1" thickBot="1">
      <c r="A12" s="89"/>
      <c r="B12" s="774" t="s">
        <v>1257</v>
      </c>
      <c r="C12" s="775">
        <v>-20725806.630000003</v>
      </c>
      <c r="D12" s="452">
        <v>-1.1413218496590274E-3</v>
      </c>
    </row>
    <row r="13" spans="1:4" ht="24" customHeight="1" thickBot="1">
      <c r="A13" s="89">
        <v>13</v>
      </c>
      <c r="B13" s="89" t="s">
        <v>1258</v>
      </c>
      <c r="C13" s="123">
        <v>24731639.5</v>
      </c>
      <c r="D13" s="452">
        <v>1.361913726358078E-3</v>
      </c>
    </row>
    <row r="14" spans="1:4" ht="28.5" customHeight="1" thickBot="1">
      <c r="A14" s="89">
        <v>14</v>
      </c>
      <c r="B14" s="776" t="s">
        <v>1259</v>
      </c>
      <c r="C14" s="123">
        <v>526235554.67999995</v>
      </c>
      <c r="D14" s="452">
        <v>2.8978565097406858E-2</v>
      </c>
    </row>
    <row r="15" spans="1:4" ht="30.75" customHeight="1" thickBot="1">
      <c r="A15" s="89">
        <v>15</v>
      </c>
      <c r="B15" s="776" t="s">
        <v>1260</v>
      </c>
      <c r="C15" s="123">
        <v>52880715.049999997</v>
      </c>
      <c r="D15" s="452">
        <v>2.9120176883633288E-3</v>
      </c>
    </row>
    <row r="16" spans="1:4" ht="21.75" customHeight="1" thickBot="1">
      <c r="A16" s="89">
        <v>16</v>
      </c>
      <c r="B16" s="89" t="s">
        <v>1261</v>
      </c>
      <c r="C16" s="123">
        <v>436990380.71999991</v>
      </c>
      <c r="D16" s="452">
        <v>2.4064041439266905E-2</v>
      </c>
    </row>
    <row r="17" spans="1:4" ht="30" customHeight="1" thickBot="1">
      <c r="A17" s="89"/>
      <c r="B17" s="777" t="s">
        <v>1262</v>
      </c>
      <c r="C17" s="278">
        <v>10157524135.550001</v>
      </c>
      <c r="D17" s="452">
        <v>0.55935117225119735</v>
      </c>
    </row>
    <row r="18" spans="1:4" ht="21.75" customHeight="1" thickBot="1">
      <c r="A18" s="89">
        <v>17</v>
      </c>
      <c r="B18" s="89" t="s">
        <v>1263</v>
      </c>
      <c r="C18" s="123">
        <v>9041552406.3500023</v>
      </c>
      <c r="D18" s="452">
        <v>0.49789721097115208</v>
      </c>
    </row>
    <row r="19" spans="1:4" ht="18.75" customHeight="1" thickBot="1">
      <c r="A19" s="89"/>
      <c r="B19" s="774" t="s">
        <v>1264</v>
      </c>
      <c r="C19" s="775">
        <v>9493219195.550005</v>
      </c>
      <c r="D19" s="452">
        <v>0.5227694480079067</v>
      </c>
    </row>
    <row r="20" spans="1:4" ht="18.75" customHeight="1" thickBot="1">
      <c r="A20" s="90"/>
      <c r="B20" s="778" t="s">
        <v>1265</v>
      </c>
      <c r="C20" s="775">
        <v>-451666789.20000005</v>
      </c>
      <c r="D20" s="452">
        <v>-2.4872237036754501E-2</v>
      </c>
    </row>
    <row r="21" spans="1:4" ht="21.75" customHeight="1" thickBot="1">
      <c r="A21" s="89">
        <v>18</v>
      </c>
      <c r="B21" s="89" t="s">
        <v>1266</v>
      </c>
      <c r="C21" s="123">
        <v>966361265.20999992</v>
      </c>
      <c r="D21" s="452">
        <v>5.3215261839404455E-2</v>
      </c>
    </row>
    <row r="22" spans="1:4" ht="18.75" customHeight="1" thickBot="1">
      <c r="A22" s="90"/>
      <c r="B22" s="778" t="s">
        <v>1267</v>
      </c>
      <c r="C22" s="775">
        <v>1362462472.1800003</v>
      </c>
      <c r="D22" s="452">
        <v>7.5027631811862019E-2</v>
      </c>
    </row>
    <row r="23" spans="1:4" ht="18.75" customHeight="1" thickBot="1">
      <c r="A23" s="89"/>
      <c r="B23" s="774" t="s">
        <v>1268</v>
      </c>
      <c r="C23" s="775">
        <v>-396101206.96999997</v>
      </c>
      <c r="D23" s="452">
        <v>-2.1812369972457547E-2</v>
      </c>
    </row>
    <row r="24" spans="1:4" ht="21.75" customHeight="1" thickBot="1">
      <c r="A24" s="89">
        <v>19</v>
      </c>
      <c r="B24" s="89" t="s">
        <v>1269</v>
      </c>
      <c r="C24" s="123">
        <v>149610463.99000001</v>
      </c>
      <c r="D24" s="452">
        <v>8.2386994406408818E-3</v>
      </c>
    </row>
    <row r="25" spans="1:4" ht="18.75" customHeight="1" thickBot="1">
      <c r="A25" s="89"/>
      <c r="B25" s="774" t="s">
        <v>1270</v>
      </c>
      <c r="C25" s="775">
        <v>923457693.69000006</v>
      </c>
      <c r="D25" s="452">
        <v>5.0852662183895433E-2</v>
      </c>
    </row>
    <row r="26" spans="1:4" ht="18.75" customHeight="1" thickBot="1">
      <c r="A26" s="89"/>
      <c r="B26" s="774" t="s">
        <v>1265</v>
      </c>
      <c r="C26" s="775">
        <v>-773847229.69999981</v>
      </c>
      <c r="D26" s="452">
        <v>-4.2613962743254533E-2</v>
      </c>
    </row>
    <row r="27" spans="1:4" s="115" customFormat="1" ht="36" customHeight="1" thickBot="1">
      <c r="A27" s="91">
        <v>1</v>
      </c>
      <c r="B27" s="91" t="s">
        <v>1271</v>
      </c>
      <c r="C27" s="125">
        <v>18159475906.109997</v>
      </c>
      <c r="D27" s="314">
        <v>1</v>
      </c>
    </row>
    <row r="28" spans="1:4" ht="18.75" customHeight="1">
      <c r="A28" s="95" t="s">
        <v>678</v>
      </c>
      <c r="B28" s="292"/>
      <c r="C28" s="117"/>
      <c r="D28" s="665"/>
    </row>
    <row r="30" spans="1:4">
      <c r="A30" s="3" t="s">
        <v>1272</v>
      </c>
    </row>
    <row r="33" spans="1:1">
      <c r="A33" s="324" t="s">
        <v>677</v>
      </c>
    </row>
  </sheetData>
  <pageMargins left="0.78740157480314965" right="0.78740157480314965" top="0.87" bottom="0.49" header="0.47" footer="0.4921259845"/>
  <pageSetup paperSize="9" scale="82" orientation="portrait" horizontalDpi="1200" verticalDpi="1200"/>
  <headerFooter alignWithMargins="0"/>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E43A3-0C7C-9942-AD89-4868021D799C}">
  <sheetPr>
    <pageSetUpPr fitToPage="1"/>
  </sheetPr>
  <dimension ref="A1:D44"/>
  <sheetViews>
    <sheetView zoomScaleNormal="100" workbookViewId="0">
      <selection activeCell="A3" sqref="A3"/>
    </sheetView>
  </sheetViews>
  <sheetFormatPr baseColWidth="10" defaultColWidth="11.3984375" defaultRowHeight="13"/>
  <cols>
    <col min="1" max="1" width="10.59765625" style="3" customWidth="1"/>
    <col min="2" max="2" width="60.59765625" style="49" customWidth="1"/>
    <col min="3" max="3" width="17.3984375" style="128" customWidth="1"/>
    <col min="4" max="4" width="16.796875" style="667" customWidth="1"/>
    <col min="5" max="16384" width="11.3984375" style="3"/>
  </cols>
  <sheetData>
    <row r="1" spans="1:4" s="2" customFormat="1" ht="14" customHeight="1">
      <c r="B1" s="261"/>
      <c r="C1" s="122"/>
      <c r="D1" s="650"/>
    </row>
    <row r="2" spans="1:4" s="2" customFormat="1" ht="28" customHeight="1">
      <c r="A2" s="47" t="s">
        <v>1273</v>
      </c>
      <c r="B2" s="261"/>
      <c r="C2" s="122"/>
      <c r="D2" s="358">
        <v>2010</v>
      </c>
    </row>
    <row r="3" spans="1:4" ht="39" customHeight="1">
      <c r="A3" s="276" t="s">
        <v>417</v>
      </c>
      <c r="B3" s="277"/>
      <c r="C3" s="103" t="s">
        <v>1164</v>
      </c>
      <c r="D3" s="652" t="s">
        <v>1203</v>
      </c>
    </row>
    <row r="4" spans="1:4" ht="38" customHeight="1">
      <c r="A4" s="263"/>
      <c r="B4" s="264"/>
      <c r="C4" s="110" t="s">
        <v>420</v>
      </c>
      <c r="D4" s="654" t="s">
        <v>506</v>
      </c>
    </row>
    <row r="5" spans="1:4" ht="30" customHeight="1" thickBot="1">
      <c r="A5" s="84"/>
      <c r="B5" s="773" t="s">
        <v>1274</v>
      </c>
      <c r="C5" s="278">
        <v>14095938375.880005</v>
      </c>
      <c r="D5" s="309">
        <v>0.77623046218469571</v>
      </c>
    </row>
    <row r="6" spans="1:4" ht="21.75" customHeight="1" thickBot="1">
      <c r="A6" s="89">
        <v>20</v>
      </c>
      <c r="B6" s="89" t="s">
        <v>1275</v>
      </c>
      <c r="C6" s="123">
        <v>540950042.28999996</v>
      </c>
      <c r="D6" s="309">
        <v>2.9788857623278521E-2</v>
      </c>
    </row>
    <row r="7" spans="1:4" ht="21.75" customHeight="1" thickBot="1">
      <c r="A7" s="89">
        <v>21</v>
      </c>
      <c r="B7" s="89" t="s">
        <v>1276</v>
      </c>
      <c r="C7" s="123">
        <v>4127504697.8600011</v>
      </c>
      <c r="D7" s="309">
        <v>0.22729206058190882</v>
      </c>
    </row>
    <row r="8" spans="1:4" ht="31.5" customHeight="1" thickBot="1">
      <c r="A8" s="89">
        <v>215</v>
      </c>
      <c r="B8" s="776" t="s">
        <v>1277</v>
      </c>
      <c r="C8" s="123">
        <v>-8322926.3999999966</v>
      </c>
      <c r="D8" s="309">
        <v>-4.5832415224345609E-4</v>
      </c>
    </row>
    <row r="9" spans="1:4" ht="21.75" customHeight="1" thickBot="1">
      <c r="A9" s="89">
        <v>22</v>
      </c>
      <c r="B9" s="89" t="s">
        <v>1278</v>
      </c>
      <c r="C9" s="123">
        <v>858355545.42999995</v>
      </c>
      <c r="D9" s="309">
        <v>4.726763866164601E-2</v>
      </c>
    </row>
    <row r="10" spans="1:4" ht="21.75" customHeight="1" thickBot="1">
      <c r="A10" s="89">
        <v>23</v>
      </c>
      <c r="B10" s="89" t="s">
        <v>1279</v>
      </c>
      <c r="C10" s="123">
        <v>9107396.4800000004</v>
      </c>
      <c r="D10" s="309">
        <v>5.015230905851863E-4</v>
      </c>
    </row>
    <row r="11" spans="1:4" ht="21.75" customHeight="1" thickBot="1">
      <c r="A11" s="89">
        <v>24</v>
      </c>
      <c r="B11" s="89" t="s">
        <v>1280</v>
      </c>
      <c r="C11" s="123">
        <v>61831303.450000003</v>
      </c>
      <c r="D11" s="309">
        <v>3.4049057235240173E-3</v>
      </c>
    </row>
    <row r="12" spans="1:4" ht="21.75" customHeight="1" thickBot="1">
      <c r="A12" s="89">
        <v>25</v>
      </c>
      <c r="B12" s="89" t="s">
        <v>1281</v>
      </c>
      <c r="C12" s="123">
        <v>24845780.379999999</v>
      </c>
      <c r="D12" s="309">
        <v>1.3681991984803084E-3</v>
      </c>
    </row>
    <row r="13" spans="1:4" ht="21.75" customHeight="1" thickBot="1">
      <c r="A13" s="89">
        <v>26</v>
      </c>
      <c r="B13" s="89" t="s">
        <v>1282</v>
      </c>
      <c r="C13" s="123">
        <v>593465438.04000008</v>
      </c>
      <c r="D13" s="309">
        <v>3.2680758029468397E-2</v>
      </c>
    </row>
    <row r="14" spans="1:4" s="779" customFormat="1" ht="47.25" customHeight="1" thickBot="1">
      <c r="A14" s="776">
        <v>27</v>
      </c>
      <c r="B14" s="776" t="s">
        <v>1283</v>
      </c>
      <c r="C14" s="123">
        <v>7888201098.3499994</v>
      </c>
      <c r="D14" s="309">
        <v>0.43438484342804767</v>
      </c>
    </row>
    <row r="15" spans="1:4" s="779" customFormat="1" ht="21" customHeight="1" thickBot="1">
      <c r="A15" s="780">
        <v>270</v>
      </c>
      <c r="B15" s="781" t="s">
        <v>1284</v>
      </c>
      <c r="C15" s="123">
        <v>5227293551.3400002</v>
      </c>
      <c r="D15" s="309">
        <v>0.28785486862476539</v>
      </c>
    </row>
    <row r="16" spans="1:4" ht="18.75" customHeight="1" thickBot="1">
      <c r="A16" s="782">
        <v>270.10000000000002</v>
      </c>
      <c r="B16" s="774" t="s">
        <v>1285</v>
      </c>
      <c r="C16" s="123">
        <v>523965786.34999996</v>
      </c>
      <c r="D16" s="309">
        <v>2.8853574246846599E-2</v>
      </c>
    </row>
    <row r="17" spans="1:4" ht="31.5" customHeight="1" thickBot="1">
      <c r="A17" s="782">
        <v>270.2</v>
      </c>
      <c r="B17" s="781" t="s">
        <v>1286</v>
      </c>
      <c r="C17" s="123">
        <v>77082718.329999998</v>
      </c>
      <c r="D17" s="309">
        <v>4.2447655828385528E-3</v>
      </c>
    </row>
    <row r="18" spans="1:4" ht="30.75" customHeight="1" thickBot="1">
      <c r="A18" s="782">
        <v>270.3</v>
      </c>
      <c r="B18" s="781" t="s">
        <v>1287</v>
      </c>
      <c r="C18" s="123">
        <v>3855929.95</v>
      </c>
      <c r="D18" s="309">
        <v>2.1233707238404786E-4</v>
      </c>
    </row>
    <row r="19" spans="1:4" ht="18.75" customHeight="1" thickBot="1">
      <c r="A19" s="782">
        <v>271</v>
      </c>
      <c r="B19" s="774" t="s">
        <v>1288</v>
      </c>
      <c r="C19" s="123">
        <v>98947015.739999995</v>
      </c>
      <c r="D19" s="309">
        <v>5.4487814653816262E-3</v>
      </c>
    </row>
    <row r="20" spans="1:4" ht="18.75" customHeight="1" thickBot="1">
      <c r="A20" s="782">
        <v>272</v>
      </c>
      <c r="B20" s="774" t="s">
        <v>1289</v>
      </c>
      <c r="C20" s="123">
        <v>2750000</v>
      </c>
      <c r="D20" s="309">
        <v>1.5143608847358121E-4</v>
      </c>
    </row>
    <row r="21" spans="1:4" ht="18.75" customHeight="1" thickBot="1">
      <c r="A21" s="782">
        <v>273</v>
      </c>
      <c r="B21" s="774" t="s">
        <v>1290</v>
      </c>
      <c r="C21" s="123">
        <v>1338230262.7</v>
      </c>
      <c r="D21" s="309">
        <v>7.3693220531004008E-2</v>
      </c>
    </row>
    <row r="22" spans="1:4" ht="18.75" customHeight="1" thickBot="1">
      <c r="A22" s="782">
        <v>273.10000000000002</v>
      </c>
      <c r="B22" s="774" t="s">
        <v>1291</v>
      </c>
      <c r="C22" s="123">
        <v>305080563.89999998</v>
      </c>
      <c r="D22" s="309">
        <v>1.6800075369574709E-2</v>
      </c>
    </row>
    <row r="23" spans="1:4" ht="18.75" customHeight="1" thickBot="1">
      <c r="A23" s="782">
        <v>274</v>
      </c>
      <c r="B23" s="774" t="s">
        <v>1292</v>
      </c>
      <c r="C23" s="123">
        <v>308246711.86000001</v>
      </c>
      <c r="D23" s="309">
        <v>1.6974427755971438E-2</v>
      </c>
    </row>
    <row r="24" spans="1:4" ht="18.75" customHeight="1" thickBot="1">
      <c r="A24" s="782">
        <v>279</v>
      </c>
      <c r="B24" s="774" t="s">
        <v>1293</v>
      </c>
      <c r="C24" s="123">
        <v>2748558.18</v>
      </c>
      <c r="D24" s="309">
        <v>1.5135669080773288E-4</v>
      </c>
    </row>
    <row r="25" spans="1:4" ht="21.75" customHeight="1" thickBot="1">
      <c r="A25" s="89"/>
      <c r="B25" s="774" t="s">
        <v>1294</v>
      </c>
      <c r="C25" s="123">
        <v>4063537530.5399995</v>
      </c>
      <c r="D25" s="309">
        <v>0.22376953781475387</v>
      </c>
    </row>
    <row r="26" spans="1:4" ht="21.75" customHeight="1" thickBot="1">
      <c r="A26" s="89">
        <v>28</v>
      </c>
      <c r="B26" s="777" t="s">
        <v>1295</v>
      </c>
      <c r="C26" s="123">
        <v>7701767.1800000006</v>
      </c>
      <c r="D26" s="309">
        <v>4.241183622085106E-4</v>
      </c>
    </row>
    <row r="27" spans="1:4" ht="18.75" customHeight="1" thickBot="1">
      <c r="A27" s="782">
        <v>280</v>
      </c>
      <c r="B27" s="774" t="s">
        <v>1296</v>
      </c>
      <c r="C27" s="123">
        <v>7101767.1800000006</v>
      </c>
      <c r="D27" s="309">
        <v>3.91077761087002E-4</v>
      </c>
    </row>
    <row r="28" spans="1:4" ht="18.75" customHeight="1" thickBot="1">
      <c r="A28" s="782">
        <v>281</v>
      </c>
      <c r="B28" s="774" t="s">
        <v>1297</v>
      </c>
      <c r="C28" s="123">
        <v>600000</v>
      </c>
      <c r="D28" s="309">
        <v>3.3040601121508631E-5</v>
      </c>
    </row>
    <row r="29" spans="1:4" ht="18.75" customHeight="1" thickBot="1">
      <c r="A29" s="782">
        <v>282</v>
      </c>
      <c r="B29" s="774" t="s">
        <v>1298</v>
      </c>
      <c r="C29" s="123">
        <v>0</v>
      </c>
      <c r="D29" s="309">
        <v>0</v>
      </c>
    </row>
    <row r="30" spans="1:4" ht="21.75" customHeight="1" thickBot="1">
      <c r="A30" s="89">
        <v>29</v>
      </c>
      <c r="B30" s="777" t="s">
        <v>1240</v>
      </c>
      <c r="C30" s="123">
        <v>4055835763.3599997</v>
      </c>
      <c r="D30" s="309">
        <v>0.22334541945254535</v>
      </c>
    </row>
    <row r="31" spans="1:4" ht="30" customHeight="1" thickBot="1">
      <c r="A31" s="782">
        <v>290</v>
      </c>
      <c r="B31" s="781" t="s">
        <v>1299</v>
      </c>
      <c r="C31" s="123">
        <v>3023033677.9899983</v>
      </c>
      <c r="D31" s="309">
        <v>0.16647141655225783</v>
      </c>
    </row>
    <row r="32" spans="1:4" ht="30.75" customHeight="1" thickBot="1">
      <c r="A32" s="782">
        <v>290.5</v>
      </c>
      <c r="B32" s="781" t="s">
        <v>1300</v>
      </c>
      <c r="C32" s="123">
        <v>13049376.229999999</v>
      </c>
      <c r="D32" s="309">
        <v>7.1859872483321003E-4</v>
      </c>
    </row>
    <row r="33" spans="1:4" ht="18.75" customHeight="1" thickBot="1">
      <c r="A33" s="782">
        <v>290.89999999999998</v>
      </c>
      <c r="B33" s="774" t="s">
        <v>1301</v>
      </c>
      <c r="C33" s="123">
        <v>92708844.140000001</v>
      </c>
      <c r="D33" s="309">
        <v>5.1052598994430877E-3</v>
      </c>
    </row>
    <row r="34" spans="1:4" ht="18.75" customHeight="1" thickBot="1">
      <c r="A34" s="782">
        <v>291</v>
      </c>
      <c r="B34" s="774" t="s">
        <v>1302</v>
      </c>
      <c r="C34" s="123">
        <v>507149992.81999987</v>
      </c>
      <c r="D34" s="309">
        <v>2.7927567702569302E-2</v>
      </c>
    </row>
    <row r="35" spans="1:4" ht="18.75" customHeight="1" thickBot="1">
      <c r="A35" s="782">
        <v>292</v>
      </c>
      <c r="B35" s="774" t="s">
        <v>1303</v>
      </c>
      <c r="C35" s="123">
        <v>-39198971.649999991</v>
      </c>
      <c r="D35" s="309">
        <v>-2.1585959777682909E-3</v>
      </c>
    </row>
    <row r="36" spans="1:4" ht="18.75" customHeight="1" thickBot="1">
      <c r="A36" s="782">
        <v>293</v>
      </c>
      <c r="B36" s="774" t="s">
        <v>1304</v>
      </c>
      <c r="C36" s="123">
        <v>459092843.83000004</v>
      </c>
      <c r="D36" s="309">
        <v>2.5281172551210141E-2</v>
      </c>
    </row>
    <row r="37" spans="1:4" ht="18.75" customHeight="1" thickBot="1">
      <c r="A37" s="782">
        <v>299</v>
      </c>
      <c r="B37" s="774" t="s">
        <v>1305</v>
      </c>
      <c r="C37" s="123">
        <v>0</v>
      </c>
      <c r="D37" s="309">
        <v>0</v>
      </c>
    </row>
    <row r="38" spans="1:4" s="115" customFormat="1" ht="35.25" customHeight="1" thickBot="1">
      <c r="A38" s="91">
        <v>2</v>
      </c>
      <c r="B38" s="91" t="s">
        <v>1306</v>
      </c>
      <c r="C38" s="125">
        <v>18159475906.43</v>
      </c>
      <c r="D38" s="783">
        <v>1</v>
      </c>
    </row>
    <row r="39" spans="1:4" ht="19.5" customHeight="1">
      <c r="A39" s="95" t="s">
        <v>678</v>
      </c>
      <c r="B39" s="292"/>
      <c r="C39" s="126"/>
      <c r="D39" s="665"/>
    </row>
    <row r="41" spans="1:4">
      <c r="A41" s="3" t="s">
        <v>1307</v>
      </c>
    </row>
    <row r="44" spans="1:4">
      <c r="A44" s="324" t="s">
        <v>677</v>
      </c>
    </row>
  </sheetData>
  <pageMargins left="0.62" right="0.69" top="0.85" bottom="0.49" header="0.47" footer="0.4921259845"/>
  <pageSetup paperSize="9" scale="79" orientation="portrait" horizontalDpi="1200" verticalDpi="1200"/>
  <headerFooter alignWithMargins="0"/>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89201-3A33-5C4F-9D0F-1F530C9293F9}">
  <sheetPr>
    <pageSetUpPr fitToPage="1"/>
  </sheetPr>
  <dimension ref="A1:D31"/>
  <sheetViews>
    <sheetView zoomScaleNormal="100" workbookViewId="0">
      <selection activeCell="A4" sqref="A4"/>
    </sheetView>
  </sheetViews>
  <sheetFormatPr baseColWidth="10" defaultColWidth="11.3984375" defaultRowHeight="13"/>
  <cols>
    <col min="1" max="1" width="10.59765625" style="3" customWidth="1"/>
    <col min="2" max="2" width="60.59765625" style="49" customWidth="1"/>
    <col min="3" max="3" width="17.3984375" style="8" customWidth="1"/>
    <col min="4" max="4" width="16.796875" style="667" customWidth="1"/>
    <col min="5" max="16384" width="11.3984375" style="3"/>
  </cols>
  <sheetData>
    <row r="1" spans="1:4" s="2" customFormat="1" ht="14" customHeight="1">
      <c r="B1" s="261"/>
      <c r="C1" s="100"/>
      <c r="D1" s="650"/>
    </row>
    <row r="2" spans="1:4" s="2" customFormat="1" ht="28" customHeight="1">
      <c r="A2" s="47" t="s">
        <v>1308</v>
      </c>
      <c r="B2" s="261"/>
      <c r="C2" s="100"/>
      <c r="D2" s="358">
        <v>2010</v>
      </c>
    </row>
    <row r="3" spans="1:4" ht="39" customHeight="1">
      <c r="A3" s="276" t="s">
        <v>417</v>
      </c>
      <c r="B3" s="277"/>
      <c r="C3" s="103" t="s">
        <v>1164</v>
      </c>
      <c r="D3" s="652" t="s">
        <v>1203</v>
      </c>
    </row>
    <row r="4" spans="1:4" ht="38" customHeight="1">
      <c r="A4" s="263"/>
      <c r="B4" s="264"/>
      <c r="C4" s="110" t="s">
        <v>420</v>
      </c>
      <c r="D4" s="654" t="s">
        <v>506</v>
      </c>
    </row>
    <row r="5" spans="1:4" ht="39" customHeight="1" thickBot="1">
      <c r="A5" s="784">
        <v>17</v>
      </c>
      <c r="B5" s="785" t="s">
        <v>1309</v>
      </c>
      <c r="C5" s="786"/>
      <c r="D5" s="787"/>
    </row>
    <row r="6" spans="1:4" ht="21.75" customHeight="1" thickBot="1">
      <c r="A6" s="782">
        <v>170</v>
      </c>
      <c r="B6" s="774" t="s">
        <v>1310</v>
      </c>
      <c r="C6" s="133"/>
      <c r="D6" s="788"/>
    </row>
    <row r="7" spans="1:4" ht="33.75" customHeight="1" thickBot="1">
      <c r="A7" s="789"/>
      <c r="B7" s="776" t="s">
        <v>1311</v>
      </c>
      <c r="C7" s="133">
        <v>1401401605.6899998</v>
      </c>
      <c r="D7" s="788">
        <v>0.14002934593283026</v>
      </c>
    </row>
    <row r="8" spans="1:4" ht="18" customHeight="1" thickBot="1">
      <c r="A8" s="789"/>
      <c r="B8" s="776" t="s">
        <v>1312</v>
      </c>
      <c r="C8" s="133">
        <v>7581731670.4800014</v>
      </c>
      <c r="D8" s="788">
        <v>0.75757364808556327</v>
      </c>
    </row>
    <row r="9" spans="1:4" ht="19.5" customHeight="1" thickBot="1">
      <c r="A9" s="789"/>
      <c r="B9" s="776" t="s">
        <v>1313</v>
      </c>
      <c r="C9" s="133">
        <v>213992701.29999998</v>
      </c>
      <c r="D9" s="788">
        <v>2.1382348839742264E-2</v>
      </c>
    </row>
    <row r="10" spans="1:4" ht="33" customHeight="1" thickBot="1">
      <c r="A10" s="789"/>
      <c r="B10" s="776" t="s">
        <v>1314</v>
      </c>
      <c r="C10" s="133">
        <v>0</v>
      </c>
      <c r="D10" s="788">
        <v>0</v>
      </c>
    </row>
    <row r="11" spans="1:4" ht="30.75" customHeight="1" thickBot="1">
      <c r="A11" s="789"/>
      <c r="B11" s="776" t="s">
        <v>1315</v>
      </c>
      <c r="C11" s="133">
        <v>10544081</v>
      </c>
      <c r="D11" s="788">
        <v>1.0535743357920706E-3</v>
      </c>
    </row>
    <row r="12" spans="1:4" ht="21.75" customHeight="1" thickBot="1">
      <c r="A12" s="789"/>
      <c r="B12" s="89" t="s">
        <v>1316</v>
      </c>
      <c r="C12" s="133">
        <v>285549137.92000008</v>
      </c>
      <c r="D12" s="788">
        <v>2.8532334237574848E-2</v>
      </c>
    </row>
    <row r="13" spans="1:4" ht="21.75" customHeight="1" thickBot="1">
      <c r="A13" s="790">
        <v>170</v>
      </c>
      <c r="B13" s="776" t="s">
        <v>190</v>
      </c>
      <c r="C13" s="791">
        <v>9493219196.3900051</v>
      </c>
      <c r="D13" s="788">
        <v>0.948571251431503</v>
      </c>
    </row>
    <row r="14" spans="1:4" s="779" customFormat="1" ht="23.25" customHeight="1" thickBot="1">
      <c r="A14" s="789">
        <v>179</v>
      </c>
      <c r="B14" s="89" t="s">
        <v>1317</v>
      </c>
      <c r="C14" s="133">
        <v>-451666789.20000005</v>
      </c>
      <c r="D14" s="788">
        <v>-4.5130963754046204E-2</v>
      </c>
    </row>
    <row r="15" spans="1:4" s="779" customFormat="1" ht="27.75" customHeight="1" thickBot="1">
      <c r="A15" s="777">
        <v>17</v>
      </c>
      <c r="B15" s="777" t="s">
        <v>1318</v>
      </c>
      <c r="C15" s="267">
        <v>9041552407.1900024</v>
      </c>
      <c r="D15" s="787">
        <v>0.90344028767745654</v>
      </c>
    </row>
    <row r="16" spans="1:4" ht="24.75" customHeight="1" thickBot="1">
      <c r="A16" s="310">
        <v>18</v>
      </c>
      <c r="B16" s="792" t="s">
        <v>1266</v>
      </c>
      <c r="C16" s="133"/>
      <c r="D16" s="788"/>
    </row>
    <row r="17" spans="1:4" ht="16.5" customHeight="1" thickBot="1">
      <c r="A17" s="789">
        <v>180</v>
      </c>
      <c r="B17" s="776" t="s">
        <v>1319</v>
      </c>
      <c r="C17" s="133">
        <v>116195671.19000001</v>
      </c>
      <c r="D17" s="788">
        <v>1.161037904544911E-2</v>
      </c>
    </row>
    <row r="18" spans="1:4" ht="22.5" customHeight="1" thickBot="1">
      <c r="A18" s="789"/>
      <c r="B18" s="776" t="s">
        <v>1320</v>
      </c>
      <c r="C18" s="133">
        <v>466281286.05000007</v>
      </c>
      <c r="D18" s="788">
        <v>4.6591257810178179E-2</v>
      </c>
    </row>
    <row r="19" spans="1:4" ht="18.75" customHeight="1" thickBot="1">
      <c r="A19" s="789"/>
      <c r="B19" s="89" t="s">
        <v>1321</v>
      </c>
      <c r="C19" s="133">
        <v>779985514.88</v>
      </c>
      <c r="D19" s="788">
        <v>7.7936874798963718E-2</v>
      </c>
    </row>
    <row r="20" spans="1:4" ht="18.75" customHeight="1" thickBot="1">
      <c r="A20" s="789">
        <v>180</v>
      </c>
      <c r="B20" s="89" t="s">
        <v>190</v>
      </c>
      <c r="C20" s="133">
        <v>1362462472.1200004</v>
      </c>
      <c r="D20" s="788">
        <v>0.13613851165459104</v>
      </c>
    </row>
    <row r="21" spans="1:4" ht="21" customHeight="1" thickBot="1">
      <c r="A21" s="789">
        <v>189</v>
      </c>
      <c r="B21" s="89" t="s">
        <v>1322</v>
      </c>
      <c r="C21" s="133">
        <v>-396101206.96999997</v>
      </c>
      <c r="D21" s="788">
        <v>-3.9578799332047547E-2</v>
      </c>
    </row>
    <row r="22" spans="1:4" ht="30.75" customHeight="1" thickBot="1">
      <c r="A22" s="777">
        <v>18</v>
      </c>
      <c r="B22" s="777" t="s">
        <v>1323</v>
      </c>
      <c r="C22" s="267">
        <v>966361265.14999998</v>
      </c>
      <c r="D22" s="787">
        <v>9.6559712322543456E-2</v>
      </c>
    </row>
    <row r="23" spans="1:4" ht="39" customHeight="1" thickBot="1">
      <c r="A23" s="390" t="s">
        <v>1324</v>
      </c>
      <c r="B23" s="793" t="s">
        <v>1325</v>
      </c>
      <c r="C23" s="270">
        <v>10007913672.340002</v>
      </c>
      <c r="D23" s="794">
        <v>1</v>
      </c>
    </row>
    <row r="24" spans="1:4" ht="19.5" customHeight="1">
      <c r="A24" s="95" t="s">
        <v>678</v>
      </c>
      <c r="B24" s="292"/>
      <c r="C24" s="117"/>
      <c r="D24" s="665"/>
    </row>
    <row r="25" spans="1:4" ht="14.25" customHeight="1">
      <c r="A25" s="96"/>
      <c r="B25" s="316"/>
      <c r="C25" s="119"/>
      <c r="D25" s="666"/>
    </row>
    <row r="26" spans="1:4" ht="14.25" customHeight="1">
      <c r="A26" s="96" t="s">
        <v>1326</v>
      </c>
      <c r="B26" s="316"/>
      <c r="C26" s="119"/>
      <c r="D26" s="666"/>
    </row>
    <row r="28" spans="1:4">
      <c r="A28" s="3" t="s">
        <v>1327</v>
      </c>
    </row>
    <row r="31" spans="1:4">
      <c r="A31" s="324" t="s">
        <v>677</v>
      </c>
    </row>
  </sheetData>
  <pageMargins left="0.78740157480314965" right="0.83" top="0.92" bottom="0.49" header="0.53" footer="0.4921259845"/>
  <pageSetup paperSize="9" scale="81" orientation="portrait" horizontalDpi="1200" verticalDpi="1200"/>
  <headerFooter alignWithMargins="0"/>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4E365-A1AD-9343-96D3-12336104C9EA}">
  <sheetPr>
    <pageSetUpPr fitToPage="1"/>
  </sheetPr>
  <dimension ref="A1:D27"/>
  <sheetViews>
    <sheetView zoomScaleNormal="100" workbookViewId="0">
      <selection activeCell="H8" sqref="H8"/>
    </sheetView>
  </sheetViews>
  <sheetFormatPr baseColWidth="10" defaultColWidth="11.3984375" defaultRowHeight="13"/>
  <cols>
    <col min="1" max="1" width="10.59765625" style="3" customWidth="1"/>
    <col min="2" max="2" width="60.59765625" style="49" customWidth="1"/>
    <col min="3" max="3" width="18.59765625" style="8" customWidth="1"/>
    <col min="4" max="4" width="18.3984375" style="667" customWidth="1"/>
    <col min="5" max="16384" width="11.3984375" style="3"/>
  </cols>
  <sheetData>
    <row r="1" spans="1:4" s="2" customFormat="1" ht="14" customHeight="1">
      <c r="B1" s="261"/>
      <c r="C1" s="100"/>
      <c r="D1" s="650"/>
    </row>
    <row r="2" spans="1:4" s="2" customFormat="1" ht="28" customHeight="1">
      <c r="A2" s="47" t="s">
        <v>1328</v>
      </c>
      <c r="B2" s="261"/>
      <c r="C2" s="100"/>
      <c r="D2" s="358">
        <v>2010</v>
      </c>
    </row>
    <row r="3" spans="1:4" ht="27.75" customHeight="1">
      <c r="A3" s="72"/>
      <c r="B3" s="277"/>
      <c r="C3" s="795" t="s">
        <v>1164</v>
      </c>
      <c r="D3" s="652" t="s">
        <v>1164</v>
      </c>
    </row>
    <row r="4" spans="1:4" ht="27.75" customHeight="1">
      <c r="A4" s="263"/>
      <c r="B4" s="264"/>
      <c r="C4" s="107" t="s">
        <v>420</v>
      </c>
      <c r="D4" s="654" t="s">
        <v>420</v>
      </c>
    </row>
    <row r="5" spans="1:4" ht="33" customHeight="1" thickBot="1">
      <c r="A5" s="784"/>
      <c r="B5" s="784" t="s">
        <v>1329</v>
      </c>
      <c r="C5" s="786"/>
      <c r="D5" s="787"/>
    </row>
    <row r="6" spans="1:4" ht="21.75" customHeight="1" thickBot="1">
      <c r="A6" s="789">
        <v>800</v>
      </c>
      <c r="B6" s="89" t="s">
        <v>1330</v>
      </c>
      <c r="C6" s="133" t="s">
        <v>35</v>
      </c>
      <c r="D6" s="130">
        <v>340234860.62</v>
      </c>
    </row>
    <row r="7" spans="1:4" ht="23.25" customHeight="1" thickBot="1">
      <c r="A7" s="789">
        <v>800</v>
      </c>
      <c r="B7" s="776" t="s">
        <v>1331</v>
      </c>
      <c r="C7" s="133">
        <v>40644761.590000004</v>
      </c>
      <c r="D7" s="130" t="s">
        <v>35</v>
      </c>
    </row>
    <row r="8" spans="1:4" ht="46.5" customHeight="1" thickBot="1">
      <c r="A8" s="789"/>
      <c r="B8" s="89"/>
      <c r="C8" s="796" t="s">
        <v>1332</v>
      </c>
      <c r="D8" s="797" t="s">
        <v>1333</v>
      </c>
    </row>
    <row r="9" spans="1:4" ht="26.25" customHeight="1" thickBot="1">
      <c r="A9" s="789"/>
      <c r="B9" s="310" t="s">
        <v>1334</v>
      </c>
      <c r="C9" s="133"/>
      <c r="D9" s="798"/>
    </row>
    <row r="10" spans="1:4" ht="21.75" customHeight="1" thickBot="1">
      <c r="A10" s="789">
        <v>280</v>
      </c>
      <c r="B10" s="776" t="s">
        <v>1335</v>
      </c>
      <c r="C10" s="133">
        <v>0</v>
      </c>
      <c r="D10" s="130">
        <v>7177128.4000000004</v>
      </c>
    </row>
    <row r="11" spans="1:4" ht="24" customHeight="1" thickBot="1">
      <c r="A11" s="789">
        <v>281</v>
      </c>
      <c r="B11" s="776" t="s">
        <v>1336</v>
      </c>
      <c r="C11" s="133">
        <v>0</v>
      </c>
      <c r="D11" s="130">
        <v>0</v>
      </c>
    </row>
    <row r="12" spans="1:4" ht="21.75" customHeight="1" thickBot="1">
      <c r="A12" s="789">
        <v>282</v>
      </c>
      <c r="B12" s="89" t="s">
        <v>1337</v>
      </c>
      <c r="C12" s="133">
        <v>0</v>
      </c>
      <c r="D12" s="130">
        <v>0</v>
      </c>
    </row>
    <row r="13" spans="1:4" ht="28.5" customHeight="1" thickBot="1">
      <c r="A13" s="790"/>
      <c r="B13" s="792" t="s">
        <v>1338</v>
      </c>
      <c r="C13" s="133"/>
      <c r="D13" s="130"/>
    </row>
    <row r="14" spans="1:4" s="779" customFormat="1" ht="24.75" customHeight="1" thickBot="1">
      <c r="A14" s="789">
        <v>290</v>
      </c>
      <c r="B14" s="776" t="s">
        <v>1339</v>
      </c>
      <c r="C14" s="133">
        <v>290251854.26999998</v>
      </c>
      <c r="D14" s="130">
        <v>58473894.140000001</v>
      </c>
    </row>
    <row r="15" spans="1:4" s="779" customFormat="1" ht="30.75" customHeight="1" thickBot="1">
      <c r="A15" s="789">
        <v>290.5</v>
      </c>
      <c r="B15" s="776" t="s">
        <v>1340</v>
      </c>
      <c r="C15" s="133">
        <v>5567784.4800000004</v>
      </c>
      <c r="D15" s="130">
        <v>8264964.8600000003</v>
      </c>
    </row>
    <row r="16" spans="1:4" ht="25.5" customHeight="1" thickBot="1">
      <c r="A16" s="789">
        <v>291</v>
      </c>
      <c r="B16" s="776" t="s">
        <v>1341</v>
      </c>
      <c r="C16" s="133">
        <v>23362998.629999999</v>
      </c>
      <c r="D16" s="130">
        <v>6372064.9299999997</v>
      </c>
    </row>
    <row r="17" spans="1:4" ht="24" customHeight="1" thickBot="1">
      <c r="A17" s="789">
        <v>292</v>
      </c>
      <c r="B17" s="776" t="s">
        <v>1342</v>
      </c>
      <c r="C17" s="133">
        <v>5830289.8600000003</v>
      </c>
      <c r="D17" s="130">
        <v>9394116</v>
      </c>
    </row>
    <row r="18" spans="1:4" ht="22.5" customHeight="1" thickBot="1">
      <c r="A18" s="789">
        <v>293</v>
      </c>
      <c r="B18" s="776" t="s">
        <v>1343</v>
      </c>
      <c r="C18" s="133">
        <v>65201497.119999997</v>
      </c>
      <c r="D18" s="130">
        <v>942156.97</v>
      </c>
    </row>
    <row r="19" spans="1:4" ht="13.5" customHeight="1" thickBot="1">
      <c r="A19" s="789"/>
      <c r="B19" s="89"/>
      <c r="C19" s="133"/>
      <c r="D19" s="130"/>
    </row>
    <row r="20" spans="1:4" s="248" customFormat="1" ht="33" customHeight="1" thickBot="1">
      <c r="A20" s="799"/>
      <c r="B20" s="777" t="s">
        <v>1344</v>
      </c>
      <c r="C20" s="267">
        <v>430859185.93000001</v>
      </c>
      <c r="D20" s="331">
        <v>430859185.92000002</v>
      </c>
    </row>
    <row r="21" spans="1:4" ht="2.25" customHeight="1" thickBot="1">
      <c r="A21" s="390"/>
      <c r="B21" s="793"/>
      <c r="C21" s="270"/>
      <c r="D21" s="794"/>
    </row>
    <row r="22" spans="1:4" ht="19.5" customHeight="1">
      <c r="A22" s="95" t="s">
        <v>678</v>
      </c>
      <c r="B22" s="292"/>
      <c r="C22" s="117"/>
      <c r="D22" s="665"/>
    </row>
    <row r="23" spans="1:4" ht="14.25" customHeight="1">
      <c r="A23" s="96"/>
      <c r="B23" s="316"/>
      <c r="C23" s="119"/>
      <c r="D23" s="666"/>
    </row>
    <row r="24" spans="1:4">
      <c r="A24" s="3" t="s">
        <v>1345</v>
      </c>
    </row>
    <row r="27" spans="1:4">
      <c r="A27" s="324" t="s">
        <v>677</v>
      </c>
    </row>
  </sheetData>
  <pageMargins left="0.78740157480314965" right="0.78740157480314965" top="1.05" bottom="0.49" header="0.56000000000000005" footer="0.4921259845"/>
  <pageSetup paperSize="9" scale="80" orientation="portrait" horizontalDpi="1200" verticalDpi="1200"/>
  <headerFooter alignWithMargins="0"/>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2B56B-0E69-FD44-919C-6B69BCEE3E2E}">
  <sheetPr>
    <pageSetUpPr fitToPage="1"/>
  </sheetPr>
  <dimension ref="A1:B26"/>
  <sheetViews>
    <sheetView workbookViewId="0">
      <selection activeCell="B22" sqref="B22"/>
    </sheetView>
  </sheetViews>
  <sheetFormatPr baseColWidth="10" defaultColWidth="11.59765625" defaultRowHeight="13"/>
  <cols>
    <col min="1" max="1" width="5.59765625" style="958" customWidth="1"/>
    <col min="2" max="8" width="11.59765625" style="958"/>
    <col min="9" max="9" width="10.59765625" style="958" customWidth="1"/>
    <col min="10" max="10" width="7.59765625" style="958" customWidth="1"/>
    <col min="11" max="16384" width="11.59765625" style="958"/>
  </cols>
  <sheetData>
    <row r="1" spans="1:2" ht="16">
      <c r="A1" s="957" t="s">
        <v>1631</v>
      </c>
    </row>
    <row r="2" spans="1:2" ht="16">
      <c r="A2" s="959"/>
    </row>
    <row r="3" spans="1:2">
      <c r="A3" s="960">
        <v>9.01</v>
      </c>
      <c r="B3" s="961" t="s">
        <v>1632</v>
      </c>
    </row>
    <row r="4" spans="1:2">
      <c r="A4" s="960">
        <v>9.02</v>
      </c>
      <c r="B4" s="961" t="s">
        <v>1633</v>
      </c>
    </row>
    <row r="5" spans="1:2">
      <c r="A5" s="960">
        <v>9.0299999999999994</v>
      </c>
      <c r="B5" s="961" t="s">
        <v>1634</v>
      </c>
    </row>
    <row r="6" spans="1:2">
      <c r="A6" s="960">
        <v>9.0399999999999991</v>
      </c>
      <c r="B6" s="961" t="s">
        <v>1635</v>
      </c>
    </row>
    <row r="7" spans="1:2">
      <c r="A7" s="960">
        <v>9.0500000000000007</v>
      </c>
      <c r="B7" s="961" t="s">
        <v>1636</v>
      </c>
    </row>
    <row r="8" spans="1:2">
      <c r="A8" s="960">
        <v>9.06</v>
      </c>
      <c r="B8" s="961" t="s">
        <v>1637</v>
      </c>
    </row>
    <row r="9" spans="1:2">
      <c r="A9" s="960">
        <v>9.07</v>
      </c>
      <c r="B9" s="961" t="s">
        <v>1638</v>
      </c>
    </row>
    <row r="10" spans="1:2">
      <c r="A10" s="960">
        <v>9.08</v>
      </c>
      <c r="B10" s="961" t="s">
        <v>1639</v>
      </c>
    </row>
    <row r="11" spans="1:2">
      <c r="A11" s="960">
        <v>9.09</v>
      </c>
      <c r="B11" s="961" t="s">
        <v>1640</v>
      </c>
    </row>
    <row r="12" spans="1:2">
      <c r="A12" s="960">
        <v>9.1</v>
      </c>
      <c r="B12" s="961" t="s">
        <v>1641</v>
      </c>
    </row>
    <row r="13" spans="1:2">
      <c r="A13" s="960">
        <v>9.11</v>
      </c>
      <c r="B13" s="961" t="s">
        <v>1642</v>
      </c>
    </row>
    <row r="14" spans="1:2">
      <c r="A14" s="960">
        <v>9.1199999999999992</v>
      </c>
      <c r="B14" s="961" t="s">
        <v>1643</v>
      </c>
    </row>
    <row r="15" spans="1:2">
      <c r="A15" s="960">
        <v>9.1300000000000008</v>
      </c>
      <c r="B15" s="961" t="s">
        <v>1644</v>
      </c>
    </row>
    <row r="16" spans="1:2">
      <c r="A16" s="960">
        <v>9.14</v>
      </c>
      <c r="B16" s="961" t="s">
        <v>1645</v>
      </c>
    </row>
    <row r="17" spans="1:2">
      <c r="A17" s="960">
        <v>9.15</v>
      </c>
      <c r="B17" s="249" t="s">
        <v>2187</v>
      </c>
    </row>
    <row r="18" spans="1:2">
      <c r="A18" s="960">
        <v>9.16</v>
      </c>
      <c r="B18" s="962" t="s">
        <v>1646</v>
      </c>
    </row>
    <row r="19" spans="1:2">
      <c r="A19" s="960">
        <v>9.17</v>
      </c>
      <c r="B19" s="961" t="s">
        <v>1647</v>
      </c>
    </row>
    <row r="20" spans="1:2">
      <c r="A20" s="960">
        <v>9.18</v>
      </c>
      <c r="B20" s="961" t="s">
        <v>1648</v>
      </c>
    </row>
    <row r="21" spans="1:2">
      <c r="A21" s="960">
        <v>9.19</v>
      </c>
      <c r="B21" s="961" t="s">
        <v>2188</v>
      </c>
    </row>
    <row r="22" spans="1:2">
      <c r="A22" s="960">
        <v>9.1999999999999993</v>
      </c>
      <c r="B22" s="962" t="s">
        <v>1649</v>
      </c>
    </row>
    <row r="25" spans="1:2">
      <c r="A25" s="963" t="s">
        <v>677</v>
      </c>
    </row>
    <row r="26" spans="1:2">
      <c r="B26" s="961"/>
    </row>
  </sheetData>
  <pageMargins left="0.46" right="0.3" top="0.78" bottom="0.984251969" header="0.34" footer="0.4921259845"/>
  <pageSetup paperSize="9" orientation="portrait"/>
  <headerFooter alignWithMargins="0"/>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6B246-3406-3A48-9529-E157D62E3D2B}">
  <sheetPr>
    <pageSetUpPr fitToPage="1"/>
  </sheetPr>
  <dimension ref="A1:J46"/>
  <sheetViews>
    <sheetView zoomScaleNormal="100" workbookViewId="0">
      <selection activeCell="A28" sqref="A28"/>
    </sheetView>
  </sheetViews>
  <sheetFormatPr baseColWidth="10" defaultColWidth="11.3984375" defaultRowHeight="13"/>
  <cols>
    <col min="1" max="1" width="15.796875" style="3" customWidth="1"/>
    <col min="2" max="7" width="15.796875" style="121" customWidth="1"/>
    <col min="8" max="16384" width="11.3984375" style="3"/>
  </cols>
  <sheetData>
    <row r="1" spans="1:7" s="2" customFormat="1" ht="14" customHeight="1">
      <c r="A1" s="242"/>
      <c r="B1" s="1142"/>
      <c r="C1" s="1142"/>
      <c r="D1" s="1142"/>
      <c r="E1" s="1142"/>
      <c r="F1" s="1142"/>
      <c r="G1" s="1142"/>
    </row>
    <row r="2" spans="1:7" s="2" customFormat="1" ht="38.25" customHeight="1">
      <c r="A2" s="1812" t="s">
        <v>1927</v>
      </c>
      <c r="B2" s="1811"/>
      <c r="C2" s="1811"/>
      <c r="D2" s="1811"/>
      <c r="E2" s="1811"/>
      <c r="F2" s="1811"/>
      <c r="G2" s="358"/>
    </row>
    <row r="3" spans="1:7" ht="27" customHeight="1">
      <c r="A3" s="72" t="s">
        <v>695</v>
      </c>
      <c r="B3" s="73" t="s">
        <v>1928</v>
      </c>
      <c r="C3" s="74" t="s">
        <v>1929</v>
      </c>
      <c r="D3" s="73" t="s">
        <v>1930</v>
      </c>
      <c r="E3" s="74" t="s">
        <v>1931</v>
      </c>
      <c r="F3" s="73" t="s">
        <v>1930</v>
      </c>
      <c r="G3" s="74" t="s">
        <v>1932</v>
      </c>
    </row>
    <row r="4" spans="1:7" ht="15" customHeight="1">
      <c r="A4" s="328"/>
      <c r="B4" s="440"/>
      <c r="C4" s="894" t="s">
        <v>1933</v>
      </c>
      <c r="D4" s="76" t="s">
        <v>1934</v>
      </c>
      <c r="E4" s="77" t="s">
        <v>1935</v>
      </c>
      <c r="F4" s="76" t="s">
        <v>1936</v>
      </c>
      <c r="G4" s="77"/>
    </row>
    <row r="5" spans="1:7" ht="16.75" customHeight="1">
      <c r="A5" s="328"/>
      <c r="B5" s="76"/>
      <c r="C5" s="77" t="s">
        <v>1937</v>
      </c>
      <c r="D5" s="76" t="s">
        <v>1938</v>
      </c>
      <c r="E5" s="894" t="s">
        <v>1939</v>
      </c>
      <c r="F5" s="440" t="s">
        <v>1940</v>
      </c>
      <c r="G5" s="77"/>
    </row>
    <row r="6" spans="1:7" ht="25.5" customHeight="1">
      <c r="A6" s="263"/>
      <c r="B6" s="359"/>
      <c r="C6" s="81"/>
      <c r="D6" s="82" t="s">
        <v>1941</v>
      </c>
      <c r="E6" s="81"/>
      <c r="F6" s="82"/>
      <c r="G6" s="360"/>
    </row>
    <row r="7" spans="1:7" ht="1.5" customHeight="1" thickBot="1">
      <c r="A7" s="441">
        <v>1996</v>
      </c>
      <c r="B7" s="308">
        <v>5976.68608119694</v>
      </c>
      <c r="C7" s="428">
        <v>2694.5104040117299</v>
      </c>
      <c r="D7" s="308">
        <v>2760.27</v>
      </c>
      <c r="E7" s="428">
        <v>25676.809374727298</v>
      </c>
      <c r="F7" s="308">
        <v>360.34572496402706</v>
      </c>
      <c r="G7" s="428">
        <v>37468.621584899993</v>
      </c>
    </row>
    <row r="8" spans="1:7" ht="18" hidden="1" customHeight="1" thickBot="1">
      <c r="A8" s="444">
        <v>1997</v>
      </c>
      <c r="B8" s="429">
        <v>5920.5324887865727</v>
      </c>
      <c r="C8" s="430">
        <v>2815.7448411451096</v>
      </c>
      <c r="D8" s="429">
        <v>3024.94</v>
      </c>
      <c r="E8" s="430">
        <v>26081.24258388106</v>
      </c>
      <c r="F8" s="429">
        <v>367.4485025408178</v>
      </c>
      <c r="G8" s="430">
        <v>38209.908416353559</v>
      </c>
    </row>
    <row r="9" spans="1:7" ht="16.75" hidden="1" customHeight="1" thickBot="1">
      <c r="A9" s="444">
        <v>1998</v>
      </c>
      <c r="B9" s="429">
        <v>5989.0401962979158</v>
      </c>
      <c r="C9" s="430">
        <v>2973.2056398412365</v>
      </c>
      <c r="D9" s="429">
        <v>3270.2</v>
      </c>
      <c r="E9" s="430">
        <v>27207.284732536304</v>
      </c>
      <c r="F9" s="429">
        <v>375.28251008174266</v>
      </c>
      <c r="G9" s="430">
        <v>39815.013078757198</v>
      </c>
    </row>
    <row r="10" spans="1:7" ht="18" customHeight="1" thickBot="1">
      <c r="A10" s="444">
        <v>1999</v>
      </c>
      <c r="B10" s="429">
        <v>6272.8466267392196</v>
      </c>
      <c r="C10" s="430">
        <v>3109.7236465190003</v>
      </c>
      <c r="D10" s="429">
        <v>3620.5</v>
      </c>
      <c r="E10" s="430">
        <v>27712.672600594233</v>
      </c>
      <c r="F10" s="429">
        <v>388.70889016736157</v>
      </c>
      <c r="G10" s="430">
        <v>41104.451764019817</v>
      </c>
    </row>
    <row r="11" spans="1:7" ht="18" customHeight="1" thickBot="1">
      <c r="A11" s="444">
        <v>2000</v>
      </c>
      <c r="B11" s="429">
        <v>6460.9578247170593</v>
      </c>
      <c r="C11" s="430">
        <v>3228.4015641373426</v>
      </c>
      <c r="D11" s="429">
        <v>3725.7</v>
      </c>
      <c r="E11" s="430">
        <v>29007.70945802291</v>
      </c>
      <c r="F11" s="429">
        <v>420.16510495683002</v>
      </c>
      <c r="G11" s="430">
        <v>42842.933951834144</v>
      </c>
    </row>
    <row r="12" spans="1:7" ht="18" customHeight="1" thickBot="1">
      <c r="A12" s="444">
        <v>2001</v>
      </c>
      <c r="B12" s="429">
        <v>7635.1420797467763</v>
      </c>
      <c r="C12" s="430">
        <v>3420.9561673120697</v>
      </c>
      <c r="D12" s="429">
        <v>3837.6</v>
      </c>
      <c r="E12" s="430">
        <v>30236.407469645612</v>
      </c>
      <c r="F12" s="429">
        <v>442.73533222173643</v>
      </c>
      <c r="G12" s="430">
        <v>45572.841048926202</v>
      </c>
    </row>
    <row r="13" spans="1:7" ht="18" customHeight="1" thickBot="1">
      <c r="A13" s="444">
        <v>2002</v>
      </c>
      <c r="B13" s="429">
        <v>8429.5101580943574</v>
      </c>
      <c r="C13" s="430">
        <v>3447.3545767100568</v>
      </c>
      <c r="D13" s="429">
        <v>4062.6</v>
      </c>
      <c r="E13" s="430">
        <v>30992.856823335846</v>
      </c>
      <c r="F13" s="429">
        <v>456.31192849787288</v>
      </c>
      <c r="G13" s="430">
        <v>47388.633486638137</v>
      </c>
    </row>
    <row r="14" spans="1:7" ht="18" customHeight="1" thickBot="1">
      <c r="A14" s="444">
        <v>2003</v>
      </c>
      <c r="B14" s="429">
        <v>8778.10319716105</v>
      </c>
      <c r="C14" s="430">
        <v>3663.0755838507671</v>
      </c>
      <c r="D14" s="429">
        <v>4268.5</v>
      </c>
      <c r="E14" s="430">
        <v>32093.321909615661</v>
      </c>
      <c r="F14" s="429">
        <v>462.16066224325607</v>
      </c>
      <c r="G14" s="430">
        <v>49265.161352870738</v>
      </c>
    </row>
    <row r="15" spans="1:7" ht="18" customHeight="1" thickBot="1">
      <c r="A15" s="444">
        <v>2004</v>
      </c>
      <c r="B15" s="429">
        <v>8632.7243540636446</v>
      </c>
      <c r="C15" s="430">
        <v>3771.1797269619269</v>
      </c>
      <c r="D15" s="429">
        <v>4550.2</v>
      </c>
      <c r="E15" s="430">
        <v>33593.067485006832</v>
      </c>
      <c r="F15" s="429">
        <v>460.54510480676191</v>
      </c>
      <c r="G15" s="430">
        <v>51007.71667083916</v>
      </c>
    </row>
    <row r="16" spans="1:7" ht="18" customHeight="1" thickBot="1">
      <c r="A16" s="444">
        <v>2005</v>
      </c>
      <c r="B16" s="429">
        <v>8704.8174549394607</v>
      </c>
      <c r="C16" s="430">
        <v>3968.7366137610011</v>
      </c>
      <c r="D16" s="429">
        <v>4782.4252710000001</v>
      </c>
      <c r="E16" s="430">
        <v>34106.094831624476</v>
      </c>
      <c r="F16" s="429">
        <v>480.96670935903251</v>
      </c>
      <c r="G16" s="430">
        <v>52043.04088068397</v>
      </c>
    </row>
    <row r="17" spans="1:8" ht="18" customHeight="1" thickBot="1">
      <c r="A17" s="444">
        <v>2006</v>
      </c>
      <c r="B17" s="429">
        <v>8536.5423231378227</v>
      </c>
      <c r="C17" s="430">
        <v>4049.5170354256738</v>
      </c>
      <c r="D17" s="429">
        <v>4933.240785</v>
      </c>
      <c r="E17" s="430">
        <v>34753.76548484189</v>
      </c>
      <c r="F17" s="429">
        <v>500.28122327763634</v>
      </c>
      <c r="G17" s="430">
        <v>52773.346851683025</v>
      </c>
    </row>
    <row r="18" spans="1:8" ht="18" customHeight="1" thickBot="1">
      <c r="A18" s="444">
        <v>2007</v>
      </c>
      <c r="B18" s="429">
        <v>8960.8447898915601</v>
      </c>
      <c r="C18" s="430">
        <v>4185.9254439417819</v>
      </c>
      <c r="D18" s="429">
        <v>5178.7248829999999</v>
      </c>
      <c r="E18" s="430">
        <v>36353.967010517714</v>
      </c>
      <c r="F18" s="429">
        <v>535.48298288401816</v>
      </c>
      <c r="G18" s="430">
        <v>55214.945110235072</v>
      </c>
    </row>
    <row r="19" spans="1:8" ht="18" customHeight="1" thickBot="1">
      <c r="A19" s="444">
        <v>2008</v>
      </c>
      <c r="B19" s="1143">
        <v>10892.863194019998</v>
      </c>
      <c r="C19" s="430">
        <v>3547.5</v>
      </c>
      <c r="D19" s="429">
        <v>4972.2</v>
      </c>
      <c r="E19" s="1144">
        <v>38412.68930081898</v>
      </c>
      <c r="F19" s="429">
        <v>600.9</v>
      </c>
      <c r="G19" s="1144">
        <v>58426.052863864061</v>
      </c>
    </row>
    <row r="20" spans="1:8" ht="18" customHeight="1" thickBot="1">
      <c r="A20" s="444">
        <v>2009</v>
      </c>
      <c r="B20" s="429">
        <v>11812.531518999063</v>
      </c>
      <c r="C20" s="430">
        <v>3507.7414799101907</v>
      </c>
      <c r="D20" s="429">
        <v>5209.9069410245011</v>
      </c>
      <c r="E20" s="430">
        <v>39864.275516081259</v>
      </c>
      <c r="F20" s="429">
        <v>589.40634856941779</v>
      </c>
      <c r="G20" s="430">
        <v>60983.861804584434</v>
      </c>
    </row>
    <row r="21" spans="1:8" ht="32.25" customHeight="1" thickBot="1">
      <c r="A21" s="1145" t="s">
        <v>1942</v>
      </c>
      <c r="B21" s="1075">
        <v>12067.8</v>
      </c>
      <c r="C21" s="1076" t="s">
        <v>35</v>
      </c>
      <c r="D21" s="1075" t="s">
        <v>35</v>
      </c>
      <c r="E21" s="1076" t="s">
        <v>35</v>
      </c>
      <c r="F21" s="1075">
        <v>600</v>
      </c>
      <c r="G21" s="1076">
        <v>62651.4</v>
      </c>
    </row>
    <row r="22" spans="1:8" ht="20" customHeight="1">
      <c r="A22" s="1146" t="s">
        <v>2253</v>
      </c>
      <c r="B22" s="1147"/>
      <c r="C22" s="1147"/>
      <c r="D22" s="1147"/>
      <c r="E22" s="1147"/>
      <c r="F22" s="1147"/>
      <c r="G22" s="1147"/>
    </row>
    <row r="23" spans="1:8" ht="12.75" customHeight="1">
      <c r="A23" s="1148"/>
      <c r="B23" s="1149"/>
      <c r="C23" s="1149"/>
      <c r="D23" s="1149"/>
      <c r="E23" s="1149"/>
      <c r="F23" s="1149"/>
      <c r="G23" s="1149"/>
      <c r="H23" s="4"/>
    </row>
    <row r="24" spans="1:8" ht="12.75" customHeight="1">
      <c r="A24" s="1148" t="s">
        <v>1943</v>
      </c>
      <c r="B24" s="1149"/>
      <c r="C24" s="1149"/>
      <c r="D24" s="1149"/>
      <c r="E24" s="1149"/>
      <c r="F24" s="1149"/>
      <c r="G24" s="1149"/>
      <c r="H24" s="4"/>
    </row>
    <row r="25" spans="1:8" ht="12.75" customHeight="1">
      <c r="A25" s="1148" t="s">
        <v>1944</v>
      </c>
      <c r="B25" s="1149"/>
      <c r="C25" s="1149"/>
      <c r="D25" s="1149"/>
      <c r="E25" s="1149"/>
      <c r="F25" s="1149"/>
      <c r="G25" s="1149"/>
      <c r="H25" s="4"/>
    </row>
    <row r="26" spans="1:8" ht="12.75" customHeight="1">
      <c r="A26" s="1148" t="s">
        <v>1945</v>
      </c>
      <c r="B26" s="1149"/>
      <c r="C26" s="1149"/>
      <c r="D26" s="1149"/>
      <c r="E26" s="1149"/>
      <c r="F26" s="1149"/>
      <c r="G26" s="1149"/>
      <c r="H26" s="4"/>
    </row>
    <row r="27" spans="1:8" ht="12.75" customHeight="1">
      <c r="A27" s="1148" t="s">
        <v>1946</v>
      </c>
      <c r="B27" s="1149"/>
      <c r="C27" s="1149"/>
      <c r="D27" s="1149"/>
      <c r="E27" s="1149"/>
      <c r="F27" s="1149"/>
      <c r="G27" s="1149"/>
      <c r="H27" s="4"/>
    </row>
    <row r="28" spans="1:8" ht="12.75" customHeight="1">
      <c r="A28" s="1148" t="s">
        <v>1947</v>
      </c>
      <c r="B28" s="1149"/>
      <c r="C28" s="1149"/>
      <c r="D28" s="1149"/>
      <c r="E28" s="1149"/>
      <c r="F28" s="1149"/>
      <c r="G28" s="1149"/>
      <c r="H28" s="4"/>
    </row>
    <row r="29" spans="1:8" ht="12.75" customHeight="1">
      <c r="A29" s="1148" t="s">
        <v>1948</v>
      </c>
      <c r="B29" s="1149"/>
      <c r="C29" s="1149"/>
      <c r="D29" s="1149"/>
      <c r="E29" s="1149"/>
      <c r="F29" s="1149"/>
      <c r="G29" s="1149"/>
      <c r="H29" s="4"/>
    </row>
    <row r="30" spans="1:8" ht="12.75" customHeight="1">
      <c r="A30" s="1148" t="s">
        <v>1949</v>
      </c>
      <c r="B30" s="1149"/>
      <c r="C30" s="1149"/>
      <c r="D30" s="1149"/>
      <c r="E30" s="1149"/>
      <c r="F30" s="1149"/>
      <c r="G30" s="1149"/>
      <c r="H30" s="4"/>
    </row>
    <row r="31" spans="1:8" ht="12.75" customHeight="1">
      <c r="A31" s="1148" t="s">
        <v>1950</v>
      </c>
      <c r="B31" s="1149"/>
      <c r="C31" s="1149"/>
      <c r="D31" s="1149"/>
      <c r="E31" s="1149"/>
      <c r="F31" s="1149"/>
      <c r="G31" s="1149"/>
      <c r="H31" s="4"/>
    </row>
    <row r="32" spans="1:8" ht="12.75" customHeight="1">
      <c r="A32" s="1148" t="s">
        <v>1951</v>
      </c>
      <c r="B32" s="1149"/>
      <c r="C32" s="1149"/>
      <c r="D32" s="1149"/>
      <c r="E32" s="1149"/>
      <c r="F32" s="1149"/>
      <c r="G32" s="1149"/>
      <c r="H32" s="4"/>
    </row>
    <row r="33" spans="1:10" ht="12.75" customHeight="1">
      <c r="A33" s="1148"/>
      <c r="B33" s="1149"/>
      <c r="C33" s="1149"/>
      <c r="D33" s="1149"/>
      <c r="E33" s="1149"/>
      <c r="F33" s="1149"/>
      <c r="G33" s="1149"/>
      <c r="H33" s="4"/>
    </row>
    <row r="34" spans="1:10" ht="12.75" customHeight="1">
      <c r="A34" s="1148" t="s">
        <v>1952</v>
      </c>
      <c r="B34" s="1149"/>
      <c r="C34" s="1149"/>
      <c r="D34" s="1149"/>
      <c r="E34" s="1149"/>
      <c r="F34" s="1149"/>
      <c r="G34" s="1149"/>
      <c r="H34" s="4"/>
    </row>
    <row r="35" spans="1:10" ht="13.5" customHeight="1">
      <c r="A35" s="479"/>
      <c r="B35" s="1150"/>
      <c r="C35" s="1150"/>
      <c r="D35" s="1150"/>
      <c r="E35" s="1150"/>
      <c r="F35" s="1150"/>
      <c r="G35" s="1150"/>
      <c r="H35" s="4"/>
    </row>
    <row r="36" spans="1:10" ht="12.75" customHeight="1">
      <c r="A36" s="1151"/>
      <c r="B36" s="1150"/>
      <c r="C36" s="1150"/>
      <c r="D36" s="1150"/>
      <c r="E36" s="1150"/>
      <c r="F36" s="1150"/>
      <c r="G36" s="1150"/>
      <c r="H36" s="4"/>
    </row>
    <row r="37" spans="1:10" ht="13.5" customHeight="1">
      <c r="A37" s="4" t="s">
        <v>677</v>
      </c>
      <c r="B37" s="1150"/>
      <c r="C37" s="1150"/>
      <c r="D37" s="1150"/>
      <c r="E37" s="1150"/>
      <c r="F37" s="1150"/>
      <c r="G37" s="1150"/>
      <c r="H37" s="4"/>
    </row>
    <row r="38" spans="1:10" ht="31" customHeight="1">
      <c r="A38" s="138"/>
      <c r="B38" s="1152"/>
      <c r="C38" s="1152"/>
      <c r="D38" s="1152"/>
      <c r="E38" s="1152"/>
      <c r="F38" s="1152"/>
      <c r="G38" s="1152"/>
    </row>
    <row r="39" spans="1:10" ht="31" customHeight="1">
      <c r="A39" s="138"/>
      <c r="B39" s="1152"/>
      <c r="C39" s="1152"/>
      <c r="D39" s="1152"/>
      <c r="E39" s="1152"/>
      <c r="F39" s="1152"/>
      <c r="G39" s="1152"/>
      <c r="J39" s="2"/>
    </row>
    <row r="40" spans="1:10" ht="31" customHeight="1">
      <c r="A40" s="138"/>
      <c r="B40" s="1152"/>
      <c r="C40" s="1152"/>
      <c r="D40" s="1152"/>
      <c r="E40" s="1152"/>
      <c r="F40" s="1152"/>
      <c r="G40" s="1152"/>
    </row>
    <row r="41" spans="1:10" ht="31" customHeight="1">
      <c r="A41" s="138"/>
      <c r="B41" s="1152"/>
      <c r="C41" s="1152"/>
      <c r="D41" s="1152"/>
      <c r="E41" s="1152"/>
      <c r="F41" s="1152"/>
      <c r="G41" s="1152"/>
    </row>
    <row r="42" spans="1:10" ht="31" customHeight="1">
      <c r="A42" s="138"/>
      <c r="B42" s="1152"/>
      <c r="C42" s="1152"/>
      <c r="D42" s="1152"/>
      <c r="E42" s="1152"/>
      <c r="F42" s="1152"/>
      <c r="G42" s="1152"/>
    </row>
    <row r="43" spans="1:10" ht="31" customHeight="1">
      <c r="A43" s="138"/>
      <c r="B43" s="1152"/>
      <c r="C43" s="1152"/>
      <c r="D43" s="1152"/>
      <c r="E43" s="1152"/>
      <c r="F43" s="1152"/>
      <c r="G43" s="1152"/>
    </row>
    <row r="44" spans="1:10" ht="31" customHeight="1">
      <c r="A44" s="138"/>
      <c r="B44" s="1152"/>
      <c r="C44" s="1152"/>
      <c r="D44" s="1152"/>
      <c r="E44" s="1152"/>
      <c r="F44" s="1152"/>
      <c r="G44" s="1152"/>
    </row>
    <row r="45" spans="1:10">
      <c r="A45" s="138"/>
      <c r="B45" s="1152"/>
      <c r="C45" s="1152"/>
      <c r="D45" s="1152"/>
      <c r="E45" s="1152"/>
      <c r="F45" s="1152"/>
      <c r="G45" s="1152"/>
    </row>
    <row r="46" spans="1:10">
      <c r="A46" s="138"/>
      <c r="B46" s="1152"/>
      <c r="C46" s="1152"/>
      <c r="D46" s="1152"/>
      <c r="E46" s="1152"/>
      <c r="F46" s="1152"/>
      <c r="G46" s="1152"/>
    </row>
  </sheetData>
  <mergeCells count="1">
    <mergeCell ref="A2:F2"/>
  </mergeCells>
  <pageMargins left="0.56000000000000005" right="0.51" top="1.02" bottom="0.49" header="0.68" footer="0.4921259845"/>
  <pageSetup paperSize="9" scale="76" orientation="portrait" horizontalDpi="4294967292" verticalDpi="4294967292"/>
  <headerFooter alignWithMargins="0"/>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FF6E1-705B-C04D-BA9C-D37110301763}">
  <sheetPr>
    <pageSetUpPr fitToPage="1"/>
  </sheetPr>
  <dimension ref="A1:J47"/>
  <sheetViews>
    <sheetView topLeftCell="A13" zoomScaleNormal="100" workbookViewId="0">
      <selection activeCell="G37" sqref="G37"/>
    </sheetView>
  </sheetViews>
  <sheetFormatPr baseColWidth="10" defaultColWidth="11.3984375" defaultRowHeight="13"/>
  <cols>
    <col min="1" max="1" width="14.3984375" style="3" customWidth="1"/>
    <col min="2" max="7" width="14.3984375" style="121" customWidth="1"/>
    <col min="8" max="16384" width="11.3984375" style="3"/>
  </cols>
  <sheetData>
    <row r="1" spans="1:7" s="2" customFormat="1" ht="14" customHeight="1">
      <c r="A1" s="242"/>
      <c r="B1" s="1142"/>
      <c r="C1" s="1142"/>
      <c r="D1" s="1142"/>
      <c r="E1" s="1142"/>
      <c r="F1" s="1142"/>
      <c r="G1" s="1142"/>
    </row>
    <row r="2" spans="1:7" s="2" customFormat="1" ht="38.25" customHeight="1">
      <c r="A2" s="1812" t="s">
        <v>1953</v>
      </c>
      <c r="B2" s="1811"/>
      <c r="C2" s="1811"/>
      <c r="D2" s="1811"/>
      <c r="E2" s="1811"/>
      <c r="F2" s="1811"/>
      <c r="G2" s="358"/>
    </row>
    <row r="3" spans="1:7" ht="27" customHeight="1">
      <c r="A3" s="72" t="s">
        <v>695</v>
      </c>
      <c r="B3" s="73" t="s">
        <v>1928</v>
      </c>
      <c r="C3" s="74" t="s">
        <v>1929</v>
      </c>
      <c r="D3" s="73" t="s">
        <v>1954</v>
      </c>
      <c r="E3" s="74" t="s">
        <v>1931</v>
      </c>
      <c r="F3" s="73" t="s">
        <v>1930</v>
      </c>
      <c r="G3" s="74" t="s">
        <v>1932</v>
      </c>
    </row>
    <row r="4" spans="1:7" ht="15" customHeight="1">
      <c r="A4" s="328"/>
      <c r="B4" s="440"/>
      <c r="C4" s="894" t="s">
        <v>1933</v>
      </c>
      <c r="D4" s="76" t="s">
        <v>1074</v>
      </c>
      <c r="E4" s="77" t="s">
        <v>1935</v>
      </c>
      <c r="F4" s="76" t="s">
        <v>1936</v>
      </c>
      <c r="G4" s="77"/>
    </row>
    <row r="5" spans="1:7" ht="17.5" customHeight="1">
      <c r="A5" s="328"/>
      <c r="B5" s="76"/>
      <c r="C5" s="77" t="s">
        <v>1937</v>
      </c>
      <c r="D5" s="440" t="s">
        <v>1955</v>
      </c>
      <c r="E5" s="894" t="s">
        <v>1939</v>
      </c>
      <c r="F5" s="440" t="s">
        <v>1940</v>
      </c>
      <c r="G5" s="77"/>
    </row>
    <row r="6" spans="1:7" ht="19.25" customHeight="1">
      <c r="A6" s="263"/>
      <c r="B6" s="359"/>
      <c r="C6" s="81"/>
      <c r="D6" s="82"/>
      <c r="E6" s="81"/>
      <c r="F6" s="82"/>
      <c r="G6" s="360"/>
    </row>
    <row r="7" spans="1:7" ht="1.5" customHeight="1" thickBot="1">
      <c r="A7" s="441">
        <v>1996</v>
      </c>
      <c r="B7" s="308">
        <v>5976.68608119694</v>
      </c>
      <c r="C7" s="428">
        <v>14434.210404011734</v>
      </c>
      <c r="D7" s="308">
        <v>4896.4666666666662</v>
      </c>
      <c r="E7" s="428">
        <v>11800.912708060619</v>
      </c>
      <c r="F7" s="308">
        <v>360.34572496402706</v>
      </c>
      <c r="G7" s="428">
        <v>37468.621584899985</v>
      </c>
    </row>
    <row r="8" spans="1:7" ht="18" hidden="1" customHeight="1" thickBot="1">
      <c r="A8" s="444">
        <v>1997</v>
      </c>
      <c r="B8" s="429">
        <v>5920.5324887865727</v>
      </c>
      <c r="C8" s="430">
        <v>15076.044841145113</v>
      </c>
      <c r="D8" s="429">
        <v>4463.3999999999996</v>
      </c>
      <c r="E8" s="430">
        <v>12382.482583881054</v>
      </c>
      <c r="F8" s="429">
        <v>367.4485025408178</v>
      </c>
      <c r="G8" s="430">
        <v>38209.908416353559</v>
      </c>
    </row>
    <row r="9" spans="1:7" ht="16.75" hidden="1" customHeight="1" thickBot="1">
      <c r="A9" s="444">
        <v>1998</v>
      </c>
      <c r="B9" s="429">
        <v>5989.0401962979158</v>
      </c>
      <c r="C9" s="430">
        <v>15771.905639841238</v>
      </c>
      <c r="D9" s="429">
        <v>4590.2</v>
      </c>
      <c r="E9" s="430">
        <v>13088.584732536303</v>
      </c>
      <c r="F9" s="429">
        <v>375.28251008174271</v>
      </c>
      <c r="G9" s="430">
        <v>39815.013078757198</v>
      </c>
    </row>
    <row r="10" spans="1:7" ht="18" customHeight="1" thickBot="1">
      <c r="A10" s="444">
        <v>1999</v>
      </c>
      <c r="B10" s="429">
        <v>6272.8466257392192</v>
      </c>
      <c r="C10" s="430">
        <v>16391.923646518997</v>
      </c>
      <c r="D10" s="429">
        <v>4331.8999999999996</v>
      </c>
      <c r="E10" s="430">
        <v>13719.072601594235</v>
      </c>
      <c r="F10" s="429">
        <v>388.70889016736163</v>
      </c>
      <c r="G10" s="430">
        <v>41104.451764019817</v>
      </c>
    </row>
    <row r="11" spans="1:7" ht="18" customHeight="1" thickBot="1">
      <c r="A11" s="444">
        <v>2000</v>
      </c>
      <c r="B11" s="429">
        <v>6460.9578237170608</v>
      </c>
      <c r="C11" s="430">
        <v>17287.501564137343</v>
      </c>
      <c r="D11" s="429">
        <v>4546.7</v>
      </c>
      <c r="E11" s="430">
        <v>14127.609459022913</v>
      </c>
      <c r="F11" s="429">
        <v>420.16510495683008</v>
      </c>
      <c r="G11" s="430">
        <v>42842.933951834151</v>
      </c>
    </row>
    <row r="12" spans="1:7" ht="18" customHeight="1" thickBot="1">
      <c r="A12" s="444">
        <v>2001</v>
      </c>
      <c r="B12" s="429">
        <v>7635.1420777467765</v>
      </c>
      <c r="C12" s="430">
        <v>18307.65616731207</v>
      </c>
      <c r="D12" s="429">
        <v>4699.8999999999996</v>
      </c>
      <c r="E12" s="430">
        <v>14487.407471645613</v>
      </c>
      <c r="F12" s="429">
        <v>442.73533222173643</v>
      </c>
      <c r="G12" s="430">
        <v>45572.841048926202</v>
      </c>
    </row>
    <row r="13" spans="1:7" ht="18" customHeight="1" thickBot="1">
      <c r="A13" s="444">
        <v>2002</v>
      </c>
      <c r="B13" s="429">
        <v>8429.5101560943567</v>
      </c>
      <c r="C13" s="430">
        <v>18930.654576710058</v>
      </c>
      <c r="D13" s="429">
        <v>4615.5</v>
      </c>
      <c r="E13" s="430">
        <v>14956.656825335853</v>
      </c>
      <c r="F13" s="429">
        <v>456.31192849787288</v>
      </c>
      <c r="G13" s="430">
        <v>47388.633486638137</v>
      </c>
    </row>
    <row r="14" spans="1:7" ht="18" customHeight="1" thickBot="1">
      <c r="A14" s="444">
        <v>2003</v>
      </c>
      <c r="B14" s="429">
        <v>8778.10319716105</v>
      </c>
      <c r="C14" s="430">
        <v>19967.283583850771</v>
      </c>
      <c r="D14" s="429">
        <v>4477.9040000000005</v>
      </c>
      <c r="E14" s="430">
        <v>15579.71663887125</v>
      </c>
      <c r="F14" s="429">
        <v>462.16066224325613</v>
      </c>
      <c r="G14" s="430">
        <v>49265.168082126329</v>
      </c>
    </row>
    <row r="15" spans="1:7" ht="18" customHeight="1" thickBot="1">
      <c r="A15" s="444">
        <v>2004</v>
      </c>
      <c r="B15" s="429">
        <v>8632.7243530636424</v>
      </c>
      <c r="C15" s="430">
        <v>21150.983726961927</v>
      </c>
      <c r="D15" s="429">
        <v>4511.7479999999996</v>
      </c>
      <c r="E15" s="430">
        <v>16251.715486006822</v>
      </c>
      <c r="F15" s="429">
        <v>460.54510480676197</v>
      </c>
      <c r="G15" s="430">
        <v>51007.71667083916</v>
      </c>
    </row>
    <row r="16" spans="1:7" ht="18" customHeight="1" thickBot="1">
      <c r="A16" s="444">
        <v>2005</v>
      </c>
      <c r="B16" s="429">
        <v>8704.8174529394601</v>
      </c>
      <c r="C16" s="430">
        <v>22241.413529341</v>
      </c>
      <c r="D16" s="429">
        <v>4674.7509002500001</v>
      </c>
      <c r="E16" s="430">
        <v>15941.092288794471</v>
      </c>
      <c r="F16" s="429">
        <v>480.96670935903251</v>
      </c>
      <c r="G16" s="430">
        <v>52043.040880683962</v>
      </c>
    </row>
    <row r="17" spans="1:8" ht="18" customHeight="1" thickBot="1">
      <c r="A17" s="444">
        <v>2006</v>
      </c>
      <c r="B17" s="429">
        <v>8536.5423231378227</v>
      </c>
      <c r="C17" s="430">
        <v>22665.685294776315</v>
      </c>
      <c r="D17" s="429">
        <v>4820.2721687900003</v>
      </c>
      <c r="E17" s="430">
        <v>16250.566423088485</v>
      </c>
      <c r="F17" s="429">
        <v>500.28122327763629</v>
      </c>
      <c r="G17" s="430">
        <v>52773.347433070259</v>
      </c>
    </row>
    <row r="18" spans="1:8" ht="18" customHeight="1" thickBot="1">
      <c r="A18" s="444">
        <v>2007</v>
      </c>
      <c r="B18" s="429">
        <v>8960.8447878915576</v>
      </c>
      <c r="C18" s="430">
        <v>23662.497744611785</v>
      </c>
      <c r="D18" s="429">
        <v>5090.8464520100015</v>
      </c>
      <c r="E18" s="430">
        <v>16965.273142837719</v>
      </c>
      <c r="F18" s="429">
        <v>535.48298288401816</v>
      </c>
      <c r="G18" s="430">
        <v>55214.945110235072</v>
      </c>
    </row>
    <row r="19" spans="1:8" ht="18" customHeight="1" thickBot="1">
      <c r="A19" s="444">
        <v>2008</v>
      </c>
      <c r="B19" s="1143">
        <v>10892.863194019999</v>
      </c>
      <c r="C19" s="430">
        <v>24099.779418804839</v>
      </c>
      <c r="D19" s="429">
        <v>5247.4</v>
      </c>
      <c r="E19" s="1144">
        <v>17585.07597406899</v>
      </c>
      <c r="F19" s="429">
        <v>600.9</v>
      </c>
      <c r="G19" s="1144">
        <v>58426.052863864068</v>
      </c>
    </row>
    <row r="20" spans="1:8" ht="18" customHeight="1" thickBot="1">
      <c r="A20" s="444">
        <v>2009</v>
      </c>
      <c r="B20" s="429">
        <v>11812.531518999062</v>
      </c>
      <c r="C20" s="430">
        <v>24890.534061510181</v>
      </c>
      <c r="D20" s="429">
        <v>5384.1517099300017</v>
      </c>
      <c r="E20" s="430">
        <v>18307.238165575764</v>
      </c>
      <c r="F20" s="429">
        <v>589.40634856941779</v>
      </c>
      <c r="G20" s="430">
        <v>60983.861804584427</v>
      </c>
    </row>
    <row r="21" spans="1:8" ht="30" customHeight="1" thickBot="1">
      <c r="A21" s="1145" t="s">
        <v>1942</v>
      </c>
      <c r="B21" s="1075">
        <v>12067.8</v>
      </c>
      <c r="C21" s="1076">
        <v>25540</v>
      </c>
      <c r="D21" s="1075">
        <v>5454.6</v>
      </c>
      <c r="E21" s="1076">
        <v>18989</v>
      </c>
      <c r="F21" s="1075">
        <v>600</v>
      </c>
      <c r="G21" s="1076">
        <v>62651.4</v>
      </c>
    </row>
    <row r="22" spans="1:8" ht="20" customHeight="1">
      <c r="A22" s="1146" t="s">
        <v>2253</v>
      </c>
      <c r="B22" s="1147"/>
      <c r="C22" s="1147"/>
      <c r="D22" s="1147"/>
      <c r="E22" s="1147"/>
      <c r="F22" s="1147"/>
      <c r="G22" s="1147"/>
    </row>
    <row r="23" spans="1:8" ht="12.75" customHeight="1">
      <c r="A23" s="1148"/>
      <c r="B23" s="1149"/>
      <c r="C23" s="1149"/>
      <c r="D23" s="1149"/>
      <c r="E23" s="1149"/>
      <c r="F23" s="1149"/>
      <c r="G23" s="1149"/>
      <c r="H23" s="4"/>
    </row>
    <row r="24" spans="1:8" ht="12.75" customHeight="1">
      <c r="A24" s="1148" t="s">
        <v>1956</v>
      </c>
      <c r="B24" s="1148"/>
      <c r="C24" s="1149"/>
      <c r="D24" s="1149"/>
      <c r="E24" s="1149"/>
      <c r="F24" s="1149"/>
      <c r="G24" s="1149"/>
      <c r="H24" s="4"/>
    </row>
    <row r="25" spans="1:8" ht="12.75" customHeight="1">
      <c r="A25" s="1148" t="s">
        <v>1957</v>
      </c>
      <c r="B25" s="1149"/>
      <c r="C25" s="1149"/>
      <c r="D25" s="1149"/>
      <c r="E25" s="1149"/>
      <c r="F25" s="1149"/>
      <c r="G25" s="1149"/>
      <c r="H25" s="4"/>
    </row>
    <row r="26" spans="1:8" ht="12.75" customHeight="1">
      <c r="A26" s="1148" t="s">
        <v>1958</v>
      </c>
      <c r="B26" s="1149"/>
      <c r="C26" s="1149"/>
      <c r="D26" s="1149"/>
      <c r="E26" s="1149"/>
      <c r="F26" s="1149"/>
      <c r="G26" s="1149"/>
      <c r="H26" s="4"/>
    </row>
    <row r="27" spans="1:8" ht="12.75" customHeight="1">
      <c r="A27" s="1148" t="s">
        <v>1959</v>
      </c>
      <c r="B27" s="1149"/>
      <c r="C27" s="1149"/>
      <c r="D27" s="1149"/>
      <c r="E27" s="1149"/>
      <c r="F27" s="1149"/>
      <c r="G27" s="1149"/>
      <c r="H27" s="4"/>
    </row>
    <row r="28" spans="1:8" ht="12.75" customHeight="1">
      <c r="A28" s="1148" t="s">
        <v>1960</v>
      </c>
      <c r="B28" s="1149"/>
      <c r="C28" s="1149"/>
      <c r="D28" s="1149"/>
      <c r="E28" s="1149"/>
      <c r="F28" s="1149"/>
      <c r="G28" s="1149"/>
      <c r="H28" s="4"/>
    </row>
    <row r="29" spans="1:8" ht="12.75" customHeight="1">
      <c r="A29" s="1148" t="s">
        <v>1961</v>
      </c>
      <c r="B29" s="1149"/>
      <c r="C29" s="1149"/>
      <c r="D29" s="1149"/>
      <c r="E29" s="1149"/>
      <c r="F29" s="1149"/>
      <c r="G29" s="1149"/>
      <c r="H29" s="4"/>
    </row>
    <row r="30" spans="1:8" ht="12.75" customHeight="1">
      <c r="A30" s="1148" t="s">
        <v>1950</v>
      </c>
      <c r="B30" s="1149"/>
      <c r="C30" s="1149"/>
      <c r="D30" s="1149"/>
      <c r="E30" s="1149"/>
      <c r="F30" s="1149"/>
      <c r="G30" s="1149"/>
      <c r="H30" s="4"/>
    </row>
    <row r="31" spans="1:8" ht="12.75" customHeight="1">
      <c r="A31" s="1148" t="s">
        <v>1951</v>
      </c>
      <c r="B31" s="1149"/>
      <c r="C31" s="1149"/>
      <c r="D31" s="1149"/>
      <c r="E31" s="1149"/>
      <c r="F31" s="1149"/>
      <c r="G31" s="1149"/>
      <c r="H31" s="4"/>
    </row>
    <row r="32" spans="1:8" ht="12.75" customHeight="1">
      <c r="A32" s="1148"/>
      <c r="B32" s="1149"/>
      <c r="C32" s="1149"/>
      <c r="D32" s="1149"/>
      <c r="E32" s="1149"/>
      <c r="F32" s="1149"/>
      <c r="G32" s="1149"/>
      <c r="H32" s="4"/>
    </row>
    <row r="33" spans="1:10" ht="12.75" customHeight="1">
      <c r="A33" s="1148" t="s">
        <v>1952</v>
      </c>
      <c r="B33" s="1149"/>
      <c r="C33" s="1149"/>
      <c r="D33" s="1149"/>
      <c r="E33" s="1149"/>
      <c r="F33" s="1149"/>
      <c r="G33" s="1149"/>
      <c r="H33" s="4"/>
    </row>
    <row r="34" spans="1:10" ht="13.5" customHeight="1">
      <c r="A34" s="479"/>
      <c r="B34" s="1150"/>
      <c r="C34" s="1150"/>
      <c r="D34" s="1150"/>
      <c r="E34" s="1150"/>
      <c r="F34" s="1150"/>
      <c r="G34" s="1150"/>
      <c r="H34" s="4"/>
    </row>
    <row r="35" spans="1:10" ht="15.75" customHeight="1">
      <c r="A35" s="1151"/>
      <c r="B35" s="1150"/>
      <c r="C35" s="1150"/>
      <c r="D35" s="1150"/>
      <c r="E35" s="1150"/>
      <c r="F35" s="1150"/>
      <c r="G35" s="1150"/>
      <c r="H35" s="4"/>
    </row>
    <row r="36" spans="1:10" ht="13.5" customHeight="1">
      <c r="A36" s="4" t="s">
        <v>677</v>
      </c>
      <c r="B36" s="1150"/>
      <c r="C36" s="1150"/>
      <c r="D36" s="1150"/>
      <c r="E36" s="1150"/>
      <c r="F36" s="1150"/>
      <c r="G36" s="1150"/>
      <c r="H36" s="4"/>
    </row>
    <row r="37" spans="1:10" ht="31" customHeight="1">
      <c r="A37" s="4"/>
      <c r="B37" s="1150"/>
      <c r="C37" s="1150"/>
      <c r="D37" s="1150"/>
      <c r="E37" s="1150"/>
      <c r="F37" s="1150"/>
      <c r="G37" s="1150"/>
      <c r="H37" s="4"/>
    </row>
    <row r="38" spans="1:10" ht="31" customHeight="1">
      <c r="A38" s="4"/>
      <c r="B38" s="1150"/>
      <c r="C38" s="1150"/>
      <c r="D38" s="1150"/>
      <c r="E38" s="1150"/>
      <c r="F38" s="1150"/>
      <c r="G38" s="1150"/>
      <c r="H38" s="4"/>
      <c r="J38" s="2"/>
    </row>
    <row r="39" spans="1:10" ht="31" customHeight="1">
      <c r="A39" s="4"/>
      <c r="B39" s="1150"/>
      <c r="C39" s="1150"/>
      <c r="D39" s="1150"/>
      <c r="E39" s="1150"/>
      <c r="F39" s="1150"/>
      <c r="G39" s="1150"/>
      <c r="H39" s="4"/>
    </row>
    <row r="40" spans="1:10" ht="31" customHeight="1">
      <c r="A40" s="4"/>
      <c r="B40" s="1150"/>
      <c r="C40" s="1150"/>
      <c r="D40" s="1150"/>
      <c r="E40" s="1150"/>
      <c r="F40" s="1150"/>
      <c r="G40" s="1150"/>
      <c r="H40" s="4"/>
    </row>
    <row r="41" spans="1:10" ht="31" customHeight="1">
      <c r="A41" s="4"/>
      <c r="B41" s="1150"/>
      <c r="C41" s="1150"/>
      <c r="D41" s="1150"/>
      <c r="E41" s="1150"/>
      <c r="F41" s="1150"/>
      <c r="G41" s="1150"/>
      <c r="H41" s="4"/>
    </row>
    <row r="42" spans="1:10" ht="31" customHeight="1">
      <c r="A42" s="4"/>
      <c r="B42" s="1150"/>
      <c r="C42" s="1150"/>
      <c r="D42" s="1150"/>
      <c r="E42" s="1150"/>
      <c r="F42" s="1150"/>
      <c r="G42" s="1150"/>
      <c r="H42" s="4"/>
    </row>
    <row r="43" spans="1:10" ht="31" customHeight="1">
      <c r="A43" s="4"/>
      <c r="B43" s="1150"/>
      <c r="C43" s="1150"/>
      <c r="D43" s="1150"/>
      <c r="E43" s="1150"/>
      <c r="F43" s="1150"/>
      <c r="G43" s="1150"/>
      <c r="H43" s="4"/>
    </row>
    <row r="44" spans="1:10">
      <c r="A44" s="4"/>
      <c r="B44" s="1150"/>
      <c r="C44" s="1150"/>
      <c r="D44" s="1150"/>
      <c r="E44" s="1150"/>
      <c r="F44" s="1150"/>
      <c r="G44" s="1150"/>
      <c r="H44" s="4"/>
    </row>
    <row r="45" spans="1:10">
      <c r="A45" s="4"/>
      <c r="B45" s="1150"/>
      <c r="C45" s="1150"/>
      <c r="D45" s="1150"/>
      <c r="E45" s="1150"/>
      <c r="F45" s="1150"/>
      <c r="G45" s="1150"/>
      <c r="H45" s="4"/>
    </row>
    <row r="46" spans="1:10">
      <c r="A46" s="4"/>
      <c r="B46" s="1150"/>
      <c r="C46" s="1150"/>
      <c r="D46" s="1150"/>
      <c r="E46" s="1150"/>
      <c r="F46" s="1150"/>
      <c r="G46" s="1150"/>
      <c r="H46" s="4"/>
    </row>
    <row r="47" spans="1:10">
      <c r="A47" s="4"/>
      <c r="B47" s="1150"/>
      <c r="C47" s="1150"/>
      <c r="D47" s="1150"/>
      <c r="E47" s="1150"/>
      <c r="F47" s="1150"/>
      <c r="G47" s="1150"/>
      <c r="H47" s="4"/>
    </row>
  </sheetData>
  <mergeCells count="1">
    <mergeCell ref="A2:F2"/>
  </mergeCells>
  <pageMargins left="0.56000000000000005" right="0.51" top="1.02" bottom="0.49" header="0.68" footer="0.4921259845"/>
  <pageSetup paperSize="9" scale="83" orientation="portrait" horizontalDpi="4294967292" verticalDpi="4294967292"/>
  <headerFooter alignWithMargins="0"/>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4658C-9803-DB4B-9723-7556664229F3}">
  <sheetPr>
    <pageSetUpPr fitToPage="1"/>
  </sheetPr>
  <dimension ref="A1:L45"/>
  <sheetViews>
    <sheetView zoomScaleNormal="100" workbookViewId="0">
      <selection activeCell="A27" sqref="A27"/>
    </sheetView>
  </sheetViews>
  <sheetFormatPr baseColWidth="10" defaultColWidth="11.3984375" defaultRowHeight="13"/>
  <cols>
    <col min="1" max="1" width="10.3984375" style="3" customWidth="1"/>
    <col min="2" max="9" width="13.3984375" style="121" customWidth="1"/>
    <col min="10" max="10" width="8.59765625" style="3" customWidth="1"/>
    <col min="11" max="16384" width="11.3984375" style="3"/>
  </cols>
  <sheetData>
    <row r="1" spans="1:9" s="2" customFormat="1" ht="14" customHeight="1">
      <c r="A1" s="242"/>
      <c r="B1" s="1142"/>
      <c r="C1" s="1142"/>
      <c r="D1" s="1142"/>
      <c r="E1" s="1142"/>
      <c r="F1" s="1142"/>
      <c r="G1" s="1142"/>
      <c r="H1" s="1142"/>
      <c r="I1" s="1142"/>
    </row>
    <row r="2" spans="1:9" s="2" customFormat="1" ht="25.75" customHeight="1">
      <c r="A2" s="372" t="s">
        <v>1962</v>
      </c>
      <c r="B2" s="306"/>
      <c r="C2" s="306"/>
      <c r="D2" s="306"/>
      <c r="E2" s="306"/>
      <c r="F2" s="306"/>
      <c r="G2" s="306"/>
      <c r="H2" s="306"/>
      <c r="I2" s="358"/>
    </row>
    <row r="3" spans="1:9" ht="27" customHeight="1">
      <c r="A3" s="72" t="s">
        <v>695</v>
      </c>
      <c r="B3" s="73" t="s">
        <v>1963</v>
      </c>
      <c r="C3" s="74" t="s">
        <v>1964</v>
      </c>
      <c r="D3" s="73" t="s">
        <v>1492</v>
      </c>
      <c r="E3" s="74" t="s">
        <v>1965</v>
      </c>
      <c r="F3" s="73" t="s">
        <v>1966</v>
      </c>
      <c r="G3" s="74" t="s">
        <v>1012</v>
      </c>
      <c r="H3" s="73" t="s">
        <v>1967</v>
      </c>
      <c r="I3" s="74" t="s">
        <v>1932</v>
      </c>
    </row>
    <row r="4" spans="1:9" ht="18.75" customHeight="1">
      <c r="A4" s="328"/>
      <c r="B4" s="440" t="s">
        <v>1968</v>
      </c>
      <c r="C4" s="894" t="s">
        <v>1969</v>
      </c>
      <c r="D4" s="76" t="s">
        <v>1970</v>
      </c>
      <c r="E4" s="77" t="s">
        <v>1971</v>
      </c>
      <c r="F4" s="76"/>
      <c r="G4" s="77" t="s">
        <v>1972</v>
      </c>
      <c r="H4" s="76" t="s">
        <v>1973</v>
      </c>
      <c r="I4" s="77"/>
    </row>
    <row r="5" spans="1:9" ht="16.5" customHeight="1">
      <c r="A5" s="328"/>
      <c r="B5" s="76"/>
      <c r="C5" s="77" t="s">
        <v>1974</v>
      </c>
      <c r="D5" s="76" t="s">
        <v>1975</v>
      </c>
      <c r="E5" s="894"/>
      <c r="F5" s="440"/>
      <c r="G5" s="894"/>
      <c r="H5" s="440" t="s">
        <v>1976</v>
      </c>
      <c r="I5" s="77"/>
    </row>
    <row r="6" spans="1:9" ht="23.25" customHeight="1">
      <c r="A6" s="263"/>
      <c r="B6" s="359"/>
      <c r="C6" s="81" t="s">
        <v>1977</v>
      </c>
      <c r="D6" s="82"/>
      <c r="E6" s="81"/>
      <c r="F6" s="82"/>
      <c r="G6" s="81"/>
      <c r="H6" s="82" t="s">
        <v>1978</v>
      </c>
      <c r="I6" s="81"/>
    </row>
    <row r="7" spans="1:9" ht="2.25" customHeight="1" thickBot="1">
      <c r="A7" s="1153">
        <v>1996</v>
      </c>
      <c r="B7" s="308">
        <v>13184.001550929997</v>
      </c>
      <c r="C7" s="428">
        <v>5983.4068869585872</v>
      </c>
      <c r="D7" s="308">
        <v>11678.598705823826</v>
      </c>
      <c r="E7" s="428">
        <v>3544.7</v>
      </c>
      <c r="F7" s="308">
        <v>869.07117945000005</v>
      </c>
      <c r="G7" s="428">
        <v>1796.8786666666667</v>
      </c>
      <c r="H7" s="308">
        <v>411.9645950709093</v>
      </c>
      <c r="I7" s="428">
        <v>37468.621584899985</v>
      </c>
    </row>
    <row r="8" spans="1:9" ht="18" hidden="1" customHeight="1" thickBot="1">
      <c r="A8" s="1154">
        <v>1997</v>
      </c>
      <c r="B8" s="429">
        <v>13300.503586459999</v>
      </c>
      <c r="C8" s="430">
        <v>6218.5068752889456</v>
      </c>
      <c r="D8" s="429">
        <v>11898.794609684615</v>
      </c>
      <c r="E8" s="430">
        <v>3699.7217000000001</v>
      </c>
      <c r="F8" s="429">
        <v>820.08564491999994</v>
      </c>
      <c r="G8" s="430">
        <v>1853.7959999999998</v>
      </c>
      <c r="H8" s="429">
        <v>418.5</v>
      </c>
      <c r="I8" s="430">
        <v>38209.908416353566</v>
      </c>
    </row>
    <row r="9" spans="1:9" ht="19.25" hidden="1" customHeight="1" thickBot="1">
      <c r="A9" s="1154">
        <v>1998</v>
      </c>
      <c r="B9" s="429">
        <v>13726.93413743</v>
      </c>
      <c r="C9" s="430">
        <v>6517.6187697704527</v>
      </c>
      <c r="D9" s="429">
        <v>12534.698426142464</v>
      </c>
      <c r="E9" s="430">
        <v>3814.7841952999997</v>
      </c>
      <c r="F9" s="429">
        <v>825.83928717999993</v>
      </c>
      <c r="G9" s="430">
        <v>1952.6</v>
      </c>
      <c r="H9" s="429">
        <v>442.53826293428619</v>
      </c>
      <c r="I9" s="430">
        <v>39815.013078757205</v>
      </c>
    </row>
    <row r="10" spans="1:9" ht="21.5" customHeight="1" thickBot="1">
      <c r="A10" s="1154">
        <v>1999</v>
      </c>
      <c r="B10" s="429">
        <v>14269.859986000003</v>
      </c>
      <c r="C10" s="430">
        <v>6635.9923296822863</v>
      </c>
      <c r="D10" s="429">
        <v>12923.16416135502</v>
      </c>
      <c r="E10" s="430">
        <v>3984.9651892603001</v>
      </c>
      <c r="F10" s="429">
        <v>869.39271499999995</v>
      </c>
      <c r="G10" s="430">
        <v>1951.2</v>
      </c>
      <c r="H10" s="429">
        <v>469.87738272220713</v>
      </c>
      <c r="I10" s="430">
        <v>41104.451764019817</v>
      </c>
    </row>
    <row r="11" spans="1:9" ht="21.5" customHeight="1" thickBot="1">
      <c r="A11" s="1154">
        <v>2000</v>
      </c>
      <c r="B11" s="429">
        <v>14895.513251</v>
      </c>
      <c r="C11" s="430">
        <v>7041.5148394749094</v>
      </c>
      <c r="D11" s="429">
        <v>13440.733995653636</v>
      </c>
      <c r="E11" s="430">
        <v>4130.4973544495606</v>
      </c>
      <c r="F11" s="429">
        <v>886.60889900000006</v>
      </c>
      <c r="G11" s="430">
        <v>1968</v>
      </c>
      <c r="H11" s="429">
        <v>480.06561225603991</v>
      </c>
      <c r="I11" s="430">
        <v>42842.933951834144</v>
      </c>
    </row>
    <row r="12" spans="1:9" ht="21.5" customHeight="1" thickBot="1">
      <c r="A12" s="1154">
        <v>2001</v>
      </c>
      <c r="B12" s="429">
        <v>16132.139821000001</v>
      </c>
      <c r="C12" s="430">
        <v>7546.7492306168624</v>
      </c>
      <c r="D12" s="429">
        <v>14118.389210237772</v>
      </c>
      <c r="E12" s="430">
        <v>4333.6230316924066</v>
      </c>
      <c r="F12" s="429">
        <v>926.76387199999999</v>
      </c>
      <c r="G12" s="430">
        <v>2014.6</v>
      </c>
      <c r="H12" s="429">
        <v>500.57588337914626</v>
      </c>
      <c r="I12" s="430">
        <v>45572.841048926188</v>
      </c>
    </row>
    <row r="13" spans="1:9" ht="21.5" customHeight="1" thickBot="1">
      <c r="A13" s="1154">
        <v>2002</v>
      </c>
      <c r="B13" s="429">
        <v>16982.807524247681</v>
      </c>
      <c r="C13" s="430">
        <v>8067.6588042943567</v>
      </c>
      <c r="D13" s="429">
        <v>14430.539223398549</v>
      </c>
      <c r="E13" s="430">
        <v>4415.9295005981339</v>
      </c>
      <c r="F13" s="429">
        <v>981.40087700000004</v>
      </c>
      <c r="G13" s="430">
        <v>2000.8014692328545</v>
      </c>
      <c r="H13" s="429">
        <v>509.49608786656427</v>
      </c>
      <c r="I13" s="430">
        <v>47388.633486638144</v>
      </c>
    </row>
    <row r="14" spans="1:9" ht="21.5" customHeight="1" thickBot="1">
      <c r="A14" s="1154">
        <v>2003</v>
      </c>
      <c r="B14" s="429">
        <v>17712.226343618662</v>
      </c>
      <c r="C14" s="430">
        <v>8374.8829930130487</v>
      </c>
      <c r="D14" s="429">
        <v>14813.56384014453</v>
      </c>
      <c r="E14" s="430">
        <v>4720.9651053618945</v>
      </c>
      <c r="F14" s="429">
        <v>1036.8831319999999</v>
      </c>
      <c r="G14" s="430">
        <v>2076.4031583018532</v>
      </c>
      <c r="H14" s="429">
        <v>530.23678043074028</v>
      </c>
      <c r="I14" s="430">
        <v>49265.161352870731</v>
      </c>
    </row>
    <row r="15" spans="1:9" ht="21.5" customHeight="1" thickBot="1">
      <c r="A15" s="1154">
        <v>2004</v>
      </c>
      <c r="B15" s="429">
        <v>18211.927869253603</v>
      </c>
      <c r="C15" s="430">
        <v>8629.9334146129404</v>
      </c>
      <c r="D15" s="429">
        <v>15519.799657335181</v>
      </c>
      <c r="E15" s="430">
        <v>4885.7901600000005</v>
      </c>
      <c r="F15" s="429">
        <v>1016.403946</v>
      </c>
      <c r="G15" s="430">
        <v>2188.6177220936333</v>
      </c>
      <c r="H15" s="429">
        <v>555.24390154379591</v>
      </c>
      <c r="I15" s="430">
        <v>51007.71667083916</v>
      </c>
    </row>
    <row r="16" spans="1:9" ht="21.5" customHeight="1" thickBot="1">
      <c r="A16" s="1154">
        <v>2005</v>
      </c>
      <c r="B16" s="429">
        <v>18296.451625528491</v>
      </c>
      <c r="C16" s="430">
        <v>8899.1731697869727</v>
      </c>
      <c r="D16" s="429">
        <v>16110.083387414588</v>
      </c>
      <c r="E16" s="430">
        <v>4948.2082112506641</v>
      </c>
      <c r="F16" s="429">
        <v>1023.603069</v>
      </c>
      <c r="G16" s="430">
        <v>2193.6107966786522</v>
      </c>
      <c r="H16" s="429">
        <v>571.91062102459728</v>
      </c>
      <c r="I16" s="430">
        <v>52043.040880683955</v>
      </c>
    </row>
    <row r="17" spans="1:9" ht="21.5" customHeight="1" thickBot="1">
      <c r="A17" s="1154">
        <v>2006</v>
      </c>
      <c r="B17" s="429">
        <v>18526.116825067013</v>
      </c>
      <c r="C17" s="430">
        <v>9005.2253979999987</v>
      </c>
      <c r="D17" s="429">
        <v>16448.330289598387</v>
      </c>
      <c r="E17" s="430">
        <v>4888.0334472825143</v>
      </c>
      <c r="F17" s="429">
        <v>1015.4241959999999</v>
      </c>
      <c r="G17" s="430">
        <v>2305.0175260594792</v>
      </c>
      <c r="H17" s="429">
        <v>585.19916967563006</v>
      </c>
      <c r="I17" s="430">
        <v>52773.346851683018</v>
      </c>
    </row>
    <row r="18" spans="1:9" ht="21.5" customHeight="1" thickBot="1">
      <c r="A18" s="1154">
        <v>2007</v>
      </c>
      <c r="B18" s="429">
        <v>19366.801673140202</v>
      </c>
      <c r="C18" s="430">
        <v>9516.8529053703569</v>
      </c>
      <c r="D18" s="429">
        <v>17123.532189955371</v>
      </c>
      <c r="E18" s="430">
        <v>5027.4809360453346</v>
      </c>
      <c r="F18" s="429">
        <v>1191.786634</v>
      </c>
      <c r="G18" s="430">
        <v>2380.5511198549602</v>
      </c>
      <c r="H18" s="429">
        <v>607.93965186885453</v>
      </c>
      <c r="I18" s="430">
        <v>55214.945110235072</v>
      </c>
    </row>
    <row r="19" spans="1:9" ht="21.5" customHeight="1" thickBot="1">
      <c r="A19" s="1154">
        <v>2008</v>
      </c>
      <c r="B19" s="429">
        <v>20699.263899999994</v>
      </c>
      <c r="C19" s="430">
        <v>9971.4403629999997</v>
      </c>
      <c r="D19" s="429">
        <v>18056.183910300602</v>
      </c>
      <c r="E19" s="430">
        <v>5215.226104815898</v>
      </c>
      <c r="F19" s="1143">
        <v>1288.9000000000001</v>
      </c>
      <c r="G19" s="430">
        <v>2554.1634569586486</v>
      </c>
      <c r="H19" s="429">
        <v>640.87512878892312</v>
      </c>
      <c r="I19" s="1144">
        <v>58426.052863864068</v>
      </c>
    </row>
    <row r="20" spans="1:9" ht="21.5" customHeight="1" thickBot="1">
      <c r="A20" s="1154">
        <v>2009</v>
      </c>
      <c r="B20" s="429">
        <v>21707.982779859671</v>
      </c>
      <c r="C20" s="430">
        <v>10487.968794</v>
      </c>
      <c r="D20" s="429">
        <v>18594.971024409548</v>
      </c>
      <c r="E20" s="430">
        <v>5486.6797231634073</v>
      </c>
      <c r="F20" s="429">
        <v>1439.5729999999999</v>
      </c>
      <c r="G20" s="430">
        <v>2608.5913211051711</v>
      </c>
      <c r="H20" s="429">
        <v>658.09516204663328</v>
      </c>
      <c r="I20" s="430">
        <v>60983.861804584427</v>
      </c>
    </row>
    <row r="21" spans="1:9" s="248" customFormat="1" ht="30" customHeight="1" thickBot="1">
      <c r="A21" s="1145" t="s">
        <v>1942</v>
      </c>
      <c r="B21" s="1075">
        <v>22426.799999999999</v>
      </c>
      <c r="C21" s="1076">
        <v>10871.4</v>
      </c>
      <c r="D21" s="1075">
        <v>19047.7</v>
      </c>
      <c r="E21" s="1076">
        <v>4003.9</v>
      </c>
      <c r="F21" s="1075">
        <v>1499.8</v>
      </c>
      <c r="G21" s="1076">
        <v>2687.6</v>
      </c>
      <c r="H21" s="1075">
        <v>680.1</v>
      </c>
      <c r="I21" s="1076">
        <v>62651.4</v>
      </c>
    </row>
    <row r="22" spans="1:9" ht="17.5" customHeight="1">
      <c r="A22" s="1155" t="s">
        <v>2253</v>
      </c>
      <c r="B22" s="1156"/>
      <c r="C22" s="1156"/>
      <c r="D22" s="1156"/>
      <c r="E22" s="1156"/>
      <c r="F22" s="1156"/>
      <c r="G22" s="1156"/>
      <c r="H22" s="1156"/>
      <c r="I22" s="1156"/>
    </row>
    <row r="23" spans="1:9" ht="12.75" customHeight="1">
      <c r="A23" s="1148"/>
      <c r="B23" s="1149"/>
      <c r="C23" s="1149"/>
      <c r="D23" s="1149"/>
      <c r="E23" s="1149"/>
      <c r="F23" s="1149"/>
      <c r="G23" s="1149"/>
      <c r="H23" s="1149"/>
      <c r="I23" s="1149"/>
    </row>
    <row r="24" spans="1:9" ht="12.75" customHeight="1">
      <c r="A24" s="1148" t="s">
        <v>1979</v>
      </c>
      <c r="B24" s="1149"/>
      <c r="C24" s="1149"/>
      <c r="D24" s="1149"/>
      <c r="E24" s="1149"/>
      <c r="F24" s="1149"/>
      <c r="G24" s="1149"/>
      <c r="H24" s="1149"/>
      <c r="I24" s="1149"/>
    </row>
    <row r="25" spans="1:9" ht="12.75" customHeight="1">
      <c r="A25" s="1148" t="s">
        <v>1980</v>
      </c>
      <c r="B25" s="1149"/>
      <c r="C25" s="1149"/>
      <c r="D25" s="1149"/>
      <c r="E25" s="1149"/>
      <c r="F25" s="1149"/>
      <c r="G25" s="1149"/>
      <c r="H25" s="1149"/>
      <c r="I25" s="1149"/>
    </row>
    <row r="26" spans="1:9" ht="12.75" customHeight="1">
      <c r="A26" s="1148" t="s">
        <v>1981</v>
      </c>
      <c r="B26" s="1149"/>
      <c r="C26" s="1149"/>
      <c r="D26" s="1149"/>
      <c r="E26" s="1149"/>
      <c r="F26" s="1149"/>
      <c r="G26" s="1149"/>
      <c r="H26" s="1149"/>
      <c r="I26" s="1149"/>
    </row>
    <row r="27" spans="1:9" ht="12.75" customHeight="1">
      <c r="A27" s="1148" t="s">
        <v>1982</v>
      </c>
      <c r="B27" s="1149"/>
      <c r="C27" s="1149"/>
      <c r="D27" s="1149"/>
      <c r="E27" s="1149"/>
      <c r="F27" s="1149"/>
      <c r="G27" s="1149"/>
      <c r="H27" s="1149"/>
      <c r="I27" s="1149"/>
    </row>
    <row r="28" spans="1:9" ht="12.75" customHeight="1">
      <c r="A28" s="1148" t="s">
        <v>1983</v>
      </c>
      <c r="B28" s="1149"/>
      <c r="C28" s="1149"/>
      <c r="D28" s="1149"/>
      <c r="E28" s="1149"/>
      <c r="F28" s="1149"/>
      <c r="G28" s="1149"/>
      <c r="H28" s="1149"/>
      <c r="I28" s="1149"/>
    </row>
    <row r="29" spans="1:9" ht="12.75" customHeight="1">
      <c r="A29" s="1148" t="s">
        <v>1984</v>
      </c>
      <c r="B29" s="1149"/>
      <c r="C29" s="1149"/>
      <c r="D29" s="1149"/>
      <c r="E29" s="1149"/>
      <c r="F29" s="1149"/>
      <c r="G29" s="1149"/>
      <c r="H29" s="1149"/>
      <c r="I29" s="1149"/>
    </row>
    <row r="30" spans="1:9" ht="12.75" customHeight="1">
      <c r="A30" s="1148" t="s">
        <v>1951</v>
      </c>
      <c r="B30" s="1149"/>
      <c r="C30" s="1149"/>
      <c r="D30" s="1149"/>
      <c r="E30" s="1149"/>
      <c r="F30" s="1149"/>
      <c r="G30" s="1149"/>
      <c r="H30" s="1149"/>
      <c r="I30" s="1149"/>
    </row>
    <row r="31" spans="1:9" ht="12.75" customHeight="1">
      <c r="A31" s="1148" t="s">
        <v>1985</v>
      </c>
      <c r="B31" s="1149"/>
      <c r="C31" s="1149"/>
      <c r="D31" s="1149"/>
      <c r="E31" s="1149"/>
      <c r="F31" s="1149"/>
      <c r="G31" s="1149"/>
      <c r="H31" s="1149"/>
      <c r="I31" s="1149"/>
    </row>
    <row r="32" spans="1:9" ht="12.75" customHeight="1">
      <c r="A32" s="1148"/>
      <c r="B32" s="1149"/>
      <c r="C32" s="1149"/>
      <c r="D32" s="1149"/>
      <c r="E32" s="1149"/>
      <c r="F32" s="1149"/>
      <c r="G32" s="1149"/>
      <c r="H32" s="1149"/>
      <c r="I32" s="1149"/>
    </row>
    <row r="33" spans="1:12" ht="12.75" customHeight="1">
      <c r="A33" s="1148" t="s">
        <v>1952</v>
      </c>
      <c r="B33" s="1149"/>
      <c r="C33" s="1149"/>
      <c r="D33" s="1149"/>
      <c r="E33" s="1149"/>
      <c r="F33" s="1149"/>
      <c r="G33" s="1149"/>
      <c r="H33" s="1149"/>
      <c r="I33" s="1149"/>
    </row>
    <row r="34" spans="1:12" ht="15" customHeight="1">
      <c r="A34" s="479"/>
      <c r="B34" s="1150"/>
      <c r="C34" s="1150"/>
      <c r="D34" s="1150"/>
      <c r="E34" s="1150"/>
      <c r="F34" s="1150"/>
      <c r="G34" s="1150"/>
      <c r="H34" s="1150"/>
      <c r="I34" s="1150"/>
    </row>
    <row r="35" spans="1:12" ht="15" customHeight="1">
      <c r="A35" s="1151"/>
      <c r="B35" s="1150"/>
      <c r="C35" s="1150"/>
      <c r="D35" s="1150"/>
      <c r="E35" s="1150"/>
      <c r="F35" s="1150"/>
      <c r="G35" s="1150"/>
      <c r="H35" s="1150"/>
      <c r="I35" s="1150"/>
    </row>
    <row r="36" spans="1:12" ht="18" customHeight="1">
      <c r="A36" s="4" t="s">
        <v>677</v>
      </c>
      <c r="B36" s="1150"/>
      <c r="C36" s="1150"/>
      <c r="D36" s="1150"/>
      <c r="E36" s="1150"/>
      <c r="F36" s="1150"/>
      <c r="G36" s="1150"/>
      <c r="H36" s="1150"/>
      <c r="I36" s="1150"/>
    </row>
    <row r="37" spans="1:12" ht="31" customHeight="1">
      <c r="A37" s="4"/>
      <c r="B37" s="1150"/>
      <c r="C37" s="1150"/>
      <c r="D37" s="1150"/>
      <c r="E37" s="1150"/>
      <c r="F37" s="1150"/>
      <c r="G37" s="1150"/>
      <c r="H37" s="1150"/>
      <c r="I37" s="1150"/>
    </row>
    <row r="38" spans="1:12" ht="31" customHeight="1">
      <c r="A38" s="138"/>
      <c r="B38" s="1152"/>
      <c r="C38" s="1152"/>
      <c r="D38" s="1152"/>
      <c r="E38" s="1152"/>
      <c r="F38" s="1152"/>
      <c r="G38" s="1152"/>
      <c r="H38" s="1152"/>
      <c r="I38" s="1152"/>
      <c r="L38" s="317"/>
    </row>
    <row r="39" spans="1:12" ht="31" customHeight="1">
      <c r="A39" s="138"/>
      <c r="B39" s="1152"/>
      <c r="C39" s="1152"/>
      <c r="D39" s="1152"/>
      <c r="E39" s="1152"/>
      <c r="F39" s="1152"/>
      <c r="G39" s="1152"/>
      <c r="H39" s="1152"/>
      <c r="I39" s="1152"/>
    </row>
    <row r="40" spans="1:12" ht="31" customHeight="1">
      <c r="A40" s="138"/>
      <c r="B40" s="1152"/>
      <c r="C40" s="1152"/>
      <c r="D40" s="1152"/>
      <c r="E40" s="1152"/>
      <c r="F40" s="1152"/>
      <c r="G40" s="1152"/>
      <c r="H40" s="1152"/>
      <c r="I40" s="1152"/>
    </row>
    <row r="41" spans="1:12" ht="31" customHeight="1">
      <c r="A41" s="138"/>
      <c r="B41" s="1152"/>
      <c r="C41" s="1152"/>
      <c r="D41" s="1152"/>
      <c r="E41" s="1152"/>
      <c r="F41" s="1152"/>
      <c r="G41" s="1152"/>
      <c r="H41" s="1152"/>
      <c r="I41" s="1152"/>
    </row>
    <row r="42" spans="1:12" ht="31" customHeight="1">
      <c r="A42" s="138"/>
      <c r="B42" s="1152"/>
      <c r="C42" s="1152"/>
      <c r="D42" s="1152"/>
      <c r="E42" s="1152"/>
      <c r="F42" s="1152"/>
      <c r="G42" s="1152"/>
      <c r="H42" s="1152"/>
      <c r="I42" s="1152"/>
    </row>
    <row r="43" spans="1:12" ht="31" customHeight="1">
      <c r="A43" s="138"/>
      <c r="B43" s="1152"/>
      <c r="C43" s="1152"/>
      <c r="D43" s="1152"/>
      <c r="E43" s="1152"/>
      <c r="F43" s="1152"/>
      <c r="G43" s="1152"/>
      <c r="H43" s="1152"/>
      <c r="I43" s="1152"/>
    </row>
    <row r="44" spans="1:12">
      <c r="A44" s="138"/>
      <c r="B44" s="1152"/>
      <c r="C44" s="1152"/>
      <c r="D44" s="1152"/>
      <c r="E44" s="1152"/>
      <c r="F44" s="1152"/>
      <c r="G44" s="1152"/>
      <c r="H44" s="1152"/>
      <c r="I44" s="1152"/>
    </row>
    <row r="45" spans="1:12">
      <c r="A45" s="138"/>
      <c r="B45" s="1152"/>
      <c r="C45" s="1152"/>
      <c r="D45" s="1152"/>
      <c r="E45" s="1152"/>
      <c r="F45" s="1152"/>
      <c r="G45" s="1152"/>
      <c r="H45" s="1152"/>
      <c r="I45" s="1152"/>
    </row>
  </sheetData>
  <pageMargins left="0.59" right="0.51" top="0.97" bottom="0.49" header="0.56999999999999995" footer="0.4921259845"/>
  <pageSetup paperSize="9" scale="78" orientation="portrait"/>
  <headerFooter alignWithMargins="0"/>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949E0-92A2-D046-96D6-A1C2D25653AD}">
  <sheetPr>
    <pageSetUpPr fitToPage="1"/>
  </sheetPr>
  <dimension ref="A1:K43"/>
  <sheetViews>
    <sheetView zoomScaleNormal="100" workbookViewId="0">
      <selection activeCell="J20" sqref="J20"/>
    </sheetView>
  </sheetViews>
  <sheetFormatPr baseColWidth="10" defaultColWidth="11.3984375" defaultRowHeight="13"/>
  <cols>
    <col min="1" max="1" width="10.59765625" style="3" customWidth="1"/>
    <col min="2" max="8" width="13.59765625" style="121" customWidth="1"/>
    <col min="9" max="9" width="8.59765625" style="3" customWidth="1"/>
    <col min="10" max="16384" width="11.3984375" style="3"/>
  </cols>
  <sheetData>
    <row r="1" spans="1:10" s="2" customFormat="1" ht="14" customHeight="1">
      <c r="A1" s="242"/>
      <c r="B1" s="1142"/>
      <c r="C1" s="1142"/>
      <c r="D1" s="1142"/>
      <c r="E1" s="1142"/>
      <c r="F1" s="1142"/>
      <c r="G1" s="1142"/>
      <c r="H1" s="1142"/>
    </row>
    <row r="2" spans="1:10" s="2" customFormat="1" ht="27.5" customHeight="1">
      <c r="A2" s="372" t="s">
        <v>1986</v>
      </c>
      <c r="B2" s="306"/>
      <c r="C2" s="306"/>
      <c r="D2" s="306"/>
      <c r="E2" s="306"/>
      <c r="F2" s="306"/>
      <c r="G2" s="306"/>
      <c r="H2" s="358"/>
    </row>
    <row r="3" spans="1:10" ht="27" customHeight="1">
      <c r="A3" s="72" t="s">
        <v>695</v>
      </c>
      <c r="B3" s="73" t="s">
        <v>1987</v>
      </c>
      <c r="C3" s="74" t="s">
        <v>1492</v>
      </c>
      <c r="D3" s="73" t="s">
        <v>1930</v>
      </c>
      <c r="E3" s="74" t="s">
        <v>1988</v>
      </c>
      <c r="F3" s="73" t="s">
        <v>1989</v>
      </c>
      <c r="G3" s="74" t="s">
        <v>1990</v>
      </c>
      <c r="H3" s="73" t="s">
        <v>190</v>
      </c>
    </row>
    <row r="4" spans="1:10" ht="15" customHeight="1">
      <c r="A4" s="328"/>
      <c r="B4" s="76" t="s">
        <v>1991</v>
      </c>
      <c r="C4" s="894" t="s">
        <v>1518</v>
      </c>
      <c r="D4" s="76" t="s">
        <v>736</v>
      </c>
      <c r="E4" s="77" t="s">
        <v>1992</v>
      </c>
      <c r="F4" s="76"/>
      <c r="G4" s="77"/>
      <c r="H4" s="76"/>
    </row>
    <row r="5" spans="1:10" ht="18.75" customHeight="1">
      <c r="A5" s="328"/>
      <c r="B5" s="440" t="s">
        <v>1993</v>
      </c>
      <c r="C5" s="77"/>
      <c r="D5" s="76"/>
      <c r="E5" s="894" t="s">
        <v>1994</v>
      </c>
      <c r="F5" s="440"/>
      <c r="G5" s="894"/>
      <c r="H5" s="440"/>
      <c r="J5" s="461"/>
    </row>
    <row r="6" spans="1:10" ht="21.75" customHeight="1">
      <c r="A6" s="263"/>
      <c r="B6" s="82"/>
      <c r="C6" s="81"/>
      <c r="D6" s="82"/>
      <c r="E6" s="81"/>
      <c r="F6" s="82"/>
      <c r="G6" s="81"/>
      <c r="H6" s="82"/>
    </row>
    <row r="7" spans="1:10" ht="2.25" customHeight="1" thickBot="1">
      <c r="A7" s="441">
        <v>1996</v>
      </c>
      <c r="B7" s="308">
        <v>17744.372332422729</v>
      </c>
      <c r="C7" s="428">
        <v>10932.716294797674</v>
      </c>
      <c r="D7" s="308">
        <v>1268.9714576684796</v>
      </c>
      <c r="E7" s="428">
        <v>4540.3470588235296</v>
      </c>
      <c r="F7" s="308">
        <v>966.86547804090924</v>
      </c>
      <c r="G7" s="428">
        <v>2015.3489631466664</v>
      </c>
      <c r="H7" s="308">
        <v>37468.621584899985</v>
      </c>
    </row>
    <row r="8" spans="1:10" ht="20.25" hidden="1" customHeight="1" thickBot="1">
      <c r="A8" s="444">
        <v>1997</v>
      </c>
      <c r="B8" s="429">
        <v>18024.21990591228</v>
      </c>
      <c r="C8" s="430">
        <v>11172.859777209607</v>
      </c>
      <c r="D8" s="429">
        <v>1237.2489177234406</v>
      </c>
      <c r="E8" s="430">
        <v>4778.8981705882352</v>
      </c>
      <c r="F8" s="429">
        <v>938.77448458000003</v>
      </c>
      <c r="G8" s="430">
        <v>2057.9071603399998</v>
      </c>
      <c r="H8" s="429">
        <v>38209.908416353559</v>
      </c>
    </row>
    <row r="9" spans="1:10" ht="18.5" hidden="1" customHeight="1" thickBot="1">
      <c r="A9" s="444">
        <v>1998</v>
      </c>
      <c r="B9" s="429">
        <v>18551.937219844131</v>
      </c>
      <c r="C9" s="430">
        <v>11874.35810787395</v>
      </c>
      <c r="D9" s="429">
        <v>1356.5677703307178</v>
      </c>
      <c r="E9" s="430">
        <v>4913.3724305941168</v>
      </c>
      <c r="F9" s="429">
        <v>983.21470195428628</v>
      </c>
      <c r="G9" s="430">
        <v>2135.5628481599997</v>
      </c>
      <c r="H9" s="429">
        <v>39815.013078757198</v>
      </c>
    </row>
    <row r="10" spans="1:10" ht="20.25" customHeight="1" thickBot="1">
      <c r="A10" s="444">
        <v>1999</v>
      </c>
      <c r="B10" s="429">
        <v>18978.566637981137</v>
      </c>
      <c r="C10" s="430">
        <v>12357.690062899601</v>
      </c>
      <c r="D10" s="429">
        <v>1393.9774232153918</v>
      </c>
      <c r="E10" s="430">
        <v>5198.8475422014762</v>
      </c>
      <c r="F10" s="429">
        <v>1015.086034722207</v>
      </c>
      <c r="G10" s="430">
        <v>2160.2840630000001</v>
      </c>
      <c r="H10" s="429">
        <v>41104.45176401981</v>
      </c>
    </row>
    <row r="11" spans="1:10" ht="20.25" customHeight="1" thickBot="1">
      <c r="A11" s="444">
        <v>2000</v>
      </c>
      <c r="B11" s="429">
        <v>19786.725959440424</v>
      </c>
      <c r="C11" s="430">
        <v>12926.336575347925</v>
      </c>
      <c r="D11" s="429">
        <v>1430.1583748696057</v>
      </c>
      <c r="E11" s="430">
        <v>5475.438530920148</v>
      </c>
      <c r="F11" s="429">
        <v>1014.11623525604</v>
      </c>
      <c r="G11" s="430">
        <v>2210.1582759999997</v>
      </c>
      <c r="H11" s="429">
        <v>42842.933951834144</v>
      </c>
    </row>
    <row r="12" spans="1:10" ht="20.25" customHeight="1" thickBot="1">
      <c r="A12" s="444">
        <v>2001</v>
      </c>
      <c r="B12" s="429">
        <v>21248.403601616865</v>
      </c>
      <c r="C12" s="430">
        <v>13690.949264204983</v>
      </c>
      <c r="D12" s="429">
        <v>1471.1430430916139</v>
      </c>
      <c r="E12" s="430">
        <v>5829.5053846335832</v>
      </c>
      <c r="F12" s="429">
        <v>1062.7870063791461</v>
      </c>
      <c r="G12" s="430">
        <v>2270.0527489999999</v>
      </c>
      <c r="H12" s="429">
        <v>45572.841048926195</v>
      </c>
    </row>
    <row r="13" spans="1:10" ht="20.25" customHeight="1" thickBot="1">
      <c r="A13" s="444">
        <v>2002</v>
      </c>
      <c r="B13" s="429">
        <v>22418.819866723858</v>
      </c>
      <c r="C13" s="430">
        <v>14164.252550727681</v>
      </c>
      <c r="D13" s="429">
        <v>1526.2390168419893</v>
      </c>
      <c r="E13" s="430">
        <v>5899.2236182451925</v>
      </c>
      <c r="F13" s="429">
        <v>1052.5616069842113</v>
      </c>
      <c r="G13" s="430">
        <v>2327.5368271152074</v>
      </c>
      <c r="H13" s="429">
        <v>47388.633486638137</v>
      </c>
    </row>
    <row r="14" spans="1:10" ht="20.25" customHeight="1" thickBot="1">
      <c r="A14" s="444">
        <v>2003</v>
      </c>
      <c r="B14" s="429">
        <v>23242.374321177165</v>
      </c>
      <c r="C14" s="430">
        <v>14647.207027090521</v>
      </c>
      <c r="D14" s="429">
        <v>1546.5271226262025</v>
      </c>
      <c r="E14" s="430">
        <v>6306.7298112442477</v>
      </c>
      <c r="F14" s="429">
        <v>1122.7699346072109</v>
      </c>
      <c r="G14" s="430">
        <v>2399.5531361253825</v>
      </c>
      <c r="H14" s="429">
        <v>49265.161352870731</v>
      </c>
    </row>
    <row r="15" spans="1:10" ht="20.25" customHeight="1" thickBot="1">
      <c r="A15" s="444">
        <v>2004</v>
      </c>
      <c r="B15" s="429">
        <v>23945.205223129917</v>
      </c>
      <c r="C15" s="430">
        <v>15193.377809727141</v>
      </c>
      <c r="D15" s="429">
        <v>1704.7484965799663</v>
      </c>
      <c r="E15" s="430">
        <v>6531.3195717647059</v>
      </c>
      <c r="F15" s="429">
        <v>1122.7977613085018</v>
      </c>
      <c r="G15" s="430">
        <v>2510.2678083289275</v>
      </c>
      <c r="H15" s="429">
        <v>51007.71667083916</v>
      </c>
    </row>
    <row r="16" spans="1:10" ht="20.25" customHeight="1" thickBot="1">
      <c r="A16" s="444">
        <v>2005</v>
      </c>
      <c r="B16" s="429">
        <v>23688.403109193729</v>
      </c>
      <c r="C16" s="430">
        <v>16202.451402570587</v>
      </c>
      <c r="D16" s="429">
        <v>1809.9095250833793</v>
      </c>
      <c r="E16" s="430">
        <v>6680.5273571330181</v>
      </c>
      <c r="F16" s="429">
        <v>1133.4662400245973</v>
      </c>
      <c r="G16" s="430">
        <v>2528.2832466786526</v>
      </c>
      <c r="H16" s="429">
        <v>52043.040880683955</v>
      </c>
    </row>
    <row r="17" spans="1:8" ht="20.25" customHeight="1" thickBot="1">
      <c r="A17" s="444">
        <v>2006</v>
      </c>
      <c r="B17" s="429">
        <v>24062.85220852038</v>
      </c>
      <c r="C17" s="430">
        <v>16588.221996927445</v>
      </c>
      <c r="D17" s="429">
        <v>1788.3078435812113</v>
      </c>
      <c r="E17" s="430">
        <v>6561.1769109188781</v>
      </c>
      <c r="F17" s="429">
        <v>1141.3716146756301</v>
      </c>
      <c r="G17" s="430">
        <v>2631.4162770594794</v>
      </c>
      <c r="H17" s="429">
        <v>52773.346851683018</v>
      </c>
    </row>
    <row r="18" spans="1:8" ht="20.25" customHeight="1" thickBot="1">
      <c r="A18" s="444">
        <v>2007</v>
      </c>
      <c r="B18" s="429">
        <v>25173.299610545928</v>
      </c>
      <c r="C18" s="430">
        <v>17405.941656934221</v>
      </c>
      <c r="D18" s="429">
        <v>1831.3062019557781</v>
      </c>
      <c r="E18" s="430">
        <v>6761.1122350753349</v>
      </c>
      <c r="F18" s="429">
        <v>1281.1703952217956</v>
      </c>
      <c r="G18" s="430">
        <v>2762.1150105020197</v>
      </c>
      <c r="H18" s="429">
        <v>55214.945110235072</v>
      </c>
    </row>
    <row r="19" spans="1:8" ht="20.25" customHeight="1" thickBot="1">
      <c r="A19" s="444">
        <v>2008</v>
      </c>
      <c r="B19" s="429">
        <v>26500.705282160561</v>
      </c>
      <c r="C19" s="430">
        <v>18519.296893594856</v>
      </c>
      <c r="D19" s="429">
        <v>2001.4310327792</v>
      </c>
      <c r="E19" s="430">
        <v>7063.2770695818781</v>
      </c>
      <c r="F19" s="1143">
        <v>1417.633317671276</v>
      </c>
      <c r="G19" s="430">
        <v>2923.7092680762953</v>
      </c>
      <c r="H19" s="1143">
        <v>58426.052863864061</v>
      </c>
    </row>
    <row r="20" spans="1:8" ht="20.25" customHeight="1" thickBot="1">
      <c r="A20" s="444">
        <v>2009</v>
      </c>
      <c r="B20" s="429">
        <v>27764.381376677084</v>
      </c>
      <c r="C20" s="430">
        <v>19185.468383850635</v>
      </c>
      <c r="D20" s="429">
        <v>2046.0944266667559</v>
      </c>
      <c r="E20" s="430">
        <v>7423.4371342381546</v>
      </c>
      <c r="F20" s="429">
        <v>1521.7588981642803</v>
      </c>
      <c r="G20" s="430">
        <v>3042.7215849875238</v>
      </c>
      <c r="H20" s="429">
        <v>60983.861804584434</v>
      </c>
    </row>
    <row r="21" spans="1:8" s="1158" customFormat="1" ht="30" customHeight="1" thickBot="1">
      <c r="A21" s="1145" t="s">
        <v>1995</v>
      </c>
      <c r="B21" s="423">
        <v>28535.3</v>
      </c>
      <c r="C21" s="1157">
        <v>19969.5</v>
      </c>
      <c r="D21" s="423">
        <v>2106.8000000000002</v>
      </c>
      <c r="E21" s="1157">
        <v>7323.1</v>
      </c>
      <c r="F21" s="423">
        <v>1591.8</v>
      </c>
      <c r="G21" s="1157">
        <v>3124.8</v>
      </c>
      <c r="H21" s="423">
        <v>62251.4</v>
      </c>
    </row>
    <row r="22" spans="1:8" ht="18" customHeight="1">
      <c r="A22" s="1146" t="s">
        <v>2253</v>
      </c>
      <c r="B22" s="1147"/>
      <c r="C22" s="1147"/>
      <c r="D22" s="1147"/>
      <c r="E22" s="1147"/>
      <c r="F22" s="1147"/>
      <c r="G22" s="1147"/>
      <c r="H22" s="1147"/>
    </row>
    <row r="23" spans="1:8" ht="12.75" customHeight="1">
      <c r="A23" s="1159"/>
      <c r="B23" s="1024"/>
      <c r="C23" s="1024"/>
      <c r="D23" s="1024"/>
      <c r="E23" s="1024"/>
      <c r="F23" s="1024"/>
      <c r="G23" s="1024"/>
      <c r="H23" s="1024"/>
    </row>
    <row r="24" spans="1:8" ht="12.75" customHeight="1">
      <c r="A24" s="1159" t="s">
        <v>1996</v>
      </c>
      <c r="B24" s="1024"/>
      <c r="C24" s="1024"/>
      <c r="D24" s="1024"/>
      <c r="E24" s="1024"/>
      <c r="F24" s="1024"/>
      <c r="G24" s="1024"/>
      <c r="H24" s="1024"/>
    </row>
    <row r="25" spans="1:8" ht="12.75" customHeight="1">
      <c r="A25" s="1159" t="s">
        <v>1997</v>
      </c>
      <c r="B25" s="1024"/>
      <c r="C25" s="1024"/>
      <c r="D25" s="1024"/>
      <c r="E25" s="1024"/>
      <c r="F25" s="1024"/>
      <c r="G25" s="1024"/>
      <c r="H25" s="1024"/>
    </row>
    <row r="26" spans="1:8" ht="12.75" customHeight="1">
      <c r="A26" s="1159" t="s">
        <v>1998</v>
      </c>
      <c r="B26" s="1024"/>
      <c r="C26" s="1024"/>
      <c r="D26" s="1024"/>
      <c r="E26" s="1024"/>
      <c r="F26" s="1024"/>
      <c r="G26" s="1024"/>
      <c r="H26" s="1024"/>
    </row>
    <row r="27" spans="1:8" ht="12.75" customHeight="1">
      <c r="A27" s="1159" t="s">
        <v>1999</v>
      </c>
      <c r="B27" s="1024"/>
      <c r="C27" s="1024"/>
      <c r="D27" s="1024"/>
      <c r="E27" s="1024"/>
      <c r="F27" s="1024"/>
      <c r="G27" s="1024"/>
      <c r="H27" s="1024"/>
    </row>
    <row r="28" spans="1:8" ht="12.75" customHeight="1">
      <c r="A28" s="1148" t="s">
        <v>2000</v>
      </c>
      <c r="B28" s="1024"/>
      <c r="C28" s="1024"/>
      <c r="D28" s="1024"/>
      <c r="E28" s="1024"/>
      <c r="F28" s="1024"/>
      <c r="G28" s="1024"/>
      <c r="H28" s="1024"/>
    </row>
    <row r="29" spans="1:8" ht="12.75" customHeight="1">
      <c r="A29" s="1148" t="s">
        <v>1950</v>
      </c>
      <c r="B29" s="1024"/>
      <c r="C29" s="1024"/>
      <c r="D29" s="1024"/>
      <c r="E29" s="1024"/>
      <c r="F29" s="1024"/>
      <c r="G29" s="1024"/>
      <c r="H29" s="1024"/>
    </row>
    <row r="30" spans="1:8" ht="12.75" customHeight="1">
      <c r="A30" s="1159"/>
      <c r="B30" s="1024"/>
      <c r="C30" s="1024"/>
      <c r="D30" s="1024"/>
      <c r="E30" s="1024"/>
      <c r="F30" s="1024"/>
      <c r="G30" s="1024"/>
      <c r="H30" s="1024"/>
    </row>
    <row r="31" spans="1:8" ht="12.75" customHeight="1">
      <c r="A31" s="1159" t="s">
        <v>1952</v>
      </c>
      <c r="B31" s="1024"/>
      <c r="C31" s="1024"/>
      <c r="D31" s="1024"/>
      <c r="E31" s="1024"/>
      <c r="F31" s="1024"/>
      <c r="G31" s="1024"/>
      <c r="H31" s="1024"/>
    </row>
    <row r="32" spans="1:8" ht="14.25" customHeight="1">
      <c r="A32" s="242"/>
      <c r="B32" s="1152"/>
      <c r="C32" s="1152"/>
      <c r="D32" s="1152"/>
      <c r="E32" s="1152"/>
      <c r="F32" s="1152"/>
      <c r="G32" s="1152"/>
      <c r="H32" s="1152"/>
    </row>
    <row r="33" spans="1:11" ht="14.25" customHeight="1">
      <c r="A33" s="317"/>
      <c r="B33" s="1152"/>
      <c r="C33" s="1152"/>
      <c r="D33" s="1152"/>
      <c r="E33" s="1152"/>
      <c r="F33" s="1152"/>
      <c r="G33" s="1152"/>
      <c r="H33" s="1152"/>
    </row>
    <row r="34" spans="1:11" ht="14.25" customHeight="1">
      <c r="A34" s="138" t="s">
        <v>677</v>
      </c>
      <c r="B34" s="1152"/>
      <c r="C34" s="1152"/>
      <c r="D34" s="1152"/>
      <c r="E34" s="1152"/>
      <c r="F34" s="1152"/>
      <c r="G34" s="1152"/>
      <c r="H34" s="1152"/>
    </row>
    <row r="35" spans="1:11" ht="18" customHeight="1">
      <c r="A35" s="138"/>
      <c r="B35" s="1152"/>
      <c r="C35" s="1152"/>
      <c r="D35" s="1152"/>
      <c r="E35" s="1152"/>
      <c r="F35" s="1152"/>
      <c r="G35" s="1152"/>
      <c r="H35" s="1152"/>
    </row>
    <row r="36" spans="1:11" ht="18" customHeight="1">
      <c r="A36" s="138"/>
      <c r="B36" s="1152"/>
      <c r="C36" s="1152"/>
      <c r="D36" s="1152"/>
      <c r="E36" s="1152"/>
      <c r="F36" s="1152"/>
      <c r="G36" s="1152"/>
      <c r="H36" s="1152"/>
      <c r="K36" s="317"/>
    </row>
    <row r="37" spans="1:11" ht="31" customHeight="1">
      <c r="A37" s="138"/>
      <c r="B37" s="1152"/>
      <c r="C37" s="1152"/>
      <c r="D37" s="1152"/>
      <c r="E37" s="1152"/>
      <c r="F37" s="1152"/>
      <c r="G37" s="1152"/>
      <c r="H37" s="1152"/>
    </row>
    <row r="38" spans="1:11" ht="31" customHeight="1">
      <c r="A38" s="138"/>
      <c r="B38" s="1152"/>
      <c r="C38" s="1152"/>
      <c r="D38" s="1152"/>
      <c r="E38" s="1152"/>
      <c r="F38" s="1152"/>
      <c r="G38" s="1152"/>
      <c r="H38" s="1152"/>
    </row>
    <row r="39" spans="1:11" ht="31" customHeight="1">
      <c r="A39" s="138"/>
      <c r="B39" s="1152"/>
      <c r="C39" s="1152"/>
      <c r="D39" s="1152"/>
      <c r="E39" s="1152"/>
      <c r="F39" s="1152"/>
      <c r="G39" s="1152"/>
      <c r="H39" s="1152"/>
    </row>
    <row r="40" spans="1:11" ht="31" customHeight="1">
      <c r="A40" s="138"/>
      <c r="B40" s="1152"/>
      <c r="C40" s="1152"/>
      <c r="D40" s="1152"/>
      <c r="E40" s="1152"/>
      <c r="F40" s="1152"/>
      <c r="G40" s="1152"/>
      <c r="H40" s="1152"/>
    </row>
    <row r="41" spans="1:11" ht="31" customHeight="1">
      <c r="A41" s="138"/>
      <c r="B41" s="1152"/>
      <c r="C41" s="1152"/>
      <c r="D41" s="1152"/>
      <c r="E41" s="1152"/>
      <c r="F41" s="1152"/>
      <c r="G41" s="1152"/>
      <c r="H41" s="1152"/>
    </row>
    <row r="42" spans="1:11">
      <c r="A42" s="138"/>
      <c r="B42" s="1152"/>
      <c r="C42" s="1152"/>
      <c r="D42" s="1152"/>
      <c r="E42" s="1152"/>
      <c r="F42" s="1152"/>
      <c r="G42" s="1152"/>
      <c r="H42" s="1152"/>
    </row>
    <row r="43" spans="1:11">
      <c r="A43" s="138"/>
      <c r="B43" s="1152"/>
      <c r="C43" s="1152"/>
      <c r="D43" s="1152"/>
      <c r="E43" s="1152"/>
      <c r="F43" s="1152"/>
      <c r="G43" s="1152"/>
      <c r="H43" s="1152"/>
    </row>
  </sheetData>
  <pageMargins left="0.59055118110236227" right="0.51181102362204722" top="1.0629921259842521" bottom="0.47244094488188981" header="0.59055118110236227" footer="0.51181102362204722"/>
  <pageSetup paperSize="9" scale="80" orientation="portrait" horizontalDpi="4294967292" verticalDpi="4294967292"/>
  <headerFooter alignWithMargins="0"/>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F2E31-883A-764D-95AF-B3C1FF6A5F6D}">
  <sheetPr>
    <pageSetUpPr fitToPage="1"/>
  </sheetPr>
  <dimension ref="A1:H46"/>
  <sheetViews>
    <sheetView zoomScaleNormal="100" workbookViewId="0">
      <selection activeCell="A33" sqref="A33"/>
    </sheetView>
  </sheetViews>
  <sheetFormatPr baseColWidth="10" defaultColWidth="11.3984375" defaultRowHeight="13"/>
  <cols>
    <col min="1" max="1" width="11.59765625" style="3" customWidth="1"/>
    <col min="2" max="5" width="16.19921875" style="121" customWidth="1"/>
    <col min="6" max="6" width="14.59765625" style="49" customWidth="1"/>
    <col min="7" max="7" width="15.59765625" style="3" customWidth="1"/>
    <col min="8" max="8" width="14.59765625" style="49" customWidth="1"/>
    <col min="9" max="16384" width="11.3984375" style="3"/>
  </cols>
  <sheetData>
    <row r="1" spans="1:8" s="2" customFormat="1" ht="14" customHeight="1">
      <c r="A1" s="242"/>
      <c r="B1" s="1142"/>
      <c r="C1" s="1142"/>
      <c r="D1" s="1142"/>
      <c r="E1" s="1142"/>
      <c r="F1" s="261"/>
      <c r="H1" s="261"/>
    </row>
    <row r="2" spans="1:8" s="2" customFormat="1" ht="39" customHeight="1">
      <c r="A2" s="1829" t="s">
        <v>2307</v>
      </c>
      <c r="B2" s="1810"/>
      <c r="C2" s="1810"/>
      <c r="D2" s="1810"/>
      <c r="E2" s="1810"/>
      <c r="F2" s="1810"/>
      <c r="G2" s="1810"/>
      <c r="H2" s="1493"/>
    </row>
    <row r="3" spans="1:8" ht="27" customHeight="1">
      <c r="A3" s="72" t="s">
        <v>695</v>
      </c>
      <c r="B3" s="73" t="s">
        <v>1928</v>
      </c>
      <c r="C3" s="74" t="s">
        <v>2308</v>
      </c>
      <c r="D3" s="73" t="s">
        <v>1931</v>
      </c>
      <c r="E3" s="74" t="s">
        <v>190</v>
      </c>
      <c r="F3" s="299" t="s">
        <v>585</v>
      </c>
      <c r="G3" s="74" t="s">
        <v>2309</v>
      </c>
      <c r="H3" s="299" t="s">
        <v>585</v>
      </c>
    </row>
    <row r="4" spans="1:8" ht="18" customHeight="1">
      <c r="A4" s="328"/>
      <c r="B4" s="440"/>
      <c r="C4" s="894" t="s">
        <v>2310</v>
      </c>
      <c r="D4" s="76" t="s">
        <v>2311</v>
      </c>
      <c r="E4" s="77"/>
      <c r="F4" s="78" t="s">
        <v>586</v>
      </c>
      <c r="G4" s="77" t="s">
        <v>2312</v>
      </c>
      <c r="H4" s="78" t="s">
        <v>586</v>
      </c>
    </row>
    <row r="5" spans="1:8" ht="15" customHeight="1">
      <c r="A5" s="328"/>
      <c r="B5" s="76"/>
      <c r="C5" s="77"/>
      <c r="D5" s="76"/>
      <c r="E5" s="894"/>
      <c r="F5" s="78" t="s">
        <v>210</v>
      </c>
      <c r="G5" s="894"/>
      <c r="H5" s="78" t="s">
        <v>210</v>
      </c>
    </row>
    <row r="6" spans="1:8" ht="21.75" customHeight="1">
      <c r="A6" s="263"/>
      <c r="B6" s="82"/>
      <c r="C6" s="81"/>
      <c r="D6" s="82"/>
      <c r="E6" s="81"/>
      <c r="F6" s="80"/>
      <c r="G6" s="81"/>
      <c r="H6" s="80"/>
    </row>
    <row r="7" spans="1:8" ht="2.25" customHeight="1" thickBot="1">
      <c r="A7" s="441">
        <v>1996</v>
      </c>
      <c r="B7" s="308">
        <v>9177.687383202805</v>
      </c>
      <c r="C7" s="428">
        <v>2253.7791020058648</v>
      </c>
      <c r="D7" s="308">
        <v>26037.155099691325</v>
      </c>
      <c r="E7" s="428">
        <v>37468.621584899993</v>
      </c>
      <c r="F7" s="300">
        <v>4.8323025860493536E-2</v>
      </c>
      <c r="G7" s="428">
        <v>5273.2258587145679</v>
      </c>
      <c r="H7" s="300">
        <v>4.4699999999999997E-2</v>
      </c>
    </row>
    <row r="8" spans="1:8" ht="21" hidden="1" customHeight="1" thickBot="1">
      <c r="A8" s="444">
        <v>1997</v>
      </c>
      <c r="B8" s="429">
        <v>9418.8451093591284</v>
      </c>
      <c r="C8" s="430">
        <v>2342.3722205725544</v>
      </c>
      <c r="D8" s="429">
        <v>26448.691086421877</v>
      </c>
      <c r="E8" s="430">
        <v>38209.908416353559</v>
      </c>
      <c r="F8" s="301">
        <v>1.9784203424027424E-2</v>
      </c>
      <c r="G8" s="430">
        <v>5371.4148132973496</v>
      </c>
      <c r="H8" s="301">
        <v>1.8620282387585192E-2</v>
      </c>
    </row>
    <row r="9" spans="1:8" ht="19.75" hidden="1" customHeight="1" thickBot="1">
      <c r="A9" s="444">
        <v>1998</v>
      </c>
      <c r="B9" s="429">
        <v>9740.4616162185357</v>
      </c>
      <c r="C9" s="430">
        <v>2491.9842199206182</v>
      </c>
      <c r="D9" s="429">
        <v>27582.567242618046</v>
      </c>
      <c r="E9" s="430">
        <v>39815.013078757198</v>
      </c>
      <c r="F9" s="301">
        <v>4.2007550630942261E-2</v>
      </c>
      <c r="G9" s="132">
        <v>5582.675033421332</v>
      </c>
      <c r="H9" s="301">
        <v>3.9330460868706611E-2</v>
      </c>
    </row>
    <row r="10" spans="1:8" ht="21" customHeight="1" thickBot="1">
      <c r="A10" s="444">
        <v>1999</v>
      </c>
      <c r="B10" s="429">
        <v>10410.713149998719</v>
      </c>
      <c r="C10" s="430">
        <v>2592.3571232595004</v>
      </c>
      <c r="D10" s="429">
        <v>28101.381490761596</v>
      </c>
      <c r="E10" s="430">
        <v>41104.451764019817</v>
      </c>
      <c r="F10" s="301">
        <v>3.2385740592675662E-2</v>
      </c>
      <c r="G10" s="132">
        <v>5735.4478095920085</v>
      </c>
      <c r="H10" s="301">
        <v>2.7365514785668971E-2</v>
      </c>
    </row>
    <row r="11" spans="1:8" ht="21" customHeight="1" thickBot="1">
      <c r="A11" s="444">
        <v>2000</v>
      </c>
      <c r="B11" s="429">
        <v>10738.085506785732</v>
      </c>
      <c r="C11" s="430">
        <v>2676.9738820686712</v>
      </c>
      <c r="D11" s="429">
        <v>29427.874562979741</v>
      </c>
      <c r="E11" s="430">
        <v>42842.933951834144</v>
      </c>
      <c r="F11" s="301">
        <v>4.2294255566159421E-2</v>
      </c>
      <c r="G11" s="132">
        <v>5942.9441459536711</v>
      </c>
      <c r="H11" s="301">
        <v>3.6177878912025667E-2</v>
      </c>
    </row>
    <row r="12" spans="1:8" ht="21" customHeight="1" thickBot="1">
      <c r="A12" s="444">
        <v>2001</v>
      </c>
      <c r="B12" s="429">
        <v>12066.085763402813</v>
      </c>
      <c r="C12" s="430">
        <v>2827.6124836560352</v>
      </c>
      <c r="D12" s="429">
        <v>30679.142801867347</v>
      </c>
      <c r="E12" s="430">
        <v>45572.841048926195</v>
      </c>
      <c r="F12" s="301">
        <v>6.3718957720335617E-2</v>
      </c>
      <c r="G12" s="132">
        <v>6276.9577355721531</v>
      </c>
      <c r="H12" s="301">
        <v>5.6203386977126381E-2</v>
      </c>
    </row>
    <row r="13" spans="1:8" ht="21" customHeight="1" thickBot="1">
      <c r="A13" s="444">
        <v>2002</v>
      </c>
      <c r="B13" s="429">
        <v>13119.414911832959</v>
      </c>
      <c r="C13" s="430">
        <v>2820.0498229714558</v>
      </c>
      <c r="D13" s="429">
        <v>31449.168751833717</v>
      </c>
      <c r="E13" s="430">
        <v>47388.633486638129</v>
      </c>
      <c r="F13" s="301">
        <v>3.9843740173287234E-2</v>
      </c>
      <c r="G13" s="132">
        <v>6449.3898810983646</v>
      </c>
      <c r="H13" s="301">
        <v>2.7470655816116331E-2</v>
      </c>
    </row>
    <row r="14" spans="1:8" ht="21" customHeight="1" thickBot="1">
      <c r="A14" s="444">
        <v>2003</v>
      </c>
      <c r="B14" s="429">
        <v>13722.655861069588</v>
      </c>
      <c r="C14" s="430">
        <v>2987.0229199422301</v>
      </c>
      <c r="D14" s="429">
        <v>32555.482571858916</v>
      </c>
      <c r="E14" s="430">
        <v>49265.161352870738</v>
      </c>
      <c r="F14" s="301">
        <v>3.9598691250755769E-2</v>
      </c>
      <c r="G14" s="132">
        <v>6652.9131741119318</v>
      </c>
      <c r="H14" s="301">
        <v>3.1556983957512899E-2</v>
      </c>
    </row>
    <row r="15" spans="1:8" ht="21" customHeight="1" thickBot="1">
      <c r="A15" s="444">
        <v>2004</v>
      </c>
      <c r="B15" s="429">
        <v>13782.332559784953</v>
      </c>
      <c r="C15" s="430">
        <v>3171.7715212406179</v>
      </c>
      <c r="D15" s="429">
        <v>34053.612589813594</v>
      </c>
      <c r="E15" s="430">
        <v>51007.71667083916</v>
      </c>
      <c r="F15" s="301">
        <v>3.5370945108391096E-2</v>
      </c>
      <c r="G15" s="132">
        <v>6842.8964671900767</v>
      </c>
      <c r="H15" s="301">
        <v>2.8556406510371293E-2</v>
      </c>
    </row>
    <row r="16" spans="1:8" ht="21" customHeight="1" thickBot="1">
      <c r="A16" s="444">
        <v>2005</v>
      </c>
      <c r="B16" s="429">
        <v>14066.947446826567</v>
      </c>
      <c r="C16" s="430">
        <v>3389.0318928738943</v>
      </c>
      <c r="D16" s="429">
        <v>34587.061540983508</v>
      </c>
      <c r="E16" s="430">
        <v>52043.04088068397</v>
      </c>
      <c r="F16" s="301">
        <v>2.0297403558091422E-2</v>
      </c>
      <c r="G16" s="132">
        <v>6937.9111736214763</v>
      </c>
      <c r="H16" s="301">
        <v>1.3885159140865371E-2</v>
      </c>
    </row>
    <row r="17" spans="1:8" ht="21" customHeight="1" thickBot="1">
      <c r="A17" s="444">
        <v>2006</v>
      </c>
      <c r="B17" s="429">
        <v>14084.873263559057</v>
      </c>
      <c r="C17" s="430">
        <v>3434.4268800044406</v>
      </c>
      <c r="D17" s="429">
        <v>35254.046708119524</v>
      </c>
      <c r="E17" s="430">
        <v>52773.346851683018</v>
      </c>
      <c r="F17" s="301">
        <v>1.403273057532088E-2</v>
      </c>
      <c r="G17" s="132">
        <v>6982.8098875825699</v>
      </c>
      <c r="H17" s="301">
        <v>6.4715031423005619E-3</v>
      </c>
    </row>
    <row r="18" spans="1:8" ht="21" customHeight="1" thickBot="1">
      <c r="A18" s="444">
        <v>2007</v>
      </c>
      <c r="B18" s="429">
        <v>14773.435402819494</v>
      </c>
      <c r="C18" s="430">
        <v>3552.0597140138489</v>
      </c>
      <c r="D18" s="429">
        <v>36889.449993401729</v>
      </c>
      <c r="E18" s="430">
        <v>55214.945110235072</v>
      </c>
      <c r="F18" s="301">
        <v>4.6265745953427022E-2</v>
      </c>
      <c r="G18" s="132">
        <v>7247.388280999573</v>
      </c>
      <c r="H18" s="301">
        <v>3.7889960871983507E-2</v>
      </c>
    </row>
    <row r="19" spans="1:8" ht="21" customHeight="1" thickBot="1">
      <c r="A19" s="444">
        <v>2008</v>
      </c>
      <c r="B19" s="1143">
        <v>15958.349318477074</v>
      </c>
      <c r="C19" s="430">
        <v>3454.1194395977645</v>
      </c>
      <c r="D19" s="1143">
        <v>39013.584105789218</v>
      </c>
      <c r="E19" s="1144">
        <v>58426.052863864054</v>
      </c>
      <c r="F19" s="1547">
        <v>5.8156496347467002E-2</v>
      </c>
      <c r="G19" s="752">
        <v>7576.9197972189613</v>
      </c>
      <c r="H19" s="1547">
        <v>4.5469002548589543E-2</v>
      </c>
    </row>
    <row r="20" spans="1:8" ht="21" customHeight="1" thickBot="1">
      <c r="A20" s="444">
        <v>2009</v>
      </c>
      <c r="B20" s="429">
        <v>17032.89816962387</v>
      </c>
      <c r="C20" s="430">
        <v>3497.2817703098858</v>
      </c>
      <c r="D20" s="429">
        <v>40453.68186465068</v>
      </c>
      <c r="E20" s="430">
        <v>60983.861804584434</v>
      </c>
      <c r="F20" s="301">
        <v>4.3778568213057589E-2</v>
      </c>
      <c r="G20" s="132">
        <v>7817.1630090075541</v>
      </c>
      <c r="H20" s="301">
        <v>3.1707239645953678E-2</v>
      </c>
    </row>
    <row r="21" spans="1:8" ht="26.25" customHeight="1" thickBot="1">
      <c r="A21" s="1548" t="s">
        <v>2313</v>
      </c>
      <c r="B21" s="1143" t="s">
        <v>35</v>
      </c>
      <c r="C21" s="1144" t="s">
        <v>35</v>
      </c>
      <c r="D21" s="1143" t="s">
        <v>35</v>
      </c>
      <c r="E21" s="752">
        <v>62651.4</v>
      </c>
      <c r="F21" s="1547">
        <v>2.7343925853023254E-2</v>
      </c>
      <c r="G21" s="752">
        <v>7953.1368235208547</v>
      </c>
      <c r="H21" s="1547">
        <v>1.7394266226330446E-2</v>
      </c>
    </row>
    <row r="22" spans="1:8" ht="26.25" customHeight="1" thickBot="1">
      <c r="A22" s="1548" t="s">
        <v>2314</v>
      </c>
      <c r="B22" s="1143" t="s">
        <v>35</v>
      </c>
      <c r="C22" s="1144" t="s">
        <v>35</v>
      </c>
      <c r="D22" s="1143" t="s">
        <v>35</v>
      </c>
      <c r="E22" s="752">
        <v>64639.6</v>
      </c>
      <c r="F22" s="1547">
        <v>3.173432676683996E-2</v>
      </c>
      <c r="G22" s="1144" t="s">
        <v>35</v>
      </c>
      <c r="H22" s="1547" t="s">
        <v>35</v>
      </c>
    </row>
    <row r="23" spans="1:8" ht="26.25" customHeight="1" thickBot="1">
      <c r="A23" s="1548" t="s">
        <v>2315</v>
      </c>
      <c r="B23" s="1143" t="s">
        <v>35</v>
      </c>
      <c r="C23" s="1144" t="s">
        <v>35</v>
      </c>
      <c r="D23" s="1143" t="s">
        <v>35</v>
      </c>
      <c r="E23" s="752">
        <v>66594.399999999994</v>
      </c>
      <c r="F23" s="1547">
        <v>3.0241523771805445E-2</v>
      </c>
      <c r="G23" s="1549" t="s">
        <v>35</v>
      </c>
      <c r="H23" s="1550" t="s">
        <v>35</v>
      </c>
    </row>
    <row r="24" spans="1:8" ht="20" customHeight="1">
      <c r="A24" s="1146" t="s">
        <v>2369</v>
      </c>
      <c r="B24" s="1147"/>
      <c r="C24" s="1147"/>
      <c r="D24" s="1147"/>
      <c r="E24" s="1147"/>
      <c r="F24" s="1551"/>
    </row>
    <row r="25" spans="1:8" ht="10.5" customHeight="1">
      <c r="A25" s="1159"/>
      <c r="B25" s="1024"/>
      <c r="C25" s="1024"/>
      <c r="D25" s="1024"/>
      <c r="E25" s="1024"/>
    </row>
    <row r="26" spans="1:8" ht="12.75" customHeight="1">
      <c r="A26" s="1159" t="s">
        <v>2316</v>
      </c>
      <c r="B26" s="1024"/>
      <c r="C26" s="1024"/>
      <c r="D26" s="1024"/>
      <c r="E26" s="1024"/>
    </row>
    <row r="27" spans="1:8" ht="12.75" customHeight="1">
      <c r="A27" s="1159" t="s">
        <v>2317</v>
      </c>
      <c r="B27" s="1024"/>
      <c r="C27" s="1024"/>
      <c r="D27" s="1024"/>
      <c r="E27" s="1024"/>
      <c r="F27" s="1552"/>
      <c r="G27" s="1024"/>
    </row>
    <row r="28" spans="1:8" ht="12.75" customHeight="1">
      <c r="A28" s="1159" t="s">
        <v>2318</v>
      </c>
      <c r="B28" s="1024"/>
      <c r="C28" s="1024"/>
      <c r="D28" s="1024"/>
      <c r="E28" s="1024"/>
      <c r="F28" s="1552"/>
      <c r="G28" s="1024"/>
    </row>
    <row r="29" spans="1:8" ht="12.75" customHeight="1">
      <c r="A29" s="1159" t="s">
        <v>2319</v>
      </c>
      <c r="B29" s="1024"/>
      <c r="C29" s="1024"/>
      <c r="D29" s="1024"/>
      <c r="E29" s="1024"/>
      <c r="F29" s="1552"/>
      <c r="G29" s="1024"/>
    </row>
    <row r="30" spans="1:8" ht="12.75" customHeight="1">
      <c r="A30" s="1148" t="s">
        <v>2320</v>
      </c>
      <c r="B30" s="1024"/>
      <c r="C30" s="1024"/>
      <c r="D30" s="1024"/>
      <c r="E30" s="1024"/>
      <c r="F30" s="1552"/>
      <c r="G30" s="1024"/>
    </row>
    <row r="31" spans="1:8" ht="12.75" customHeight="1">
      <c r="A31" s="1148" t="s">
        <v>2321</v>
      </c>
      <c r="B31" s="1024"/>
      <c r="C31" s="1024"/>
      <c r="D31" s="1024"/>
      <c r="E31" s="1024"/>
      <c r="F31" s="1552"/>
      <c r="G31" s="1024"/>
    </row>
    <row r="32" spans="1:8" ht="12.75" customHeight="1">
      <c r="A32" s="96" t="s">
        <v>2322</v>
      </c>
      <c r="B32" s="1024"/>
      <c r="C32" s="1024"/>
      <c r="D32" s="1024"/>
      <c r="E32" s="1024"/>
      <c r="F32" s="1552"/>
      <c r="G32" s="1024"/>
    </row>
    <row r="33" spans="1:8" ht="12.75" customHeight="1">
      <c r="A33" s="1159"/>
      <c r="B33" s="1024"/>
      <c r="C33" s="1024"/>
      <c r="D33" s="1024"/>
      <c r="E33" s="1024"/>
      <c r="F33" s="1552"/>
      <c r="G33" s="1024"/>
    </row>
    <row r="34" spans="1:8" ht="12.75" customHeight="1">
      <c r="A34" s="1159" t="s">
        <v>2370</v>
      </c>
      <c r="B34" s="1024"/>
      <c r="C34" s="1024"/>
      <c r="D34" s="1024"/>
      <c r="E34" s="1024"/>
    </row>
    <row r="35" spans="1:8" ht="15.75" customHeight="1">
      <c r="A35" s="242"/>
      <c r="B35" s="1152"/>
      <c r="C35" s="1152"/>
      <c r="D35" s="1152"/>
      <c r="E35" s="1152"/>
    </row>
    <row r="36" spans="1:8" ht="12" customHeight="1">
      <c r="A36" s="317"/>
      <c r="B36" s="1152"/>
      <c r="C36" s="1152"/>
      <c r="D36" s="1152"/>
      <c r="E36" s="1152"/>
    </row>
    <row r="37" spans="1:8" ht="15.75" customHeight="1">
      <c r="A37" s="138" t="s">
        <v>677</v>
      </c>
      <c r="B37" s="1152"/>
      <c r="C37" s="1152"/>
      <c r="D37" s="1152"/>
      <c r="E37" s="1152"/>
    </row>
    <row r="38" spans="1:8" ht="31" customHeight="1">
      <c r="A38" s="138"/>
      <c r="B38" s="1152"/>
      <c r="C38" s="1152"/>
      <c r="D38" s="1152"/>
      <c r="E38" s="1152"/>
    </row>
    <row r="39" spans="1:8" ht="31" customHeight="1">
      <c r="A39" s="138"/>
      <c r="B39" s="1152"/>
      <c r="C39" s="1152"/>
      <c r="D39" s="1152"/>
      <c r="E39" s="1152"/>
      <c r="H39" s="1553"/>
    </row>
    <row r="40" spans="1:8" ht="31" customHeight="1">
      <c r="A40" s="138"/>
      <c r="B40" s="1152"/>
      <c r="C40" s="1152"/>
      <c r="D40" s="1152"/>
      <c r="E40" s="1152"/>
    </row>
    <row r="41" spans="1:8" ht="31" customHeight="1">
      <c r="A41" s="138"/>
      <c r="B41" s="1152"/>
      <c r="C41" s="1152"/>
      <c r="D41" s="1152"/>
      <c r="E41" s="1152"/>
    </row>
    <row r="42" spans="1:8" ht="31" customHeight="1">
      <c r="A42" s="138"/>
      <c r="B42" s="1152"/>
      <c r="C42" s="1152"/>
      <c r="D42" s="1152"/>
      <c r="E42" s="1152"/>
    </row>
    <row r="43" spans="1:8" ht="31" customHeight="1">
      <c r="A43" s="138"/>
      <c r="B43" s="1152"/>
      <c r="C43" s="1152"/>
      <c r="D43" s="1152"/>
      <c r="E43" s="1152"/>
    </row>
    <row r="44" spans="1:8" ht="31" customHeight="1">
      <c r="A44" s="138"/>
      <c r="B44" s="1152"/>
      <c r="C44" s="1152"/>
      <c r="D44" s="1152"/>
      <c r="E44" s="1152"/>
    </row>
    <row r="45" spans="1:8">
      <c r="A45" s="138"/>
      <c r="B45" s="1152"/>
      <c r="C45" s="1152"/>
      <c r="D45" s="1152"/>
      <c r="E45" s="1152"/>
    </row>
    <row r="46" spans="1:8">
      <c r="A46" s="138"/>
      <c r="B46" s="1152"/>
      <c r="C46" s="1152"/>
      <c r="D46" s="1152"/>
      <c r="E46" s="1152"/>
    </row>
  </sheetData>
  <mergeCells count="1">
    <mergeCell ref="A2:G2"/>
  </mergeCells>
  <pageMargins left="0.43" right="0.28000000000000003" top="0.98425196850393704" bottom="0.47244094488188981" header="0.55118110236220474" footer="0.51181102362204722"/>
  <pageSetup paperSize="9" scale="74" orientation="portrait" horizontalDpi="4294967292" verticalDpi="4294967292"/>
  <headerFooter alignWithMargins="0"/>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63C76-8987-444E-A3A7-C8BE780A83D1}">
  <sheetPr>
    <pageSetUpPr fitToPage="1"/>
  </sheetPr>
  <dimension ref="A1:AK114"/>
  <sheetViews>
    <sheetView topLeftCell="A35" zoomScaleNormal="100" workbookViewId="0">
      <selection activeCell="A42" sqref="A42"/>
    </sheetView>
  </sheetViews>
  <sheetFormatPr baseColWidth="10" defaultColWidth="11.59765625" defaultRowHeight="13"/>
  <cols>
    <col min="1" max="1" width="3.796875" style="1162" customWidth="1"/>
    <col min="2" max="2" width="49" style="1162" customWidth="1"/>
    <col min="3" max="3" width="0.3984375" style="1162" customWidth="1"/>
    <col min="4" max="4" width="10.59765625" style="1162" hidden="1" customWidth="1"/>
    <col min="5" max="5" width="9.796875" style="1162" hidden="1" customWidth="1"/>
    <col min="6" max="10" width="11.59765625" style="1162"/>
    <col min="11" max="11" width="12" style="1162" customWidth="1"/>
    <col min="12" max="16" width="11.3984375" style="1162" customWidth="1"/>
    <col min="17" max="17" width="2.796875" style="1162" customWidth="1"/>
    <col min="18" max="19" width="10.796875" style="1162" customWidth="1"/>
    <col min="20" max="20" width="3.19921875" style="1162" customWidth="1"/>
    <col min="21" max="21" width="11.796875" style="1162" customWidth="1"/>
    <col min="22" max="16384" width="11.59765625" style="1162"/>
  </cols>
  <sheetData>
    <row r="1" spans="1:37" ht="18">
      <c r="A1" s="1160" t="s">
        <v>2001</v>
      </c>
      <c r="B1" s="1161"/>
      <c r="C1" s="1161"/>
      <c r="D1" s="1161"/>
      <c r="E1" s="1161"/>
      <c r="F1" s="1161"/>
      <c r="G1" s="1161"/>
      <c r="H1" s="1161"/>
      <c r="I1" s="1161"/>
      <c r="J1" s="1161"/>
      <c r="K1" s="1161"/>
      <c r="L1" s="1161"/>
      <c r="M1" s="1161"/>
      <c r="N1" s="1161"/>
      <c r="O1" s="1161"/>
      <c r="P1" s="1161"/>
      <c r="Q1" s="1161"/>
      <c r="R1" s="1161"/>
      <c r="S1" s="1161"/>
      <c r="T1" s="1161"/>
      <c r="Y1" s="1163"/>
      <c r="AE1" s="1163"/>
    </row>
    <row r="2" spans="1:37" ht="14" thickBot="1">
      <c r="A2" s="1164"/>
      <c r="B2" s="1164"/>
      <c r="C2" s="1164"/>
      <c r="D2" s="1164"/>
      <c r="E2" s="1164"/>
      <c r="F2" s="1164"/>
      <c r="G2" s="1164"/>
      <c r="H2" s="1164"/>
      <c r="I2" s="1164"/>
      <c r="J2" s="1164"/>
      <c r="K2" s="1164"/>
      <c r="L2" s="1164"/>
      <c r="M2" s="1164"/>
      <c r="N2" s="1164"/>
      <c r="O2" s="1164"/>
      <c r="P2" s="1164"/>
      <c r="Q2" s="1164"/>
      <c r="R2" s="1164"/>
      <c r="S2" s="1164"/>
      <c r="T2" s="1164"/>
      <c r="U2" s="1165"/>
    </row>
    <row r="3" spans="1:37" s="1172" customFormat="1" ht="10.5" customHeight="1">
      <c r="A3" s="1166"/>
      <c r="B3" s="1166"/>
      <c r="C3" s="1167"/>
      <c r="D3" s="1166"/>
      <c r="E3" s="1167"/>
      <c r="F3" s="1166"/>
      <c r="G3" s="1167"/>
      <c r="H3" s="1166"/>
      <c r="I3" s="1167"/>
      <c r="J3" s="1166"/>
      <c r="K3" s="1167"/>
      <c r="L3" s="1166"/>
      <c r="M3" s="1167"/>
      <c r="N3" s="1166"/>
      <c r="O3" s="1167"/>
      <c r="P3" s="1166"/>
      <c r="Q3" s="1168"/>
      <c r="R3" s="1169"/>
      <c r="S3" s="1170"/>
      <c r="T3" s="1171"/>
      <c r="U3" s="1167"/>
      <c r="W3" s="1162"/>
      <c r="X3" s="1173"/>
      <c r="Y3" s="1173"/>
      <c r="Z3" s="1173"/>
      <c r="AA3" s="1173"/>
      <c r="AB3" s="1174"/>
      <c r="AC3" s="1174"/>
      <c r="AD3" s="1174"/>
      <c r="AE3" s="1174"/>
      <c r="AH3" s="1175"/>
      <c r="AI3" s="1175"/>
      <c r="AJ3" s="1175"/>
      <c r="AK3" s="1175"/>
    </row>
    <row r="4" spans="1:37" ht="13.5" customHeight="1">
      <c r="A4" s="1176" t="s">
        <v>2002</v>
      </c>
      <c r="B4" s="1177"/>
      <c r="C4" s="1178">
        <v>1996</v>
      </c>
      <c r="D4" s="1179">
        <v>1997</v>
      </c>
      <c r="E4" s="1178">
        <v>1998</v>
      </c>
      <c r="F4" s="1179">
        <v>1999</v>
      </c>
      <c r="G4" s="1178">
        <v>2000</v>
      </c>
      <c r="H4" s="1179">
        <v>2001</v>
      </c>
      <c r="I4" s="1178">
        <v>2002</v>
      </c>
      <c r="J4" s="1179">
        <v>2003</v>
      </c>
      <c r="K4" s="1178">
        <v>2004</v>
      </c>
      <c r="L4" s="1179">
        <v>2005</v>
      </c>
      <c r="M4" s="1178">
        <v>2006</v>
      </c>
      <c r="N4" s="1179">
        <v>2007</v>
      </c>
      <c r="O4" s="1178">
        <v>2008</v>
      </c>
      <c r="P4" s="1179">
        <v>2009</v>
      </c>
      <c r="Q4" s="1180"/>
      <c r="R4" s="1169" t="s">
        <v>2003</v>
      </c>
      <c r="S4" s="1170" t="s">
        <v>2004</v>
      </c>
      <c r="T4" s="1171"/>
      <c r="U4" s="1181" t="s">
        <v>1579</v>
      </c>
      <c r="X4" s="1173"/>
      <c r="Y4" s="1173"/>
      <c r="Z4" s="1173"/>
      <c r="AA4" s="1173"/>
      <c r="AB4" s="1182"/>
      <c r="AC4" s="1182"/>
      <c r="AD4" s="1182"/>
      <c r="AE4" s="1182"/>
      <c r="AH4" s="1175"/>
      <c r="AI4" s="1175"/>
      <c r="AJ4" s="1175"/>
      <c r="AK4" s="1175"/>
    </row>
    <row r="5" spans="1:37" ht="15" customHeight="1">
      <c r="A5" s="1176" t="s">
        <v>2005</v>
      </c>
      <c r="B5" s="1183"/>
      <c r="C5" s="1184"/>
      <c r="D5" s="1185"/>
      <c r="E5" s="1184"/>
      <c r="F5" s="1185"/>
      <c r="G5" s="1184"/>
      <c r="H5" s="1185"/>
      <c r="I5" s="1184"/>
      <c r="J5" s="1185"/>
      <c r="K5" s="1184"/>
      <c r="L5" s="1185"/>
      <c r="M5" s="1184"/>
      <c r="N5" s="1185"/>
      <c r="O5" s="1184"/>
      <c r="P5" s="1185"/>
      <c r="Q5" s="1186"/>
      <c r="R5" s="1169" t="s">
        <v>2256</v>
      </c>
      <c r="S5" s="1170" t="s">
        <v>2006</v>
      </c>
      <c r="T5" s="1171"/>
      <c r="U5" s="1181" t="s">
        <v>2007</v>
      </c>
      <c r="X5" s="1173"/>
      <c r="Y5" s="1173"/>
      <c r="Z5" s="1173"/>
      <c r="AA5" s="1173"/>
      <c r="AB5" s="1182"/>
      <c r="AC5" s="1182"/>
      <c r="AD5" s="1182"/>
      <c r="AE5" s="1182"/>
      <c r="AH5" s="1175"/>
      <c r="AI5" s="1175"/>
      <c r="AJ5" s="1175"/>
      <c r="AK5" s="1175"/>
    </row>
    <row r="6" spans="1:37" ht="14.25" customHeight="1">
      <c r="A6" s="1187"/>
      <c r="B6" s="1187"/>
      <c r="C6" s="1188"/>
      <c r="D6" s="1189"/>
      <c r="E6" s="1188"/>
      <c r="F6" s="1189"/>
      <c r="G6" s="1188"/>
      <c r="H6" s="1189"/>
      <c r="I6" s="1188"/>
      <c r="J6" s="1189"/>
      <c r="K6" s="1188"/>
      <c r="L6" s="1189"/>
      <c r="M6" s="1188"/>
      <c r="N6" s="1189"/>
      <c r="O6" s="1188"/>
      <c r="P6" s="1189"/>
      <c r="Q6" s="1190"/>
      <c r="R6" s="1191"/>
      <c r="S6" s="1192" t="s">
        <v>585</v>
      </c>
      <c r="T6" s="1193"/>
      <c r="U6" s="1188"/>
      <c r="X6" s="1173"/>
      <c r="Y6" s="1173"/>
      <c r="Z6" s="1173"/>
      <c r="AA6" s="1173"/>
      <c r="AB6" s="1194"/>
      <c r="AC6" s="1194"/>
      <c r="AD6" s="1194"/>
      <c r="AE6" s="1194"/>
      <c r="AH6" s="1194"/>
      <c r="AI6" s="1194"/>
      <c r="AJ6" s="1194"/>
      <c r="AK6" s="1194"/>
    </row>
    <row r="7" spans="1:37">
      <c r="A7" s="1195"/>
      <c r="B7" s="1196"/>
      <c r="C7" s="1197"/>
      <c r="D7" s="1196"/>
      <c r="E7" s="1197"/>
      <c r="F7" s="1196"/>
      <c r="G7" s="1197"/>
      <c r="H7" s="1196"/>
      <c r="I7" s="1197"/>
      <c r="J7" s="1196"/>
      <c r="K7" s="1197"/>
      <c r="L7" s="1196"/>
      <c r="M7" s="1197"/>
      <c r="N7" s="1196"/>
      <c r="O7" s="1197"/>
      <c r="P7" s="1196"/>
      <c r="Q7" s="1198"/>
      <c r="R7" s="1197"/>
      <c r="S7" s="1199" t="s">
        <v>2257</v>
      </c>
      <c r="T7" s="1200"/>
      <c r="U7" s="1197"/>
      <c r="X7" s="1173"/>
      <c r="Y7" s="1173"/>
      <c r="Z7" s="1173"/>
      <c r="AA7" s="1173"/>
      <c r="AB7" s="1182"/>
      <c r="AC7" s="1182"/>
      <c r="AD7" s="1182"/>
      <c r="AE7" s="1182"/>
      <c r="AH7" s="1175"/>
      <c r="AI7" s="1175"/>
      <c r="AJ7" s="1175"/>
      <c r="AK7" s="1175"/>
    </row>
    <row r="8" spans="1:37" ht="18" customHeight="1" thickBot="1">
      <c r="A8" s="1201" t="s">
        <v>2008</v>
      </c>
      <c r="B8" s="1202"/>
      <c r="C8" s="1203">
        <v>5976.68608119694</v>
      </c>
      <c r="D8" s="1204">
        <v>5920.5324887865727</v>
      </c>
      <c r="E8" s="1203">
        <v>5989.0401962979158</v>
      </c>
      <c r="F8" s="1204">
        <v>6272.8466257392192</v>
      </c>
      <c r="G8" s="1203">
        <v>6460.9578237170608</v>
      </c>
      <c r="H8" s="1204">
        <v>7635.1420777467765</v>
      </c>
      <c r="I8" s="1203">
        <v>8429.5101560943567</v>
      </c>
      <c r="J8" s="1204">
        <v>8778.10319716105</v>
      </c>
      <c r="K8" s="1203">
        <v>8632.7243530636424</v>
      </c>
      <c r="L8" s="1204">
        <v>8704.8174529394601</v>
      </c>
      <c r="M8" s="1203">
        <v>8536.5423231378227</v>
      </c>
      <c r="N8" s="1204">
        <v>8960.8447878915576</v>
      </c>
      <c r="O8" s="1205">
        <v>10892.863194019999</v>
      </c>
      <c r="P8" s="1204">
        <v>11812.531518999062</v>
      </c>
      <c r="Q8" s="1206"/>
      <c r="R8" s="1207">
        <v>8.4428520637617632E-2</v>
      </c>
      <c r="S8" s="1208">
        <v>6.5339012621565606E-2</v>
      </c>
      <c r="T8" s="1209"/>
      <c r="U8" s="1210">
        <v>12067.8</v>
      </c>
      <c r="X8" s="1173"/>
      <c r="Y8" s="1173"/>
      <c r="Z8" s="1173"/>
      <c r="AA8" s="1173"/>
      <c r="AH8" s="1175"/>
      <c r="AI8" s="1175"/>
      <c r="AJ8" s="1175"/>
      <c r="AK8" s="1175"/>
    </row>
    <row r="9" spans="1:37" ht="14" thickBot="1">
      <c r="A9" s="1211" t="s">
        <v>2009</v>
      </c>
      <c r="B9" s="1212"/>
      <c r="C9" s="1213">
        <v>129.23078991</v>
      </c>
      <c r="D9" s="1214">
        <v>117.49672024</v>
      </c>
      <c r="E9" s="1213">
        <v>116.89201141000001</v>
      </c>
      <c r="F9" s="1214">
        <v>126.031144</v>
      </c>
      <c r="G9" s="1213">
        <v>145.00575000000001</v>
      </c>
      <c r="H9" s="1214">
        <v>164.3904</v>
      </c>
      <c r="I9" s="1213">
        <v>177.72408200000001</v>
      </c>
      <c r="J9" s="1214">
        <v>155.57770199999999</v>
      </c>
      <c r="K9" s="1213">
        <v>137.73953900000001</v>
      </c>
      <c r="L9" s="1214">
        <v>126.93680499999999</v>
      </c>
      <c r="M9" s="1213">
        <v>121.25849500000001</v>
      </c>
      <c r="N9" s="1214">
        <v>180.203757</v>
      </c>
      <c r="O9" s="1213">
        <v>190.7</v>
      </c>
      <c r="P9" s="1214">
        <v>235.31799999999996</v>
      </c>
      <c r="Q9" s="1215"/>
      <c r="R9" s="1216">
        <v>0.23396958573675919</v>
      </c>
      <c r="S9" s="1217">
        <v>6.4431521466664643E-2</v>
      </c>
      <c r="T9" s="1218"/>
      <c r="U9" s="1219" t="s">
        <v>35</v>
      </c>
      <c r="X9" s="1173"/>
      <c r="Y9" s="1173"/>
      <c r="Z9" s="1173"/>
      <c r="AA9" s="1173"/>
      <c r="AB9" s="1182"/>
      <c r="AC9" s="1182"/>
      <c r="AD9" s="1182"/>
      <c r="AE9" s="1182"/>
      <c r="AH9" s="1175"/>
      <c r="AI9" s="1175"/>
      <c r="AJ9" s="1175"/>
      <c r="AK9" s="1175"/>
    </row>
    <row r="10" spans="1:37" ht="14" thickBot="1">
      <c r="A10" s="1211" t="s">
        <v>2010</v>
      </c>
      <c r="B10" s="1212"/>
      <c r="C10" s="1213">
        <v>4784.5780118902267</v>
      </c>
      <c r="D10" s="1214">
        <v>4715.2771265677929</v>
      </c>
      <c r="E10" s="1213">
        <v>4705.6176243116033</v>
      </c>
      <c r="F10" s="1214">
        <v>4970.909962638395</v>
      </c>
      <c r="G10" s="1213">
        <v>5115.6656802381985</v>
      </c>
      <c r="H10" s="1214">
        <v>6059.2656324562704</v>
      </c>
      <c r="I10" s="1213">
        <v>6823.5309806680871</v>
      </c>
      <c r="J10" s="1214">
        <v>7254.6764879217662</v>
      </c>
      <c r="K10" s="1213">
        <v>7117.8318535254821</v>
      </c>
      <c r="L10" s="1214">
        <v>7397.3768416285438</v>
      </c>
      <c r="M10" s="1213">
        <v>7523.1773202740087</v>
      </c>
      <c r="N10" s="1214">
        <v>7771.8251720893604</v>
      </c>
      <c r="O10" s="1220">
        <v>9143.9026519999989</v>
      </c>
      <c r="P10" s="1214">
        <v>9940.3914481753054</v>
      </c>
      <c r="Q10" s="1215"/>
      <c r="R10" s="1216">
        <v>8.7106001287217794E-2</v>
      </c>
      <c r="S10" s="1217">
        <v>7.1758061906822546E-2</v>
      </c>
      <c r="T10" s="1218"/>
      <c r="U10" s="1219" t="s">
        <v>35</v>
      </c>
      <c r="X10" s="1173"/>
      <c r="Y10" s="1173"/>
      <c r="Z10" s="1173"/>
      <c r="AA10" s="1173"/>
      <c r="AB10" s="1182"/>
      <c r="AC10" s="1182"/>
      <c r="AD10" s="1182"/>
      <c r="AE10" s="1182"/>
      <c r="AH10" s="1175"/>
      <c r="AI10" s="1175"/>
      <c r="AJ10" s="1175"/>
      <c r="AK10" s="1175"/>
    </row>
    <row r="11" spans="1:37" ht="14" thickBot="1">
      <c r="A11" s="1211" t="s">
        <v>2011</v>
      </c>
      <c r="B11" s="1212"/>
      <c r="C11" s="1213">
        <v>1062.8772793967141</v>
      </c>
      <c r="D11" s="1214">
        <v>1087.7586419787795</v>
      </c>
      <c r="E11" s="1213">
        <v>1166.5305605763128</v>
      </c>
      <c r="F11" s="1214">
        <v>1175.9055191008242</v>
      </c>
      <c r="G11" s="1213">
        <v>1200.286393478862</v>
      </c>
      <c r="H11" s="1214">
        <v>1411.4860452905059</v>
      </c>
      <c r="I11" s="1213">
        <v>1428.2550934262702</v>
      </c>
      <c r="J11" s="1214">
        <v>1367.8490072392833</v>
      </c>
      <c r="K11" s="1213">
        <v>1377.1529605381609</v>
      </c>
      <c r="L11" s="1214">
        <v>1180.5038063109164</v>
      </c>
      <c r="M11" s="1213">
        <v>892.10650786381348</v>
      </c>
      <c r="N11" s="1214">
        <v>1008.8158588021977</v>
      </c>
      <c r="O11" s="1220">
        <v>1558.2605420199998</v>
      </c>
      <c r="P11" s="1214">
        <v>1636.8220708237566</v>
      </c>
      <c r="Q11" s="1215"/>
      <c r="R11" s="1216">
        <v>5.0416170265028981E-2</v>
      </c>
      <c r="S11" s="1217">
        <v>3.3624760643896412E-2</v>
      </c>
      <c r="T11" s="1218"/>
      <c r="U11" s="1219" t="s">
        <v>35</v>
      </c>
      <c r="X11" s="1173"/>
      <c r="Y11" s="1173"/>
      <c r="Z11" s="1173"/>
      <c r="AA11" s="1173"/>
      <c r="AB11" s="1182"/>
      <c r="AC11" s="1182"/>
      <c r="AD11" s="1182"/>
      <c r="AE11" s="1182"/>
      <c r="AH11" s="1175"/>
      <c r="AI11" s="1175"/>
      <c r="AJ11" s="1175"/>
      <c r="AK11" s="1175"/>
    </row>
    <row r="12" spans="1:37" s="1230" customFormat="1" ht="14" thickBot="1">
      <c r="A12" s="1212"/>
      <c r="B12" s="1221"/>
      <c r="C12" s="1222"/>
      <c r="D12" s="1223"/>
      <c r="E12" s="1222"/>
      <c r="F12" s="1223"/>
      <c r="G12" s="1222"/>
      <c r="H12" s="1223"/>
      <c r="I12" s="1222"/>
      <c r="J12" s="1223"/>
      <c r="K12" s="1222"/>
      <c r="L12" s="1223"/>
      <c r="M12" s="1222"/>
      <c r="N12" s="1223"/>
      <c r="O12" s="1222"/>
      <c r="P12" s="1223"/>
      <c r="Q12" s="1224"/>
      <c r="R12" s="1225"/>
      <c r="S12" s="1226"/>
      <c r="T12" s="1227"/>
      <c r="U12" s="1228"/>
      <c r="V12" s="1229"/>
    </row>
    <row r="13" spans="1:37" s="1230" customFormat="1" ht="15.75" customHeight="1" thickBot="1">
      <c r="A13" s="1231" t="s">
        <v>2012</v>
      </c>
      <c r="B13" s="1212"/>
      <c r="C13" s="1232">
        <v>2694.5104040117299</v>
      </c>
      <c r="D13" s="1233">
        <v>2815.7448411451096</v>
      </c>
      <c r="E13" s="1232">
        <v>2973.2056398412365</v>
      </c>
      <c r="F13" s="1233">
        <v>3109.7236465190003</v>
      </c>
      <c r="G13" s="1232">
        <v>3228.4015641373426</v>
      </c>
      <c r="H13" s="1233">
        <v>3420.9561673120697</v>
      </c>
      <c r="I13" s="1232">
        <v>3447.3545767100568</v>
      </c>
      <c r="J13" s="1233">
        <v>3663.0755838507671</v>
      </c>
      <c r="K13" s="1232">
        <v>3771.1797269619269</v>
      </c>
      <c r="L13" s="1233">
        <v>3968.7366137610011</v>
      </c>
      <c r="M13" s="1232">
        <v>4049.5170354256738</v>
      </c>
      <c r="N13" s="1233">
        <v>4185.9254439417819</v>
      </c>
      <c r="O13" s="1232">
        <v>3547.5</v>
      </c>
      <c r="P13" s="1233">
        <v>3507.7414799101907</v>
      </c>
      <c r="Q13" s="1234"/>
      <c r="R13" s="1235">
        <v>-1.1207475712419757E-2</v>
      </c>
      <c r="S13" s="1236">
        <v>1.2116670702182253E-2</v>
      </c>
      <c r="T13" s="1237"/>
      <c r="U13" s="1238">
        <v>3468.4285524686497</v>
      </c>
    </row>
    <row r="14" spans="1:37" ht="14" thickBot="1">
      <c r="A14" s="1211" t="s">
        <v>2013</v>
      </c>
      <c r="B14" s="1212"/>
      <c r="C14" s="1213">
        <v>1132.4277999999999</v>
      </c>
      <c r="D14" s="1214">
        <v>1151.4795999999999</v>
      </c>
      <c r="E14" s="1213">
        <v>1283.9227999999998</v>
      </c>
      <c r="F14" s="1214">
        <v>1378.5406000000003</v>
      </c>
      <c r="G14" s="1213">
        <v>1422.4462000000001</v>
      </c>
      <c r="H14" s="1214">
        <v>1475.3188</v>
      </c>
      <c r="I14" s="1213">
        <v>1413.5950692328547</v>
      </c>
      <c r="J14" s="1214">
        <v>1512.470256033693</v>
      </c>
      <c r="K14" s="1213">
        <v>1537.8133155193091</v>
      </c>
      <c r="L14" s="1214">
        <v>1654.441825486788</v>
      </c>
      <c r="M14" s="1213">
        <v>1635.3951577832072</v>
      </c>
      <c r="N14" s="1214">
        <v>1684.9588605859158</v>
      </c>
      <c r="O14" s="1213">
        <v>1749.6</v>
      </c>
      <c r="P14" s="1214">
        <v>1836.3772059094283</v>
      </c>
      <c r="Q14" s="1215"/>
      <c r="R14" s="1216">
        <v>4.95983115623162E-2</v>
      </c>
      <c r="S14" s="1217">
        <v>2.9092073798157259E-2</v>
      </c>
      <c r="T14" s="1218"/>
      <c r="U14" s="1219" t="s">
        <v>35</v>
      </c>
    </row>
    <row r="15" spans="1:37" ht="15" customHeight="1" thickBot="1">
      <c r="A15" s="1211" t="s">
        <v>2014</v>
      </c>
      <c r="B15" s="1212"/>
      <c r="C15" s="1213">
        <v>1525.5826040117299</v>
      </c>
      <c r="D15" s="1214">
        <v>1627.0652411451097</v>
      </c>
      <c r="E15" s="1213">
        <v>1653.8828398412368</v>
      </c>
      <c r="F15" s="1214">
        <v>1690.0830465189999</v>
      </c>
      <c r="G15" s="1213">
        <v>1762.9553641373423</v>
      </c>
      <c r="H15" s="1214">
        <v>1900.4373673120701</v>
      </c>
      <c r="I15" s="1213">
        <v>1986.859507477202</v>
      </c>
      <c r="J15" s="1214">
        <v>2102.2053278170742</v>
      </c>
      <c r="K15" s="1213">
        <v>2185.2164114426178</v>
      </c>
      <c r="L15" s="1214">
        <v>2265.2797882742134</v>
      </c>
      <c r="M15" s="1213">
        <v>2366.2240814424667</v>
      </c>
      <c r="N15" s="1214">
        <v>2450.8155833558662</v>
      </c>
      <c r="O15" s="1213">
        <v>1745.9</v>
      </c>
      <c r="P15" s="1214">
        <v>1617.9242740007624</v>
      </c>
      <c r="Q15" s="1215"/>
      <c r="R15" s="1216">
        <v>-7.3300719399299941E-2</v>
      </c>
      <c r="S15" s="1217">
        <v>-4.3538595887884224E-3</v>
      </c>
      <c r="T15" s="1218"/>
      <c r="U15" s="1219" t="s">
        <v>35</v>
      </c>
    </row>
    <row r="16" spans="1:37" ht="14" thickBot="1">
      <c r="A16" s="1211" t="s">
        <v>2015</v>
      </c>
      <c r="B16" s="1212"/>
      <c r="C16" s="1213">
        <v>36.5</v>
      </c>
      <c r="D16" s="1214">
        <v>37.200000000000003</v>
      </c>
      <c r="E16" s="1213">
        <v>35.4</v>
      </c>
      <c r="F16" s="1214">
        <v>41.1</v>
      </c>
      <c r="G16" s="1213">
        <v>43</v>
      </c>
      <c r="H16" s="1214">
        <v>45.2</v>
      </c>
      <c r="I16" s="1213">
        <v>46.9</v>
      </c>
      <c r="J16" s="1214">
        <v>48.4</v>
      </c>
      <c r="K16" s="1213">
        <v>48.15</v>
      </c>
      <c r="L16" s="1214">
        <v>49.015000000000001</v>
      </c>
      <c r="M16" s="1213">
        <v>47.897796200000002</v>
      </c>
      <c r="N16" s="1214">
        <v>50.151000000000003</v>
      </c>
      <c r="O16" s="1213">
        <v>52</v>
      </c>
      <c r="P16" s="1214">
        <v>53.44</v>
      </c>
      <c r="Q16" s="1215"/>
      <c r="R16" s="1216">
        <v>2.7692307692307683E-2</v>
      </c>
      <c r="S16" s="1217">
        <v>2.660284330461149E-2</v>
      </c>
      <c r="T16" s="1218"/>
      <c r="U16" s="1219" t="s">
        <v>35</v>
      </c>
    </row>
    <row r="17" spans="1:26" ht="14" thickBot="1">
      <c r="A17" s="1212"/>
      <c r="B17" s="1212"/>
      <c r="C17" s="1222"/>
      <c r="D17" s="1223"/>
      <c r="E17" s="1222"/>
      <c r="F17" s="1223"/>
      <c r="G17" s="1222"/>
      <c r="H17" s="1223"/>
      <c r="I17" s="1222"/>
      <c r="J17" s="1223"/>
      <c r="K17" s="1222"/>
      <c r="L17" s="1223"/>
      <c r="M17" s="1222"/>
      <c r="N17" s="1223"/>
      <c r="O17" s="1222"/>
      <c r="P17" s="1223"/>
      <c r="Q17" s="1224"/>
      <c r="R17" s="1225"/>
      <c r="S17" s="1226"/>
      <c r="T17" s="1227"/>
      <c r="U17" s="1228"/>
    </row>
    <row r="18" spans="1:26" ht="16" thickBot="1">
      <c r="A18" s="1231" t="s">
        <v>2016</v>
      </c>
      <c r="B18" s="1212"/>
      <c r="C18" s="1232">
        <v>623.1</v>
      </c>
      <c r="D18" s="1233">
        <v>-213.6</v>
      </c>
      <c r="E18" s="1232">
        <v>-306.39999999999998</v>
      </c>
      <c r="F18" s="1233">
        <v>-200.29999999999927</v>
      </c>
      <c r="G18" s="1232">
        <v>98.828987000000325</v>
      </c>
      <c r="H18" s="1233">
        <v>454.38000000000136</v>
      </c>
      <c r="I18" s="1232">
        <v>-588.16000000000054</v>
      </c>
      <c r="J18" s="1233">
        <v>-1266.4017009999975</v>
      </c>
      <c r="K18" s="1232">
        <v>-1468.84478399</v>
      </c>
      <c r="L18" s="1233">
        <v>-918.22178139000243</v>
      </c>
      <c r="M18" s="1232">
        <v>-1381.5431163093563</v>
      </c>
      <c r="N18" s="1233">
        <v>-679.88308698999754</v>
      </c>
      <c r="O18" s="1232">
        <v>256.38141207000081</v>
      </c>
      <c r="P18" s="1233">
        <v>1014.1218399099889</v>
      </c>
      <c r="Q18" s="1234"/>
      <c r="R18" s="1235" t="s">
        <v>35</v>
      </c>
      <c r="S18" s="1236" t="s">
        <v>35</v>
      </c>
      <c r="T18" s="1237"/>
      <c r="U18" s="1238">
        <v>-438.18443380625104</v>
      </c>
    </row>
    <row r="19" spans="1:26" ht="14" thickBot="1">
      <c r="A19" s="1212"/>
      <c r="B19" s="1239"/>
      <c r="C19" s="1222"/>
      <c r="D19" s="1223"/>
      <c r="E19" s="1240"/>
      <c r="F19" s="1241"/>
      <c r="G19" s="1240"/>
      <c r="H19" s="1241"/>
      <c r="I19" s="1240"/>
      <c r="J19" s="1241"/>
      <c r="K19" s="1240"/>
      <c r="L19" s="1241"/>
      <c r="M19" s="1240"/>
      <c r="N19" s="1241"/>
      <c r="O19" s="1240"/>
      <c r="P19" s="1241"/>
      <c r="Q19" s="1242"/>
      <c r="R19" s="1243"/>
      <c r="S19" s="1244"/>
      <c r="T19" s="1245"/>
      <c r="U19" s="1228"/>
    </row>
    <row r="20" spans="1:26" s="1230" customFormat="1" ht="14" thickBot="1">
      <c r="A20" s="1231" t="s">
        <v>2017</v>
      </c>
      <c r="B20" s="1212"/>
      <c r="C20" s="1232">
        <v>2760.2699999999995</v>
      </c>
      <c r="D20" s="1233">
        <v>3024.9399999999996</v>
      </c>
      <c r="E20" s="1232">
        <v>3270.2</v>
      </c>
      <c r="F20" s="1233">
        <v>3620.4999999999995</v>
      </c>
      <c r="G20" s="1232">
        <v>3725.7</v>
      </c>
      <c r="H20" s="1233">
        <v>3837.6</v>
      </c>
      <c r="I20" s="1238">
        <v>4062.6000000000004</v>
      </c>
      <c r="J20" s="1233">
        <v>4268.5</v>
      </c>
      <c r="K20" s="1238">
        <v>4550.2</v>
      </c>
      <c r="L20" s="1233">
        <v>4782.4252710000001</v>
      </c>
      <c r="M20" s="1238">
        <v>4933.2407849999991</v>
      </c>
      <c r="N20" s="1233">
        <v>5178.7248829999999</v>
      </c>
      <c r="O20" s="1232">
        <v>4972.1539290000001</v>
      </c>
      <c r="P20" s="1233">
        <v>5209.9069410245011</v>
      </c>
      <c r="Q20" s="1234"/>
      <c r="R20" s="1235">
        <v>4.7816904991177189E-2</v>
      </c>
      <c r="S20" s="1236">
        <v>3.706539151501409E-2</v>
      </c>
      <c r="T20" s="1237"/>
      <c r="U20" s="1238">
        <v>5717.1500401240755</v>
      </c>
    </row>
    <row r="21" spans="1:26" s="1230" customFormat="1" ht="15.75" customHeight="1" thickBot="1">
      <c r="A21" s="1211" t="s">
        <v>2018</v>
      </c>
      <c r="B21" s="1212"/>
      <c r="C21" s="1246">
        <v>1815.57</v>
      </c>
      <c r="D21" s="1247">
        <v>2087.14</v>
      </c>
      <c r="E21" s="1246">
        <v>2263.1999999999998</v>
      </c>
      <c r="F21" s="1214">
        <v>2476.6</v>
      </c>
      <c r="G21" s="1213">
        <v>2532.8000000000002</v>
      </c>
      <c r="H21" s="1214">
        <v>2671.6</v>
      </c>
      <c r="I21" s="1213">
        <v>2848.4</v>
      </c>
      <c r="J21" s="1214">
        <v>2961.1</v>
      </c>
      <c r="K21" s="1213">
        <v>3025.3</v>
      </c>
      <c r="L21" s="1214">
        <v>3119.6250399999999</v>
      </c>
      <c r="M21" s="1213">
        <v>3230.0145429999998</v>
      </c>
      <c r="N21" s="1214">
        <v>3432.1861340000005</v>
      </c>
      <c r="O21" s="1213">
        <v>3398.253929</v>
      </c>
      <c r="P21" s="1214">
        <v>3542.4140867700003</v>
      </c>
      <c r="Q21" s="1215"/>
      <c r="R21" s="1216">
        <v>4.242183214731754E-2</v>
      </c>
      <c r="S21" s="1217">
        <v>3.6440429849316169E-2</v>
      </c>
      <c r="T21" s="1218"/>
      <c r="U21" s="1213">
        <v>3979.8429310299998</v>
      </c>
    </row>
    <row r="22" spans="1:26" s="1230" customFormat="1" ht="15.75" customHeight="1" thickBot="1">
      <c r="A22" s="1211" t="s">
        <v>2019</v>
      </c>
      <c r="B22" s="1212"/>
      <c r="C22" s="1246">
        <v>293</v>
      </c>
      <c r="D22" s="1247">
        <v>237.5</v>
      </c>
      <c r="E22" s="1246">
        <v>264.39999999999998</v>
      </c>
      <c r="F22" s="1214">
        <v>277.10000000000002</v>
      </c>
      <c r="G22" s="1213">
        <v>317</v>
      </c>
      <c r="H22" s="1214">
        <v>315</v>
      </c>
      <c r="I22" s="1213">
        <v>343.8</v>
      </c>
      <c r="J22" s="1214">
        <v>375.1</v>
      </c>
      <c r="K22" s="1213">
        <v>421.4</v>
      </c>
      <c r="L22" s="1214">
        <v>447.8</v>
      </c>
      <c r="M22" s="1213">
        <v>476.1</v>
      </c>
      <c r="N22" s="1214">
        <v>496.7</v>
      </c>
      <c r="O22" s="1213">
        <v>306.89999999999998</v>
      </c>
      <c r="P22" s="1214">
        <v>331.2</v>
      </c>
      <c r="Q22" s="1215"/>
      <c r="R22" s="1216">
        <v>7.9178885630498685E-2</v>
      </c>
      <c r="S22" s="1217">
        <v>1.7994379572247476E-2</v>
      </c>
      <c r="T22" s="1218"/>
      <c r="U22" s="1219">
        <v>337.15973851432835</v>
      </c>
    </row>
    <row r="23" spans="1:26" ht="15.75" customHeight="1" thickBot="1">
      <c r="A23" s="1211" t="s">
        <v>2020</v>
      </c>
      <c r="B23" s="1212"/>
      <c r="C23" s="1246">
        <v>203.5</v>
      </c>
      <c r="D23" s="1247">
        <v>228.6</v>
      </c>
      <c r="E23" s="1246">
        <v>266.2</v>
      </c>
      <c r="F23" s="1214">
        <v>375.1</v>
      </c>
      <c r="G23" s="1213">
        <v>378.5</v>
      </c>
      <c r="H23" s="1214">
        <v>314.89999999999998</v>
      </c>
      <c r="I23" s="1213">
        <v>319.7</v>
      </c>
      <c r="J23" s="1214">
        <v>367.7</v>
      </c>
      <c r="K23" s="1213">
        <v>381.7</v>
      </c>
      <c r="L23" s="1214">
        <v>412.4</v>
      </c>
      <c r="M23" s="1213">
        <v>405.9</v>
      </c>
      <c r="N23" s="1214">
        <v>394.24799999999999</v>
      </c>
      <c r="O23" s="1213">
        <v>391</v>
      </c>
      <c r="P23" s="1214">
        <v>416.09285425450105</v>
      </c>
      <c r="Q23" s="1215"/>
      <c r="R23" s="1216">
        <v>6.41760978375987E-2</v>
      </c>
      <c r="S23" s="1217">
        <v>1.0425549809449208E-2</v>
      </c>
      <c r="T23" s="1218"/>
      <c r="U23" s="1219">
        <v>420.43085103188724</v>
      </c>
    </row>
    <row r="24" spans="1:26" ht="17.25" customHeight="1" thickBot="1">
      <c r="A24" s="1211" t="s">
        <v>2021</v>
      </c>
      <c r="B24" s="1212"/>
      <c r="C24" s="1246">
        <v>448.2</v>
      </c>
      <c r="D24" s="1247">
        <v>471.7</v>
      </c>
      <c r="E24" s="1246">
        <v>476.4</v>
      </c>
      <c r="F24" s="1214">
        <v>491.7</v>
      </c>
      <c r="G24" s="1213">
        <v>497.4</v>
      </c>
      <c r="H24" s="1214">
        <v>536.1</v>
      </c>
      <c r="I24" s="1213">
        <v>550.70000000000005</v>
      </c>
      <c r="J24" s="1214">
        <v>564.6</v>
      </c>
      <c r="K24" s="1213">
        <v>721.8</v>
      </c>
      <c r="L24" s="1214">
        <v>802.60023099999989</v>
      </c>
      <c r="M24" s="1213">
        <v>821.22624199999996</v>
      </c>
      <c r="N24" s="1214">
        <v>855.59074899999996</v>
      </c>
      <c r="O24" s="1213">
        <v>876</v>
      </c>
      <c r="P24" s="1214">
        <v>920.2</v>
      </c>
      <c r="Q24" s="1215"/>
      <c r="R24" s="1216">
        <v>5.0456621004566271E-2</v>
      </c>
      <c r="S24" s="1217">
        <v>6.4677808680569271E-2</v>
      </c>
      <c r="T24" s="1218"/>
      <c r="U24" s="1219">
        <v>979.71651954785989</v>
      </c>
    </row>
    <row r="25" spans="1:26" s="1230" customFormat="1" ht="14" thickBot="1">
      <c r="A25" s="1248"/>
      <c r="B25" s="1248"/>
      <c r="C25" s="1249"/>
      <c r="D25" s="1250"/>
      <c r="E25" s="1249"/>
      <c r="F25" s="1250"/>
      <c r="G25" s="1249"/>
      <c r="H25" s="1250"/>
      <c r="I25" s="1249"/>
      <c r="J25" s="1250"/>
      <c r="K25" s="1249"/>
      <c r="L25" s="1250"/>
      <c r="M25" s="1249"/>
      <c r="N25" s="1250"/>
      <c r="O25" s="1249"/>
      <c r="P25" s="1250"/>
      <c r="Q25" s="1251"/>
      <c r="R25" s="1252"/>
      <c r="S25" s="1253"/>
      <c r="T25" s="1254"/>
      <c r="U25" s="1255"/>
    </row>
    <row r="26" spans="1:26" ht="13.5" customHeight="1" thickBot="1">
      <c r="A26" s="1231" t="s">
        <v>1720</v>
      </c>
      <c r="B26" s="1212"/>
      <c r="C26" s="1232">
        <v>25053.709374727299</v>
      </c>
      <c r="D26" s="1233">
        <v>26294.842583881065</v>
      </c>
      <c r="E26" s="1232">
        <v>27513.684732536305</v>
      </c>
      <c r="F26" s="1233">
        <v>27912.972601594232</v>
      </c>
      <c r="G26" s="1232">
        <v>28908.880472022902</v>
      </c>
      <c r="H26" s="1233">
        <v>29782.027471645619</v>
      </c>
      <c r="I26" s="1232">
        <v>31581.01682533585</v>
      </c>
      <c r="J26" s="1233">
        <v>33359.723610615663</v>
      </c>
      <c r="K26" s="1232">
        <v>35061.912269996828</v>
      </c>
      <c r="L26" s="1233">
        <v>35024.316615014475</v>
      </c>
      <c r="M26" s="1232">
        <v>36135.30860115125</v>
      </c>
      <c r="N26" s="1233">
        <v>37033.850099507705</v>
      </c>
      <c r="O26" s="1256">
        <v>38156.254328774063</v>
      </c>
      <c r="P26" s="1233">
        <v>38850.153676171278</v>
      </c>
      <c r="Q26" s="1234"/>
      <c r="R26" s="1235">
        <v>1.8185730219172358E-2</v>
      </c>
      <c r="S26" s="1236">
        <v>3.3614671374989635E-2</v>
      </c>
      <c r="T26" s="1237"/>
      <c r="U26" s="1238">
        <v>41236.20584121353</v>
      </c>
    </row>
    <row r="27" spans="1:26" ht="16.5" customHeight="1" thickBot="1">
      <c r="A27" s="1211" t="s">
        <v>2022</v>
      </c>
      <c r="B27" s="1212"/>
      <c r="C27" s="1246">
        <v>14197.53</v>
      </c>
      <c r="D27" s="1247">
        <v>14850.16</v>
      </c>
      <c r="E27" s="1246">
        <v>15432.099999999999</v>
      </c>
      <c r="F27" s="1214">
        <v>15337.8</v>
      </c>
      <c r="G27" s="1213">
        <v>15974.171012999999</v>
      </c>
      <c r="H27" s="1214">
        <v>16460.62</v>
      </c>
      <c r="I27" s="1213">
        <v>17838.560000000001</v>
      </c>
      <c r="J27" s="1214">
        <v>19087.413701000001</v>
      </c>
      <c r="K27" s="1213">
        <v>20335.09678399</v>
      </c>
      <c r="L27" s="1214">
        <v>20746.024557220004</v>
      </c>
      <c r="M27" s="1213">
        <v>21587.969001450001</v>
      </c>
      <c r="N27" s="1214">
        <v>21815.115705669999</v>
      </c>
      <c r="O27" s="1213">
        <v>22145.131914679998</v>
      </c>
      <c r="P27" s="1214">
        <v>22210.408364849998</v>
      </c>
      <c r="Q27" s="1215"/>
      <c r="R27" s="1216">
        <v>2.9476658988303317E-3</v>
      </c>
      <c r="S27" s="1217">
        <v>3.7717993690252749E-2</v>
      </c>
      <c r="T27" s="1218"/>
      <c r="U27" s="1213">
        <v>23999.916995800002</v>
      </c>
    </row>
    <row r="28" spans="1:26" ht="15" customHeight="1" thickBot="1">
      <c r="A28" s="1212"/>
      <c r="B28" s="1239" t="s">
        <v>2023</v>
      </c>
      <c r="C28" s="1240">
        <v>9219.630000000001</v>
      </c>
      <c r="D28" s="1241">
        <v>9837.66</v>
      </c>
      <c r="E28" s="1240">
        <v>10341</v>
      </c>
      <c r="F28" s="1241">
        <v>10472.9</v>
      </c>
      <c r="G28" s="1240">
        <v>10813.888999999999</v>
      </c>
      <c r="H28" s="1241">
        <v>11283.119999999999</v>
      </c>
      <c r="I28" s="1240">
        <v>12447.76</v>
      </c>
      <c r="J28" s="1241">
        <v>13798.607467</v>
      </c>
      <c r="K28" s="1240">
        <v>14954.286842000001</v>
      </c>
      <c r="L28" s="1241">
        <v>15323.051681830002</v>
      </c>
      <c r="M28" s="1240">
        <v>16004.843842140001</v>
      </c>
      <c r="N28" s="1241">
        <v>16197.424153169999</v>
      </c>
      <c r="O28" s="1240">
        <v>16223.186031679999</v>
      </c>
      <c r="P28" s="1241">
        <v>16515.228712849999</v>
      </c>
      <c r="Q28" s="1242"/>
      <c r="R28" s="1243">
        <v>1.8001561505841757E-2</v>
      </c>
      <c r="S28" s="1244">
        <v>4.6602489822416215E-2</v>
      </c>
      <c r="T28" s="1245"/>
      <c r="U28" s="1240">
        <v>17975.874622800002</v>
      </c>
    </row>
    <row r="29" spans="1:26" ht="15" customHeight="1" thickBot="1">
      <c r="A29" s="1212"/>
      <c r="B29" s="1239" t="s">
        <v>2024</v>
      </c>
      <c r="C29" s="1240">
        <v>4337.5</v>
      </c>
      <c r="D29" s="1241">
        <v>4410.6000000000004</v>
      </c>
      <c r="E29" s="1240">
        <v>4453.3</v>
      </c>
      <c r="F29" s="1241">
        <v>3766.7</v>
      </c>
      <c r="G29" s="1240">
        <v>2917.3519609999998</v>
      </c>
      <c r="H29" s="1241">
        <v>1987</v>
      </c>
      <c r="I29" s="1240">
        <v>1958.4</v>
      </c>
      <c r="J29" s="1241">
        <v>1882.6076640000001</v>
      </c>
      <c r="K29" s="1240">
        <v>1358.7895999899999</v>
      </c>
      <c r="L29" s="1241">
        <v>1397.6693543900001</v>
      </c>
      <c r="M29" s="1240">
        <v>1384.0624223099999</v>
      </c>
      <c r="N29" s="1241">
        <v>1410.6232075</v>
      </c>
      <c r="O29" s="1240">
        <v>1412.4505677400002</v>
      </c>
      <c r="P29" s="1241">
        <v>1381.60592514</v>
      </c>
      <c r="Q29" s="1242"/>
      <c r="R29" s="1243">
        <v>-2.183767935280978E-2</v>
      </c>
      <c r="S29" s="1244">
        <v>-9.5429718402210928E-2</v>
      </c>
      <c r="T29" s="1245"/>
      <c r="U29" s="1240">
        <v>1442.6310089400001</v>
      </c>
    </row>
    <row r="30" spans="1:26" ht="15" customHeight="1" thickBot="1">
      <c r="A30" s="1212"/>
      <c r="B30" s="1239" t="s">
        <v>2025</v>
      </c>
      <c r="C30" s="1240">
        <v>640.4</v>
      </c>
      <c r="D30" s="1241">
        <v>601.9</v>
      </c>
      <c r="E30" s="1240">
        <v>637.79999999999995</v>
      </c>
      <c r="F30" s="1241">
        <v>1098.2</v>
      </c>
      <c r="G30" s="1240">
        <v>2242.9300519999997</v>
      </c>
      <c r="H30" s="1241">
        <v>3190.5</v>
      </c>
      <c r="I30" s="1240">
        <v>3432.4</v>
      </c>
      <c r="J30" s="1241">
        <v>3406.1985699999996</v>
      </c>
      <c r="K30" s="1240">
        <v>4022.0203419999989</v>
      </c>
      <c r="L30" s="1241">
        <v>4025.3035210000007</v>
      </c>
      <c r="M30" s="1240">
        <v>4199.0627370000002</v>
      </c>
      <c r="N30" s="1241">
        <v>4207.0683449999997</v>
      </c>
      <c r="O30" s="1240">
        <v>4509.4953152600001</v>
      </c>
      <c r="P30" s="1241">
        <v>4313.5737268599996</v>
      </c>
      <c r="Q30" s="1242"/>
      <c r="R30" s="1243">
        <v>-4.3446455690287045E-2</v>
      </c>
      <c r="S30" s="1244">
        <v>0.14660961321776167</v>
      </c>
      <c r="T30" s="1245"/>
      <c r="U30" s="1240">
        <v>4581.4113640599999</v>
      </c>
    </row>
    <row r="31" spans="1:26" ht="15.75" customHeight="1" thickBot="1">
      <c r="A31" s="1211" t="s">
        <v>2026</v>
      </c>
      <c r="B31" s="1212"/>
      <c r="C31" s="1246">
        <v>1770.8</v>
      </c>
      <c r="D31" s="1247">
        <v>1884.4</v>
      </c>
      <c r="E31" s="1246">
        <v>2155</v>
      </c>
      <c r="F31" s="1214">
        <v>2249.6</v>
      </c>
      <c r="G31" s="1213">
        <v>2343.1</v>
      </c>
      <c r="H31" s="1214">
        <v>2428.2999999999997</v>
      </c>
      <c r="I31" s="1213">
        <v>2541</v>
      </c>
      <c r="J31" s="1214">
        <v>2627.5</v>
      </c>
      <c r="K31" s="1213">
        <v>2868.2000000000003</v>
      </c>
      <c r="L31" s="1214">
        <v>3031.6779155400004</v>
      </c>
      <c r="M31" s="1213">
        <v>3081.5039062299998</v>
      </c>
      <c r="N31" s="1214">
        <v>3200.9812532199999</v>
      </c>
      <c r="O31" s="1213">
        <v>3337.6332843099999</v>
      </c>
      <c r="P31" s="1214">
        <v>3425.9949799299998</v>
      </c>
      <c r="Q31" s="1215"/>
      <c r="R31" s="1216">
        <v>2.6474357154628869E-2</v>
      </c>
      <c r="S31" s="1217">
        <v>4.2961175234766502E-2</v>
      </c>
      <c r="T31" s="1218"/>
      <c r="U31" s="1213">
        <v>3450.5142391200002</v>
      </c>
      <c r="W31" s="1182"/>
      <c r="X31" s="1182"/>
      <c r="Y31" s="1182"/>
      <c r="Z31" s="1182"/>
    </row>
    <row r="32" spans="1:26" ht="13.5" customHeight="1" thickBot="1">
      <c r="A32" s="1212"/>
      <c r="B32" s="1239" t="s">
        <v>2027</v>
      </c>
      <c r="C32" s="1257">
        <v>1678.5</v>
      </c>
      <c r="D32" s="1258">
        <v>1778</v>
      </c>
      <c r="E32" s="1257">
        <v>2097.1999999999998</v>
      </c>
      <c r="F32" s="1258">
        <v>2189.9</v>
      </c>
      <c r="G32" s="1257">
        <v>2288</v>
      </c>
      <c r="H32" s="1258">
        <v>2400.1999999999998</v>
      </c>
      <c r="I32" s="1257">
        <v>2502.83</v>
      </c>
      <c r="J32" s="1258">
        <v>2588.5</v>
      </c>
      <c r="K32" s="1257">
        <v>2832.3</v>
      </c>
      <c r="L32" s="1258">
        <v>2994.9866096700002</v>
      </c>
      <c r="M32" s="1257">
        <v>3038.7113187199998</v>
      </c>
      <c r="N32" s="1258">
        <v>3155.0668707</v>
      </c>
      <c r="O32" s="1257">
        <v>3290.4542289599999</v>
      </c>
      <c r="P32" s="1258">
        <v>3382.4718481499999</v>
      </c>
      <c r="Q32" s="1259"/>
      <c r="R32" s="1260">
        <v>2.7965020263808205E-2</v>
      </c>
      <c r="S32" s="1261">
        <v>4.4433974792751574E-2</v>
      </c>
      <c r="T32" s="1262"/>
      <c r="U32" s="1257">
        <v>3408.7146446100001</v>
      </c>
    </row>
    <row r="33" spans="1:32" ht="13.5" customHeight="1" thickBot="1">
      <c r="A33" s="1212"/>
      <c r="B33" s="1239" t="s">
        <v>2028</v>
      </c>
      <c r="C33" s="1257">
        <v>92.3</v>
      </c>
      <c r="D33" s="1258">
        <v>106.4</v>
      </c>
      <c r="E33" s="1257">
        <v>57.8</v>
      </c>
      <c r="F33" s="1258">
        <v>59.7</v>
      </c>
      <c r="G33" s="1257">
        <v>55.1</v>
      </c>
      <c r="H33" s="1258">
        <v>28.1</v>
      </c>
      <c r="I33" s="1257">
        <v>38.17</v>
      </c>
      <c r="J33" s="1258">
        <v>39</v>
      </c>
      <c r="K33" s="1257">
        <v>35.9</v>
      </c>
      <c r="L33" s="1258">
        <v>36.691305870000001</v>
      </c>
      <c r="M33" s="1257">
        <v>42.792587509999997</v>
      </c>
      <c r="N33" s="1258">
        <v>45.914382520000004</v>
      </c>
      <c r="O33" s="1257">
        <v>47.179055349999999</v>
      </c>
      <c r="P33" s="1258">
        <v>43.52313178</v>
      </c>
      <c r="Q33" s="1259"/>
      <c r="R33" s="1260">
        <v>-7.7490393626543863E-2</v>
      </c>
      <c r="S33" s="1261">
        <v>-3.1109760908283879E-2</v>
      </c>
      <c r="T33" s="1262"/>
      <c r="U33" s="1257">
        <v>41.799594509999999</v>
      </c>
    </row>
    <row r="34" spans="1:32" ht="16.5" customHeight="1" thickBot="1">
      <c r="A34" s="1211" t="s">
        <v>2029</v>
      </c>
      <c r="B34" s="1212"/>
      <c r="C34" s="1246">
        <v>9085.3793747272994</v>
      </c>
      <c r="D34" s="1247">
        <v>9560.2825838810622</v>
      </c>
      <c r="E34" s="1246">
        <v>9926.5847325363065</v>
      </c>
      <c r="F34" s="1214">
        <v>10325.572601594235</v>
      </c>
      <c r="G34" s="1213">
        <v>10591.609459022904</v>
      </c>
      <c r="H34" s="1214">
        <v>10893.107471645619</v>
      </c>
      <c r="I34" s="1213">
        <v>11201.456825335847</v>
      </c>
      <c r="J34" s="1214">
        <v>11644.809909615658</v>
      </c>
      <c r="K34" s="1213">
        <v>11858.615486006827</v>
      </c>
      <c r="L34" s="1214">
        <v>11246.614142254472</v>
      </c>
      <c r="M34" s="1213">
        <v>11465.835693471246</v>
      </c>
      <c r="N34" s="1214">
        <v>12017.753140617704</v>
      </c>
      <c r="O34" s="1220">
        <v>12673.489129784068</v>
      </c>
      <c r="P34" s="1214">
        <v>13213.750331391275</v>
      </c>
      <c r="Q34" s="1215"/>
      <c r="R34" s="1216">
        <v>4.262923935741858E-2</v>
      </c>
      <c r="S34" s="1217">
        <v>2.4970096900204908E-2</v>
      </c>
      <c r="T34" s="1218"/>
      <c r="U34" s="1219">
        <v>13785.774606293528</v>
      </c>
      <c r="V34" s="1263"/>
    </row>
    <row r="35" spans="1:32" ht="12.75" customHeight="1" thickBot="1">
      <c r="A35" s="1212"/>
      <c r="B35" s="1212"/>
      <c r="C35" s="1222"/>
      <c r="D35" s="1223"/>
      <c r="E35" s="1222"/>
      <c r="F35" s="1223"/>
      <c r="G35" s="1222"/>
      <c r="H35" s="1223"/>
      <c r="I35" s="1222"/>
      <c r="J35" s="1223"/>
      <c r="K35" s="1222"/>
      <c r="L35" s="1223"/>
      <c r="M35" s="1222"/>
      <c r="N35" s="1223"/>
      <c r="O35" s="1222"/>
      <c r="P35" s="1223"/>
      <c r="Q35" s="1224"/>
      <c r="R35" s="1225"/>
      <c r="S35" s="1226"/>
      <c r="T35" s="1227"/>
      <c r="U35" s="1228"/>
    </row>
    <row r="36" spans="1:32" ht="16.5" customHeight="1" thickBot="1">
      <c r="A36" s="1231" t="s">
        <v>2030</v>
      </c>
      <c r="B36" s="1212"/>
      <c r="C36" s="1232">
        <v>360.34572496402706</v>
      </c>
      <c r="D36" s="1233">
        <v>367.4485025408178</v>
      </c>
      <c r="E36" s="1232">
        <v>375.28251008174271</v>
      </c>
      <c r="F36" s="1233">
        <v>388.70889016736163</v>
      </c>
      <c r="G36" s="1232">
        <v>420.16510495683008</v>
      </c>
      <c r="H36" s="1233">
        <v>442.73533222173643</v>
      </c>
      <c r="I36" s="1232">
        <v>456.31192849787288</v>
      </c>
      <c r="J36" s="1233">
        <v>462.16066224325613</v>
      </c>
      <c r="K36" s="1232">
        <v>460.54510480676197</v>
      </c>
      <c r="L36" s="1233">
        <v>480.96670935903251</v>
      </c>
      <c r="M36" s="1232">
        <v>500.28122327763629</v>
      </c>
      <c r="N36" s="1233">
        <v>535.48298288401816</v>
      </c>
      <c r="O36" s="1232">
        <v>600.9</v>
      </c>
      <c r="P36" s="1233">
        <v>589.40634856941779</v>
      </c>
      <c r="Q36" s="1234"/>
      <c r="R36" s="1235">
        <v>-1.9127394625698457E-2</v>
      </c>
      <c r="S36" s="1236">
        <v>4.2507129206738936E-2</v>
      </c>
      <c r="T36" s="1237"/>
      <c r="U36" s="1238">
        <v>600</v>
      </c>
    </row>
    <row r="37" spans="1:32" ht="12.75" customHeight="1" thickBot="1">
      <c r="A37" s="1231"/>
      <c r="B37" s="1239"/>
      <c r="C37" s="1264"/>
      <c r="D37" s="1265"/>
      <c r="E37" s="1222"/>
      <c r="F37" s="1223"/>
      <c r="G37" s="1222"/>
      <c r="H37" s="1223"/>
      <c r="I37" s="1228"/>
      <c r="J37" s="1223"/>
      <c r="K37" s="1228"/>
      <c r="L37" s="1223"/>
      <c r="M37" s="1228"/>
      <c r="N37" s="1223"/>
      <c r="O37" s="1228"/>
      <c r="P37" s="1223"/>
      <c r="Q37" s="1224"/>
      <c r="R37" s="1225"/>
      <c r="S37" s="1226"/>
      <c r="T37" s="1227"/>
      <c r="U37" s="1266"/>
    </row>
    <row r="38" spans="1:32" ht="17.25" customHeight="1" thickBot="1">
      <c r="A38" s="1267" t="s">
        <v>2031</v>
      </c>
      <c r="B38" s="1268"/>
      <c r="C38" s="1269">
        <v>37468.621584899993</v>
      </c>
      <c r="D38" s="1270">
        <v>38209.908416353559</v>
      </c>
      <c r="E38" s="1269">
        <v>39815.013078757198</v>
      </c>
      <c r="F38" s="1270">
        <v>41104.451764019817</v>
      </c>
      <c r="G38" s="1269">
        <v>42842.933951834144</v>
      </c>
      <c r="H38" s="1270">
        <v>45572.841048926202</v>
      </c>
      <c r="I38" s="1269">
        <v>47388.633486638137</v>
      </c>
      <c r="J38" s="1270">
        <v>49265.161352870738</v>
      </c>
      <c r="K38" s="1269">
        <v>51007.71667083916</v>
      </c>
      <c r="L38" s="1270">
        <v>52043.04088068397</v>
      </c>
      <c r="M38" s="1269">
        <v>52773.346851683025</v>
      </c>
      <c r="N38" s="1270">
        <v>55214.945110235072</v>
      </c>
      <c r="O38" s="1271">
        <v>58426.052863864068</v>
      </c>
      <c r="P38" s="1270">
        <v>60983.861804584427</v>
      </c>
      <c r="Q38" s="1272"/>
      <c r="R38" s="1273">
        <v>4.3778568213057145E-2</v>
      </c>
      <c r="S38" s="1274">
        <v>4.0237740592681259E-2</v>
      </c>
      <c r="T38" s="1275"/>
      <c r="U38" s="1276">
        <v>62651.4</v>
      </c>
    </row>
    <row r="39" spans="1:32" ht="15.5" customHeight="1">
      <c r="A39" s="1277" t="s">
        <v>2254</v>
      </c>
      <c r="B39" s="1277"/>
      <c r="C39" s="1278"/>
      <c r="D39" s="1278"/>
      <c r="E39" s="1278"/>
      <c r="F39" s="1278"/>
      <c r="G39" s="1278"/>
      <c r="H39" s="1278"/>
      <c r="I39" s="1278"/>
      <c r="J39" s="1278"/>
      <c r="K39" s="1161"/>
      <c r="L39" s="1161"/>
      <c r="M39" s="1161"/>
      <c r="N39" s="1161"/>
      <c r="O39" s="1161"/>
      <c r="P39" s="1161"/>
      <c r="Q39" s="1161"/>
      <c r="R39" s="1278"/>
      <c r="S39" s="1278"/>
      <c r="T39" s="1278"/>
    </row>
    <row r="40" spans="1:32">
      <c r="A40" s="1161"/>
      <c r="B40" s="1278"/>
      <c r="C40" s="1161"/>
      <c r="D40" s="1278"/>
      <c r="E40" s="1161"/>
      <c r="F40" s="1161"/>
      <c r="G40" s="1161"/>
      <c r="H40" s="1161"/>
      <c r="I40" s="1161"/>
      <c r="J40" s="1161"/>
      <c r="K40" s="1161"/>
      <c r="L40" s="1161"/>
      <c r="M40" s="1161"/>
      <c r="N40" s="1161"/>
      <c r="O40" s="1161"/>
      <c r="P40" s="1161"/>
      <c r="Q40" s="1161"/>
      <c r="R40" s="1278"/>
      <c r="S40" s="1161"/>
      <c r="T40" s="1161"/>
      <c r="U40" s="1182"/>
      <c r="V40" s="1182"/>
      <c r="W40" s="1182"/>
      <c r="X40" s="1182"/>
      <c r="AA40" s="1182"/>
      <c r="AB40" s="1182"/>
      <c r="AC40" s="1182"/>
      <c r="AD40" s="1182"/>
      <c r="AE40" s="1173"/>
      <c r="AF40" s="1279"/>
    </row>
    <row r="41" spans="1:32">
      <c r="A41" s="1161" t="s">
        <v>2032</v>
      </c>
      <c r="B41" s="1278"/>
      <c r="C41" s="1161"/>
      <c r="D41" s="1278"/>
      <c r="E41" s="1161"/>
      <c r="F41" s="1161"/>
      <c r="G41" s="1161"/>
      <c r="H41" s="1161"/>
      <c r="I41" s="1161"/>
      <c r="J41" s="1161"/>
      <c r="K41" s="1161"/>
      <c r="L41" s="1161"/>
      <c r="M41" s="1161"/>
      <c r="N41" s="1161"/>
      <c r="O41" s="1161"/>
      <c r="P41" s="1161"/>
      <c r="Q41" s="1161"/>
      <c r="R41" s="1278"/>
      <c r="S41" s="1161"/>
      <c r="T41" s="1161"/>
      <c r="U41" s="1182"/>
      <c r="V41" s="1182"/>
      <c r="W41" s="1182"/>
      <c r="X41" s="1182"/>
      <c r="AA41" s="1182"/>
      <c r="AB41" s="1182"/>
      <c r="AC41" s="1182"/>
      <c r="AD41" s="1182"/>
      <c r="AE41" s="1173"/>
      <c r="AF41" s="1279"/>
    </row>
    <row r="42" spans="1:32">
      <c r="A42" s="1161"/>
      <c r="B42" s="1278"/>
      <c r="C42" s="1161"/>
      <c r="D42" s="1161"/>
      <c r="E42" s="1161"/>
      <c r="F42" s="1161"/>
      <c r="G42" s="1161"/>
      <c r="H42" s="1161"/>
      <c r="I42" s="1161"/>
      <c r="J42" s="1161"/>
      <c r="K42" s="1161"/>
      <c r="L42" s="1161"/>
      <c r="M42" s="1161"/>
      <c r="N42" s="1161"/>
      <c r="O42" s="1161"/>
      <c r="P42" s="1161"/>
      <c r="Q42" s="1161"/>
      <c r="R42" s="1161"/>
      <c r="S42" s="1161"/>
      <c r="T42" s="1161"/>
    </row>
    <row r="43" spans="1:32">
      <c r="A43" s="1278"/>
      <c r="B43" s="1278"/>
      <c r="C43" s="1161"/>
      <c r="D43" s="1161"/>
      <c r="E43" s="1280"/>
      <c r="F43" s="1161"/>
      <c r="G43" s="1161"/>
      <c r="H43" s="1161"/>
      <c r="I43" s="1161"/>
      <c r="J43" s="1161"/>
      <c r="K43" s="1161"/>
      <c r="L43" s="1161"/>
      <c r="M43" s="1161"/>
      <c r="N43" s="1161"/>
      <c r="O43" s="1161"/>
      <c r="P43" s="1161"/>
      <c r="Q43" s="1161"/>
      <c r="R43" s="1161"/>
      <c r="S43" s="1280"/>
      <c r="T43" s="1161"/>
    </row>
    <row r="44" spans="1:32">
      <c r="A44" s="1278" t="s">
        <v>677</v>
      </c>
      <c r="B44" s="1278"/>
      <c r="C44" s="1161"/>
      <c r="D44" s="1161"/>
      <c r="E44" s="1161"/>
      <c r="F44" s="1161"/>
      <c r="G44" s="1161"/>
      <c r="H44" s="1161"/>
      <c r="I44" s="1161"/>
      <c r="J44" s="1161"/>
      <c r="K44" s="1161"/>
      <c r="L44" s="1161"/>
      <c r="M44" s="1161"/>
      <c r="N44" s="1161"/>
      <c r="O44" s="1161"/>
      <c r="P44" s="1161"/>
      <c r="Q44" s="1161"/>
      <c r="R44" s="1161"/>
      <c r="S44" s="1161"/>
      <c r="T44" s="1161"/>
    </row>
    <row r="45" spans="1:32">
      <c r="A45" s="1278"/>
      <c r="B45" s="1278"/>
      <c r="C45" s="1161"/>
      <c r="D45" s="1161"/>
      <c r="E45" s="1161"/>
      <c r="F45" s="1161"/>
      <c r="G45" s="1161"/>
      <c r="H45" s="1161"/>
      <c r="I45" s="1161"/>
      <c r="J45" s="1161"/>
      <c r="K45" s="1161"/>
      <c r="L45" s="1161"/>
      <c r="M45" s="1161"/>
      <c r="N45" s="1161"/>
      <c r="O45" s="1161"/>
      <c r="P45" s="1161"/>
      <c r="Q45" s="1161"/>
      <c r="R45" s="1161"/>
      <c r="S45" s="1161"/>
      <c r="T45" s="1161"/>
    </row>
    <row r="46" spans="1:32">
      <c r="A46" s="1278"/>
      <c r="B46" s="1278"/>
      <c r="C46" s="1161"/>
      <c r="D46" s="1161"/>
      <c r="E46" s="1161"/>
      <c r="F46" s="1161"/>
      <c r="G46" s="1161"/>
      <c r="H46" s="1161"/>
      <c r="I46" s="1161"/>
      <c r="J46" s="1161"/>
      <c r="K46" s="1161"/>
      <c r="L46" s="1161"/>
      <c r="M46" s="1161"/>
      <c r="N46" s="1161"/>
      <c r="O46" s="1161"/>
      <c r="P46" s="1161"/>
      <c r="Q46" s="1161"/>
      <c r="R46" s="1161"/>
      <c r="S46" s="1161"/>
      <c r="T46" s="1161"/>
    </row>
    <row r="47" spans="1:32">
      <c r="A47" s="1278"/>
      <c r="B47" s="1278"/>
      <c r="C47" s="1161"/>
      <c r="D47" s="1161"/>
      <c r="E47" s="1161"/>
      <c r="F47" s="1161"/>
      <c r="G47" s="1161"/>
      <c r="H47" s="1161"/>
      <c r="I47" s="1161"/>
      <c r="J47" s="1161"/>
      <c r="K47" s="1161"/>
      <c r="L47" s="1161"/>
      <c r="M47" s="1161"/>
      <c r="N47" s="1161"/>
      <c r="O47" s="1161"/>
      <c r="P47" s="1161"/>
      <c r="Q47" s="1161"/>
      <c r="R47" s="1161"/>
      <c r="S47" s="1161"/>
      <c r="T47" s="1161"/>
    </row>
    <row r="48" spans="1:32">
      <c r="A48" s="1278"/>
      <c r="B48" s="1278"/>
      <c r="C48" s="1161"/>
      <c r="D48" s="1161"/>
      <c r="E48" s="1161"/>
      <c r="F48" s="1161"/>
      <c r="G48" s="1161"/>
      <c r="H48" s="1161"/>
      <c r="I48" s="1161"/>
      <c r="J48" s="1161"/>
      <c r="K48" s="1161"/>
      <c r="L48" s="1161"/>
      <c r="M48" s="1161"/>
      <c r="N48" s="1161"/>
      <c r="O48" s="1161"/>
      <c r="P48" s="1161"/>
      <c r="Q48" s="1161"/>
      <c r="R48" s="1161"/>
      <c r="S48" s="1161"/>
      <c r="T48" s="1161"/>
    </row>
    <row r="49" spans="1:20">
      <c r="A49" s="1278"/>
      <c r="B49" s="1161"/>
      <c r="C49" s="1161"/>
      <c r="D49" s="1161"/>
      <c r="E49" s="1161"/>
      <c r="F49" s="1161"/>
      <c r="G49" s="1161"/>
      <c r="H49" s="1161"/>
      <c r="I49" s="1161"/>
      <c r="J49" s="1161"/>
      <c r="K49" s="1161"/>
      <c r="L49" s="1161"/>
      <c r="M49" s="1161"/>
      <c r="N49" s="1161"/>
      <c r="O49" s="1161"/>
      <c r="P49" s="1161"/>
      <c r="Q49" s="1161"/>
      <c r="R49" s="1161"/>
      <c r="S49" s="1161"/>
      <c r="T49" s="1161"/>
    </row>
    <row r="50" spans="1:20">
      <c r="A50" s="1278"/>
      <c r="B50" s="1161"/>
      <c r="C50" s="1161"/>
      <c r="D50" s="1161"/>
      <c r="E50" s="1161"/>
      <c r="F50" s="1161"/>
      <c r="G50" s="1161"/>
      <c r="H50" s="1161"/>
      <c r="I50" s="1161"/>
      <c r="J50" s="1161"/>
      <c r="K50" s="1161"/>
      <c r="L50" s="1161"/>
      <c r="M50" s="1161"/>
      <c r="N50" s="1161"/>
      <c r="O50" s="1161"/>
      <c r="P50" s="1161"/>
      <c r="Q50" s="1161"/>
      <c r="R50" s="1161"/>
      <c r="S50" s="1161"/>
      <c r="T50" s="1161"/>
    </row>
    <row r="51" spans="1:20">
      <c r="A51" s="1161"/>
      <c r="B51" s="1161"/>
      <c r="C51" s="1161"/>
      <c r="D51" s="1161"/>
      <c r="E51" s="1161"/>
      <c r="F51" s="1161"/>
      <c r="G51" s="1161"/>
      <c r="H51" s="1161"/>
      <c r="I51" s="1161"/>
      <c r="J51" s="1161"/>
      <c r="K51" s="1161"/>
      <c r="L51" s="1161"/>
      <c r="M51" s="1161"/>
      <c r="N51" s="1161"/>
      <c r="O51" s="1161"/>
      <c r="P51" s="1161"/>
      <c r="Q51" s="1161"/>
      <c r="R51" s="1161"/>
      <c r="S51" s="1161"/>
      <c r="T51" s="1161"/>
    </row>
    <row r="52" spans="1:20">
      <c r="A52" s="1161"/>
      <c r="B52" s="1161"/>
      <c r="C52" s="1161"/>
      <c r="D52" s="1161"/>
      <c r="E52" s="1161"/>
      <c r="F52" s="1161"/>
      <c r="G52" s="1161"/>
      <c r="H52" s="1161"/>
      <c r="I52" s="1161"/>
      <c r="J52" s="1161"/>
      <c r="K52" s="1161"/>
      <c r="L52" s="1161"/>
      <c r="M52" s="1161"/>
      <c r="N52" s="1161"/>
      <c r="O52" s="1161"/>
      <c r="P52" s="1161"/>
      <c r="Q52" s="1161"/>
      <c r="R52" s="1161"/>
      <c r="S52" s="1161"/>
      <c r="T52" s="1161"/>
    </row>
    <row r="53" spans="1:20">
      <c r="A53" s="1161"/>
      <c r="B53" s="1278"/>
      <c r="C53" s="1161"/>
      <c r="D53" s="1161"/>
      <c r="E53" s="1161"/>
      <c r="F53" s="1161"/>
      <c r="G53" s="1161"/>
      <c r="H53" s="1161"/>
      <c r="I53" s="1161"/>
      <c r="J53" s="1161"/>
      <c r="K53" s="1161"/>
      <c r="L53" s="1161"/>
      <c r="M53" s="1161"/>
      <c r="N53" s="1161"/>
      <c r="O53" s="1161"/>
      <c r="P53" s="1161"/>
      <c r="Q53" s="1161"/>
      <c r="R53" s="1161"/>
      <c r="S53" s="1161"/>
      <c r="T53" s="1161"/>
    </row>
    <row r="54" spans="1:20">
      <c r="A54" s="1161"/>
      <c r="B54" s="1278"/>
      <c r="C54" s="1161"/>
      <c r="D54" s="1161"/>
      <c r="E54" s="1161"/>
      <c r="F54" s="1161"/>
      <c r="G54" s="1161"/>
      <c r="H54" s="1161"/>
      <c r="I54" s="1161"/>
      <c r="J54" s="1161"/>
      <c r="K54" s="1161"/>
      <c r="L54" s="1161"/>
      <c r="M54" s="1161"/>
      <c r="N54" s="1161"/>
      <c r="O54" s="1161"/>
      <c r="P54" s="1161"/>
      <c r="Q54" s="1161"/>
      <c r="R54" s="1161"/>
      <c r="S54" s="1161"/>
      <c r="T54" s="1161"/>
    </row>
    <row r="55" spans="1:20" ht="16">
      <c r="A55" s="1160"/>
      <c r="B55" s="1278"/>
      <c r="C55" s="1161"/>
      <c r="D55" s="1161"/>
      <c r="E55" s="1161"/>
      <c r="F55" s="1161"/>
      <c r="G55" s="1161"/>
      <c r="H55" s="1161"/>
      <c r="I55" s="1161"/>
      <c r="J55" s="1161"/>
      <c r="K55" s="1161"/>
      <c r="L55" s="1161"/>
      <c r="M55" s="1161"/>
      <c r="N55" s="1161"/>
      <c r="O55" s="1161"/>
      <c r="P55" s="1161"/>
      <c r="Q55" s="1161"/>
      <c r="R55" s="1161"/>
      <c r="S55" s="1161"/>
      <c r="T55" s="1161"/>
    </row>
    <row r="56" spans="1:20">
      <c r="A56" s="1278"/>
      <c r="B56" s="1278"/>
      <c r="C56" s="1161"/>
      <c r="D56" s="1161"/>
      <c r="E56" s="1161"/>
      <c r="F56" s="1161"/>
      <c r="G56" s="1161"/>
      <c r="H56" s="1161"/>
      <c r="I56" s="1161"/>
      <c r="J56" s="1161"/>
      <c r="K56" s="1161"/>
      <c r="L56" s="1161"/>
      <c r="M56" s="1161"/>
      <c r="N56" s="1161"/>
      <c r="O56" s="1161"/>
      <c r="P56" s="1161"/>
      <c r="Q56" s="1161"/>
      <c r="R56" s="1161"/>
      <c r="S56" s="1161"/>
      <c r="T56" s="1161"/>
    </row>
    <row r="57" spans="1:20">
      <c r="A57" s="1278"/>
      <c r="B57" s="1278"/>
      <c r="C57" s="1161"/>
      <c r="D57" s="1161"/>
      <c r="E57" s="1161"/>
      <c r="F57" s="1161"/>
      <c r="G57" s="1161"/>
      <c r="H57" s="1161"/>
      <c r="I57" s="1161"/>
      <c r="J57" s="1161"/>
      <c r="K57" s="1161"/>
      <c r="L57" s="1161"/>
      <c r="M57" s="1161"/>
      <c r="N57" s="1161"/>
      <c r="O57" s="1161"/>
      <c r="P57" s="1161"/>
      <c r="Q57" s="1161"/>
      <c r="R57" s="1161"/>
      <c r="S57" s="1161"/>
      <c r="T57" s="1161"/>
    </row>
    <row r="58" spans="1:20">
      <c r="A58" s="1278"/>
      <c r="B58" s="1278"/>
      <c r="C58" s="1161"/>
      <c r="D58" s="1161"/>
      <c r="E58" s="1161"/>
      <c r="F58" s="1161"/>
      <c r="G58" s="1161"/>
      <c r="H58" s="1161"/>
      <c r="I58" s="1161"/>
      <c r="J58" s="1161"/>
      <c r="K58" s="1161"/>
      <c r="L58" s="1161"/>
      <c r="M58" s="1161"/>
      <c r="N58" s="1161"/>
      <c r="O58" s="1161"/>
      <c r="P58" s="1161"/>
      <c r="Q58" s="1161"/>
      <c r="R58" s="1161"/>
      <c r="S58" s="1161"/>
      <c r="T58" s="1161"/>
    </row>
    <row r="59" spans="1:20">
      <c r="A59" s="1278"/>
      <c r="B59" s="1278"/>
      <c r="C59" s="1161"/>
      <c r="D59" s="1161"/>
      <c r="E59" s="1161"/>
      <c r="F59" s="1161"/>
      <c r="G59" s="1161"/>
      <c r="H59" s="1161"/>
      <c r="I59" s="1161"/>
      <c r="J59" s="1161"/>
      <c r="K59" s="1161"/>
      <c r="L59" s="1161"/>
      <c r="M59" s="1161"/>
      <c r="N59" s="1161"/>
      <c r="O59" s="1161"/>
      <c r="P59" s="1161"/>
      <c r="Q59" s="1161"/>
      <c r="R59" s="1161"/>
      <c r="S59" s="1161"/>
      <c r="T59" s="1161"/>
    </row>
    <row r="60" spans="1:20">
      <c r="A60" s="1278"/>
      <c r="B60" s="1278"/>
      <c r="C60" s="1161"/>
      <c r="D60" s="1161"/>
      <c r="E60" s="1161"/>
      <c r="F60" s="1161"/>
      <c r="G60" s="1161"/>
      <c r="H60" s="1161"/>
      <c r="I60" s="1161"/>
      <c r="J60" s="1161"/>
      <c r="K60" s="1161"/>
      <c r="L60" s="1161"/>
      <c r="M60" s="1161"/>
      <c r="N60" s="1161"/>
      <c r="O60" s="1161"/>
      <c r="P60" s="1161"/>
      <c r="Q60" s="1161"/>
      <c r="R60" s="1161"/>
      <c r="S60" s="1161"/>
      <c r="T60" s="1161"/>
    </row>
    <row r="61" spans="1:20">
      <c r="A61" s="1278"/>
      <c r="B61" s="1278"/>
      <c r="C61" s="1161"/>
      <c r="D61" s="1161"/>
      <c r="E61" s="1161"/>
      <c r="F61" s="1161"/>
      <c r="G61" s="1161"/>
      <c r="H61" s="1161"/>
      <c r="I61" s="1161"/>
      <c r="J61" s="1161"/>
      <c r="K61" s="1161"/>
      <c r="L61" s="1161"/>
      <c r="M61" s="1161"/>
      <c r="N61" s="1161"/>
      <c r="O61" s="1161"/>
      <c r="P61" s="1161"/>
      <c r="Q61" s="1161"/>
      <c r="R61" s="1161"/>
      <c r="S61" s="1161"/>
      <c r="T61" s="1161"/>
    </row>
    <row r="62" spans="1:20">
      <c r="A62" s="1278"/>
      <c r="B62" s="1278"/>
      <c r="C62" s="1161"/>
      <c r="D62" s="1161"/>
      <c r="E62" s="1161"/>
      <c r="F62" s="1161"/>
      <c r="G62" s="1161"/>
      <c r="H62" s="1161"/>
      <c r="I62" s="1161"/>
      <c r="J62" s="1161"/>
      <c r="K62" s="1161"/>
      <c r="L62" s="1161"/>
      <c r="M62" s="1161"/>
      <c r="N62" s="1161"/>
      <c r="O62" s="1161"/>
      <c r="P62" s="1161"/>
      <c r="Q62" s="1161"/>
      <c r="R62" s="1161"/>
      <c r="S62" s="1161"/>
      <c r="T62" s="1161"/>
    </row>
    <row r="63" spans="1:20">
      <c r="A63" s="1278"/>
      <c r="B63" s="1278"/>
      <c r="C63" s="1161"/>
      <c r="D63" s="1161"/>
      <c r="E63" s="1161"/>
      <c r="F63" s="1161"/>
      <c r="G63" s="1161"/>
      <c r="H63" s="1161"/>
      <c r="I63" s="1161"/>
      <c r="J63" s="1161"/>
      <c r="K63" s="1161"/>
      <c r="L63" s="1161"/>
      <c r="M63" s="1161"/>
      <c r="N63" s="1161"/>
      <c r="O63" s="1161"/>
      <c r="P63" s="1161"/>
      <c r="Q63" s="1161"/>
      <c r="R63" s="1161"/>
      <c r="S63" s="1161"/>
      <c r="T63" s="1161"/>
    </row>
    <row r="64" spans="1:20">
      <c r="A64" s="1278"/>
      <c r="B64" s="1278"/>
      <c r="C64" s="1161"/>
      <c r="D64" s="1161"/>
      <c r="E64" s="1161"/>
      <c r="F64" s="1161"/>
      <c r="G64" s="1161"/>
      <c r="H64" s="1161"/>
      <c r="I64" s="1161"/>
      <c r="J64" s="1161"/>
      <c r="K64" s="1161"/>
      <c r="L64" s="1161"/>
      <c r="M64" s="1161"/>
      <c r="N64" s="1161"/>
      <c r="O64" s="1161"/>
      <c r="P64" s="1161"/>
      <c r="Q64" s="1161"/>
      <c r="R64" s="1161"/>
      <c r="S64" s="1161"/>
      <c r="T64" s="1161"/>
    </row>
    <row r="65" spans="1:20">
      <c r="A65" s="1161"/>
      <c r="B65" s="1278"/>
      <c r="C65" s="1161"/>
      <c r="D65" s="1161"/>
      <c r="E65" s="1161"/>
      <c r="F65" s="1161"/>
      <c r="G65" s="1161"/>
      <c r="H65" s="1161"/>
      <c r="I65" s="1161"/>
      <c r="J65" s="1161"/>
      <c r="K65" s="1161"/>
      <c r="L65" s="1161"/>
      <c r="M65" s="1161"/>
      <c r="N65" s="1161"/>
      <c r="O65" s="1161"/>
      <c r="P65" s="1161"/>
      <c r="Q65" s="1161"/>
      <c r="R65" s="1161"/>
      <c r="S65" s="1161"/>
      <c r="T65" s="1161"/>
    </row>
    <row r="66" spans="1:20">
      <c r="A66" s="1278"/>
      <c r="B66" s="1278"/>
      <c r="C66" s="1161"/>
      <c r="D66" s="1161"/>
      <c r="E66" s="1161"/>
      <c r="F66" s="1161"/>
      <c r="G66" s="1161"/>
      <c r="H66" s="1161"/>
      <c r="I66" s="1161"/>
      <c r="J66" s="1161"/>
      <c r="K66" s="1161"/>
      <c r="L66" s="1161"/>
      <c r="M66" s="1161"/>
      <c r="N66" s="1161"/>
      <c r="O66" s="1161"/>
      <c r="P66" s="1161"/>
      <c r="Q66" s="1161"/>
      <c r="R66" s="1161"/>
      <c r="S66" s="1161"/>
      <c r="T66" s="1161"/>
    </row>
    <row r="67" spans="1:20">
      <c r="A67" s="1278"/>
      <c r="B67" s="1278"/>
      <c r="C67" s="1161"/>
      <c r="D67" s="1161"/>
      <c r="E67" s="1161"/>
      <c r="F67" s="1161"/>
      <c r="G67" s="1161"/>
      <c r="H67" s="1161"/>
      <c r="I67" s="1161"/>
      <c r="J67" s="1161"/>
      <c r="K67" s="1161"/>
      <c r="L67" s="1161"/>
      <c r="M67" s="1161"/>
      <c r="N67" s="1161"/>
      <c r="O67" s="1161"/>
      <c r="P67" s="1161"/>
      <c r="Q67" s="1161"/>
      <c r="R67" s="1161"/>
      <c r="S67" s="1161"/>
      <c r="T67" s="1161"/>
    </row>
    <row r="68" spans="1:20">
      <c r="A68" s="1278"/>
      <c r="B68" s="1278"/>
      <c r="C68" s="1161"/>
      <c r="D68" s="1161"/>
      <c r="E68" s="1161"/>
      <c r="F68" s="1161"/>
      <c r="G68" s="1161"/>
      <c r="H68" s="1161"/>
      <c r="I68" s="1161"/>
      <c r="J68" s="1161"/>
      <c r="K68" s="1161"/>
      <c r="L68" s="1161"/>
      <c r="M68" s="1161"/>
      <c r="N68" s="1161"/>
      <c r="O68" s="1161"/>
      <c r="P68" s="1161"/>
      <c r="Q68" s="1161"/>
      <c r="R68" s="1161"/>
      <c r="S68" s="1161"/>
      <c r="T68" s="1161"/>
    </row>
    <row r="69" spans="1:20">
      <c r="A69" s="1278"/>
      <c r="B69" s="1278"/>
      <c r="C69" s="1161"/>
      <c r="D69" s="1161"/>
      <c r="E69" s="1161"/>
      <c r="F69" s="1161"/>
      <c r="G69" s="1161"/>
      <c r="H69" s="1161"/>
      <c r="I69" s="1161"/>
      <c r="J69" s="1161"/>
      <c r="K69" s="1161"/>
      <c r="L69" s="1161"/>
      <c r="M69" s="1161"/>
      <c r="N69" s="1161"/>
      <c r="O69" s="1161"/>
      <c r="P69" s="1161"/>
      <c r="Q69" s="1161"/>
      <c r="R69" s="1161"/>
      <c r="S69" s="1161"/>
      <c r="T69" s="1161"/>
    </row>
    <row r="70" spans="1:20">
      <c r="A70" s="1278"/>
      <c r="B70" s="1278"/>
      <c r="C70" s="1161"/>
      <c r="D70" s="1161"/>
      <c r="E70" s="1161"/>
      <c r="F70" s="1161"/>
      <c r="G70" s="1161"/>
      <c r="H70" s="1161"/>
      <c r="I70" s="1161"/>
      <c r="J70" s="1161"/>
      <c r="K70" s="1161"/>
      <c r="L70" s="1161"/>
      <c r="M70" s="1161"/>
      <c r="N70" s="1161"/>
      <c r="O70" s="1161"/>
      <c r="P70" s="1161"/>
      <c r="Q70" s="1161"/>
      <c r="R70" s="1161"/>
      <c r="S70" s="1161"/>
      <c r="T70" s="1161"/>
    </row>
    <row r="71" spans="1:20">
      <c r="A71" s="1278"/>
      <c r="B71" s="1278"/>
      <c r="C71" s="1161"/>
      <c r="D71" s="1161"/>
      <c r="E71" s="1161"/>
      <c r="F71" s="1161"/>
      <c r="G71" s="1161"/>
      <c r="H71" s="1161"/>
      <c r="I71" s="1161"/>
      <c r="J71" s="1161"/>
      <c r="K71" s="1161"/>
      <c r="L71" s="1161"/>
      <c r="M71" s="1161"/>
      <c r="N71" s="1161"/>
      <c r="O71" s="1161"/>
      <c r="P71" s="1161"/>
      <c r="Q71" s="1161"/>
      <c r="R71" s="1161"/>
      <c r="S71" s="1161"/>
      <c r="T71" s="1161"/>
    </row>
    <row r="72" spans="1:20">
      <c r="A72" s="1278"/>
      <c r="B72" s="1161"/>
      <c r="C72" s="1161"/>
      <c r="D72" s="1161"/>
      <c r="E72" s="1161"/>
      <c r="F72" s="1161"/>
      <c r="G72" s="1161"/>
      <c r="H72" s="1161"/>
      <c r="I72" s="1161"/>
      <c r="J72" s="1161"/>
      <c r="K72" s="1161"/>
      <c r="L72" s="1161"/>
      <c r="M72" s="1161"/>
      <c r="N72" s="1161"/>
      <c r="O72" s="1161"/>
      <c r="P72" s="1161"/>
      <c r="Q72" s="1161"/>
      <c r="R72" s="1161"/>
      <c r="S72" s="1161"/>
      <c r="T72" s="1161"/>
    </row>
    <row r="73" spans="1:20">
      <c r="A73" s="1161"/>
      <c r="B73" s="1161"/>
      <c r="C73" s="1161"/>
      <c r="D73" s="1161"/>
      <c r="E73" s="1161"/>
      <c r="F73" s="1161"/>
      <c r="G73" s="1161"/>
      <c r="H73" s="1161"/>
      <c r="I73" s="1161"/>
      <c r="J73" s="1161"/>
      <c r="K73" s="1161"/>
      <c r="L73" s="1161"/>
      <c r="M73" s="1161"/>
      <c r="N73" s="1161"/>
      <c r="O73" s="1161"/>
      <c r="P73" s="1161"/>
      <c r="Q73" s="1161"/>
      <c r="R73" s="1161"/>
      <c r="S73" s="1161"/>
      <c r="T73" s="1161"/>
    </row>
    <row r="74" spans="1:20">
      <c r="A74" s="1161"/>
      <c r="B74" s="1161"/>
      <c r="C74" s="1161"/>
      <c r="D74" s="1161"/>
      <c r="E74" s="1161"/>
      <c r="F74" s="1161"/>
      <c r="G74" s="1161"/>
      <c r="H74" s="1161"/>
      <c r="I74" s="1161"/>
      <c r="J74" s="1161"/>
      <c r="K74" s="1161"/>
      <c r="L74" s="1161"/>
      <c r="M74" s="1161"/>
      <c r="N74" s="1161"/>
      <c r="O74" s="1161"/>
      <c r="P74" s="1161"/>
      <c r="Q74" s="1161"/>
      <c r="R74" s="1161"/>
      <c r="S74" s="1161"/>
      <c r="T74" s="1161"/>
    </row>
    <row r="75" spans="1:20">
      <c r="A75" s="1161"/>
      <c r="B75" s="1161"/>
      <c r="C75" s="1161"/>
      <c r="D75" s="1161"/>
      <c r="E75" s="1161"/>
      <c r="F75" s="1161"/>
      <c r="G75" s="1161"/>
      <c r="H75" s="1161"/>
      <c r="I75" s="1161"/>
      <c r="J75" s="1161"/>
      <c r="K75" s="1161"/>
      <c r="L75" s="1161"/>
      <c r="M75" s="1161"/>
      <c r="N75" s="1161"/>
      <c r="O75" s="1161"/>
      <c r="P75" s="1161"/>
      <c r="Q75" s="1161"/>
      <c r="R75" s="1161"/>
      <c r="S75" s="1161"/>
      <c r="T75" s="1161"/>
    </row>
    <row r="76" spans="1:20">
      <c r="A76" s="1161"/>
      <c r="B76" s="1278"/>
      <c r="C76" s="1161"/>
      <c r="D76" s="1161"/>
      <c r="E76" s="1161"/>
      <c r="F76" s="1161"/>
      <c r="G76" s="1161"/>
      <c r="H76" s="1161"/>
      <c r="I76" s="1161"/>
      <c r="J76" s="1161"/>
      <c r="K76" s="1161"/>
      <c r="L76" s="1161"/>
      <c r="M76" s="1161"/>
      <c r="N76" s="1161"/>
      <c r="O76" s="1161"/>
      <c r="P76" s="1161"/>
      <c r="Q76" s="1161"/>
      <c r="R76" s="1161"/>
      <c r="S76" s="1161"/>
      <c r="T76" s="1161"/>
    </row>
    <row r="77" spans="1:20">
      <c r="A77" s="1161"/>
      <c r="B77" s="1278"/>
      <c r="C77" s="1161"/>
      <c r="D77" s="1161"/>
      <c r="E77" s="1161"/>
      <c r="F77" s="1161"/>
      <c r="G77" s="1161"/>
      <c r="H77" s="1161"/>
      <c r="I77" s="1161"/>
      <c r="J77" s="1161"/>
      <c r="K77" s="1161"/>
      <c r="L77" s="1161"/>
      <c r="M77" s="1161"/>
      <c r="N77" s="1161"/>
      <c r="O77" s="1161"/>
      <c r="P77" s="1161"/>
      <c r="Q77" s="1161"/>
      <c r="R77" s="1161"/>
      <c r="S77" s="1161"/>
      <c r="T77" s="1161"/>
    </row>
    <row r="78" spans="1:20">
      <c r="A78" s="1161"/>
      <c r="B78" s="1278"/>
      <c r="C78" s="1161"/>
      <c r="D78" s="1161"/>
      <c r="E78" s="1161"/>
      <c r="F78" s="1161"/>
      <c r="G78" s="1161"/>
      <c r="H78" s="1161"/>
      <c r="I78" s="1161"/>
      <c r="J78" s="1161"/>
      <c r="K78" s="1161"/>
      <c r="L78" s="1161"/>
      <c r="M78" s="1161"/>
      <c r="N78" s="1161"/>
      <c r="O78" s="1161"/>
      <c r="P78" s="1161"/>
      <c r="Q78" s="1161"/>
      <c r="R78" s="1161"/>
      <c r="S78" s="1161"/>
      <c r="T78" s="1161"/>
    </row>
    <row r="79" spans="1:20">
      <c r="A79" s="1278"/>
      <c r="B79" s="1278"/>
      <c r="C79" s="1161"/>
      <c r="D79" s="1161"/>
      <c r="E79" s="1161"/>
      <c r="F79" s="1161"/>
      <c r="G79" s="1161"/>
      <c r="H79" s="1161"/>
      <c r="I79" s="1161"/>
      <c r="J79" s="1161"/>
      <c r="K79" s="1161"/>
      <c r="L79" s="1161"/>
      <c r="M79" s="1161"/>
      <c r="N79" s="1161"/>
      <c r="O79" s="1161"/>
      <c r="P79" s="1161"/>
      <c r="Q79" s="1161"/>
      <c r="R79" s="1161"/>
      <c r="S79" s="1161"/>
      <c r="T79" s="1161"/>
    </row>
    <row r="80" spans="1:20">
      <c r="A80" s="1278"/>
      <c r="B80" s="1278"/>
      <c r="C80" s="1161"/>
      <c r="D80" s="1161"/>
      <c r="E80" s="1161"/>
      <c r="F80" s="1161"/>
      <c r="G80" s="1161"/>
      <c r="H80" s="1161"/>
      <c r="I80" s="1161"/>
      <c r="J80" s="1161"/>
      <c r="K80" s="1161"/>
      <c r="L80" s="1161"/>
      <c r="M80" s="1161"/>
      <c r="N80" s="1161"/>
      <c r="O80" s="1161"/>
      <c r="P80" s="1161"/>
      <c r="Q80" s="1161"/>
      <c r="R80" s="1161"/>
      <c r="S80" s="1161"/>
      <c r="T80" s="1161"/>
    </row>
    <row r="81" spans="1:20">
      <c r="A81" s="1278"/>
      <c r="B81" s="1278"/>
      <c r="C81" s="1161"/>
      <c r="D81" s="1161"/>
      <c r="E81" s="1161"/>
      <c r="F81" s="1161"/>
      <c r="G81" s="1161"/>
      <c r="H81" s="1161"/>
      <c r="I81" s="1161"/>
      <c r="J81" s="1161"/>
      <c r="K81" s="1161"/>
      <c r="L81" s="1161"/>
      <c r="M81" s="1161"/>
      <c r="N81" s="1161"/>
      <c r="O81" s="1161"/>
      <c r="P81" s="1161"/>
      <c r="Q81" s="1161"/>
      <c r="R81" s="1161"/>
      <c r="S81" s="1161"/>
      <c r="T81" s="1161"/>
    </row>
    <row r="82" spans="1:20">
      <c r="A82" s="1278"/>
      <c r="B82" s="1278"/>
      <c r="C82" s="1161"/>
      <c r="D82" s="1161"/>
      <c r="E82" s="1161"/>
      <c r="F82" s="1161"/>
      <c r="G82" s="1161"/>
      <c r="H82" s="1161"/>
      <c r="I82" s="1161"/>
      <c r="J82" s="1161"/>
      <c r="K82" s="1161"/>
      <c r="L82" s="1161"/>
      <c r="M82" s="1161"/>
      <c r="N82" s="1161"/>
      <c r="O82" s="1161"/>
      <c r="P82" s="1161"/>
      <c r="Q82" s="1161"/>
      <c r="R82" s="1161"/>
      <c r="S82" s="1161"/>
      <c r="T82" s="1161"/>
    </row>
    <row r="83" spans="1:20">
      <c r="A83" s="1278"/>
      <c r="B83" s="1278"/>
      <c r="C83" s="1161"/>
      <c r="D83" s="1161"/>
      <c r="E83" s="1161"/>
      <c r="F83" s="1161"/>
      <c r="G83" s="1161"/>
      <c r="H83" s="1161"/>
      <c r="I83" s="1161"/>
      <c r="J83" s="1161"/>
      <c r="K83" s="1161"/>
      <c r="L83" s="1161"/>
      <c r="M83" s="1161"/>
      <c r="N83" s="1161"/>
      <c r="O83" s="1161"/>
      <c r="P83" s="1161"/>
      <c r="Q83" s="1161"/>
      <c r="R83" s="1161"/>
      <c r="S83" s="1161"/>
      <c r="T83" s="1161"/>
    </row>
    <row r="84" spans="1:20">
      <c r="A84" s="1278"/>
      <c r="B84" s="1278"/>
      <c r="C84" s="1161"/>
      <c r="D84" s="1161"/>
      <c r="E84" s="1161"/>
      <c r="F84" s="1161"/>
      <c r="G84" s="1161"/>
      <c r="H84" s="1161"/>
      <c r="I84" s="1161"/>
      <c r="J84" s="1161"/>
      <c r="K84" s="1161"/>
      <c r="L84" s="1161"/>
      <c r="M84" s="1161"/>
      <c r="N84" s="1161"/>
      <c r="O84" s="1161"/>
      <c r="P84" s="1161"/>
      <c r="Q84" s="1161"/>
      <c r="R84" s="1161"/>
      <c r="S84" s="1161"/>
      <c r="T84" s="1161"/>
    </row>
    <row r="85" spans="1:20" ht="16">
      <c r="A85" s="1160"/>
      <c r="B85" s="1278"/>
      <c r="C85" s="1161"/>
      <c r="D85" s="1161"/>
      <c r="E85" s="1161"/>
      <c r="F85" s="1161"/>
      <c r="G85" s="1161"/>
      <c r="H85" s="1161"/>
      <c r="I85" s="1161"/>
      <c r="J85" s="1161"/>
      <c r="K85" s="1161"/>
      <c r="L85" s="1161"/>
      <c r="M85" s="1161"/>
      <c r="N85" s="1161"/>
      <c r="O85" s="1161"/>
      <c r="P85" s="1161"/>
      <c r="Q85" s="1161"/>
      <c r="R85" s="1161"/>
      <c r="S85" s="1161"/>
      <c r="T85" s="1161"/>
    </row>
    <row r="86" spans="1:20">
      <c r="A86" s="1278"/>
      <c r="B86" s="1278"/>
      <c r="C86" s="1161"/>
      <c r="D86" s="1161"/>
      <c r="E86" s="1161"/>
      <c r="F86" s="1161"/>
      <c r="G86" s="1161"/>
      <c r="H86" s="1161"/>
      <c r="I86" s="1161"/>
      <c r="J86" s="1161"/>
      <c r="K86" s="1161"/>
      <c r="L86" s="1161"/>
      <c r="M86" s="1161"/>
      <c r="N86" s="1161"/>
      <c r="O86" s="1161"/>
      <c r="P86" s="1161"/>
      <c r="Q86" s="1161"/>
      <c r="R86" s="1161"/>
      <c r="S86" s="1161"/>
      <c r="T86" s="1161"/>
    </row>
    <row r="87" spans="1:20">
      <c r="A87" s="1161"/>
      <c r="B87" s="1278"/>
      <c r="C87" s="1161"/>
      <c r="D87" s="1161"/>
      <c r="E87" s="1161"/>
      <c r="F87" s="1161"/>
      <c r="G87" s="1161"/>
      <c r="H87" s="1161"/>
      <c r="I87" s="1161"/>
      <c r="J87" s="1161"/>
      <c r="K87" s="1161"/>
      <c r="L87" s="1161"/>
      <c r="M87" s="1161"/>
      <c r="N87" s="1161"/>
      <c r="O87" s="1161"/>
      <c r="P87" s="1161"/>
      <c r="Q87" s="1161"/>
      <c r="R87" s="1161"/>
      <c r="S87" s="1161"/>
      <c r="T87" s="1161"/>
    </row>
    <row r="88" spans="1:20">
      <c r="A88" s="1278"/>
      <c r="B88" s="1278"/>
      <c r="C88" s="1161"/>
      <c r="D88" s="1161"/>
      <c r="E88" s="1161"/>
      <c r="F88" s="1161"/>
      <c r="G88" s="1161"/>
      <c r="H88" s="1161"/>
      <c r="I88" s="1161"/>
      <c r="J88" s="1161"/>
      <c r="K88" s="1161"/>
      <c r="L88" s="1161"/>
      <c r="M88" s="1161"/>
      <c r="N88" s="1161"/>
      <c r="O88" s="1161"/>
      <c r="P88" s="1161"/>
      <c r="Q88" s="1161"/>
      <c r="R88" s="1161"/>
      <c r="S88" s="1161"/>
      <c r="T88" s="1161"/>
    </row>
    <row r="89" spans="1:20">
      <c r="A89" s="1278"/>
      <c r="B89" s="1278"/>
      <c r="C89" s="1161"/>
      <c r="D89" s="1161"/>
      <c r="E89" s="1161"/>
      <c r="F89" s="1161"/>
      <c r="G89" s="1161"/>
      <c r="H89" s="1161"/>
      <c r="I89" s="1161"/>
      <c r="J89" s="1161"/>
      <c r="K89" s="1161"/>
      <c r="L89" s="1161"/>
      <c r="M89" s="1161"/>
      <c r="N89" s="1161"/>
      <c r="O89" s="1161"/>
      <c r="P89" s="1161"/>
      <c r="Q89" s="1161"/>
      <c r="R89" s="1161"/>
      <c r="S89" s="1161"/>
      <c r="T89" s="1161"/>
    </row>
    <row r="90" spans="1:20">
      <c r="A90" s="1278"/>
      <c r="B90" s="1278"/>
      <c r="C90" s="1161"/>
      <c r="D90" s="1161"/>
      <c r="E90" s="1161"/>
      <c r="F90" s="1161"/>
      <c r="G90" s="1161"/>
      <c r="H90" s="1161"/>
      <c r="I90" s="1161"/>
      <c r="J90" s="1161"/>
      <c r="K90" s="1161"/>
      <c r="L90" s="1161"/>
      <c r="M90" s="1161"/>
      <c r="N90" s="1161"/>
      <c r="O90" s="1161"/>
      <c r="P90" s="1161"/>
      <c r="Q90" s="1161"/>
      <c r="R90" s="1161"/>
      <c r="S90" s="1161"/>
      <c r="T90" s="1161"/>
    </row>
    <row r="91" spans="1:20">
      <c r="A91" s="1278"/>
      <c r="B91" s="1278"/>
      <c r="C91" s="1161"/>
      <c r="D91" s="1161"/>
      <c r="E91" s="1161"/>
      <c r="F91" s="1161"/>
      <c r="G91" s="1161"/>
      <c r="H91" s="1161"/>
      <c r="I91" s="1161"/>
      <c r="J91" s="1161"/>
      <c r="K91" s="1161"/>
      <c r="L91" s="1161"/>
      <c r="M91" s="1161"/>
      <c r="N91" s="1161"/>
      <c r="O91" s="1161"/>
      <c r="P91" s="1161"/>
      <c r="Q91" s="1161"/>
      <c r="R91" s="1161"/>
      <c r="S91" s="1161"/>
      <c r="T91" s="1161"/>
    </row>
    <row r="92" spans="1:20">
      <c r="A92" s="1161"/>
      <c r="B92" s="1161"/>
      <c r="C92" s="1161"/>
      <c r="D92" s="1161"/>
      <c r="E92" s="1161"/>
      <c r="F92" s="1161"/>
      <c r="G92" s="1161"/>
      <c r="H92" s="1161"/>
      <c r="I92" s="1161"/>
      <c r="J92" s="1161"/>
      <c r="K92" s="1161"/>
      <c r="L92" s="1161"/>
      <c r="M92" s="1161"/>
      <c r="N92" s="1161"/>
      <c r="O92" s="1161"/>
      <c r="P92" s="1161"/>
      <c r="Q92" s="1161"/>
      <c r="R92" s="1161"/>
      <c r="S92" s="1161"/>
      <c r="T92" s="1161"/>
    </row>
    <row r="93" spans="1:20">
      <c r="A93" s="1161"/>
      <c r="B93" s="1161"/>
      <c r="C93" s="1161"/>
      <c r="D93" s="1161"/>
      <c r="E93" s="1161"/>
      <c r="F93" s="1161"/>
      <c r="G93" s="1161"/>
      <c r="H93" s="1161"/>
      <c r="I93" s="1161"/>
      <c r="J93" s="1161"/>
      <c r="K93" s="1161"/>
      <c r="L93" s="1161"/>
      <c r="M93" s="1161"/>
      <c r="N93" s="1161"/>
      <c r="O93" s="1161"/>
      <c r="P93" s="1161"/>
      <c r="Q93" s="1161"/>
      <c r="R93" s="1161"/>
      <c r="S93" s="1161"/>
      <c r="T93" s="1161"/>
    </row>
    <row r="94" spans="1:20">
      <c r="A94" s="1161"/>
      <c r="B94" s="1161"/>
      <c r="C94" s="1161"/>
      <c r="D94" s="1161"/>
      <c r="E94" s="1161"/>
      <c r="F94" s="1161"/>
      <c r="G94" s="1161"/>
      <c r="H94" s="1161"/>
      <c r="I94" s="1161"/>
      <c r="J94" s="1161"/>
      <c r="K94" s="1161"/>
      <c r="L94" s="1161"/>
      <c r="M94" s="1161"/>
      <c r="N94" s="1161"/>
      <c r="O94" s="1161"/>
      <c r="P94" s="1161"/>
      <c r="Q94" s="1161"/>
      <c r="R94" s="1161"/>
      <c r="S94" s="1161"/>
      <c r="T94" s="1161"/>
    </row>
    <row r="95" spans="1:20">
      <c r="A95" s="1161"/>
      <c r="B95" s="1161"/>
      <c r="C95" s="1161"/>
      <c r="D95" s="1161"/>
      <c r="E95" s="1161"/>
      <c r="F95" s="1161"/>
      <c r="G95" s="1161"/>
      <c r="H95" s="1161"/>
      <c r="I95" s="1161"/>
      <c r="J95" s="1161"/>
      <c r="K95" s="1161"/>
      <c r="L95" s="1161"/>
      <c r="M95" s="1161"/>
      <c r="N95" s="1161"/>
      <c r="O95" s="1161"/>
      <c r="P95" s="1161"/>
      <c r="Q95" s="1161"/>
      <c r="R95" s="1161"/>
      <c r="S95" s="1161"/>
      <c r="T95" s="1161"/>
    </row>
    <row r="96" spans="1:20">
      <c r="A96" s="1161"/>
      <c r="B96" s="1161"/>
      <c r="C96" s="1161"/>
      <c r="D96" s="1161"/>
      <c r="E96" s="1161"/>
      <c r="F96" s="1161"/>
      <c r="G96" s="1161"/>
      <c r="H96" s="1161"/>
      <c r="I96" s="1161"/>
      <c r="J96" s="1161"/>
      <c r="K96" s="1161"/>
      <c r="L96" s="1161"/>
      <c r="M96" s="1161"/>
      <c r="N96" s="1161"/>
      <c r="O96" s="1161"/>
      <c r="P96" s="1161"/>
      <c r="Q96" s="1161"/>
      <c r="R96" s="1161"/>
      <c r="S96" s="1161"/>
      <c r="T96" s="1161"/>
    </row>
    <row r="97" spans="1:20">
      <c r="A97" s="1161"/>
      <c r="B97" s="1161"/>
      <c r="C97" s="1161"/>
      <c r="D97" s="1161"/>
      <c r="E97" s="1161"/>
      <c r="F97" s="1161"/>
      <c r="G97" s="1161"/>
      <c r="H97" s="1161"/>
      <c r="I97" s="1161"/>
      <c r="J97" s="1161"/>
      <c r="K97" s="1161"/>
      <c r="L97" s="1161"/>
      <c r="M97" s="1161"/>
      <c r="N97" s="1161"/>
      <c r="O97" s="1161"/>
      <c r="P97" s="1161"/>
      <c r="Q97" s="1161"/>
      <c r="R97" s="1161"/>
      <c r="S97" s="1161"/>
      <c r="T97" s="1161"/>
    </row>
    <row r="98" spans="1:20">
      <c r="A98" s="1161"/>
      <c r="B98" s="1161"/>
      <c r="C98" s="1161"/>
      <c r="D98" s="1161"/>
      <c r="E98" s="1161"/>
      <c r="F98" s="1161"/>
      <c r="G98" s="1161"/>
      <c r="H98" s="1161"/>
      <c r="I98" s="1161"/>
      <c r="J98" s="1161"/>
      <c r="K98" s="1161"/>
      <c r="L98" s="1161"/>
      <c r="M98" s="1161"/>
      <c r="N98" s="1161"/>
      <c r="O98" s="1161"/>
      <c r="P98" s="1161"/>
      <c r="Q98" s="1161"/>
      <c r="R98" s="1161"/>
      <c r="S98" s="1161"/>
      <c r="T98" s="1161"/>
    </row>
    <row r="99" spans="1:20">
      <c r="A99" s="1161"/>
      <c r="B99" s="1161"/>
      <c r="C99" s="1161"/>
      <c r="D99" s="1161"/>
      <c r="E99" s="1161"/>
      <c r="F99" s="1161"/>
      <c r="G99" s="1161"/>
      <c r="H99" s="1161"/>
      <c r="I99" s="1161"/>
      <c r="J99" s="1161"/>
      <c r="K99" s="1161"/>
      <c r="L99" s="1161"/>
      <c r="M99" s="1161"/>
      <c r="N99" s="1161"/>
      <c r="O99" s="1161"/>
      <c r="P99" s="1161"/>
      <c r="Q99" s="1161"/>
      <c r="R99" s="1161"/>
      <c r="S99" s="1161"/>
      <c r="T99" s="1161"/>
    </row>
    <row r="100" spans="1:20">
      <c r="A100" s="1161"/>
      <c r="B100" s="1161"/>
      <c r="C100" s="1161"/>
      <c r="D100" s="1161"/>
      <c r="E100" s="1161"/>
      <c r="F100" s="1161"/>
      <c r="G100" s="1161"/>
      <c r="H100" s="1161"/>
      <c r="I100" s="1161"/>
      <c r="J100" s="1161"/>
      <c r="K100" s="1161"/>
      <c r="L100" s="1161"/>
      <c r="M100" s="1161"/>
      <c r="N100" s="1161"/>
      <c r="O100" s="1161"/>
      <c r="P100" s="1161"/>
      <c r="Q100" s="1161"/>
      <c r="R100" s="1161"/>
      <c r="S100" s="1161"/>
      <c r="T100" s="1161"/>
    </row>
    <row r="101" spans="1:20">
      <c r="A101" s="1161"/>
      <c r="B101" s="1161"/>
      <c r="C101" s="1161"/>
      <c r="D101" s="1161"/>
      <c r="E101" s="1161"/>
      <c r="F101" s="1161"/>
      <c r="G101" s="1161"/>
      <c r="H101" s="1161"/>
      <c r="I101" s="1161"/>
      <c r="J101" s="1161"/>
      <c r="K101" s="1161"/>
      <c r="L101" s="1161"/>
      <c r="M101" s="1161"/>
      <c r="N101" s="1161"/>
      <c r="O101" s="1161"/>
      <c r="P101" s="1161"/>
      <c r="Q101" s="1161"/>
      <c r="R101" s="1161"/>
      <c r="S101" s="1161"/>
      <c r="T101" s="1161"/>
    </row>
    <row r="102" spans="1:20">
      <c r="A102" s="1161"/>
      <c r="B102" s="1161"/>
      <c r="C102" s="1161"/>
      <c r="D102" s="1161"/>
      <c r="E102" s="1161"/>
      <c r="F102" s="1161"/>
      <c r="G102" s="1161"/>
      <c r="H102" s="1161"/>
      <c r="I102" s="1161"/>
      <c r="J102" s="1161"/>
      <c r="K102" s="1161"/>
      <c r="L102" s="1161"/>
      <c r="M102" s="1161"/>
      <c r="N102" s="1161"/>
      <c r="O102" s="1161"/>
      <c r="P102" s="1161"/>
      <c r="Q102" s="1161"/>
      <c r="R102" s="1161"/>
      <c r="S102" s="1161"/>
      <c r="T102" s="1161"/>
    </row>
    <row r="103" spans="1:20">
      <c r="A103" s="1161"/>
      <c r="B103" s="1161"/>
      <c r="C103" s="1161"/>
      <c r="D103" s="1161"/>
      <c r="E103" s="1161"/>
      <c r="F103" s="1161"/>
      <c r="G103" s="1161"/>
      <c r="H103" s="1161"/>
      <c r="I103" s="1161"/>
      <c r="J103" s="1161"/>
      <c r="K103" s="1161"/>
      <c r="L103" s="1161"/>
      <c r="M103" s="1161"/>
      <c r="N103" s="1161"/>
      <c r="O103" s="1161"/>
      <c r="P103" s="1161"/>
      <c r="Q103" s="1161"/>
      <c r="R103" s="1161"/>
      <c r="S103" s="1161"/>
      <c r="T103" s="1161"/>
    </row>
    <row r="104" spans="1:20">
      <c r="A104" s="1161"/>
      <c r="B104" s="1161"/>
      <c r="C104" s="1161"/>
      <c r="D104" s="1161"/>
      <c r="E104" s="1161"/>
      <c r="F104" s="1161"/>
      <c r="G104" s="1161"/>
      <c r="H104" s="1161"/>
      <c r="I104" s="1161"/>
      <c r="J104" s="1161"/>
      <c r="K104" s="1161"/>
      <c r="L104" s="1161"/>
      <c r="M104" s="1161"/>
      <c r="N104" s="1161"/>
      <c r="O104" s="1161"/>
      <c r="P104" s="1161"/>
      <c r="Q104" s="1161"/>
      <c r="R104" s="1161"/>
      <c r="S104" s="1161"/>
      <c r="T104" s="1161"/>
    </row>
    <row r="105" spans="1:20">
      <c r="A105" s="1161"/>
      <c r="B105" s="1161"/>
      <c r="C105" s="1161"/>
      <c r="D105" s="1161"/>
      <c r="E105" s="1161"/>
      <c r="F105" s="1161"/>
      <c r="G105" s="1161"/>
      <c r="H105" s="1161"/>
      <c r="I105" s="1161"/>
      <c r="J105" s="1161"/>
      <c r="K105" s="1161"/>
      <c r="L105" s="1161"/>
      <c r="M105" s="1161"/>
      <c r="N105" s="1161"/>
      <c r="O105" s="1161"/>
      <c r="P105" s="1161"/>
      <c r="Q105" s="1161"/>
      <c r="R105" s="1161"/>
      <c r="S105" s="1161"/>
      <c r="T105" s="1161"/>
    </row>
    <row r="106" spans="1:20">
      <c r="A106" s="1161"/>
      <c r="B106" s="1161"/>
      <c r="C106" s="1161"/>
      <c r="D106" s="1161"/>
      <c r="E106" s="1161"/>
      <c r="F106" s="1161"/>
      <c r="G106" s="1161"/>
      <c r="H106" s="1161"/>
      <c r="I106" s="1161"/>
      <c r="J106" s="1161"/>
      <c r="K106" s="1161"/>
      <c r="L106" s="1161"/>
      <c r="M106" s="1161"/>
      <c r="N106" s="1161"/>
      <c r="O106" s="1161"/>
      <c r="P106" s="1161"/>
      <c r="Q106" s="1161"/>
      <c r="R106" s="1161"/>
      <c r="S106" s="1161"/>
      <c r="T106" s="1161"/>
    </row>
    <row r="107" spans="1:20">
      <c r="A107" s="1161"/>
      <c r="B107" s="1161"/>
      <c r="C107" s="1161"/>
      <c r="D107" s="1161"/>
      <c r="E107" s="1161"/>
      <c r="F107" s="1161"/>
      <c r="G107" s="1161"/>
      <c r="H107" s="1161"/>
      <c r="I107" s="1161"/>
      <c r="J107" s="1161"/>
      <c r="K107" s="1161"/>
      <c r="L107" s="1161"/>
      <c r="M107" s="1161"/>
      <c r="N107" s="1161"/>
      <c r="O107" s="1161"/>
      <c r="P107" s="1161"/>
      <c r="Q107" s="1161"/>
      <c r="R107" s="1161"/>
      <c r="S107" s="1161"/>
      <c r="T107" s="1161"/>
    </row>
    <row r="108" spans="1:20">
      <c r="A108" s="1161"/>
      <c r="B108" s="1161"/>
      <c r="C108" s="1161"/>
      <c r="D108" s="1161"/>
      <c r="E108" s="1161"/>
      <c r="F108" s="1161"/>
      <c r="G108" s="1161"/>
      <c r="H108" s="1161"/>
      <c r="I108" s="1161"/>
      <c r="J108" s="1161"/>
      <c r="K108" s="1161"/>
      <c r="L108" s="1161"/>
      <c r="M108" s="1161"/>
      <c r="N108" s="1161"/>
      <c r="O108" s="1161"/>
      <c r="P108" s="1161"/>
      <c r="Q108" s="1161"/>
      <c r="R108" s="1161"/>
      <c r="S108" s="1161"/>
      <c r="T108" s="1161"/>
    </row>
    <row r="109" spans="1:20">
      <c r="A109" s="1161"/>
      <c r="B109" s="1161"/>
      <c r="C109" s="1161"/>
      <c r="D109" s="1161"/>
      <c r="E109" s="1161"/>
      <c r="F109" s="1161"/>
      <c r="G109" s="1161"/>
      <c r="H109" s="1161"/>
      <c r="I109" s="1161"/>
      <c r="J109" s="1161"/>
      <c r="K109" s="1161"/>
      <c r="L109" s="1161"/>
      <c r="M109" s="1161"/>
      <c r="N109" s="1161"/>
      <c r="O109" s="1161"/>
      <c r="P109" s="1161"/>
      <c r="Q109" s="1161"/>
      <c r="R109" s="1161"/>
      <c r="S109" s="1161"/>
      <c r="T109" s="1161"/>
    </row>
    <row r="110" spans="1:20">
      <c r="A110" s="1161"/>
      <c r="B110" s="1161"/>
      <c r="C110" s="1161"/>
      <c r="D110" s="1161"/>
      <c r="E110" s="1161"/>
      <c r="F110" s="1161"/>
      <c r="G110" s="1161"/>
      <c r="H110" s="1161"/>
      <c r="I110" s="1161"/>
      <c r="J110" s="1161"/>
      <c r="K110" s="1161"/>
      <c r="L110" s="1161"/>
      <c r="M110" s="1161"/>
      <c r="N110" s="1161"/>
      <c r="O110" s="1161"/>
      <c r="P110" s="1161"/>
      <c r="Q110" s="1161"/>
      <c r="R110" s="1161"/>
      <c r="S110" s="1161"/>
      <c r="T110" s="1161"/>
    </row>
    <row r="111" spans="1:20">
      <c r="A111" s="1161"/>
      <c r="B111" s="1161"/>
      <c r="C111" s="1161"/>
      <c r="D111" s="1161"/>
      <c r="E111" s="1161"/>
      <c r="F111" s="1161"/>
      <c r="G111" s="1161"/>
      <c r="H111" s="1161"/>
      <c r="I111" s="1161"/>
      <c r="J111" s="1161"/>
      <c r="K111" s="1161"/>
      <c r="L111" s="1161"/>
      <c r="M111" s="1161"/>
      <c r="N111" s="1161"/>
      <c r="O111" s="1161"/>
      <c r="P111" s="1161"/>
      <c r="Q111" s="1161"/>
      <c r="R111" s="1161"/>
      <c r="S111" s="1161"/>
      <c r="T111" s="1161"/>
    </row>
    <row r="112" spans="1:20">
      <c r="A112" s="1161"/>
      <c r="B112" s="1161"/>
      <c r="C112" s="1161"/>
      <c r="D112" s="1161"/>
      <c r="E112" s="1161"/>
      <c r="F112" s="1161"/>
      <c r="G112" s="1161"/>
      <c r="H112" s="1161"/>
      <c r="I112" s="1161"/>
      <c r="J112" s="1161"/>
      <c r="K112" s="1161"/>
      <c r="L112" s="1161"/>
      <c r="M112" s="1161"/>
      <c r="N112" s="1161"/>
      <c r="O112" s="1161"/>
      <c r="P112" s="1161"/>
      <c r="Q112" s="1161"/>
      <c r="R112" s="1161"/>
      <c r="S112" s="1161"/>
      <c r="T112" s="1161"/>
    </row>
    <row r="113" spans="1:20">
      <c r="A113" s="1161"/>
      <c r="B113" s="1161"/>
      <c r="C113" s="1161"/>
      <c r="D113" s="1161"/>
      <c r="E113" s="1161"/>
      <c r="F113" s="1161"/>
      <c r="G113" s="1161"/>
      <c r="H113" s="1161"/>
      <c r="I113" s="1161"/>
      <c r="J113" s="1161"/>
      <c r="K113" s="1161"/>
      <c r="L113" s="1161"/>
      <c r="M113" s="1161"/>
      <c r="N113" s="1161"/>
      <c r="O113" s="1161"/>
      <c r="P113" s="1161"/>
      <c r="Q113" s="1161"/>
      <c r="R113" s="1161"/>
      <c r="S113" s="1161"/>
      <c r="T113" s="1161"/>
    </row>
    <row r="114" spans="1:20">
      <c r="A114" s="1161"/>
      <c r="B114" s="1161"/>
      <c r="C114" s="1161"/>
      <c r="D114" s="1161"/>
      <c r="E114" s="1161"/>
      <c r="F114" s="1161"/>
      <c r="G114" s="1161"/>
      <c r="H114" s="1161"/>
      <c r="I114" s="1161"/>
      <c r="J114" s="1161"/>
      <c r="K114" s="1161"/>
      <c r="L114" s="1161"/>
      <c r="M114" s="1161"/>
      <c r="N114" s="1161"/>
      <c r="O114" s="1161"/>
      <c r="P114" s="1161"/>
      <c r="Q114" s="1161"/>
      <c r="R114" s="1161"/>
      <c r="S114" s="1161"/>
      <c r="T114" s="1161"/>
    </row>
  </sheetData>
  <pageMargins left="0.35433070866141736" right="0.23622047244094491" top="0.59055118110236227" bottom="0.35433070866141736" header="0.23622047244094491" footer="0.19685039370078741"/>
  <pageSetup paperSize="9" scale="65" orientation="landscape" cellComments="asDisplayed"/>
  <headerFooter alignWithMargins="0"/>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0E652-540B-C242-8837-CDFB0652C250}">
  <sheetPr>
    <pageSetUpPr fitToPage="1"/>
  </sheetPr>
  <dimension ref="A1:AL86"/>
  <sheetViews>
    <sheetView zoomScaleNormal="100" workbookViewId="0">
      <selection activeCell="A37" sqref="A37"/>
    </sheetView>
  </sheetViews>
  <sheetFormatPr baseColWidth="10" defaultColWidth="11.59765625" defaultRowHeight="13"/>
  <cols>
    <col min="1" max="1" width="3.796875" style="1162" customWidth="1"/>
    <col min="2" max="2" width="46.59765625" style="1162" customWidth="1"/>
    <col min="3" max="3" width="0.19921875" style="1162" customWidth="1"/>
    <col min="4" max="5" width="10.19921875" style="1162" hidden="1" customWidth="1"/>
    <col min="6" max="11" width="10.19921875" style="1162" customWidth="1"/>
    <col min="12" max="12" width="10.796875" style="1162" customWidth="1"/>
    <col min="13" max="13" width="10.19921875" style="1162" customWidth="1"/>
    <col min="14" max="16" width="10.796875" style="1162" customWidth="1"/>
    <col min="17" max="17" width="3.19921875" style="1162" customWidth="1"/>
    <col min="18" max="18" width="11.3984375" style="1162" customWidth="1"/>
    <col min="19" max="19" width="11.796875" style="1162" customWidth="1"/>
    <col min="20" max="20" width="3.3984375" style="1162" customWidth="1"/>
    <col min="21" max="21" width="12.3984375" style="1162" customWidth="1"/>
    <col min="22" max="16384" width="11.59765625" style="1162"/>
  </cols>
  <sheetData>
    <row r="1" spans="1:38" ht="18">
      <c r="A1" s="1160" t="s">
        <v>2033</v>
      </c>
      <c r="B1" s="1161"/>
      <c r="C1" s="1161"/>
      <c r="D1" s="1161"/>
      <c r="E1" s="1161"/>
      <c r="F1" s="1161"/>
      <c r="G1" s="1161"/>
      <c r="H1" s="1161"/>
      <c r="I1" s="1161"/>
      <c r="J1" s="1161"/>
      <c r="K1" s="1161"/>
      <c r="L1" s="1161"/>
      <c r="M1" s="1161"/>
      <c r="N1" s="1161"/>
      <c r="O1" s="1161"/>
      <c r="P1" s="1161"/>
      <c r="Q1" s="1161"/>
      <c r="R1" s="1161"/>
      <c r="S1" s="1161"/>
      <c r="T1" s="1161"/>
      <c r="Y1" s="1163"/>
      <c r="AE1" s="1163"/>
    </row>
    <row r="2" spans="1:38" ht="14" thickBot="1">
      <c r="A2" s="1164"/>
      <c r="B2" s="1164"/>
      <c r="C2" s="1164"/>
      <c r="D2" s="1164"/>
      <c r="E2" s="1164"/>
      <c r="F2" s="1164"/>
      <c r="G2" s="1164"/>
      <c r="H2" s="1164"/>
      <c r="I2" s="1164"/>
      <c r="J2" s="1164"/>
      <c r="K2" s="1164"/>
      <c r="L2" s="1164"/>
      <c r="M2" s="1164"/>
      <c r="N2" s="1164"/>
      <c r="O2" s="1164"/>
      <c r="P2" s="1164"/>
      <c r="Q2" s="1164"/>
      <c r="R2" s="1164"/>
      <c r="S2" s="1164"/>
      <c r="T2" s="1164"/>
      <c r="U2" s="1165"/>
    </row>
    <row r="3" spans="1:38" s="1172" customFormat="1" ht="10.5" customHeight="1">
      <c r="A3" s="1166"/>
      <c r="B3" s="1166"/>
      <c r="C3" s="1167"/>
      <c r="D3" s="1166"/>
      <c r="E3" s="1167"/>
      <c r="F3" s="1166"/>
      <c r="G3" s="1167"/>
      <c r="H3" s="1166"/>
      <c r="I3" s="1167"/>
      <c r="J3" s="1166"/>
      <c r="K3" s="1167"/>
      <c r="L3" s="1166"/>
      <c r="M3" s="1167"/>
      <c r="N3" s="1166"/>
      <c r="O3" s="1167"/>
      <c r="P3" s="1166"/>
      <c r="Q3" s="1168"/>
      <c r="R3" s="1169"/>
      <c r="S3" s="1170"/>
      <c r="T3" s="1171"/>
      <c r="U3" s="1167"/>
      <c r="V3" s="1162"/>
      <c r="W3" s="1173"/>
      <c r="X3" s="1173"/>
      <c r="Y3" s="1173"/>
      <c r="Z3" s="1173"/>
      <c r="AA3" s="1174"/>
      <c r="AB3" s="1174"/>
      <c r="AC3" s="1174"/>
      <c r="AD3" s="1174"/>
      <c r="AG3" s="1175"/>
      <c r="AH3" s="1175"/>
      <c r="AI3" s="1175"/>
      <c r="AJ3" s="1175"/>
    </row>
    <row r="4" spans="1:38" ht="13.5" customHeight="1">
      <c r="A4" s="1176" t="s">
        <v>2002</v>
      </c>
      <c r="B4" s="1177"/>
      <c r="C4" s="1178">
        <v>1996</v>
      </c>
      <c r="D4" s="1179">
        <v>1997</v>
      </c>
      <c r="E4" s="1178">
        <v>1998</v>
      </c>
      <c r="F4" s="1179">
        <v>1999</v>
      </c>
      <c r="G4" s="1178">
        <v>2000</v>
      </c>
      <c r="H4" s="1179">
        <v>2001</v>
      </c>
      <c r="I4" s="1178">
        <v>2002</v>
      </c>
      <c r="J4" s="1179">
        <v>2003</v>
      </c>
      <c r="K4" s="1178">
        <v>2004</v>
      </c>
      <c r="L4" s="1179">
        <v>2005</v>
      </c>
      <c r="M4" s="1178">
        <v>2006</v>
      </c>
      <c r="N4" s="1179">
        <v>2007</v>
      </c>
      <c r="O4" s="1178">
        <v>2008</v>
      </c>
      <c r="P4" s="1179">
        <v>2009</v>
      </c>
      <c r="Q4" s="1180"/>
      <c r="R4" s="1169" t="s">
        <v>2003</v>
      </c>
      <c r="S4" s="1170" t="s">
        <v>2004</v>
      </c>
      <c r="T4" s="1171"/>
      <c r="U4" s="1181" t="s">
        <v>1579</v>
      </c>
      <c r="W4" s="1173"/>
      <c r="X4" s="1173"/>
      <c r="Y4" s="1173"/>
      <c r="Z4" s="1173"/>
      <c r="AA4" s="1182"/>
      <c r="AB4" s="1182"/>
      <c r="AC4" s="1182"/>
      <c r="AD4" s="1182"/>
      <c r="AG4" s="1175"/>
      <c r="AH4" s="1175"/>
      <c r="AI4" s="1175"/>
      <c r="AJ4" s="1175"/>
    </row>
    <row r="5" spans="1:38" ht="15.75" customHeight="1">
      <c r="A5" s="1176" t="s">
        <v>2005</v>
      </c>
      <c r="B5" s="1183"/>
      <c r="C5" s="1184"/>
      <c r="D5" s="1185"/>
      <c r="E5" s="1184"/>
      <c r="F5" s="1185"/>
      <c r="G5" s="1184"/>
      <c r="H5" s="1185"/>
      <c r="I5" s="1184"/>
      <c r="J5" s="1185"/>
      <c r="K5" s="1184"/>
      <c r="L5" s="1185"/>
      <c r="M5" s="1184"/>
      <c r="N5" s="1185"/>
      <c r="O5" s="1184"/>
      <c r="P5" s="1185"/>
      <c r="Q5" s="1186"/>
      <c r="R5" s="1169" t="s">
        <v>2256</v>
      </c>
      <c r="S5" s="1170" t="s">
        <v>2006</v>
      </c>
      <c r="T5" s="1171"/>
      <c r="U5" s="1181" t="s">
        <v>2034</v>
      </c>
      <c r="W5" s="1173"/>
      <c r="X5" s="1173"/>
      <c r="Y5" s="1173"/>
      <c r="Z5" s="1173"/>
      <c r="AA5" s="1182"/>
      <c r="AB5" s="1182"/>
      <c r="AC5" s="1182"/>
      <c r="AD5" s="1182"/>
      <c r="AG5" s="1175"/>
      <c r="AH5" s="1175"/>
      <c r="AI5" s="1175"/>
      <c r="AJ5" s="1175"/>
    </row>
    <row r="6" spans="1:38" ht="14.25" customHeight="1">
      <c r="A6" s="1187"/>
      <c r="B6" s="1187"/>
      <c r="C6" s="1188"/>
      <c r="D6" s="1189"/>
      <c r="E6" s="1188"/>
      <c r="F6" s="1189"/>
      <c r="G6" s="1188"/>
      <c r="H6" s="1189"/>
      <c r="I6" s="1188"/>
      <c r="J6" s="1189"/>
      <c r="K6" s="1188"/>
      <c r="L6" s="1189"/>
      <c r="M6" s="1188"/>
      <c r="N6" s="1189"/>
      <c r="O6" s="1188"/>
      <c r="P6" s="1189"/>
      <c r="Q6" s="1190"/>
      <c r="R6" s="1191"/>
      <c r="S6" s="1192" t="s">
        <v>585</v>
      </c>
      <c r="T6" s="1193"/>
      <c r="U6" s="1188"/>
      <c r="W6" s="1173"/>
      <c r="X6" s="1173"/>
      <c r="Y6" s="1173"/>
      <c r="Z6" s="1173"/>
      <c r="AA6" s="1194"/>
      <c r="AB6" s="1194"/>
      <c r="AC6" s="1194"/>
      <c r="AD6" s="1194"/>
      <c r="AG6" s="1194"/>
      <c r="AH6" s="1194"/>
      <c r="AI6" s="1194"/>
      <c r="AJ6" s="1194"/>
    </row>
    <row r="7" spans="1:38">
      <c r="A7" s="1195"/>
      <c r="B7" s="1196"/>
      <c r="C7" s="1197"/>
      <c r="D7" s="1196"/>
      <c r="E7" s="1197"/>
      <c r="F7" s="1196"/>
      <c r="G7" s="1197"/>
      <c r="H7" s="1196"/>
      <c r="I7" s="1197"/>
      <c r="J7" s="1196"/>
      <c r="K7" s="1197"/>
      <c r="L7" s="1196"/>
      <c r="M7" s="1197"/>
      <c r="N7" s="1196"/>
      <c r="O7" s="1197"/>
      <c r="P7" s="1196"/>
      <c r="Q7" s="1198"/>
      <c r="R7" s="1197"/>
      <c r="S7" s="1199" t="s">
        <v>2257</v>
      </c>
      <c r="T7" s="1200"/>
      <c r="U7" s="1197"/>
      <c r="W7" s="1173"/>
      <c r="X7" s="1173"/>
      <c r="Y7" s="1173"/>
      <c r="Z7" s="1173"/>
      <c r="AA7" s="1182"/>
      <c r="AB7" s="1182"/>
      <c r="AC7" s="1182"/>
      <c r="AD7" s="1182"/>
      <c r="AG7" s="1175"/>
      <c r="AH7" s="1175"/>
      <c r="AI7" s="1175"/>
      <c r="AJ7" s="1175"/>
    </row>
    <row r="8" spans="1:38" ht="18" customHeight="1" thickBot="1">
      <c r="A8" s="1201" t="s">
        <v>2008</v>
      </c>
      <c r="B8" s="1202"/>
      <c r="C8" s="1281">
        <v>5976.68608119694</v>
      </c>
      <c r="D8" s="1282">
        <v>5920.5324887865727</v>
      </c>
      <c r="E8" s="1281">
        <v>5989.0401962979158</v>
      </c>
      <c r="F8" s="1282">
        <v>6272.8466257392192</v>
      </c>
      <c r="G8" s="1281">
        <v>6460.9578237170608</v>
      </c>
      <c r="H8" s="1282">
        <v>7635.1420777467765</v>
      </c>
      <c r="I8" s="1281">
        <v>8429.5101560943567</v>
      </c>
      <c r="J8" s="1282">
        <v>8778.10319716105</v>
      </c>
      <c r="K8" s="1281">
        <v>8632.7243530636424</v>
      </c>
      <c r="L8" s="1282">
        <v>8704.8174529394601</v>
      </c>
      <c r="M8" s="1281">
        <v>8536.5423231378227</v>
      </c>
      <c r="N8" s="1282">
        <v>8960.8447878915576</v>
      </c>
      <c r="O8" s="1283">
        <v>10892.863194019999</v>
      </c>
      <c r="P8" s="1282">
        <v>11812.531518999062</v>
      </c>
      <c r="Q8" s="1284"/>
      <c r="R8" s="1285">
        <v>0.21560672591261754</v>
      </c>
      <c r="S8" s="1286">
        <v>6.164295497177541E-2</v>
      </c>
      <c r="T8" s="1287"/>
      <c r="U8" s="1288">
        <v>12067.8</v>
      </c>
      <c r="W8" s="1173"/>
      <c r="X8" s="1173"/>
      <c r="Y8" s="1173"/>
      <c r="Z8" s="1173"/>
      <c r="AG8" s="1175"/>
      <c r="AH8" s="1175"/>
      <c r="AI8" s="1175"/>
      <c r="AJ8" s="1175"/>
    </row>
    <row r="9" spans="1:38" s="1230" customFormat="1" ht="14" thickBot="1">
      <c r="A9" s="1212"/>
      <c r="B9" s="1221"/>
      <c r="C9" s="1222"/>
      <c r="D9" s="1223"/>
      <c r="E9" s="1222"/>
      <c r="F9" s="1223"/>
      <c r="G9" s="1222"/>
      <c r="H9" s="1223"/>
      <c r="I9" s="1222"/>
      <c r="J9" s="1223"/>
      <c r="K9" s="1222"/>
      <c r="L9" s="1223"/>
      <c r="M9" s="1222"/>
      <c r="N9" s="1223"/>
      <c r="O9" s="1222"/>
      <c r="P9" s="1223"/>
      <c r="Q9" s="1224"/>
      <c r="R9" s="1225"/>
      <c r="S9" s="1226"/>
      <c r="T9" s="1227"/>
      <c r="U9" s="1228"/>
    </row>
    <row r="10" spans="1:38" s="1230" customFormat="1" ht="16.5" customHeight="1" thickBot="1">
      <c r="A10" s="1231" t="s">
        <v>2012</v>
      </c>
      <c r="B10" s="1212"/>
      <c r="C10" s="1232">
        <v>2694.5104040117299</v>
      </c>
      <c r="D10" s="1233">
        <v>2815.7448411451096</v>
      </c>
      <c r="E10" s="1232">
        <v>2973.2056398412365</v>
      </c>
      <c r="F10" s="1233">
        <v>3109.7236465190003</v>
      </c>
      <c r="G10" s="1232">
        <v>3228.4015641373426</v>
      </c>
      <c r="H10" s="1233">
        <v>3420.9561673120697</v>
      </c>
      <c r="I10" s="1232">
        <v>3447.3545767100568</v>
      </c>
      <c r="J10" s="1233">
        <v>3663.0755838507671</v>
      </c>
      <c r="K10" s="1232">
        <v>3771.1797269619269</v>
      </c>
      <c r="L10" s="1233">
        <v>3968.7366137610011</v>
      </c>
      <c r="M10" s="1232">
        <v>4049.5170354256738</v>
      </c>
      <c r="N10" s="1233">
        <v>4185.9254439417819</v>
      </c>
      <c r="O10" s="1232">
        <v>3547.5</v>
      </c>
      <c r="P10" s="1233">
        <v>3507.7414799101907</v>
      </c>
      <c r="Q10" s="1234"/>
      <c r="R10" s="1235">
        <v>-0.15251715600089444</v>
      </c>
      <c r="S10" s="1236">
        <v>1.7817106060641574E-2</v>
      </c>
      <c r="T10" s="1237"/>
      <c r="U10" s="1238">
        <v>3468.4285524686497</v>
      </c>
    </row>
    <row r="11" spans="1:38" ht="14" thickBot="1">
      <c r="A11" s="1212"/>
      <c r="B11" s="1239"/>
      <c r="C11" s="1222"/>
      <c r="D11" s="1223"/>
      <c r="E11" s="1222"/>
      <c r="F11" s="1223"/>
      <c r="G11" s="1222"/>
      <c r="H11" s="1223"/>
      <c r="I11" s="1222"/>
      <c r="J11" s="1223"/>
      <c r="K11" s="1222"/>
      <c r="L11" s="1223"/>
      <c r="M11" s="1222"/>
      <c r="N11" s="1223"/>
      <c r="O11" s="1222"/>
      <c r="P11" s="1223"/>
      <c r="Q11" s="1224"/>
      <c r="R11" s="1225"/>
      <c r="S11" s="1226"/>
      <c r="T11" s="1227"/>
      <c r="U11" s="1228"/>
    </row>
    <row r="12" spans="1:38" s="1230" customFormat="1" ht="14" thickBot="1">
      <c r="A12" s="1231" t="s">
        <v>2017</v>
      </c>
      <c r="B12" s="1212"/>
      <c r="C12" s="1232">
        <v>944.7</v>
      </c>
      <c r="D12" s="1233">
        <v>937.8</v>
      </c>
      <c r="E12" s="1232">
        <v>1006.9999999999999</v>
      </c>
      <c r="F12" s="1233">
        <v>1143.9000000000001</v>
      </c>
      <c r="G12" s="1232">
        <v>1192.9000000000001</v>
      </c>
      <c r="H12" s="1233">
        <v>1166</v>
      </c>
      <c r="I12" s="1232">
        <v>1214.2</v>
      </c>
      <c r="J12" s="1233">
        <v>1307.4000000000001</v>
      </c>
      <c r="K12" s="1232">
        <v>1524.8999999999999</v>
      </c>
      <c r="L12" s="1233">
        <v>1662.8002309999999</v>
      </c>
      <c r="M12" s="1232">
        <v>1703.226242</v>
      </c>
      <c r="N12" s="1233">
        <v>1746.5387489999998</v>
      </c>
      <c r="O12" s="1232">
        <v>1573.9</v>
      </c>
      <c r="P12" s="1233">
        <v>1667.492854254501</v>
      </c>
      <c r="Q12" s="1234"/>
      <c r="R12" s="1235">
        <v>-9.8846217468032682E-2</v>
      </c>
      <c r="S12" s="1236">
        <v>4.5670284306777553E-2</v>
      </c>
      <c r="T12" s="1237"/>
      <c r="U12" s="1238">
        <v>1737.3071090940755</v>
      </c>
    </row>
    <row r="13" spans="1:38" s="1230" customFormat="1" ht="15.75" customHeight="1" thickBot="1">
      <c r="A13" s="1211" t="s">
        <v>2035</v>
      </c>
      <c r="B13" s="1212"/>
      <c r="C13" s="1213">
        <v>293</v>
      </c>
      <c r="D13" s="1214">
        <v>237.5</v>
      </c>
      <c r="E13" s="1213">
        <v>264.39999999999998</v>
      </c>
      <c r="F13" s="1214">
        <v>277.10000000000002</v>
      </c>
      <c r="G13" s="1213">
        <v>317</v>
      </c>
      <c r="H13" s="1214">
        <v>315</v>
      </c>
      <c r="I13" s="1213">
        <v>343.8</v>
      </c>
      <c r="J13" s="1214">
        <v>375.1</v>
      </c>
      <c r="K13" s="1213">
        <v>421.4</v>
      </c>
      <c r="L13" s="1214">
        <v>447.8</v>
      </c>
      <c r="M13" s="1213">
        <v>476.1</v>
      </c>
      <c r="N13" s="1214">
        <v>496.7</v>
      </c>
      <c r="O13" s="1213">
        <v>306.89999999999998</v>
      </c>
      <c r="P13" s="1214">
        <v>331.2</v>
      </c>
      <c r="Q13" s="1215"/>
      <c r="R13" s="1216">
        <v>-0.38212200523454809</v>
      </c>
      <c r="S13" s="1217">
        <v>1.5017532115545906E-2</v>
      </c>
      <c r="T13" s="1218"/>
      <c r="U13" s="1219">
        <v>337.15973851432835</v>
      </c>
      <c r="V13" s="1289"/>
      <c r="W13" s="1289"/>
      <c r="X13" s="1289"/>
      <c r="Y13" s="1289"/>
      <c r="Z13" s="1289"/>
      <c r="AA13" s="1289"/>
      <c r="AB13" s="1289"/>
      <c r="AC13" s="1289"/>
      <c r="AD13" s="1289"/>
      <c r="AE13" s="1289"/>
      <c r="AF13" s="1289"/>
      <c r="AG13" s="1289"/>
      <c r="AH13" s="1289"/>
      <c r="AI13" s="1289"/>
      <c r="AJ13" s="1289"/>
      <c r="AK13" s="1289"/>
      <c r="AL13" s="1289"/>
    </row>
    <row r="14" spans="1:38" ht="15" customHeight="1" thickBot="1">
      <c r="A14" s="1211" t="s">
        <v>2036</v>
      </c>
      <c r="B14" s="1212"/>
      <c r="C14" s="1213">
        <v>203.5</v>
      </c>
      <c r="D14" s="1214">
        <v>228.6</v>
      </c>
      <c r="E14" s="1213">
        <v>266.2</v>
      </c>
      <c r="F14" s="1214">
        <v>375.1</v>
      </c>
      <c r="G14" s="1213">
        <v>378.5</v>
      </c>
      <c r="H14" s="1214">
        <v>314.89999999999998</v>
      </c>
      <c r="I14" s="1213">
        <v>319.7</v>
      </c>
      <c r="J14" s="1214">
        <v>367.7</v>
      </c>
      <c r="K14" s="1213">
        <v>381.7</v>
      </c>
      <c r="L14" s="1214">
        <v>412.4</v>
      </c>
      <c r="M14" s="1213">
        <v>405.9</v>
      </c>
      <c r="N14" s="1214">
        <v>394.24799999999999</v>
      </c>
      <c r="O14" s="1213">
        <v>391</v>
      </c>
      <c r="P14" s="1214">
        <v>416.09285425450105</v>
      </c>
      <c r="Q14" s="1215"/>
      <c r="R14" s="1216">
        <v>-8.2384691869077376E-3</v>
      </c>
      <c r="S14" s="1217">
        <v>3.919457438025109E-2</v>
      </c>
      <c r="T14" s="1218"/>
      <c r="U14" s="1219">
        <v>420.43085103188724</v>
      </c>
      <c r="V14" s="1289"/>
      <c r="W14" s="1289"/>
      <c r="X14" s="1289"/>
      <c r="Y14" s="1289"/>
      <c r="Z14" s="1289"/>
      <c r="AA14" s="1289"/>
      <c r="AB14" s="1289"/>
      <c r="AC14" s="1289"/>
      <c r="AD14" s="1289"/>
      <c r="AE14" s="1289"/>
      <c r="AF14" s="1289"/>
      <c r="AG14" s="1289"/>
      <c r="AH14" s="1289"/>
      <c r="AI14" s="1289"/>
      <c r="AJ14" s="1289"/>
      <c r="AK14" s="1289"/>
      <c r="AL14" s="1289"/>
    </row>
    <row r="15" spans="1:38" ht="15" customHeight="1" thickBot="1">
      <c r="A15" s="1211" t="s">
        <v>2037</v>
      </c>
      <c r="B15" s="1212"/>
      <c r="C15" s="1213">
        <v>448.2</v>
      </c>
      <c r="D15" s="1214">
        <v>471.7</v>
      </c>
      <c r="E15" s="1213">
        <v>476.4</v>
      </c>
      <c r="F15" s="1214">
        <v>491.7</v>
      </c>
      <c r="G15" s="1213">
        <v>497.4</v>
      </c>
      <c r="H15" s="1214">
        <v>536.1</v>
      </c>
      <c r="I15" s="1213">
        <v>550.70000000000005</v>
      </c>
      <c r="J15" s="1214">
        <v>564.6</v>
      </c>
      <c r="K15" s="1213">
        <v>721.8</v>
      </c>
      <c r="L15" s="1214">
        <v>802.60023099999989</v>
      </c>
      <c r="M15" s="1213">
        <v>821.22624199999996</v>
      </c>
      <c r="N15" s="1214">
        <v>855.59074899999996</v>
      </c>
      <c r="O15" s="1213">
        <v>876</v>
      </c>
      <c r="P15" s="1214">
        <v>920.2</v>
      </c>
      <c r="Q15" s="1215"/>
      <c r="R15" s="1216">
        <v>2.3853987462877591E-2</v>
      </c>
      <c r="S15" s="1217">
        <v>6.2804134769804065E-2</v>
      </c>
      <c r="T15" s="1218"/>
      <c r="U15" s="1219">
        <v>979.71651954785989</v>
      </c>
      <c r="V15" s="1289"/>
      <c r="W15" s="1289"/>
      <c r="X15" s="1289"/>
      <c r="Y15" s="1289"/>
      <c r="Z15" s="1289"/>
      <c r="AA15" s="1289"/>
      <c r="AB15" s="1289"/>
      <c r="AC15" s="1289"/>
      <c r="AD15" s="1289"/>
      <c r="AE15" s="1289"/>
      <c r="AF15" s="1289"/>
      <c r="AG15" s="1289"/>
      <c r="AH15" s="1289"/>
      <c r="AI15" s="1289"/>
      <c r="AJ15" s="1289"/>
      <c r="AK15" s="1289"/>
      <c r="AL15" s="1289"/>
    </row>
    <row r="16" spans="1:38" s="1230" customFormat="1" ht="14" thickBot="1">
      <c r="A16" s="1248"/>
      <c r="B16" s="1248"/>
      <c r="C16" s="1249"/>
      <c r="D16" s="1250"/>
      <c r="E16" s="1249"/>
      <c r="F16" s="1250"/>
      <c r="G16" s="1249"/>
      <c r="H16" s="1250"/>
      <c r="I16" s="1249"/>
      <c r="J16" s="1250"/>
      <c r="K16" s="1249"/>
      <c r="L16" s="1250"/>
      <c r="M16" s="1249"/>
      <c r="N16" s="1250"/>
      <c r="O16" s="1249"/>
      <c r="P16" s="1250"/>
      <c r="Q16" s="1251"/>
      <c r="R16" s="1252"/>
      <c r="S16" s="1253"/>
      <c r="T16" s="1254"/>
      <c r="U16" s="1255"/>
    </row>
    <row r="17" spans="1:21" s="1291" customFormat="1" ht="16.5" customHeight="1" thickBot="1">
      <c r="A17" s="1290" t="s">
        <v>2038</v>
      </c>
      <c r="B17" s="1290"/>
      <c r="C17" s="1232">
        <v>16873.599999999999</v>
      </c>
      <c r="D17" s="1233">
        <v>17009.100000000002</v>
      </c>
      <c r="E17" s="1232">
        <v>17841.499999999996</v>
      </c>
      <c r="F17" s="1233">
        <v>18231.2</v>
      </c>
      <c r="G17" s="1232">
        <v>19316.223118000002</v>
      </c>
      <c r="H17" s="1233">
        <v>20344.518999999997</v>
      </c>
      <c r="I17" s="1232">
        <v>20951.550000000003</v>
      </c>
      <c r="J17" s="1233">
        <v>21678.133227000002</v>
      </c>
      <c r="K17" s="1232">
        <v>22971.142229620003</v>
      </c>
      <c r="L17" s="1233">
        <v>24341.551358520002</v>
      </c>
      <c r="M17" s="1232">
        <v>24619.755745440005</v>
      </c>
      <c r="N17" s="1233">
        <v>25832.508284429998</v>
      </c>
      <c r="O17" s="1232">
        <v>27138.537360089998</v>
      </c>
      <c r="P17" s="1233">
        <v>28087.912385849995</v>
      </c>
      <c r="Q17" s="1234"/>
      <c r="R17" s="1235">
        <v>5.0557578895549238E-2</v>
      </c>
      <c r="S17" s="1236">
        <v>4.2834780613016266E-2</v>
      </c>
      <c r="T17" s="1237"/>
      <c r="U17" s="1232">
        <v>28819.934220650004</v>
      </c>
    </row>
    <row r="18" spans="1:21" ht="14" thickBot="1">
      <c r="A18" s="1212"/>
      <c r="B18" s="1211" t="s">
        <v>2027</v>
      </c>
      <c r="C18" s="1213">
        <v>12459</v>
      </c>
      <c r="D18" s="1214">
        <v>13138.5</v>
      </c>
      <c r="E18" s="1213">
        <v>14024.099999999999</v>
      </c>
      <c r="F18" s="1214">
        <v>14620.5</v>
      </c>
      <c r="G18" s="1213">
        <v>15478.308999999999</v>
      </c>
      <c r="H18" s="1214">
        <v>16386.458999999999</v>
      </c>
      <c r="I18" s="1213">
        <v>17095.580000000002</v>
      </c>
      <c r="J18" s="1214">
        <v>17924.119704000001</v>
      </c>
      <c r="K18" s="1213">
        <v>19139.808546</v>
      </c>
      <c r="L18" s="1214">
        <v>20347.706646750001</v>
      </c>
      <c r="M18" s="1213">
        <v>20602.626921510004</v>
      </c>
      <c r="N18" s="1214">
        <v>21578.68886531</v>
      </c>
      <c r="O18" s="1213">
        <v>22721.911483739997</v>
      </c>
      <c r="P18" s="1214">
        <v>23656.322442069995</v>
      </c>
      <c r="Q18" s="1215"/>
      <c r="R18" s="1216">
        <v>5.2979243806969611E-2</v>
      </c>
      <c r="S18" s="1217">
        <v>4.9438484469246591E-2</v>
      </c>
      <c r="T18" s="1218"/>
      <c r="U18" s="1213">
        <v>24292.461575140002</v>
      </c>
    </row>
    <row r="19" spans="1:21" ht="15" customHeight="1" thickBot="1">
      <c r="A19" s="1212"/>
      <c r="B19" s="1239" t="s">
        <v>2039</v>
      </c>
      <c r="C19" s="1257">
        <v>1678.5</v>
      </c>
      <c r="D19" s="1258">
        <v>1778</v>
      </c>
      <c r="E19" s="1257">
        <v>2097.1999999999998</v>
      </c>
      <c r="F19" s="1258">
        <v>2189.9</v>
      </c>
      <c r="G19" s="1257">
        <v>2288</v>
      </c>
      <c r="H19" s="1258">
        <v>2400.1999999999998</v>
      </c>
      <c r="I19" s="1257">
        <v>2502.83</v>
      </c>
      <c r="J19" s="1258">
        <v>2588.5</v>
      </c>
      <c r="K19" s="1257">
        <v>2832.3</v>
      </c>
      <c r="L19" s="1258">
        <v>2994.9866096700002</v>
      </c>
      <c r="M19" s="1257">
        <v>3038.7113187199998</v>
      </c>
      <c r="N19" s="1258">
        <v>3155.0668707</v>
      </c>
      <c r="O19" s="1257">
        <v>3290.4542289599999</v>
      </c>
      <c r="P19" s="1258">
        <v>3382.4718481499999</v>
      </c>
      <c r="Q19" s="1259"/>
      <c r="R19" s="1260">
        <v>4.2911089941482627E-2</v>
      </c>
      <c r="S19" s="1261">
        <v>4.6072055210291563E-2</v>
      </c>
      <c r="T19" s="1262"/>
      <c r="U19" s="1257">
        <v>3408.7146446100001</v>
      </c>
    </row>
    <row r="20" spans="1:21" s="1230" customFormat="1" ht="16.5" customHeight="1" thickBot="1">
      <c r="A20" s="1212"/>
      <c r="B20" s="1239" t="s">
        <v>2040</v>
      </c>
      <c r="C20" s="1240">
        <v>1815.57</v>
      </c>
      <c r="D20" s="1241">
        <v>2087.14</v>
      </c>
      <c r="E20" s="1240">
        <v>2263.1999999999998</v>
      </c>
      <c r="F20" s="1241">
        <v>2476.6</v>
      </c>
      <c r="G20" s="1240">
        <v>2532.8000000000002</v>
      </c>
      <c r="H20" s="1241">
        <v>2671.6</v>
      </c>
      <c r="I20" s="1240">
        <v>2848.4</v>
      </c>
      <c r="J20" s="1241">
        <v>2961.1</v>
      </c>
      <c r="K20" s="1240">
        <v>3025.3</v>
      </c>
      <c r="L20" s="1241">
        <v>3119.6250399999999</v>
      </c>
      <c r="M20" s="1240">
        <v>3230.0145429999998</v>
      </c>
      <c r="N20" s="1241">
        <v>3432.1861340000005</v>
      </c>
      <c r="O20" s="1240">
        <v>3398.253929</v>
      </c>
      <c r="P20" s="1241">
        <v>3542.4140867700003</v>
      </c>
      <c r="Q20" s="1242"/>
      <c r="R20" s="1243">
        <v>-9.8864699276827173E-3</v>
      </c>
      <c r="S20" s="1244">
        <v>4.1485647314643437E-2</v>
      </c>
      <c r="T20" s="1245"/>
      <c r="U20" s="1240">
        <v>3979.8429310299998</v>
      </c>
    </row>
    <row r="21" spans="1:21" ht="17.25" customHeight="1" thickBot="1">
      <c r="A21" s="1212"/>
      <c r="B21" s="1211" t="s">
        <v>2041</v>
      </c>
      <c r="C21" s="1213">
        <v>3901.9</v>
      </c>
      <c r="D21" s="1214">
        <v>3394.7000000000003</v>
      </c>
      <c r="E21" s="1213">
        <v>3357.3</v>
      </c>
      <c r="F21" s="1214">
        <v>2846.7999999999997</v>
      </c>
      <c r="G21" s="1213">
        <v>2254.1563019999999</v>
      </c>
      <c r="H21" s="1214">
        <v>1604.76</v>
      </c>
      <c r="I21" s="1213">
        <v>1460.47</v>
      </c>
      <c r="J21" s="1214">
        <v>1393.5729260000001</v>
      </c>
      <c r="K21" s="1213">
        <v>1076.3591796200001</v>
      </c>
      <c r="L21" s="1214">
        <v>1181.10792477</v>
      </c>
      <c r="M21" s="1213">
        <v>1126.0691719299998</v>
      </c>
      <c r="N21" s="1214">
        <v>1216.0416881200003</v>
      </c>
      <c r="O21" s="1213">
        <v>1288.55575733</v>
      </c>
      <c r="P21" s="1214">
        <v>1272.7774214100002</v>
      </c>
      <c r="Q21" s="1215"/>
      <c r="R21" s="1216">
        <v>5.9631236263048226E-2</v>
      </c>
      <c r="S21" s="1217">
        <v>-9.1319294537903994E-2</v>
      </c>
      <c r="T21" s="1218"/>
      <c r="U21" s="1213">
        <v>1323.3804471599999</v>
      </c>
    </row>
    <row r="22" spans="1:21" ht="15" customHeight="1" thickBot="1">
      <c r="A22" s="1212"/>
      <c r="B22" s="1239" t="s">
        <v>2042</v>
      </c>
      <c r="C22" s="1257">
        <v>92.3</v>
      </c>
      <c r="D22" s="1258">
        <v>106.4</v>
      </c>
      <c r="E22" s="1257">
        <v>57.8</v>
      </c>
      <c r="F22" s="1258">
        <v>59.7</v>
      </c>
      <c r="G22" s="1257">
        <v>55.1</v>
      </c>
      <c r="H22" s="1258">
        <v>28.1</v>
      </c>
      <c r="I22" s="1257">
        <v>38.17</v>
      </c>
      <c r="J22" s="1258">
        <v>39</v>
      </c>
      <c r="K22" s="1257">
        <v>35.9</v>
      </c>
      <c r="L22" s="1258">
        <v>36.691305870000001</v>
      </c>
      <c r="M22" s="1257">
        <v>42.792587509999997</v>
      </c>
      <c r="N22" s="1258">
        <v>45.914382520000004</v>
      </c>
      <c r="O22" s="1257">
        <v>47.179055349999999</v>
      </c>
      <c r="P22" s="1258">
        <v>43.52313178</v>
      </c>
      <c r="Q22" s="1259"/>
      <c r="R22" s="1260">
        <v>2.7544154153638312E-2</v>
      </c>
      <c r="S22" s="1261">
        <v>-2.0099136781290827E-2</v>
      </c>
      <c r="T22" s="1262"/>
      <c r="U22" s="1257">
        <v>41.799594509999999</v>
      </c>
    </row>
    <row r="23" spans="1:21" ht="16.5" customHeight="1" thickBot="1">
      <c r="A23" s="1212"/>
      <c r="B23" s="1211" t="s">
        <v>2043</v>
      </c>
      <c r="C23" s="1213">
        <v>512.70000000000005</v>
      </c>
      <c r="D23" s="1214">
        <v>475.9</v>
      </c>
      <c r="E23" s="1213">
        <v>460.1</v>
      </c>
      <c r="F23" s="1214">
        <v>763.9</v>
      </c>
      <c r="G23" s="1213">
        <v>1583.757816</v>
      </c>
      <c r="H23" s="1214">
        <v>2353.3000000000002</v>
      </c>
      <c r="I23" s="1213">
        <v>2395.5</v>
      </c>
      <c r="J23" s="1214">
        <v>2360.4405969999998</v>
      </c>
      <c r="K23" s="1213">
        <v>2754.9745040000003</v>
      </c>
      <c r="L23" s="1214">
        <v>2812.7367870000003</v>
      </c>
      <c r="M23" s="1213">
        <v>2891.0596519999999</v>
      </c>
      <c r="N23" s="1214">
        <v>3037.7777310000001</v>
      </c>
      <c r="O23" s="1213">
        <v>3128.0701190199998</v>
      </c>
      <c r="P23" s="1214">
        <v>3158.8125223699999</v>
      </c>
      <c r="Q23" s="1292"/>
      <c r="R23" s="1293">
        <v>2.9723171349431254E-2</v>
      </c>
      <c r="S23" s="1294">
        <v>0.21127408214118915</v>
      </c>
      <c r="T23" s="1295"/>
      <c r="U23" s="1213">
        <v>3204.0921983499998</v>
      </c>
    </row>
    <row r="24" spans="1:21" ht="13.5" customHeight="1" thickBot="1">
      <c r="A24" s="1212"/>
      <c r="B24" s="1239"/>
      <c r="C24" s="1240"/>
      <c r="D24" s="1241"/>
      <c r="E24" s="1240"/>
      <c r="F24" s="1241"/>
      <c r="G24" s="1240"/>
      <c r="H24" s="1241"/>
      <c r="I24" s="1240"/>
      <c r="J24" s="1241"/>
      <c r="K24" s="1240"/>
      <c r="L24" s="1241"/>
      <c r="M24" s="1240"/>
      <c r="N24" s="1241"/>
      <c r="O24" s="1240"/>
      <c r="P24" s="1241"/>
      <c r="Q24" s="1242"/>
      <c r="R24" s="1243"/>
      <c r="S24" s="1244"/>
      <c r="T24" s="1245"/>
      <c r="U24" s="1240"/>
    </row>
    <row r="25" spans="1:21" ht="17.25" customHeight="1" thickBot="1">
      <c r="A25" s="1231" t="s">
        <v>2044</v>
      </c>
      <c r="B25" s="1239"/>
      <c r="C25" s="1232">
        <v>1533.3999999999996</v>
      </c>
      <c r="D25" s="1233">
        <v>1598.9999999999986</v>
      </c>
      <c r="E25" s="1232">
        <v>1702.400000000001</v>
      </c>
      <c r="F25" s="1233">
        <v>1632.5000000000009</v>
      </c>
      <c r="G25" s="1232">
        <v>1632.6768820000002</v>
      </c>
      <c r="H25" s="1233">
        <v>1670.3300000000004</v>
      </c>
      <c r="I25" s="1232">
        <v>1688.25</v>
      </c>
      <c r="J25" s="1233">
        <v>1731.4787729999994</v>
      </c>
      <c r="K25" s="1232">
        <v>1788.6097703800008</v>
      </c>
      <c r="L25" s="1233">
        <v>1637.5543728499972</v>
      </c>
      <c r="M25" s="1232">
        <v>1898.1885889306407</v>
      </c>
      <c r="N25" s="1233">
        <v>1935.891721470005</v>
      </c>
      <c r="O25" s="1232">
        <v>1998.8631799700033</v>
      </c>
      <c r="P25" s="1233">
        <v>2105.026885609991</v>
      </c>
      <c r="Q25" s="1242"/>
      <c r="R25" s="1235">
        <v>3.2528399084315263E-2</v>
      </c>
      <c r="S25" s="1236">
        <v>1.6183516048493551E-2</v>
      </c>
      <c r="T25" s="1245"/>
      <c r="U25" s="1238">
        <v>2172.1555114937532</v>
      </c>
    </row>
    <row r="26" spans="1:21" ht="13.5" customHeight="1" thickBot="1">
      <c r="A26" s="1212"/>
      <c r="B26" s="1211" t="s">
        <v>2045</v>
      </c>
      <c r="C26" s="1213">
        <v>72.599999999999739</v>
      </c>
      <c r="D26" s="1214">
        <v>80.999999999998636</v>
      </c>
      <c r="E26" s="1213">
        <v>106.80000000000098</v>
      </c>
      <c r="F26" s="1214">
        <v>50.400000000001</v>
      </c>
      <c r="G26" s="1213">
        <v>32.676882000000205</v>
      </c>
      <c r="H26" s="1214">
        <v>42.130000000000337</v>
      </c>
      <c r="I26" s="1213">
        <v>72.150000000000091</v>
      </c>
      <c r="J26" s="1214">
        <v>58.37477299999955</v>
      </c>
      <c r="K26" s="1213">
        <v>57.557770380000875</v>
      </c>
      <c r="L26" s="1214">
        <v>-94.35827220000283</v>
      </c>
      <c r="M26" s="1213">
        <v>59.529167040640459</v>
      </c>
      <c r="N26" s="1214">
        <v>55.906676890004746</v>
      </c>
      <c r="O26" s="1213">
        <v>2.844109160003427</v>
      </c>
      <c r="P26" s="1214">
        <v>98.51039781999134</v>
      </c>
      <c r="Q26" s="1215"/>
      <c r="R26" s="1216">
        <v>-0.94912755831295148</v>
      </c>
      <c r="S26" s="1217">
        <v>-0.30411495900634311</v>
      </c>
      <c r="T26" s="1218"/>
      <c r="U26" s="1219">
        <v>108.07595755</v>
      </c>
    </row>
    <row r="27" spans="1:21" ht="13.5" customHeight="1" thickBot="1">
      <c r="A27" s="1212"/>
      <c r="B27" s="1211" t="s">
        <v>2046</v>
      </c>
      <c r="C27" s="1213">
        <v>1460.8</v>
      </c>
      <c r="D27" s="1214">
        <v>1518</v>
      </c>
      <c r="E27" s="1213">
        <v>1595.6</v>
      </c>
      <c r="F27" s="1214">
        <v>1582.1</v>
      </c>
      <c r="G27" s="1213">
        <v>1600</v>
      </c>
      <c r="H27" s="1214">
        <v>1628.2</v>
      </c>
      <c r="I27" s="1213">
        <v>1616.1</v>
      </c>
      <c r="J27" s="1214">
        <v>1673.1039999999998</v>
      </c>
      <c r="K27" s="1213">
        <v>1731.0519999999999</v>
      </c>
      <c r="L27" s="1214">
        <v>1731.91264505</v>
      </c>
      <c r="M27" s="1213">
        <v>1838.6594218900002</v>
      </c>
      <c r="N27" s="1214">
        <v>1879.9850445800002</v>
      </c>
      <c r="O27" s="1213">
        <v>1996.0190708099999</v>
      </c>
      <c r="P27" s="1214">
        <v>2006.5164877899999</v>
      </c>
      <c r="Q27" s="1215"/>
      <c r="R27" s="1216">
        <v>6.1720717707050898E-2</v>
      </c>
      <c r="S27" s="1217">
        <v>2.2643037504268992E-2</v>
      </c>
      <c r="T27" s="1218"/>
      <c r="U27" s="1219">
        <v>2064.0795539437531</v>
      </c>
    </row>
    <row r="28" spans="1:21" ht="13.5" customHeight="1" thickBot="1">
      <c r="A28" s="1212"/>
      <c r="B28" s="1239"/>
      <c r="C28" s="1240"/>
      <c r="D28" s="1241"/>
      <c r="E28" s="1240"/>
      <c r="F28" s="1241"/>
      <c r="G28" s="1240"/>
      <c r="H28" s="1241"/>
      <c r="I28" s="1240"/>
      <c r="J28" s="1241"/>
      <c r="K28" s="1240"/>
      <c r="L28" s="1241"/>
      <c r="M28" s="1240"/>
      <c r="N28" s="1241"/>
      <c r="O28" s="1240"/>
      <c r="P28" s="1241"/>
      <c r="Q28" s="1242"/>
      <c r="R28" s="1243"/>
      <c r="S28" s="1244"/>
      <c r="T28" s="1245"/>
      <c r="U28" s="1240"/>
    </row>
    <row r="29" spans="1:21" ht="16.5" customHeight="1" thickBot="1">
      <c r="A29" s="1231" t="s">
        <v>2047</v>
      </c>
      <c r="B29" s="1212"/>
      <c r="C29" s="1232">
        <v>9085.3793747272994</v>
      </c>
      <c r="D29" s="1233">
        <v>9560.2825838810586</v>
      </c>
      <c r="E29" s="1232">
        <v>9926.5847325363065</v>
      </c>
      <c r="F29" s="1233">
        <v>10325.572601594233</v>
      </c>
      <c r="G29" s="1232">
        <v>10591.609459022906</v>
      </c>
      <c r="H29" s="1233">
        <v>10893.15847164562</v>
      </c>
      <c r="I29" s="1232">
        <v>11201.456825335847</v>
      </c>
      <c r="J29" s="1233">
        <v>11644.809909615662</v>
      </c>
      <c r="K29" s="1232">
        <v>11858.615486006824</v>
      </c>
      <c r="L29" s="1233">
        <v>11246.614142254475</v>
      </c>
      <c r="M29" s="1232">
        <v>11465.835693471246</v>
      </c>
      <c r="N29" s="1233">
        <v>12017.753140617706</v>
      </c>
      <c r="O29" s="1256">
        <v>12673.489129784066</v>
      </c>
      <c r="P29" s="1233">
        <v>13213.750331391275</v>
      </c>
      <c r="Q29" s="1296"/>
      <c r="R29" s="1235">
        <v>5.4563942318809788E-2</v>
      </c>
      <c r="S29" s="1236">
        <v>2.4730432885963216E-2</v>
      </c>
      <c r="T29" s="1297"/>
      <c r="U29" s="1238">
        <v>13785.774606293528</v>
      </c>
    </row>
    <row r="30" spans="1:21" ht="12.75" customHeight="1" thickBot="1">
      <c r="A30" s="1212"/>
      <c r="B30" s="1212"/>
      <c r="C30" s="1222"/>
      <c r="D30" s="1223"/>
      <c r="E30" s="1222"/>
      <c r="F30" s="1223"/>
      <c r="G30" s="1222"/>
      <c r="H30" s="1223"/>
      <c r="I30" s="1222"/>
      <c r="J30" s="1223"/>
      <c r="K30" s="1222"/>
      <c r="L30" s="1223"/>
      <c r="M30" s="1222"/>
      <c r="N30" s="1223"/>
      <c r="O30" s="1222"/>
      <c r="P30" s="1223"/>
      <c r="Q30" s="1224"/>
      <c r="R30" s="1225"/>
      <c r="S30" s="1226"/>
      <c r="T30" s="1227"/>
      <c r="U30" s="1222"/>
    </row>
    <row r="31" spans="1:21" ht="16.5" customHeight="1" thickBot="1">
      <c r="A31" s="1231" t="s">
        <v>2030</v>
      </c>
      <c r="B31" s="1212"/>
      <c r="C31" s="1232">
        <v>360.34572496402706</v>
      </c>
      <c r="D31" s="1233">
        <v>367.4485025408178</v>
      </c>
      <c r="E31" s="1232">
        <v>375.28251008174271</v>
      </c>
      <c r="F31" s="1233">
        <v>388.70889016736163</v>
      </c>
      <c r="G31" s="1232">
        <v>420.16510495683008</v>
      </c>
      <c r="H31" s="1233">
        <v>442.73533222173643</v>
      </c>
      <c r="I31" s="1232">
        <v>456.31192849787288</v>
      </c>
      <c r="J31" s="1233">
        <v>462.16066224325613</v>
      </c>
      <c r="K31" s="1232">
        <v>460.54510480676197</v>
      </c>
      <c r="L31" s="1233">
        <v>480.96670935903251</v>
      </c>
      <c r="M31" s="1232">
        <v>500.28122327763629</v>
      </c>
      <c r="N31" s="1233">
        <v>535.48298288401816</v>
      </c>
      <c r="O31" s="1232">
        <v>600.9</v>
      </c>
      <c r="P31" s="1233">
        <v>589.40634856941779</v>
      </c>
      <c r="Q31" s="1234"/>
      <c r="R31" s="1235">
        <v>0.12216451167814357</v>
      </c>
      <c r="S31" s="1236">
        <v>4.8200561303448408E-2</v>
      </c>
      <c r="T31" s="1237"/>
      <c r="U31" s="1238">
        <v>600</v>
      </c>
    </row>
    <row r="32" spans="1:21" ht="12.75" customHeight="1" thickBot="1">
      <c r="A32" s="1231"/>
      <c r="B32" s="1239"/>
      <c r="C32" s="1264"/>
      <c r="D32" s="1265"/>
      <c r="E32" s="1222"/>
      <c r="F32" s="1223"/>
      <c r="G32" s="1222"/>
      <c r="H32" s="1223"/>
      <c r="I32" s="1222"/>
      <c r="J32" s="1223"/>
      <c r="K32" s="1222"/>
      <c r="L32" s="1223"/>
      <c r="M32" s="1222"/>
      <c r="N32" s="1223"/>
      <c r="O32" s="1222"/>
      <c r="P32" s="1223"/>
      <c r="Q32" s="1224"/>
      <c r="R32" s="1225"/>
      <c r="S32" s="1226"/>
      <c r="T32" s="1227"/>
      <c r="U32" s="1298"/>
    </row>
    <row r="33" spans="1:32" ht="17.25" customHeight="1" thickBot="1">
      <c r="A33" s="1267" t="s">
        <v>2031</v>
      </c>
      <c r="B33" s="1268"/>
      <c r="C33" s="1269">
        <v>37468.621584899993</v>
      </c>
      <c r="D33" s="1270">
        <v>38209.908416353559</v>
      </c>
      <c r="E33" s="1269">
        <v>39815.013078757198</v>
      </c>
      <c r="F33" s="1270">
        <v>41104.451764019817</v>
      </c>
      <c r="G33" s="1269">
        <v>42842.933951834144</v>
      </c>
      <c r="H33" s="1270">
        <v>45572.841048926202</v>
      </c>
      <c r="I33" s="1269">
        <v>47388.633486638137</v>
      </c>
      <c r="J33" s="1270">
        <v>49265.161352870738</v>
      </c>
      <c r="K33" s="1269">
        <v>51007.71667083916</v>
      </c>
      <c r="L33" s="1270">
        <v>52043.04088068397</v>
      </c>
      <c r="M33" s="1269">
        <v>52773.346851683025</v>
      </c>
      <c r="N33" s="1270">
        <v>55214.945110235072</v>
      </c>
      <c r="O33" s="1271">
        <v>58426.052863864068</v>
      </c>
      <c r="P33" s="1270">
        <v>60983.861804584427</v>
      </c>
      <c r="Q33" s="1272"/>
      <c r="R33" s="1273">
        <v>5.8156496347467446E-2</v>
      </c>
      <c r="S33" s="1274">
        <v>3.9096706897480349E-2</v>
      </c>
      <c r="T33" s="1275"/>
      <c r="U33" s="1276">
        <v>62651.4</v>
      </c>
    </row>
    <row r="34" spans="1:32" ht="14.25" customHeight="1">
      <c r="A34" s="1277" t="s">
        <v>2254</v>
      </c>
      <c r="B34" s="1277"/>
      <c r="C34" s="1278"/>
      <c r="D34" s="1278"/>
      <c r="E34" s="1278"/>
      <c r="F34" s="1278"/>
      <c r="G34" s="1278"/>
      <c r="H34" s="1278"/>
      <c r="I34" s="1278"/>
      <c r="J34" s="1278"/>
      <c r="K34" s="1278"/>
      <c r="L34" s="1161"/>
      <c r="M34" s="1278"/>
      <c r="N34" s="1161"/>
      <c r="O34" s="1278"/>
      <c r="P34" s="1161"/>
      <c r="Q34" s="1161"/>
      <c r="R34" s="1161"/>
      <c r="S34" s="1278"/>
      <c r="T34" s="1278"/>
    </row>
    <row r="35" spans="1:32">
      <c r="A35" s="1299"/>
      <c r="B35" s="1277"/>
      <c r="C35" s="1161"/>
      <c r="D35" s="1278"/>
      <c r="E35" s="1161"/>
      <c r="F35" s="1161"/>
      <c r="G35" s="1161"/>
      <c r="H35" s="1161"/>
      <c r="I35" s="1161"/>
      <c r="J35" s="1161"/>
      <c r="K35" s="1161"/>
      <c r="L35" s="1161"/>
      <c r="M35" s="1161"/>
      <c r="N35" s="1161"/>
      <c r="O35" s="1161"/>
      <c r="P35" s="1161"/>
      <c r="Q35" s="1161"/>
      <c r="R35" s="1161"/>
      <c r="S35" s="1278"/>
      <c r="T35" s="1161"/>
      <c r="U35" s="1182"/>
      <c r="V35" s="1182"/>
      <c r="W35" s="1182"/>
      <c r="X35" s="1182"/>
      <c r="AA35" s="1182"/>
      <c r="AB35" s="1182"/>
      <c r="AC35" s="1182"/>
      <c r="AD35" s="1182"/>
      <c r="AE35" s="1173"/>
      <c r="AF35" s="1279"/>
    </row>
    <row r="36" spans="1:32">
      <c r="A36" s="1277" t="s">
        <v>2048</v>
      </c>
      <c r="B36" s="1277"/>
      <c r="U36" s="1182"/>
      <c r="V36" s="1182"/>
      <c r="W36" s="1182"/>
      <c r="X36" s="1182"/>
    </row>
    <row r="37" spans="1:32">
      <c r="A37" s="1277"/>
      <c r="B37" s="1277"/>
    </row>
    <row r="38" spans="1:32">
      <c r="A38" s="1277"/>
      <c r="B38" s="1277"/>
      <c r="E38" s="1182"/>
      <c r="T38" s="1182"/>
    </row>
    <row r="39" spans="1:32">
      <c r="A39" s="1277" t="s">
        <v>677</v>
      </c>
      <c r="B39" s="1277"/>
    </row>
    <row r="40" spans="1:32">
      <c r="A40" s="1300"/>
      <c r="B40" s="1300"/>
    </row>
    <row r="41" spans="1:32">
      <c r="A41" s="1300"/>
      <c r="B41" s="1300"/>
    </row>
    <row r="42" spans="1:32">
      <c r="A42" s="1300"/>
      <c r="B42" s="1300"/>
    </row>
    <row r="43" spans="1:32">
      <c r="A43" s="1300"/>
      <c r="B43" s="1300"/>
    </row>
    <row r="44" spans="1:32">
      <c r="A44" s="1300"/>
    </row>
    <row r="45" spans="1:32">
      <c r="A45" s="1300"/>
    </row>
    <row r="48" spans="1:32">
      <c r="B48" s="1300"/>
    </row>
    <row r="49" spans="1:2">
      <c r="B49" s="1300"/>
    </row>
    <row r="50" spans="1:2" ht="16">
      <c r="A50" s="1301"/>
      <c r="B50" s="1300"/>
    </row>
    <row r="51" spans="1:2">
      <c r="A51" s="1300"/>
      <c r="B51" s="1300"/>
    </row>
    <row r="52" spans="1:2">
      <c r="A52" s="1300"/>
      <c r="B52" s="1300"/>
    </row>
    <row r="53" spans="1:2">
      <c r="A53" s="1300"/>
      <c r="B53" s="1300"/>
    </row>
    <row r="54" spans="1:2">
      <c r="A54" s="1300"/>
      <c r="B54" s="1300"/>
    </row>
    <row r="55" spans="1:2">
      <c r="A55" s="1300"/>
      <c r="B55" s="1300"/>
    </row>
    <row r="56" spans="1:2">
      <c r="A56" s="1300"/>
      <c r="B56" s="1300"/>
    </row>
    <row r="57" spans="1:2">
      <c r="A57" s="1300"/>
      <c r="B57" s="1300"/>
    </row>
    <row r="58" spans="1:2">
      <c r="A58" s="1300"/>
      <c r="B58" s="1300"/>
    </row>
    <row r="59" spans="1:2">
      <c r="A59" s="1300"/>
      <c r="B59" s="1300"/>
    </row>
    <row r="60" spans="1:2">
      <c r="B60" s="1300"/>
    </row>
    <row r="61" spans="1:2">
      <c r="A61" s="1300"/>
      <c r="B61" s="1300"/>
    </row>
    <row r="62" spans="1:2">
      <c r="A62" s="1300"/>
      <c r="B62" s="1300"/>
    </row>
    <row r="63" spans="1:2">
      <c r="A63" s="1300"/>
      <c r="B63" s="1300"/>
    </row>
    <row r="64" spans="1:2">
      <c r="A64" s="1300"/>
      <c r="B64" s="1300"/>
    </row>
    <row r="65" spans="1:2">
      <c r="A65" s="1300"/>
      <c r="B65" s="1300"/>
    </row>
    <row r="66" spans="1:2">
      <c r="A66" s="1300"/>
      <c r="B66" s="1300"/>
    </row>
    <row r="67" spans="1:2">
      <c r="A67" s="1300"/>
    </row>
    <row r="71" spans="1:2">
      <c r="B71" s="1300"/>
    </row>
    <row r="72" spans="1:2">
      <c r="B72" s="1300"/>
    </row>
    <row r="73" spans="1:2">
      <c r="B73" s="1300"/>
    </row>
    <row r="74" spans="1:2">
      <c r="A74" s="1300"/>
      <c r="B74" s="1300"/>
    </row>
    <row r="75" spans="1:2">
      <c r="A75" s="1300"/>
      <c r="B75" s="1300"/>
    </row>
    <row r="76" spans="1:2">
      <c r="A76" s="1300"/>
      <c r="B76" s="1300"/>
    </row>
    <row r="77" spans="1:2">
      <c r="A77" s="1300"/>
      <c r="B77" s="1300"/>
    </row>
    <row r="78" spans="1:2">
      <c r="A78" s="1300"/>
      <c r="B78" s="1300"/>
    </row>
    <row r="79" spans="1:2">
      <c r="A79" s="1300"/>
      <c r="B79" s="1300"/>
    </row>
    <row r="80" spans="1:2" ht="16">
      <c r="A80" s="1301"/>
      <c r="B80" s="1300"/>
    </row>
    <row r="81" spans="1:2">
      <c r="A81" s="1300"/>
      <c r="B81" s="1300"/>
    </row>
    <row r="82" spans="1:2">
      <c r="B82" s="1300"/>
    </row>
    <row r="83" spans="1:2">
      <c r="A83" s="1300"/>
      <c r="B83" s="1300"/>
    </row>
    <row r="84" spans="1:2">
      <c r="A84" s="1300"/>
      <c r="B84" s="1300"/>
    </row>
    <row r="85" spans="1:2">
      <c r="A85" s="1300"/>
      <c r="B85" s="1300"/>
    </row>
    <row r="86" spans="1:2">
      <c r="A86" s="1300"/>
      <c r="B86" s="1300"/>
    </row>
  </sheetData>
  <pageMargins left="0.27559055118110237" right="0.35433070866141736" top="0.59055118110236227" bottom="0.35433070866141736" header="0.23622047244094491" footer="0.19685039370078741"/>
  <pageSetup paperSize="9" scale="70" orientation="landscape" cellComments="asDisplayed"/>
  <headerFooter alignWithMargins="0"/>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9F388-1AC6-3C4D-A025-16B1FC56BFB0}">
  <dimension ref="A1:W110"/>
  <sheetViews>
    <sheetView topLeftCell="A81" zoomScaleNormal="100" workbookViewId="0">
      <selection activeCell="B101" sqref="B101"/>
    </sheetView>
  </sheetViews>
  <sheetFormatPr baseColWidth="10" defaultColWidth="11.59765625" defaultRowHeight="13"/>
  <cols>
    <col min="1" max="1" width="3.796875" style="1162" customWidth="1"/>
    <col min="2" max="2" width="3.19921875" style="1162" customWidth="1"/>
    <col min="3" max="3" width="51.19921875" style="1162" customWidth="1"/>
    <col min="4" max="4" width="0.19921875" style="1162" customWidth="1"/>
    <col min="5" max="6" width="10.59765625" style="1162" hidden="1" customWidth="1"/>
    <col min="7" max="12" width="11.59765625" style="1162"/>
    <col min="13" max="13" width="9.59765625" style="1162" customWidth="1"/>
    <col min="14" max="14" width="11.59765625" style="1162"/>
    <col min="15" max="15" width="9.59765625" style="1162" customWidth="1"/>
    <col min="16" max="16" width="11.59765625" style="1162"/>
    <col min="17" max="17" width="9.59765625" style="1162" customWidth="1"/>
    <col min="18" max="18" width="3" style="1162" customWidth="1"/>
    <col min="19" max="19" width="11.19921875" style="1162" customWidth="1"/>
    <col min="20" max="20" width="11" style="1162" customWidth="1"/>
    <col min="21" max="21" width="3" style="1162" customWidth="1"/>
    <col min="22" max="22" width="11.59765625" style="1162" customWidth="1"/>
    <col min="23" max="16384" width="11.59765625" style="1162"/>
  </cols>
  <sheetData>
    <row r="1" spans="1:23" ht="16">
      <c r="A1" s="1161"/>
      <c r="B1" s="1160" t="s">
        <v>2049</v>
      </c>
      <c r="C1" s="1161"/>
      <c r="D1" s="1161"/>
      <c r="E1" s="1161"/>
      <c r="F1" s="1161"/>
      <c r="G1" s="1161"/>
      <c r="H1" s="1161"/>
      <c r="I1" s="1161"/>
      <c r="J1" s="1161"/>
      <c r="K1" s="1161"/>
      <c r="L1" s="1161"/>
      <c r="M1" s="1161"/>
      <c r="N1" s="1161"/>
      <c r="O1" s="1161"/>
      <c r="P1" s="1161"/>
      <c r="Q1" s="1161"/>
      <c r="R1" s="1161"/>
      <c r="S1" s="1161"/>
      <c r="T1" s="1161"/>
      <c r="U1" s="1161"/>
    </row>
    <row r="2" spans="1:23" ht="14.25" customHeight="1" thickBot="1">
      <c r="A2" s="1161"/>
      <c r="B2" s="1164"/>
      <c r="C2" s="1164"/>
      <c r="D2" s="1164"/>
      <c r="E2" s="1164"/>
      <c r="F2" s="1164"/>
      <c r="G2" s="1164"/>
      <c r="H2" s="1164"/>
      <c r="I2" s="1164"/>
      <c r="J2" s="1164"/>
      <c r="K2" s="1164"/>
      <c r="L2" s="1164"/>
      <c r="M2" s="1164"/>
      <c r="N2" s="1164"/>
      <c r="O2" s="1164"/>
      <c r="P2" s="1164"/>
      <c r="Q2" s="1164"/>
      <c r="R2" s="1164"/>
      <c r="S2" s="1164"/>
      <c r="T2" s="1164"/>
      <c r="U2" s="1164"/>
    </row>
    <row r="3" spans="1:23" ht="13.5" customHeight="1">
      <c r="A3" s="1161"/>
      <c r="B3" s="1302"/>
      <c r="C3" s="1302"/>
      <c r="D3" s="1303"/>
      <c r="E3" s="1302"/>
      <c r="F3" s="1303"/>
      <c r="G3" s="1302"/>
      <c r="H3" s="1303"/>
      <c r="I3" s="1170"/>
      <c r="J3" s="1169"/>
      <c r="K3" s="1170"/>
      <c r="L3" s="1169"/>
      <c r="M3" s="1170"/>
      <c r="N3" s="1169"/>
      <c r="O3" s="1170"/>
      <c r="P3" s="1169"/>
      <c r="Q3" s="1170"/>
      <c r="R3" s="1171"/>
      <c r="S3" s="1169" t="s">
        <v>2003</v>
      </c>
      <c r="T3" s="1304" t="s">
        <v>2050</v>
      </c>
      <c r="U3" s="1305"/>
      <c r="V3" s="1306" t="s">
        <v>1579</v>
      </c>
    </row>
    <row r="4" spans="1:23" ht="15.75" customHeight="1">
      <c r="A4" s="1161"/>
      <c r="B4" s="1307" t="s">
        <v>2051</v>
      </c>
      <c r="C4" s="1177"/>
      <c r="D4" s="1308">
        <v>1996</v>
      </c>
      <c r="E4" s="1309">
        <v>1997</v>
      </c>
      <c r="F4" s="1308">
        <v>1998</v>
      </c>
      <c r="G4" s="1309">
        <v>1999</v>
      </c>
      <c r="H4" s="1308">
        <v>2000</v>
      </c>
      <c r="I4" s="1309">
        <v>2001</v>
      </c>
      <c r="J4" s="1308">
        <v>2002</v>
      </c>
      <c r="K4" s="1309">
        <v>2003</v>
      </c>
      <c r="L4" s="1308">
        <v>2004</v>
      </c>
      <c r="M4" s="1309">
        <v>2005</v>
      </c>
      <c r="N4" s="1308">
        <v>2006</v>
      </c>
      <c r="O4" s="1309">
        <v>2007</v>
      </c>
      <c r="P4" s="1308">
        <v>2008</v>
      </c>
      <c r="Q4" s="1309">
        <v>2009</v>
      </c>
      <c r="R4" s="1310"/>
      <c r="S4" s="1169" t="s">
        <v>2256</v>
      </c>
      <c r="T4" s="1311" t="s">
        <v>2006</v>
      </c>
      <c r="U4" s="1312"/>
      <c r="V4" s="1313" t="s">
        <v>2052</v>
      </c>
    </row>
    <row r="5" spans="1:23" ht="9.75" customHeight="1">
      <c r="A5" s="1161"/>
      <c r="B5" s="1307"/>
      <c r="C5" s="1177"/>
      <c r="D5" s="1188"/>
      <c r="E5" s="1189"/>
      <c r="F5" s="1188"/>
      <c r="G5" s="1189"/>
      <c r="H5" s="1188"/>
      <c r="I5" s="1192"/>
      <c r="J5" s="1191"/>
      <c r="K5" s="1192"/>
      <c r="L5" s="1191"/>
      <c r="M5" s="1192"/>
      <c r="N5" s="1191"/>
      <c r="O5" s="1192"/>
      <c r="P5" s="1191"/>
      <c r="Q5" s="1192"/>
      <c r="R5" s="1193"/>
      <c r="S5" s="1191"/>
      <c r="T5" s="1311" t="s">
        <v>585</v>
      </c>
      <c r="U5" s="1312"/>
      <c r="V5" s="1188"/>
    </row>
    <row r="6" spans="1:23" ht="9.75" customHeight="1">
      <c r="A6" s="1161"/>
      <c r="B6" s="1314"/>
      <c r="C6" s="1196"/>
      <c r="D6" s="1315"/>
      <c r="E6" s="1316"/>
      <c r="F6" s="1315"/>
      <c r="G6" s="1316"/>
      <c r="H6" s="1315"/>
      <c r="I6" s="1317"/>
      <c r="J6" s="1318"/>
      <c r="K6" s="1317"/>
      <c r="L6" s="1318"/>
      <c r="M6" s="1317"/>
      <c r="N6" s="1318"/>
      <c r="O6" s="1317"/>
      <c r="P6" s="1318"/>
      <c r="Q6" s="1317"/>
      <c r="R6" s="1319"/>
      <c r="S6" s="1318"/>
      <c r="T6" s="1199" t="s">
        <v>2257</v>
      </c>
      <c r="U6" s="1200"/>
      <c r="V6" s="1315"/>
    </row>
    <row r="7" spans="1:23" ht="17.25" customHeight="1" thickBot="1">
      <c r="A7" s="1830" t="s">
        <v>2053</v>
      </c>
      <c r="B7" s="1320" t="s">
        <v>2054</v>
      </c>
      <c r="C7" s="1248"/>
      <c r="D7" s="1321">
        <v>15102.800000000001</v>
      </c>
      <c r="E7" s="1322">
        <v>15124.699999999999</v>
      </c>
      <c r="F7" s="1321">
        <v>15686.5</v>
      </c>
      <c r="G7" s="1322">
        <v>15981.6</v>
      </c>
      <c r="H7" s="1321">
        <v>16973.123118</v>
      </c>
      <c r="I7" s="1322">
        <v>17916.27</v>
      </c>
      <c r="J7" s="1321">
        <v>18410.55</v>
      </c>
      <c r="K7" s="1322">
        <v>19050.633227000002</v>
      </c>
      <c r="L7" s="1321">
        <v>20102.942229619999</v>
      </c>
      <c r="M7" s="1322">
        <v>21309.873442980002</v>
      </c>
      <c r="N7" s="1321">
        <v>21538.251839210003</v>
      </c>
      <c r="O7" s="1322">
        <v>22631.527031209996</v>
      </c>
      <c r="P7" s="1321">
        <v>23800.904075779996</v>
      </c>
      <c r="Q7" s="1322">
        <v>24661.917405919998</v>
      </c>
      <c r="R7" s="1323"/>
      <c r="S7" s="1324">
        <v>3.6175656496014286E-2</v>
      </c>
      <c r="T7" s="1325">
        <v>4.4336983796295248E-2</v>
      </c>
      <c r="U7" s="1326"/>
      <c r="V7" s="1321">
        <v>25369.419981530002</v>
      </c>
    </row>
    <row r="8" spans="1:23" ht="14" thickBot="1">
      <c r="A8" s="1831"/>
      <c r="B8" s="1212"/>
      <c r="C8" s="1239" t="s">
        <v>2027</v>
      </c>
      <c r="D8" s="1240">
        <v>10780.5</v>
      </c>
      <c r="E8" s="1241">
        <v>11360.5</v>
      </c>
      <c r="F8" s="1240">
        <v>11926.9</v>
      </c>
      <c r="G8" s="1241">
        <v>12430.6</v>
      </c>
      <c r="H8" s="1240">
        <v>13190.308999999999</v>
      </c>
      <c r="I8" s="1241">
        <v>13986.27</v>
      </c>
      <c r="J8" s="1240">
        <v>14592.75</v>
      </c>
      <c r="K8" s="1241">
        <v>15335.619704000001</v>
      </c>
      <c r="L8" s="1240">
        <v>16307.508545999999</v>
      </c>
      <c r="M8" s="1241">
        <v>17352.720037080002</v>
      </c>
      <c r="N8" s="1240">
        <v>17563.915602790003</v>
      </c>
      <c r="O8" s="1241">
        <v>18423.621994609999</v>
      </c>
      <c r="P8" s="1240">
        <v>19431.457254779998</v>
      </c>
      <c r="Q8" s="1241">
        <v>20273.850593919997</v>
      </c>
      <c r="R8" s="1242"/>
      <c r="S8" s="1243">
        <v>4.3352041388083462E-2</v>
      </c>
      <c r="T8" s="1244">
        <v>5.0133263034419562E-2</v>
      </c>
      <c r="U8" s="1245"/>
      <c r="V8" s="1240">
        <v>20883.74693053</v>
      </c>
    </row>
    <row r="9" spans="1:23" ht="14" thickBot="1">
      <c r="A9" s="1831"/>
      <c r="B9" s="1212"/>
      <c r="C9" s="1239" t="s">
        <v>2028</v>
      </c>
      <c r="D9" s="1240">
        <v>3809.6</v>
      </c>
      <c r="E9" s="1241">
        <v>3288.3</v>
      </c>
      <c r="F9" s="1240">
        <v>3299.5</v>
      </c>
      <c r="G9" s="1241">
        <v>2787.1</v>
      </c>
      <c r="H9" s="1240">
        <v>2199.056302</v>
      </c>
      <c r="I9" s="1241">
        <v>1576.7</v>
      </c>
      <c r="J9" s="1240">
        <v>1422.3</v>
      </c>
      <c r="K9" s="1241">
        <v>1354.5729260000001</v>
      </c>
      <c r="L9" s="1240">
        <v>1040.45917962</v>
      </c>
      <c r="M9" s="1241">
        <v>1144.4166189</v>
      </c>
      <c r="N9" s="1240">
        <v>1083.2765844199998</v>
      </c>
      <c r="O9" s="1241">
        <v>1170.1273056000002</v>
      </c>
      <c r="P9" s="1240">
        <v>1241.37670198</v>
      </c>
      <c r="Q9" s="1241">
        <v>1229.2542896300001</v>
      </c>
      <c r="R9" s="1242"/>
      <c r="S9" s="1243">
        <v>-9.7652971339518002E-3</v>
      </c>
      <c r="T9" s="1244">
        <v>-7.8598493232673983E-2</v>
      </c>
      <c r="U9" s="1245"/>
      <c r="V9" s="1240">
        <v>1281.58085265</v>
      </c>
    </row>
    <row r="10" spans="1:23" ht="14" thickBot="1">
      <c r="A10" s="1831"/>
      <c r="B10" s="1212"/>
      <c r="C10" s="1239" t="s">
        <v>2055</v>
      </c>
      <c r="D10" s="1240">
        <v>512.70000000000005</v>
      </c>
      <c r="E10" s="1241">
        <v>475.9</v>
      </c>
      <c r="F10" s="1240">
        <v>460.1</v>
      </c>
      <c r="G10" s="1241">
        <v>763.9</v>
      </c>
      <c r="H10" s="1240">
        <v>1583.757816</v>
      </c>
      <c r="I10" s="1241">
        <v>2353.3000000000002</v>
      </c>
      <c r="J10" s="1240">
        <v>2395.5</v>
      </c>
      <c r="K10" s="1241">
        <v>2360.4405969999998</v>
      </c>
      <c r="L10" s="1240">
        <v>2754.9745040000003</v>
      </c>
      <c r="M10" s="1241">
        <v>2812.7367870000003</v>
      </c>
      <c r="N10" s="1240">
        <v>2891.0596519999999</v>
      </c>
      <c r="O10" s="1241">
        <v>3037.7777310000001</v>
      </c>
      <c r="P10" s="1240">
        <v>3128.0701190199998</v>
      </c>
      <c r="Q10" s="1241">
        <v>3158.8125223699999</v>
      </c>
      <c r="R10" s="1242"/>
      <c r="S10" s="1243">
        <v>9.827913755217077E-3</v>
      </c>
      <c r="T10" s="1244">
        <v>0.15252069936966572</v>
      </c>
      <c r="U10" s="1245"/>
      <c r="V10" s="1240">
        <v>3204.0921983499998</v>
      </c>
    </row>
    <row r="11" spans="1:23" ht="7.5" customHeight="1" thickBot="1">
      <c r="A11" s="1831"/>
      <c r="B11" s="1212"/>
      <c r="C11" s="1212"/>
      <c r="D11" s="1222"/>
      <c r="E11" s="1223"/>
      <c r="F11" s="1222"/>
      <c r="G11" s="1223"/>
      <c r="H11" s="1222"/>
      <c r="I11" s="1223"/>
      <c r="J11" s="1222"/>
      <c r="K11" s="1223"/>
      <c r="L11" s="1222"/>
      <c r="M11" s="1223"/>
      <c r="N11" s="1222"/>
      <c r="O11" s="1223"/>
      <c r="P11" s="1222"/>
      <c r="Q11" s="1223"/>
      <c r="R11" s="1224"/>
      <c r="S11" s="1225"/>
      <c r="T11" s="1226"/>
      <c r="U11" s="1227"/>
      <c r="V11" s="1228"/>
    </row>
    <row r="12" spans="1:23" ht="16.5" customHeight="1" thickBot="1">
      <c r="A12" s="1831"/>
      <c r="B12" s="1231" t="s">
        <v>2056</v>
      </c>
      <c r="C12" s="1212"/>
      <c r="D12" s="1246">
        <v>72.599999999999739</v>
      </c>
      <c r="E12" s="1247">
        <v>80.999999999998636</v>
      </c>
      <c r="F12" s="1246">
        <v>106.80000000000098</v>
      </c>
      <c r="G12" s="1247">
        <v>50.400000000001</v>
      </c>
      <c r="H12" s="1246">
        <v>32.676882000000205</v>
      </c>
      <c r="I12" s="1247">
        <v>42.130000000000337</v>
      </c>
      <c r="J12" s="1246">
        <v>72.150000000000091</v>
      </c>
      <c r="K12" s="1247">
        <v>58.37477299999955</v>
      </c>
      <c r="L12" s="1246">
        <v>57.557770380000875</v>
      </c>
      <c r="M12" s="1247">
        <v>-94.35827220000283</v>
      </c>
      <c r="N12" s="1246">
        <v>59.529167040640459</v>
      </c>
      <c r="O12" s="1247">
        <v>55.906676890004746</v>
      </c>
      <c r="P12" s="1246">
        <v>2.844109160003427</v>
      </c>
      <c r="Q12" s="1247">
        <v>98.51039781999134</v>
      </c>
      <c r="R12" s="1297"/>
      <c r="S12" s="1327">
        <v>33.636644473896581</v>
      </c>
      <c r="T12" s="1328">
        <v>6.9313755707926417E-2</v>
      </c>
      <c r="U12" s="1329"/>
      <c r="V12" s="1330">
        <v>108.07595755</v>
      </c>
      <c r="W12" s="1329"/>
    </row>
    <row r="13" spans="1:23" ht="9" customHeight="1" thickBot="1">
      <c r="A13" s="1831"/>
      <c r="B13" s="1212"/>
      <c r="C13" s="1212"/>
      <c r="D13" s="1222"/>
      <c r="E13" s="1223"/>
      <c r="F13" s="1222"/>
      <c r="G13" s="1223"/>
      <c r="H13" s="1222"/>
      <c r="I13" s="1223"/>
      <c r="J13" s="1222"/>
      <c r="K13" s="1223"/>
      <c r="L13" s="1222"/>
      <c r="M13" s="1223"/>
      <c r="N13" s="1222"/>
      <c r="O13" s="1223"/>
      <c r="P13" s="1222"/>
      <c r="Q13" s="1223"/>
      <c r="R13" s="1224"/>
      <c r="S13" s="1225"/>
      <c r="T13" s="1226"/>
      <c r="U13" s="1227"/>
      <c r="V13" s="1228"/>
      <c r="W13" s="1263"/>
    </row>
    <row r="14" spans="1:23" ht="16.5" customHeight="1" thickBot="1">
      <c r="A14" s="1831"/>
      <c r="B14" s="1231" t="s">
        <v>2057</v>
      </c>
      <c r="C14" s="1212"/>
      <c r="D14" s="1246">
        <v>15175.4</v>
      </c>
      <c r="E14" s="1247">
        <v>15205.7</v>
      </c>
      <c r="F14" s="1246">
        <v>15793.3</v>
      </c>
      <c r="G14" s="1247">
        <v>16032</v>
      </c>
      <c r="H14" s="1246">
        <v>17005.8</v>
      </c>
      <c r="I14" s="1247">
        <v>17958.400000000001</v>
      </c>
      <c r="J14" s="1246">
        <v>18482.7</v>
      </c>
      <c r="K14" s="1247">
        <v>19109.008000000002</v>
      </c>
      <c r="L14" s="1246">
        <v>20160.5</v>
      </c>
      <c r="M14" s="1247">
        <v>21215.51517078</v>
      </c>
      <c r="N14" s="1246">
        <v>21597.781006250643</v>
      </c>
      <c r="O14" s="1247">
        <v>22687.433708100001</v>
      </c>
      <c r="P14" s="1246">
        <v>23803.748184939999</v>
      </c>
      <c r="Q14" s="1247">
        <v>24760.427803739989</v>
      </c>
      <c r="R14" s="1297"/>
      <c r="S14" s="1327">
        <v>4.0190293199507732E-2</v>
      </c>
      <c r="T14" s="1328">
        <v>4.4424483357715649E-2</v>
      </c>
      <c r="U14" s="1329"/>
      <c r="V14" s="1330">
        <v>25477.495939080003</v>
      </c>
      <c r="W14" s="1329"/>
    </row>
    <row r="15" spans="1:23" ht="8.25" customHeight="1" thickBot="1">
      <c r="A15" s="1831"/>
      <c r="B15" s="1212"/>
      <c r="C15" s="1212"/>
      <c r="D15" s="1222"/>
      <c r="E15" s="1223"/>
      <c r="F15" s="1222"/>
      <c r="G15" s="1223"/>
      <c r="H15" s="1222"/>
      <c r="I15" s="1223"/>
      <c r="J15" s="1222"/>
      <c r="K15" s="1223"/>
      <c r="L15" s="1222"/>
      <c r="M15" s="1223"/>
      <c r="N15" s="1222"/>
      <c r="O15" s="1223"/>
      <c r="P15" s="1222"/>
      <c r="Q15" s="1223"/>
      <c r="R15" s="1224"/>
      <c r="S15" s="1225"/>
      <c r="T15" s="1226"/>
      <c r="U15" s="1227"/>
      <c r="V15" s="1228"/>
      <c r="W15" s="1263"/>
    </row>
    <row r="16" spans="1:23" ht="16.5" customHeight="1" thickBot="1">
      <c r="A16" s="1831"/>
      <c r="B16" s="1231" t="s">
        <v>2058</v>
      </c>
      <c r="C16" s="1212"/>
      <c r="D16" s="1246">
        <v>1460.8</v>
      </c>
      <c r="E16" s="1247">
        <v>1518</v>
      </c>
      <c r="F16" s="1246">
        <v>1595.6</v>
      </c>
      <c r="G16" s="1247">
        <v>1582.1</v>
      </c>
      <c r="H16" s="1246">
        <v>1600</v>
      </c>
      <c r="I16" s="1247">
        <v>1628.2</v>
      </c>
      <c r="J16" s="1246">
        <v>1616.1</v>
      </c>
      <c r="K16" s="1247">
        <v>1673.1039999999998</v>
      </c>
      <c r="L16" s="1246">
        <v>1731.0519999999999</v>
      </c>
      <c r="M16" s="1247">
        <v>1731.91264505</v>
      </c>
      <c r="N16" s="1246">
        <v>1838.6594218900002</v>
      </c>
      <c r="O16" s="1247">
        <v>1879.9850445800002</v>
      </c>
      <c r="P16" s="1246">
        <v>1996.0190708099999</v>
      </c>
      <c r="Q16" s="1247">
        <v>2006.5164877899999</v>
      </c>
      <c r="R16" s="1297"/>
      <c r="S16" s="1327">
        <v>5.2591766950103036E-3</v>
      </c>
      <c r="T16" s="1328">
        <v>2.4049335791626936E-2</v>
      </c>
      <c r="U16" s="1329"/>
      <c r="V16" s="1330">
        <v>2064.0795539437531</v>
      </c>
      <c r="W16" s="1329"/>
    </row>
    <row r="17" spans="1:22" ht="8.25" customHeight="1" thickBot="1">
      <c r="A17" s="1831"/>
      <c r="B17" s="1212"/>
      <c r="C17" s="1212"/>
      <c r="D17" s="1331"/>
      <c r="E17" s="1212"/>
      <c r="F17" s="1331"/>
      <c r="G17" s="1212"/>
      <c r="H17" s="1331"/>
      <c r="I17" s="1212"/>
      <c r="J17" s="1331"/>
      <c r="K17" s="1212"/>
      <c r="L17" s="1331"/>
      <c r="M17" s="1212"/>
      <c r="N17" s="1331"/>
      <c r="O17" s="1212"/>
      <c r="P17" s="1331"/>
      <c r="Q17" s="1212"/>
      <c r="R17" s="1332"/>
      <c r="S17" s="1225"/>
      <c r="T17" s="1226"/>
      <c r="U17" s="1227"/>
      <c r="V17" s="1228"/>
    </row>
    <row r="18" spans="1:22" ht="16.5" customHeight="1" thickBot="1">
      <c r="A18" s="1831"/>
      <c r="B18" s="1231" t="s">
        <v>2059</v>
      </c>
      <c r="C18" s="1212"/>
      <c r="D18" s="1246">
        <v>16636.2</v>
      </c>
      <c r="E18" s="1247">
        <v>16723.699999999997</v>
      </c>
      <c r="F18" s="1246">
        <v>17388.900000000001</v>
      </c>
      <c r="G18" s="1247">
        <v>17614.100000000002</v>
      </c>
      <c r="H18" s="1246">
        <v>18605.8</v>
      </c>
      <c r="I18" s="1247">
        <v>19586.600000000002</v>
      </c>
      <c r="J18" s="1246">
        <v>20098.8</v>
      </c>
      <c r="K18" s="1247">
        <v>20782.112000000001</v>
      </c>
      <c r="L18" s="1246">
        <v>21891.552</v>
      </c>
      <c r="M18" s="1247">
        <v>22947.42781583</v>
      </c>
      <c r="N18" s="1246">
        <v>23436.440428140642</v>
      </c>
      <c r="O18" s="1247">
        <v>24567.418752680001</v>
      </c>
      <c r="P18" s="1246">
        <v>25799.767255750001</v>
      </c>
      <c r="Q18" s="1247">
        <v>26766.944291529988</v>
      </c>
      <c r="R18" s="1296"/>
      <c r="S18" s="1327">
        <v>3.7487820188162102E-2</v>
      </c>
      <c r="T18" s="1328">
        <v>4.2734718157091178E-2</v>
      </c>
      <c r="U18" s="1297"/>
      <c r="V18" s="1330">
        <v>27541.575493023753</v>
      </c>
    </row>
    <row r="19" spans="1:22" ht="14" thickBot="1">
      <c r="A19" s="1831"/>
      <c r="B19" s="1212"/>
      <c r="C19" s="1239" t="s">
        <v>2027</v>
      </c>
      <c r="D19" s="1240">
        <v>11739.7</v>
      </c>
      <c r="E19" s="1241">
        <v>12260.3</v>
      </c>
      <c r="F19" s="1240">
        <v>12798.7</v>
      </c>
      <c r="G19" s="1241">
        <v>13282.2</v>
      </c>
      <c r="H19" s="1240">
        <v>14059.1</v>
      </c>
      <c r="I19" s="1241">
        <v>14886.7</v>
      </c>
      <c r="J19" s="1240">
        <v>15483.3</v>
      </c>
      <c r="K19" s="1241">
        <v>16304.208000000002</v>
      </c>
      <c r="L19" s="1240">
        <v>17379.804</v>
      </c>
      <c r="M19" s="1241">
        <v>18272.676915579999</v>
      </c>
      <c r="N19" s="1240">
        <v>18616.168259350641</v>
      </c>
      <c r="O19" s="1241">
        <v>19476.572300669999</v>
      </c>
      <c r="P19" s="1240">
        <v>20552.327783749999</v>
      </c>
      <c r="Q19" s="1241">
        <v>21382.792581599992</v>
      </c>
      <c r="R19" s="1242"/>
      <c r="S19" s="1243">
        <v>4.0407335197651495E-2</v>
      </c>
      <c r="T19" s="1244">
        <v>4.8768031590104677E-2</v>
      </c>
      <c r="U19" s="1245"/>
      <c r="V19" s="1333">
        <v>22028.612518900471</v>
      </c>
    </row>
    <row r="20" spans="1:22" ht="14" thickBot="1">
      <c r="A20" s="1831"/>
      <c r="B20" s="1212"/>
      <c r="C20" s="1239" t="s">
        <v>2028</v>
      </c>
      <c r="D20" s="1240">
        <v>4375.2</v>
      </c>
      <c r="E20" s="1241">
        <v>3892.3</v>
      </c>
      <c r="F20" s="1240">
        <v>4038.2</v>
      </c>
      <c r="G20" s="1241">
        <v>3415.2</v>
      </c>
      <c r="H20" s="1240">
        <v>2646.1</v>
      </c>
      <c r="I20" s="1241">
        <v>1875.9</v>
      </c>
      <c r="J20" s="1240">
        <v>1740.9</v>
      </c>
      <c r="K20" s="1241">
        <v>1645.404</v>
      </c>
      <c r="L20" s="1240">
        <v>1205.748</v>
      </c>
      <c r="M20" s="1241">
        <v>1392.2470854699995</v>
      </c>
      <c r="N20" s="1240">
        <v>1351.0005863899996</v>
      </c>
      <c r="O20" s="1241">
        <v>1445.5131748099991</v>
      </c>
      <c r="P20" s="1240">
        <v>1567.1814719999993</v>
      </c>
      <c r="Q20" s="1241">
        <v>1593.5517099299991</v>
      </c>
      <c r="R20" s="1242"/>
      <c r="S20" s="1243">
        <v>1.6826537577901979E-2</v>
      </c>
      <c r="T20" s="1244">
        <v>-7.3394226483855185E-2</v>
      </c>
      <c r="U20" s="1245"/>
      <c r="V20" s="1333">
        <v>1658.9456592256493</v>
      </c>
    </row>
    <row r="21" spans="1:22" ht="14" thickBot="1">
      <c r="A21" s="1831"/>
      <c r="B21" s="1212"/>
      <c r="C21" s="1239" t="s">
        <v>2055</v>
      </c>
      <c r="D21" s="1240">
        <v>521.29999999999995</v>
      </c>
      <c r="E21" s="1241">
        <v>571.1</v>
      </c>
      <c r="F21" s="1240">
        <v>552</v>
      </c>
      <c r="G21" s="1241">
        <v>916.7</v>
      </c>
      <c r="H21" s="1240">
        <v>1900.6</v>
      </c>
      <c r="I21" s="1241">
        <v>2824</v>
      </c>
      <c r="J21" s="1240">
        <v>2874.6</v>
      </c>
      <c r="K21" s="1241">
        <v>2832.5</v>
      </c>
      <c r="L21" s="1240">
        <v>3306</v>
      </c>
      <c r="M21" s="1241">
        <v>3282.5038147800005</v>
      </c>
      <c r="N21" s="1240">
        <v>3469.2715824000006</v>
      </c>
      <c r="O21" s="1241">
        <v>3645.3332772000026</v>
      </c>
      <c r="P21" s="1240">
        <v>3680.2580000000016</v>
      </c>
      <c r="Q21" s="1241">
        <v>3790.6</v>
      </c>
      <c r="R21" s="1242"/>
      <c r="S21" s="1243">
        <v>2.9982137121907781E-2</v>
      </c>
      <c r="T21" s="1244">
        <v>0.15251894414830192</v>
      </c>
      <c r="U21" s="1245"/>
      <c r="V21" s="1333">
        <v>3854.0173148976328</v>
      </c>
    </row>
    <row r="22" spans="1:22" ht="14" thickBot="1">
      <c r="A22" s="1831"/>
      <c r="B22" s="1212"/>
      <c r="C22" s="1239"/>
      <c r="D22" s="1264"/>
      <c r="E22" s="1265"/>
      <c r="F22" s="1264"/>
      <c r="G22" s="1265"/>
      <c r="H22" s="1264"/>
      <c r="I22" s="1265"/>
      <c r="J22" s="1264"/>
      <c r="K22" s="1265"/>
      <c r="L22" s="1264"/>
      <c r="M22" s="1265"/>
      <c r="N22" s="1264"/>
      <c r="O22" s="1265"/>
      <c r="P22" s="1264"/>
      <c r="Q22" s="1265"/>
      <c r="R22" s="1334"/>
      <c r="S22" s="1335"/>
      <c r="T22" s="1336"/>
      <c r="U22" s="1337"/>
      <c r="V22" s="1266"/>
    </row>
    <row r="23" spans="1:22" ht="17.25" customHeight="1" thickBot="1">
      <c r="A23" s="1831"/>
      <c r="B23" s="1231" t="s">
        <v>2060</v>
      </c>
      <c r="C23" s="1212"/>
      <c r="D23" s="1246">
        <v>1770.8</v>
      </c>
      <c r="E23" s="1247">
        <v>1884.4</v>
      </c>
      <c r="F23" s="1246">
        <v>2155</v>
      </c>
      <c r="G23" s="1247">
        <v>2249.6</v>
      </c>
      <c r="H23" s="1246">
        <v>2343.1</v>
      </c>
      <c r="I23" s="1247">
        <v>2428.2489999999998</v>
      </c>
      <c r="J23" s="1246">
        <v>2541</v>
      </c>
      <c r="K23" s="1247">
        <v>2627.5</v>
      </c>
      <c r="L23" s="1246">
        <v>2868.2000000000003</v>
      </c>
      <c r="M23" s="1247">
        <v>3031.6779155400004</v>
      </c>
      <c r="N23" s="1246">
        <v>3081.5039062299998</v>
      </c>
      <c r="O23" s="1247">
        <v>3200.9812532199999</v>
      </c>
      <c r="P23" s="1246">
        <v>3337.6332843099999</v>
      </c>
      <c r="Q23" s="1247">
        <v>3425.9949799299998</v>
      </c>
      <c r="R23" s="1296"/>
      <c r="S23" s="1327">
        <v>2.6474357154628869E-2</v>
      </c>
      <c r="T23" s="1328">
        <v>4.2961175234766502E-2</v>
      </c>
      <c r="U23" s="1297"/>
      <c r="V23" s="1246">
        <v>3450.5142391200002</v>
      </c>
    </row>
    <row r="24" spans="1:22" ht="14" thickBot="1">
      <c r="A24" s="1831"/>
      <c r="B24" s="1212"/>
      <c r="C24" s="1239" t="s">
        <v>2027</v>
      </c>
      <c r="D24" s="1240">
        <v>1678.5</v>
      </c>
      <c r="E24" s="1241">
        <v>1778</v>
      </c>
      <c r="F24" s="1240">
        <v>2097.1999999999998</v>
      </c>
      <c r="G24" s="1241">
        <v>2189.9</v>
      </c>
      <c r="H24" s="1240">
        <v>2288</v>
      </c>
      <c r="I24" s="1241">
        <v>2400.1889999999999</v>
      </c>
      <c r="J24" s="1240">
        <v>2502.83</v>
      </c>
      <c r="K24" s="1241">
        <v>2588.5</v>
      </c>
      <c r="L24" s="1240">
        <v>2832.3</v>
      </c>
      <c r="M24" s="1241">
        <v>2994.9866096700002</v>
      </c>
      <c r="N24" s="1240">
        <v>3038.7113187199998</v>
      </c>
      <c r="O24" s="1241">
        <v>3155.0668707</v>
      </c>
      <c r="P24" s="1240">
        <v>3290.4542289599999</v>
      </c>
      <c r="Q24" s="1241">
        <v>3382.4718481499999</v>
      </c>
      <c r="R24" s="1242"/>
      <c r="S24" s="1243">
        <v>2.7965020263808205E-2</v>
      </c>
      <c r="T24" s="1244">
        <v>4.4433974792751574E-2</v>
      </c>
      <c r="U24" s="1245"/>
      <c r="V24" s="1240">
        <v>3408.7146446100001</v>
      </c>
    </row>
    <row r="25" spans="1:22" ht="14" thickBot="1">
      <c r="A25" s="1831"/>
      <c r="B25" s="1212"/>
      <c r="C25" s="1239" t="s">
        <v>2028</v>
      </c>
      <c r="D25" s="1240">
        <v>92.3</v>
      </c>
      <c r="E25" s="1241">
        <v>106.4</v>
      </c>
      <c r="F25" s="1240">
        <v>57.8</v>
      </c>
      <c r="G25" s="1241">
        <v>59.7</v>
      </c>
      <c r="H25" s="1240">
        <v>55.1</v>
      </c>
      <c r="I25" s="1241">
        <v>28.06</v>
      </c>
      <c r="J25" s="1240">
        <v>38.17</v>
      </c>
      <c r="K25" s="1241">
        <v>39</v>
      </c>
      <c r="L25" s="1240">
        <v>35.9</v>
      </c>
      <c r="M25" s="1241">
        <v>36.691305870000001</v>
      </c>
      <c r="N25" s="1240">
        <v>42.792587509999997</v>
      </c>
      <c r="O25" s="1241">
        <v>45.914382520000004</v>
      </c>
      <c r="P25" s="1240">
        <v>47.179055349999999</v>
      </c>
      <c r="Q25" s="1241">
        <v>43.52313178</v>
      </c>
      <c r="R25" s="1242"/>
      <c r="S25" s="1243">
        <v>-7.7490393626543863E-2</v>
      </c>
      <c r="T25" s="1244">
        <v>-3.1109760908283879E-2</v>
      </c>
      <c r="U25" s="1245"/>
      <c r="V25" s="1240">
        <v>41.799594509999999</v>
      </c>
    </row>
    <row r="26" spans="1:22" ht="14" thickBot="1">
      <c r="A26" s="1831"/>
      <c r="B26" s="1212"/>
      <c r="C26" s="1239" t="s">
        <v>2055</v>
      </c>
      <c r="D26" s="1240">
        <v>0</v>
      </c>
      <c r="E26" s="1241">
        <v>0</v>
      </c>
      <c r="F26" s="1240">
        <v>0</v>
      </c>
      <c r="G26" s="1241">
        <v>0</v>
      </c>
      <c r="H26" s="1240">
        <v>0</v>
      </c>
      <c r="I26" s="1241">
        <v>0</v>
      </c>
      <c r="J26" s="1240">
        <v>0</v>
      </c>
      <c r="K26" s="1241">
        <v>0</v>
      </c>
      <c r="L26" s="1240">
        <v>0</v>
      </c>
      <c r="M26" s="1241">
        <v>0</v>
      </c>
      <c r="N26" s="1240">
        <v>0</v>
      </c>
      <c r="O26" s="1241">
        <v>0</v>
      </c>
      <c r="P26" s="1240">
        <v>0</v>
      </c>
      <c r="Q26" s="1241">
        <v>0</v>
      </c>
      <c r="R26" s="1242"/>
      <c r="S26" s="1243" t="s">
        <v>35</v>
      </c>
      <c r="T26" s="1244" t="s">
        <v>35</v>
      </c>
      <c r="U26" s="1245"/>
      <c r="V26" s="1240">
        <v>0</v>
      </c>
    </row>
    <row r="27" spans="1:22" ht="14" thickBot="1">
      <c r="A27" s="1831"/>
      <c r="B27" s="1212"/>
      <c r="C27" s="1239"/>
      <c r="D27" s="1264"/>
      <c r="E27" s="1265"/>
      <c r="F27" s="1264"/>
      <c r="G27" s="1265"/>
      <c r="H27" s="1264"/>
      <c r="I27" s="1265"/>
      <c r="J27" s="1264"/>
      <c r="K27" s="1265"/>
      <c r="L27" s="1264"/>
      <c r="M27" s="1265"/>
      <c r="N27" s="1264"/>
      <c r="O27" s="1265"/>
      <c r="P27" s="1264"/>
      <c r="Q27" s="1265"/>
      <c r="R27" s="1334"/>
      <c r="S27" s="1335"/>
      <c r="T27" s="1336"/>
      <c r="U27" s="1337"/>
      <c r="V27" s="1266"/>
    </row>
    <row r="28" spans="1:22" ht="17.25" customHeight="1" thickBot="1">
      <c r="A28" s="1831"/>
      <c r="B28" s="1231" t="s">
        <v>2061</v>
      </c>
      <c r="C28" s="1212"/>
      <c r="D28" s="1232">
        <v>18407</v>
      </c>
      <c r="E28" s="1233">
        <v>18608.099999999999</v>
      </c>
      <c r="F28" s="1232">
        <v>19543.900000000001</v>
      </c>
      <c r="G28" s="1233">
        <v>19863.7</v>
      </c>
      <c r="H28" s="1232">
        <v>20948.899999999998</v>
      </c>
      <c r="I28" s="1233">
        <v>22014.849000000002</v>
      </c>
      <c r="J28" s="1232">
        <v>22639.8</v>
      </c>
      <c r="K28" s="1233">
        <v>23409.612000000001</v>
      </c>
      <c r="L28" s="1232">
        <v>24759.752</v>
      </c>
      <c r="M28" s="1233">
        <v>25979.10573137</v>
      </c>
      <c r="N28" s="1232">
        <v>26517.944334370641</v>
      </c>
      <c r="O28" s="1233">
        <v>27768.400005900003</v>
      </c>
      <c r="P28" s="1232">
        <v>29137.40054006</v>
      </c>
      <c r="Q28" s="1233">
        <v>30192.939271459989</v>
      </c>
      <c r="R28" s="1234"/>
      <c r="S28" s="1235">
        <v>3.6226249144935441E-2</v>
      </c>
      <c r="T28" s="1236">
        <v>4.276038706640839E-2</v>
      </c>
      <c r="U28" s="1237"/>
      <c r="V28" s="1238">
        <v>30992.089732143751</v>
      </c>
    </row>
    <row r="29" spans="1:22" ht="14" thickBot="1">
      <c r="A29" s="1831"/>
      <c r="B29" s="1212"/>
      <c r="C29" s="1239" t="s">
        <v>2027</v>
      </c>
      <c r="D29" s="1338">
        <v>13418.2</v>
      </c>
      <c r="E29" s="1339">
        <v>14038.3</v>
      </c>
      <c r="F29" s="1338">
        <v>14895.900000000001</v>
      </c>
      <c r="G29" s="1339">
        <v>15472.1</v>
      </c>
      <c r="H29" s="1338">
        <v>16347.1</v>
      </c>
      <c r="I29" s="1339">
        <v>17286.888999999999</v>
      </c>
      <c r="J29" s="1338">
        <v>17986.129999999997</v>
      </c>
      <c r="K29" s="1339">
        <v>18892.708000000002</v>
      </c>
      <c r="L29" s="1338">
        <v>20212.103999999999</v>
      </c>
      <c r="M29" s="1339">
        <v>21267.663525249998</v>
      </c>
      <c r="N29" s="1338">
        <v>21654.879578070642</v>
      </c>
      <c r="O29" s="1339">
        <v>22631.63917137</v>
      </c>
      <c r="P29" s="1338">
        <v>23842.782012709999</v>
      </c>
      <c r="Q29" s="1339">
        <v>24765.26442974999</v>
      </c>
      <c r="R29" s="1340"/>
      <c r="S29" s="1341">
        <v>3.8690217297135732E-2</v>
      </c>
      <c r="T29" s="1342">
        <v>4.8164316494168524E-2</v>
      </c>
      <c r="U29" s="1343"/>
      <c r="V29" s="1344">
        <v>25437.327163510472</v>
      </c>
    </row>
    <row r="30" spans="1:22" ht="14" thickBot="1">
      <c r="A30" s="1831"/>
      <c r="B30" s="1212"/>
      <c r="C30" s="1239" t="s">
        <v>2028</v>
      </c>
      <c r="D30" s="1338">
        <v>4467.5</v>
      </c>
      <c r="E30" s="1339">
        <v>3998.7000000000003</v>
      </c>
      <c r="F30" s="1338">
        <v>4096</v>
      </c>
      <c r="G30" s="1339">
        <v>3474.8999999999996</v>
      </c>
      <c r="H30" s="1338">
        <v>2701.2</v>
      </c>
      <c r="I30" s="1339">
        <v>1903.96</v>
      </c>
      <c r="J30" s="1338">
        <v>1779.0700000000002</v>
      </c>
      <c r="K30" s="1339">
        <v>1684.404</v>
      </c>
      <c r="L30" s="1338">
        <v>1241.6480000000001</v>
      </c>
      <c r="M30" s="1339">
        <v>1428.9383913399995</v>
      </c>
      <c r="N30" s="1338">
        <v>1393.7931738999996</v>
      </c>
      <c r="O30" s="1339">
        <v>1491.4275573299992</v>
      </c>
      <c r="P30" s="1338">
        <v>1614.3605273499993</v>
      </c>
      <c r="Q30" s="1339">
        <v>1637.0748417099992</v>
      </c>
      <c r="R30" s="1340"/>
      <c r="S30" s="1341">
        <v>1.4070162132423958E-2</v>
      </c>
      <c r="T30" s="1342">
        <v>-7.2502767697966597E-2</v>
      </c>
      <c r="U30" s="1343"/>
      <c r="V30" s="1344">
        <v>1700.7452537356492</v>
      </c>
    </row>
    <row r="31" spans="1:22">
      <c r="A31" s="1831"/>
      <c r="B31" s="1345"/>
      <c r="C31" s="1346" t="s">
        <v>2055</v>
      </c>
      <c r="D31" s="1347">
        <v>521.29999999999995</v>
      </c>
      <c r="E31" s="1348">
        <v>571.1</v>
      </c>
      <c r="F31" s="1347">
        <v>552</v>
      </c>
      <c r="G31" s="1348">
        <v>916.7</v>
      </c>
      <c r="H31" s="1347">
        <v>1900.6</v>
      </c>
      <c r="I31" s="1348">
        <v>2824</v>
      </c>
      <c r="J31" s="1347">
        <v>2874.6</v>
      </c>
      <c r="K31" s="1348">
        <v>2832.5</v>
      </c>
      <c r="L31" s="1347">
        <v>3306</v>
      </c>
      <c r="M31" s="1348">
        <v>3282.5038147800005</v>
      </c>
      <c r="N31" s="1347">
        <v>3469.2715824000006</v>
      </c>
      <c r="O31" s="1348">
        <v>3645.3332772000026</v>
      </c>
      <c r="P31" s="1347">
        <v>3680.2580000000016</v>
      </c>
      <c r="Q31" s="1348">
        <v>3790.6</v>
      </c>
      <c r="R31" s="1349"/>
      <c r="S31" s="1350">
        <v>2.9982137121907781E-2</v>
      </c>
      <c r="T31" s="1351">
        <v>0.15251894414830192</v>
      </c>
      <c r="U31" s="1352"/>
      <c r="V31" s="1353">
        <v>3854.0173148976328</v>
      </c>
    </row>
    <row r="32" spans="1:22" ht="8.25" customHeight="1">
      <c r="A32" s="1161"/>
      <c r="B32" s="1354"/>
      <c r="C32" s="1355"/>
      <c r="D32" s="1356"/>
      <c r="E32" s="1356"/>
      <c r="F32" s="1356"/>
      <c r="G32" s="1356"/>
      <c r="H32" s="1356"/>
      <c r="I32" s="1357"/>
      <c r="J32" s="1357"/>
      <c r="K32" s="1357"/>
      <c r="L32" s="1357"/>
      <c r="M32" s="1357"/>
      <c r="N32" s="1357"/>
      <c r="O32" s="1357"/>
      <c r="P32" s="1357"/>
      <c r="Q32" s="1357"/>
      <c r="R32" s="1357"/>
      <c r="S32" s="1358"/>
      <c r="T32" s="1359"/>
      <c r="U32" s="1358"/>
      <c r="V32" s="1360"/>
    </row>
    <row r="33" spans="1:22" ht="8.25" customHeight="1">
      <c r="A33" s="1161"/>
      <c r="B33" s="1278"/>
      <c r="C33" s="1361"/>
      <c r="D33" s="1362"/>
      <c r="E33" s="1362"/>
      <c r="F33" s="1362"/>
      <c r="G33" s="1362"/>
      <c r="H33" s="1362"/>
      <c r="I33" s="1363"/>
      <c r="J33" s="1363"/>
      <c r="K33" s="1363"/>
      <c r="L33" s="1363"/>
      <c r="M33" s="1363"/>
      <c r="N33" s="1363"/>
      <c r="O33" s="1363"/>
      <c r="P33" s="1363"/>
      <c r="Q33" s="1363"/>
      <c r="R33" s="1363"/>
      <c r="S33" s="1364"/>
      <c r="T33" s="1365"/>
      <c r="U33" s="1364"/>
      <c r="V33" s="1366"/>
    </row>
    <row r="34" spans="1:22" ht="15.75" customHeight="1" thickBot="1">
      <c r="A34" s="1832" t="s">
        <v>1720</v>
      </c>
      <c r="B34" s="1320" t="s">
        <v>2062</v>
      </c>
      <c r="C34" s="1248"/>
      <c r="D34" s="1321">
        <v>16013.1</v>
      </c>
      <c r="E34" s="1322">
        <v>16937.3</v>
      </c>
      <c r="F34" s="1321">
        <v>17695.3</v>
      </c>
      <c r="G34" s="1322">
        <v>17814.400000000001</v>
      </c>
      <c r="H34" s="1321">
        <v>18506.971013000002</v>
      </c>
      <c r="I34" s="1322">
        <v>19132.22</v>
      </c>
      <c r="J34" s="1321">
        <v>20686.960000000003</v>
      </c>
      <c r="K34" s="1322">
        <v>22048.513701</v>
      </c>
      <c r="L34" s="1321">
        <v>23360.39678399</v>
      </c>
      <c r="M34" s="1322">
        <v>23865.649597220003</v>
      </c>
      <c r="N34" s="1321">
        <v>24817.983544449999</v>
      </c>
      <c r="O34" s="1322">
        <v>25247.301839669999</v>
      </c>
      <c r="P34" s="1321">
        <v>25543.38584368</v>
      </c>
      <c r="Q34" s="1322">
        <v>25752.822451619999</v>
      </c>
      <c r="R34" s="1323"/>
      <c r="S34" s="1324">
        <v>8.1992500611196562E-3</v>
      </c>
      <c r="T34" s="1325">
        <v>3.7541229060624737E-2</v>
      </c>
      <c r="U34" s="1326"/>
      <c r="V34" s="1321">
        <v>27979.759926830004</v>
      </c>
    </row>
    <row r="35" spans="1:22" ht="15.75" customHeight="1" thickBot="1">
      <c r="A35" s="1833"/>
      <c r="B35" s="1212"/>
      <c r="C35" s="1239" t="s">
        <v>2063</v>
      </c>
      <c r="D35" s="1240">
        <v>11035.2</v>
      </c>
      <c r="E35" s="1241">
        <v>11924.8</v>
      </c>
      <c r="F35" s="1240">
        <v>12604.2</v>
      </c>
      <c r="G35" s="1241">
        <v>12949.5</v>
      </c>
      <c r="H35" s="1240">
        <v>13346.689</v>
      </c>
      <c r="I35" s="1241">
        <v>13954.72</v>
      </c>
      <c r="J35" s="1240">
        <v>15296.16</v>
      </c>
      <c r="K35" s="1241">
        <v>16759.707467</v>
      </c>
      <c r="L35" s="1240">
        <v>17979.586842000001</v>
      </c>
      <c r="M35" s="1241">
        <v>18442.676721830001</v>
      </c>
      <c r="N35" s="1240">
        <v>19234.85838514</v>
      </c>
      <c r="O35" s="1241">
        <v>19629.610287169999</v>
      </c>
      <c r="P35" s="1240">
        <v>19621.43996068</v>
      </c>
      <c r="Q35" s="1241">
        <v>20057.64279962</v>
      </c>
      <c r="R35" s="1242"/>
      <c r="S35" s="1243">
        <v>2.2230929015103928E-2</v>
      </c>
      <c r="T35" s="1244">
        <v>4.4726688472532139E-2</v>
      </c>
      <c r="U35" s="1245"/>
      <c r="V35" s="1240">
        <v>21955.717553830003</v>
      </c>
    </row>
    <row r="36" spans="1:22" ht="14" thickBot="1">
      <c r="A36" s="1833"/>
      <c r="B36" s="1212"/>
      <c r="C36" s="1239" t="s">
        <v>2028</v>
      </c>
      <c r="D36" s="1240">
        <v>4337.5</v>
      </c>
      <c r="E36" s="1241">
        <v>4410.6000000000004</v>
      </c>
      <c r="F36" s="1240">
        <v>4453.3</v>
      </c>
      <c r="G36" s="1241">
        <v>3766.7</v>
      </c>
      <c r="H36" s="1240">
        <v>2917.3519609999998</v>
      </c>
      <c r="I36" s="1241">
        <v>1987</v>
      </c>
      <c r="J36" s="1240">
        <v>1958.4</v>
      </c>
      <c r="K36" s="1241">
        <v>1882.6076640000001</v>
      </c>
      <c r="L36" s="1240">
        <v>1358.7895999899999</v>
      </c>
      <c r="M36" s="1241">
        <v>1397.6693543900001</v>
      </c>
      <c r="N36" s="1240">
        <v>1384.0624223099999</v>
      </c>
      <c r="O36" s="1241">
        <v>1410.6232075</v>
      </c>
      <c r="P36" s="1240">
        <v>1412.4505677400002</v>
      </c>
      <c r="Q36" s="1241">
        <v>1381.60592514</v>
      </c>
      <c r="R36" s="1242"/>
      <c r="S36" s="1243">
        <v>-2.183767935280978E-2</v>
      </c>
      <c r="T36" s="1244">
        <v>-9.5429718402210928E-2</v>
      </c>
      <c r="U36" s="1245"/>
      <c r="V36" s="1240">
        <v>1442.6310089400001</v>
      </c>
    </row>
    <row r="37" spans="1:22" ht="14" thickBot="1">
      <c r="A37" s="1833"/>
      <c r="B37" s="1212"/>
      <c r="C37" s="1239" t="s">
        <v>2055</v>
      </c>
      <c r="D37" s="1240">
        <v>640.4</v>
      </c>
      <c r="E37" s="1241">
        <v>601.9</v>
      </c>
      <c r="F37" s="1240">
        <v>637.79999999999995</v>
      </c>
      <c r="G37" s="1241">
        <v>1098.2</v>
      </c>
      <c r="H37" s="1240">
        <v>2242.9300519999997</v>
      </c>
      <c r="I37" s="1241">
        <v>3190.5</v>
      </c>
      <c r="J37" s="1240">
        <v>3432.4</v>
      </c>
      <c r="K37" s="1241">
        <v>3406.1985699999996</v>
      </c>
      <c r="L37" s="1240">
        <v>4022.0203419999989</v>
      </c>
      <c r="M37" s="1241">
        <v>4025.3035210000007</v>
      </c>
      <c r="N37" s="1240">
        <v>4199.0627370000002</v>
      </c>
      <c r="O37" s="1241">
        <v>4207.0683449999997</v>
      </c>
      <c r="P37" s="1240">
        <v>4509.4953152600001</v>
      </c>
      <c r="Q37" s="1241">
        <v>4313.5737268599996</v>
      </c>
      <c r="R37" s="1242"/>
      <c r="S37" s="1243">
        <v>-4.3446455690287045E-2</v>
      </c>
      <c r="T37" s="1244">
        <v>0.14660961321776167</v>
      </c>
      <c r="U37" s="1245"/>
      <c r="V37" s="1240">
        <v>4581.4113640599999</v>
      </c>
    </row>
    <row r="38" spans="1:22" ht="9.75" customHeight="1" thickBot="1">
      <c r="A38" s="1833"/>
      <c r="B38" s="1212"/>
      <c r="C38" s="1239"/>
      <c r="D38" s="1240"/>
      <c r="E38" s="1241"/>
      <c r="F38" s="1240"/>
      <c r="G38" s="1241"/>
      <c r="H38" s="1240"/>
      <c r="I38" s="1241"/>
      <c r="J38" s="1240"/>
      <c r="K38" s="1241"/>
      <c r="L38" s="1240"/>
      <c r="M38" s="1241"/>
      <c r="N38" s="1240"/>
      <c r="O38" s="1241"/>
      <c r="P38" s="1240"/>
      <c r="Q38" s="1241"/>
      <c r="R38" s="1242"/>
      <c r="S38" s="1243"/>
      <c r="T38" s="1244"/>
      <c r="U38" s="1245"/>
      <c r="V38" s="1367"/>
    </row>
    <row r="39" spans="1:22" ht="17.25" customHeight="1" thickBot="1">
      <c r="A39" s="1833"/>
      <c r="B39" s="1231" t="s">
        <v>2060</v>
      </c>
      <c r="C39" s="1212"/>
      <c r="D39" s="1246">
        <v>1770.8</v>
      </c>
      <c r="E39" s="1247">
        <v>1884.4</v>
      </c>
      <c r="F39" s="1246">
        <v>2155</v>
      </c>
      <c r="G39" s="1247">
        <v>2249.6</v>
      </c>
      <c r="H39" s="1246">
        <v>2343.1</v>
      </c>
      <c r="I39" s="1247">
        <v>2428.2489999999998</v>
      </c>
      <c r="J39" s="1246">
        <v>2541</v>
      </c>
      <c r="K39" s="1247">
        <v>2627.5</v>
      </c>
      <c r="L39" s="1246">
        <v>2868.2000000000003</v>
      </c>
      <c r="M39" s="1247">
        <v>3031.6779155400004</v>
      </c>
      <c r="N39" s="1246">
        <v>3081.5039062299998</v>
      </c>
      <c r="O39" s="1247">
        <v>3200.9812532199999</v>
      </c>
      <c r="P39" s="1246">
        <v>3337.6332843099999</v>
      </c>
      <c r="Q39" s="1247">
        <v>3425.9949799299998</v>
      </c>
      <c r="R39" s="1296"/>
      <c r="S39" s="1327">
        <v>2.6474357154628869E-2</v>
      </c>
      <c r="T39" s="1328">
        <v>4.2961175234766502E-2</v>
      </c>
      <c r="U39" s="1297"/>
      <c r="V39" s="1246">
        <v>3450.5142391200002</v>
      </c>
    </row>
    <row r="40" spans="1:22" ht="14" thickBot="1">
      <c r="A40" s="1833"/>
      <c r="B40" s="1212"/>
      <c r="C40" s="1239" t="s">
        <v>2027</v>
      </c>
      <c r="D40" s="1240">
        <v>1678.5</v>
      </c>
      <c r="E40" s="1241">
        <v>1778</v>
      </c>
      <c r="F40" s="1240">
        <v>2097.1999999999998</v>
      </c>
      <c r="G40" s="1241">
        <v>2189.9</v>
      </c>
      <c r="H40" s="1240">
        <v>2288</v>
      </c>
      <c r="I40" s="1241">
        <v>2400.1889999999999</v>
      </c>
      <c r="J40" s="1240">
        <v>2502.83</v>
      </c>
      <c r="K40" s="1241">
        <v>2588.5</v>
      </c>
      <c r="L40" s="1240">
        <v>2832.3</v>
      </c>
      <c r="M40" s="1241">
        <v>2994.9866096700002</v>
      </c>
      <c r="N40" s="1240">
        <v>3038.7113187199998</v>
      </c>
      <c r="O40" s="1241">
        <v>3155.0668707</v>
      </c>
      <c r="P40" s="1240">
        <v>3290.4542289599999</v>
      </c>
      <c r="Q40" s="1241">
        <v>3382.4718481499999</v>
      </c>
      <c r="R40" s="1242"/>
      <c r="S40" s="1243">
        <v>2.7965020263808205E-2</v>
      </c>
      <c r="T40" s="1244">
        <v>4.4433974792751574E-2</v>
      </c>
      <c r="U40" s="1245"/>
      <c r="V40" s="1240">
        <v>3408.7146446100001</v>
      </c>
    </row>
    <row r="41" spans="1:22" ht="14" thickBot="1">
      <c r="A41" s="1833"/>
      <c r="B41" s="1212"/>
      <c r="C41" s="1239" t="s">
        <v>2028</v>
      </c>
      <c r="D41" s="1240">
        <v>92.3</v>
      </c>
      <c r="E41" s="1241">
        <v>106.4</v>
      </c>
      <c r="F41" s="1240">
        <v>57.8</v>
      </c>
      <c r="G41" s="1241">
        <v>59.7</v>
      </c>
      <c r="H41" s="1240">
        <v>55.1</v>
      </c>
      <c r="I41" s="1241">
        <v>28.06</v>
      </c>
      <c r="J41" s="1240">
        <v>38.17</v>
      </c>
      <c r="K41" s="1241">
        <v>39</v>
      </c>
      <c r="L41" s="1240">
        <v>35.9</v>
      </c>
      <c r="M41" s="1241">
        <v>36.691305870000001</v>
      </c>
      <c r="N41" s="1240">
        <v>42.792587509999997</v>
      </c>
      <c r="O41" s="1241">
        <v>45.914382520000004</v>
      </c>
      <c r="P41" s="1240">
        <v>47.179055349999999</v>
      </c>
      <c r="Q41" s="1241">
        <v>43.52313178</v>
      </c>
      <c r="R41" s="1242"/>
      <c r="S41" s="1243">
        <v>-7.7490393626543863E-2</v>
      </c>
      <c r="T41" s="1244">
        <v>-3.1109760908283879E-2</v>
      </c>
      <c r="U41" s="1245"/>
      <c r="V41" s="1240">
        <v>41.799594509999999</v>
      </c>
    </row>
    <row r="42" spans="1:22" ht="14" thickBot="1">
      <c r="A42" s="1833"/>
      <c r="B42" s="1212"/>
      <c r="C42" s="1239" t="s">
        <v>2055</v>
      </c>
      <c r="D42" s="1240">
        <v>0</v>
      </c>
      <c r="E42" s="1241">
        <v>0</v>
      </c>
      <c r="F42" s="1240">
        <v>0</v>
      </c>
      <c r="G42" s="1241">
        <v>0</v>
      </c>
      <c r="H42" s="1240">
        <v>0</v>
      </c>
      <c r="I42" s="1241">
        <v>0</v>
      </c>
      <c r="J42" s="1240">
        <v>0</v>
      </c>
      <c r="K42" s="1241">
        <v>0</v>
      </c>
      <c r="L42" s="1240">
        <v>0</v>
      </c>
      <c r="M42" s="1241">
        <v>0</v>
      </c>
      <c r="N42" s="1240">
        <v>0</v>
      </c>
      <c r="O42" s="1241">
        <v>0</v>
      </c>
      <c r="P42" s="1240">
        <v>0</v>
      </c>
      <c r="Q42" s="1241">
        <v>0</v>
      </c>
      <c r="R42" s="1242"/>
      <c r="S42" s="1243" t="s">
        <v>35</v>
      </c>
      <c r="T42" s="1244" t="s">
        <v>35</v>
      </c>
      <c r="U42" s="1245"/>
      <c r="V42" s="1240">
        <v>0</v>
      </c>
    </row>
    <row r="43" spans="1:22" ht="14" thickBot="1">
      <c r="A43" s="1368"/>
      <c r="B43" s="1212"/>
      <c r="C43" s="1212"/>
      <c r="D43" s="1222"/>
      <c r="E43" s="1223"/>
      <c r="F43" s="1222"/>
      <c r="G43" s="1223"/>
      <c r="H43" s="1222"/>
      <c r="I43" s="1223"/>
      <c r="J43" s="1222"/>
      <c r="K43" s="1223"/>
      <c r="L43" s="1222"/>
      <c r="M43" s="1223"/>
      <c r="N43" s="1222"/>
      <c r="O43" s="1223"/>
      <c r="P43" s="1222"/>
      <c r="Q43" s="1223"/>
      <c r="R43" s="1224"/>
      <c r="S43" s="1225"/>
      <c r="T43" s="1226"/>
      <c r="U43" s="1227"/>
      <c r="V43" s="1369"/>
    </row>
    <row r="44" spans="1:22" ht="17.25" customHeight="1" thickBot="1">
      <c r="A44" s="1368"/>
      <c r="B44" s="1231" t="s">
        <v>2064</v>
      </c>
      <c r="C44" s="1212"/>
      <c r="D44" s="1232">
        <v>17783.900000000001</v>
      </c>
      <c r="E44" s="1233">
        <v>18821.7</v>
      </c>
      <c r="F44" s="1232">
        <v>19850.3</v>
      </c>
      <c r="G44" s="1233">
        <v>20064</v>
      </c>
      <c r="H44" s="1232">
        <v>20850.071013000001</v>
      </c>
      <c r="I44" s="1233">
        <v>21560.469000000001</v>
      </c>
      <c r="J44" s="1232">
        <v>23227.960000000003</v>
      </c>
      <c r="K44" s="1233">
        <v>24676.013701</v>
      </c>
      <c r="L44" s="1232">
        <v>26228.59678399</v>
      </c>
      <c r="M44" s="1233">
        <v>26897.327512760003</v>
      </c>
      <c r="N44" s="1232">
        <v>27899.487450679997</v>
      </c>
      <c r="O44" s="1233">
        <v>28448.28309289</v>
      </c>
      <c r="P44" s="1232">
        <v>28881.019127989999</v>
      </c>
      <c r="Q44" s="1233">
        <v>29178.81743155</v>
      </c>
      <c r="R44" s="1234"/>
      <c r="S44" s="1235">
        <v>1.03112117422266E-2</v>
      </c>
      <c r="T44" s="1236">
        <v>3.8161733383666796E-2</v>
      </c>
      <c r="U44" s="1237"/>
      <c r="V44" s="1370">
        <v>31430.274165950002</v>
      </c>
    </row>
    <row r="45" spans="1:22" ht="14" thickBot="1">
      <c r="A45" s="1368"/>
      <c r="B45" s="1212"/>
      <c r="C45" s="1239" t="s">
        <v>2027</v>
      </c>
      <c r="D45" s="1338">
        <v>12713.7</v>
      </c>
      <c r="E45" s="1339">
        <v>13702.8</v>
      </c>
      <c r="F45" s="1338">
        <v>14701.400000000001</v>
      </c>
      <c r="G45" s="1339">
        <v>15139.4</v>
      </c>
      <c r="H45" s="1338">
        <v>15634.689</v>
      </c>
      <c r="I45" s="1339">
        <v>16354.909</v>
      </c>
      <c r="J45" s="1338">
        <v>17798.989999999998</v>
      </c>
      <c r="K45" s="1339">
        <v>19348.207467</v>
      </c>
      <c r="L45" s="1338">
        <v>20811.886842</v>
      </c>
      <c r="M45" s="1339">
        <v>21437.6633315</v>
      </c>
      <c r="N45" s="1338">
        <v>22273.569703860001</v>
      </c>
      <c r="O45" s="1339">
        <v>22784.677157869999</v>
      </c>
      <c r="P45" s="1338">
        <v>22911.894189639999</v>
      </c>
      <c r="Q45" s="1339">
        <v>23440.114647769999</v>
      </c>
      <c r="R45" s="1340"/>
      <c r="S45" s="1341">
        <v>2.3054421156014415E-2</v>
      </c>
      <c r="T45" s="1342">
        <v>4.4684393353193297E-2</v>
      </c>
      <c r="U45" s="1343"/>
      <c r="V45" s="1371">
        <v>25364.432198440005</v>
      </c>
    </row>
    <row r="46" spans="1:22" ht="14" thickBot="1">
      <c r="A46" s="1368"/>
      <c r="B46" s="1212"/>
      <c r="C46" s="1239" t="s">
        <v>2028</v>
      </c>
      <c r="D46" s="1338">
        <v>4429.8</v>
      </c>
      <c r="E46" s="1339">
        <v>4517</v>
      </c>
      <c r="F46" s="1338">
        <v>4511.1000000000004</v>
      </c>
      <c r="G46" s="1339">
        <v>3826.3999999999996</v>
      </c>
      <c r="H46" s="1338">
        <v>2972.4519609999998</v>
      </c>
      <c r="I46" s="1339">
        <v>2015.06</v>
      </c>
      <c r="J46" s="1338">
        <v>1996.5700000000002</v>
      </c>
      <c r="K46" s="1339">
        <v>1921.6076640000001</v>
      </c>
      <c r="L46" s="1338">
        <v>1394.68959999</v>
      </c>
      <c r="M46" s="1339">
        <v>1434.36066026</v>
      </c>
      <c r="N46" s="1338">
        <v>1426.8550098199999</v>
      </c>
      <c r="O46" s="1339">
        <v>1456.5375900200002</v>
      </c>
      <c r="P46" s="1338">
        <v>1459.6296230900002</v>
      </c>
      <c r="Q46" s="1339">
        <v>1425.12905692</v>
      </c>
      <c r="R46" s="1340"/>
      <c r="S46" s="1341">
        <v>-2.36365209531465E-2</v>
      </c>
      <c r="T46" s="1342">
        <v>-9.4045507972075781E-2</v>
      </c>
      <c r="U46" s="1343"/>
      <c r="V46" s="1371">
        <v>1484.43060345</v>
      </c>
    </row>
    <row r="47" spans="1:22">
      <c r="A47" s="1368"/>
      <c r="B47" s="1345"/>
      <c r="C47" s="1346" t="s">
        <v>2055</v>
      </c>
      <c r="D47" s="1347">
        <v>640.4</v>
      </c>
      <c r="E47" s="1348">
        <v>601.9</v>
      </c>
      <c r="F47" s="1347">
        <v>637.79999999999995</v>
      </c>
      <c r="G47" s="1348">
        <v>1098.2</v>
      </c>
      <c r="H47" s="1347">
        <v>2242.9300519999997</v>
      </c>
      <c r="I47" s="1348">
        <v>3190.5</v>
      </c>
      <c r="J47" s="1347">
        <v>3432.4</v>
      </c>
      <c r="K47" s="1348">
        <v>3406.1985699999996</v>
      </c>
      <c r="L47" s="1347">
        <v>4022.0203419999989</v>
      </c>
      <c r="M47" s="1348">
        <v>4025.3035210000007</v>
      </c>
      <c r="N47" s="1347">
        <v>4199.0627370000002</v>
      </c>
      <c r="O47" s="1348">
        <v>4207.0683449999997</v>
      </c>
      <c r="P47" s="1347">
        <v>4509.4953152600001</v>
      </c>
      <c r="Q47" s="1348">
        <v>4313.5737268599996</v>
      </c>
      <c r="R47" s="1349"/>
      <c r="S47" s="1350">
        <v>-4.3446455690287045E-2</v>
      </c>
      <c r="T47" s="1351">
        <v>0.14660961321776167</v>
      </c>
      <c r="U47" s="1352"/>
      <c r="V47" s="1372">
        <v>4581.4113640599999</v>
      </c>
    </row>
    <row r="48" spans="1:22" ht="8.25" customHeight="1">
      <c r="A48" s="1373"/>
      <c r="B48" s="1354"/>
      <c r="C48" s="1355"/>
      <c r="D48" s="1357"/>
      <c r="E48" s="1357"/>
      <c r="F48" s="1357"/>
      <c r="G48" s="1357"/>
      <c r="H48" s="1357"/>
      <c r="I48" s="1357"/>
      <c r="J48" s="1357"/>
      <c r="K48" s="1357"/>
      <c r="L48" s="1357"/>
      <c r="M48" s="1357"/>
      <c r="N48" s="1357"/>
      <c r="O48" s="1357"/>
      <c r="P48" s="1357"/>
      <c r="Q48" s="1357"/>
      <c r="R48" s="1357"/>
      <c r="S48" s="1358"/>
      <c r="T48" s="1358"/>
      <c r="U48" s="1358"/>
      <c r="V48" s="1374"/>
    </row>
    <row r="49" spans="1:22" ht="8.25" customHeight="1">
      <c r="A49" s="1161"/>
      <c r="B49" s="1278"/>
      <c r="C49" s="1278"/>
      <c r="D49" s="1375"/>
      <c r="E49" s="1375"/>
      <c r="F49" s="1375"/>
      <c r="G49" s="1375"/>
      <c r="H49" s="1375"/>
      <c r="I49" s="1376"/>
      <c r="J49" s="1376"/>
      <c r="K49" s="1376"/>
      <c r="L49" s="1376"/>
      <c r="M49" s="1376"/>
      <c r="N49" s="1376"/>
      <c r="O49" s="1376"/>
      <c r="P49" s="1376"/>
      <c r="Q49" s="1376"/>
      <c r="R49" s="1376"/>
      <c r="S49" s="1377"/>
      <c r="T49" s="1378"/>
      <c r="U49" s="1377"/>
      <c r="V49" s="1379"/>
    </row>
    <row r="50" spans="1:22" ht="17.25" customHeight="1" thickBot="1">
      <c r="A50" s="1161"/>
      <c r="B50" s="1320" t="s">
        <v>2065</v>
      </c>
      <c r="C50" s="1248"/>
      <c r="D50" s="1281">
        <v>623.10000000000036</v>
      </c>
      <c r="E50" s="1282">
        <v>-213.60000000000218</v>
      </c>
      <c r="F50" s="1281">
        <v>-306.39999999999782</v>
      </c>
      <c r="G50" s="1282">
        <v>-200.29999999999927</v>
      </c>
      <c r="H50" s="1281">
        <v>98.828986999997142</v>
      </c>
      <c r="I50" s="1282">
        <v>454.38000000000102</v>
      </c>
      <c r="J50" s="1281">
        <v>-588.16000000000349</v>
      </c>
      <c r="K50" s="1282">
        <v>-1266.4017009999989</v>
      </c>
      <c r="L50" s="1281">
        <v>-1468.84478399</v>
      </c>
      <c r="M50" s="1282">
        <v>-918.22178139000243</v>
      </c>
      <c r="N50" s="1281">
        <v>-1381.5431163093563</v>
      </c>
      <c r="O50" s="1282">
        <v>-679.88308698999754</v>
      </c>
      <c r="P50" s="1281">
        <v>256.38141207000081</v>
      </c>
      <c r="Q50" s="1282">
        <v>1014.1218399099889</v>
      </c>
      <c r="R50" s="1284"/>
      <c r="S50" s="1285" t="s">
        <v>35</v>
      </c>
      <c r="T50" s="1286" t="s">
        <v>35</v>
      </c>
      <c r="U50" s="1287"/>
      <c r="V50" s="1288">
        <v>-438.18443380625104</v>
      </c>
    </row>
    <row r="51" spans="1:22" ht="14" thickBot="1">
      <c r="A51" s="1161"/>
      <c r="B51" s="1212"/>
      <c r="C51" s="1211" t="s">
        <v>2027</v>
      </c>
      <c r="D51" s="1213">
        <v>704.5</v>
      </c>
      <c r="E51" s="1214">
        <v>335.5</v>
      </c>
      <c r="F51" s="1213">
        <v>194.5</v>
      </c>
      <c r="G51" s="1214">
        <v>332.70000000000073</v>
      </c>
      <c r="H51" s="1213">
        <v>712.41100000000006</v>
      </c>
      <c r="I51" s="1214">
        <v>931.98000000000138</v>
      </c>
      <c r="J51" s="1213">
        <v>187.13999999999942</v>
      </c>
      <c r="K51" s="1214">
        <v>-455.49946699999782</v>
      </c>
      <c r="L51" s="1213">
        <v>-599.78284200000053</v>
      </c>
      <c r="M51" s="1214">
        <v>-169.99980625000171</v>
      </c>
      <c r="N51" s="1213">
        <v>-618.69012578935872</v>
      </c>
      <c r="O51" s="1214">
        <v>-153.03798649999953</v>
      </c>
      <c r="P51" s="1213">
        <v>930.88782306999929</v>
      </c>
      <c r="Q51" s="1214">
        <v>1325.1497819799915</v>
      </c>
      <c r="R51" s="1215"/>
      <c r="S51" s="1216" t="s">
        <v>35</v>
      </c>
      <c r="T51" s="1217" t="s">
        <v>35</v>
      </c>
      <c r="U51" s="1218"/>
      <c r="V51" s="1219">
        <v>72.894965070467151</v>
      </c>
    </row>
    <row r="52" spans="1:22" ht="14" thickBot="1">
      <c r="A52" s="1161"/>
      <c r="B52" s="1212"/>
      <c r="C52" s="1211" t="s">
        <v>2028</v>
      </c>
      <c r="D52" s="1213">
        <v>37.699999999999818</v>
      </c>
      <c r="E52" s="1214">
        <v>-518.30000000000018</v>
      </c>
      <c r="F52" s="1213">
        <v>-415.10000000000036</v>
      </c>
      <c r="G52" s="1214">
        <v>-351.5</v>
      </c>
      <c r="H52" s="1213">
        <v>-271.25196099999994</v>
      </c>
      <c r="I52" s="1214">
        <v>-111.09999999999991</v>
      </c>
      <c r="J52" s="1213">
        <v>-217.5</v>
      </c>
      <c r="K52" s="1214">
        <v>-237.20366400000012</v>
      </c>
      <c r="L52" s="1213">
        <v>-153.0415999899999</v>
      </c>
      <c r="M52" s="1214">
        <v>-5.4222689200005334</v>
      </c>
      <c r="N52" s="1213">
        <v>-33.061835920000249</v>
      </c>
      <c r="O52" s="1214">
        <v>34.889967309999065</v>
      </c>
      <c r="P52" s="1213">
        <v>154.73090425999908</v>
      </c>
      <c r="Q52" s="1214">
        <v>211.94578478999915</v>
      </c>
      <c r="R52" s="1215"/>
      <c r="S52" s="1216" t="s">
        <v>35</v>
      </c>
      <c r="T52" s="1217" t="s">
        <v>35</v>
      </c>
      <c r="U52" s="1218"/>
      <c r="V52" s="1219">
        <v>216.31465028564912</v>
      </c>
    </row>
    <row r="53" spans="1:22">
      <c r="A53" s="1161"/>
      <c r="B53" s="1345"/>
      <c r="C53" s="1380" t="s">
        <v>2055</v>
      </c>
      <c r="D53" s="1381">
        <v>-119.10000000000002</v>
      </c>
      <c r="E53" s="1382">
        <v>-30.799999999999955</v>
      </c>
      <c r="F53" s="1381">
        <v>-85.799999999999955</v>
      </c>
      <c r="G53" s="1382">
        <v>-181.5</v>
      </c>
      <c r="H53" s="1381">
        <v>-342.3300519999998</v>
      </c>
      <c r="I53" s="1382">
        <v>-366.5</v>
      </c>
      <c r="J53" s="1381">
        <v>-557.80000000000018</v>
      </c>
      <c r="K53" s="1382">
        <v>-573.69856999999956</v>
      </c>
      <c r="L53" s="1381">
        <v>-716.02034199999889</v>
      </c>
      <c r="M53" s="1382">
        <v>-742.79970622000019</v>
      </c>
      <c r="N53" s="1381">
        <v>-729.79115459999957</v>
      </c>
      <c r="O53" s="1382">
        <v>-561.73506779999707</v>
      </c>
      <c r="P53" s="1381">
        <v>-829.23731525999847</v>
      </c>
      <c r="Q53" s="1382">
        <v>-522.97372685999972</v>
      </c>
      <c r="R53" s="1383"/>
      <c r="S53" s="1384" t="s">
        <v>35</v>
      </c>
      <c r="T53" s="1385" t="s">
        <v>35</v>
      </c>
      <c r="U53" s="1386"/>
      <c r="V53" s="1387">
        <v>-727.39404916236708</v>
      </c>
    </row>
    <row r="54" spans="1:22" ht="11.25" customHeight="1" thickBot="1">
      <c r="A54" s="1161"/>
      <c r="B54" s="1164"/>
      <c r="C54" s="1164"/>
      <c r="D54" s="1388"/>
      <c r="E54" s="1388"/>
      <c r="F54" s="1388"/>
      <c r="G54" s="1388"/>
      <c r="H54" s="1388"/>
      <c r="I54" s="1389"/>
      <c r="J54" s="1389"/>
      <c r="K54" s="1389"/>
      <c r="L54" s="1389"/>
      <c r="M54" s="1389"/>
      <c r="N54" s="1389"/>
      <c r="O54" s="1389"/>
      <c r="P54" s="1389"/>
      <c r="Q54" s="1389"/>
      <c r="R54" s="1389"/>
      <c r="S54" s="1164"/>
      <c r="T54" s="1388"/>
      <c r="U54" s="1388"/>
      <c r="V54" s="1388"/>
    </row>
    <row r="55" spans="1:22" ht="13.5" customHeight="1">
      <c r="A55" s="1161"/>
      <c r="B55" s="1277" t="s">
        <v>2254</v>
      </c>
      <c r="C55" s="1161"/>
      <c r="D55" s="1161"/>
      <c r="E55" s="1161"/>
      <c r="F55" s="1161"/>
      <c r="G55" s="1161"/>
      <c r="H55" s="1161"/>
      <c r="I55" s="1161"/>
      <c r="J55" s="1161"/>
      <c r="K55" s="1161"/>
      <c r="L55" s="1161"/>
      <c r="M55" s="1161"/>
      <c r="N55" s="1161"/>
      <c r="O55" s="1161"/>
      <c r="P55" s="1161"/>
      <c r="Q55" s="1161"/>
      <c r="R55" s="1161"/>
      <c r="S55" s="1161"/>
      <c r="T55" s="1161"/>
      <c r="U55" s="1161"/>
      <c r="V55" s="1161"/>
    </row>
    <row r="56" spans="1:22" ht="14.25" customHeight="1">
      <c r="A56" s="1161"/>
      <c r="B56" s="1161"/>
      <c r="C56" s="1161"/>
      <c r="D56" s="1161"/>
      <c r="E56" s="1161"/>
      <c r="F56" s="1161"/>
      <c r="G56" s="1161"/>
      <c r="H56" s="1161"/>
      <c r="I56" s="1161"/>
      <c r="J56" s="1161"/>
      <c r="K56" s="1161"/>
      <c r="L56" s="1161"/>
      <c r="M56" s="1161"/>
      <c r="N56" s="1161"/>
      <c r="O56" s="1161"/>
      <c r="P56" s="1161"/>
      <c r="Q56" s="1161"/>
      <c r="R56" s="1161"/>
      <c r="S56" s="1161"/>
      <c r="T56" s="1161"/>
      <c r="U56" s="1161"/>
    </row>
    <row r="57" spans="1:22" ht="12.75" customHeight="1">
      <c r="A57" s="1161"/>
      <c r="B57" s="1161"/>
      <c r="C57" s="1161"/>
      <c r="D57" s="1161"/>
      <c r="E57" s="1161"/>
      <c r="F57" s="1161"/>
      <c r="G57" s="1161"/>
      <c r="H57" s="1161"/>
      <c r="I57" s="1161"/>
      <c r="J57" s="1161"/>
      <c r="K57" s="1161"/>
      <c r="L57" s="1161"/>
      <c r="M57" s="1161"/>
      <c r="N57" s="1161"/>
      <c r="O57" s="1161"/>
      <c r="P57" s="1161"/>
      <c r="Q57" s="1161"/>
      <c r="R57" s="1161"/>
      <c r="S57" s="1161"/>
      <c r="T57" s="1161"/>
      <c r="U57" s="1161"/>
    </row>
    <row r="58" spans="1:22">
      <c r="A58" s="1161"/>
      <c r="B58" s="1161"/>
      <c r="C58" s="1161"/>
      <c r="D58" s="1161"/>
      <c r="E58" s="1161"/>
      <c r="F58" s="1161"/>
      <c r="G58" s="1161"/>
      <c r="H58" s="1161"/>
      <c r="I58" s="1161"/>
      <c r="J58" s="1161"/>
      <c r="K58" s="1161"/>
      <c r="L58" s="1161"/>
      <c r="M58" s="1161"/>
      <c r="N58" s="1161"/>
      <c r="O58" s="1161"/>
      <c r="P58" s="1161"/>
      <c r="Q58" s="1161"/>
      <c r="R58" s="1161"/>
      <c r="S58" s="1161"/>
      <c r="T58" s="1161"/>
      <c r="U58" s="1161"/>
    </row>
    <row r="59" spans="1:22">
      <c r="A59" s="1161"/>
      <c r="B59" s="1390" t="s">
        <v>2066</v>
      </c>
      <c r="C59" s="1391"/>
      <c r="D59" s="1161"/>
      <c r="E59" s="1161"/>
      <c r="F59" s="1161"/>
      <c r="G59" s="1161"/>
      <c r="H59" s="1161"/>
      <c r="I59" s="1161"/>
      <c r="J59" s="1161"/>
      <c r="K59" s="1161"/>
      <c r="L59" s="1161"/>
      <c r="M59" s="1161"/>
      <c r="N59" s="1161"/>
      <c r="O59" s="1161"/>
      <c r="P59" s="1161"/>
      <c r="Q59" s="1161"/>
      <c r="R59" s="1161"/>
      <c r="S59" s="1161"/>
      <c r="T59" s="1161"/>
      <c r="U59" s="1161"/>
    </row>
    <row r="60" spans="1:22">
      <c r="A60" s="1161"/>
      <c r="B60" s="1278" t="s">
        <v>2067</v>
      </c>
      <c r="C60" s="1278"/>
      <c r="D60" s="1161"/>
      <c r="E60" s="1161"/>
      <c r="F60" s="1161"/>
      <c r="G60" s="1161"/>
      <c r="H60" s="1161"/>
      <c r="I60" s="1161"/>
      <c r="J60" s="1161"/>
      <c r="K60" s="1161"/>
      <c r="L60" s="1161"/>
      <c r="M60" s="1161"/>
      <c r="N60" s="1161"/>
      <c r="O60" s="1161"/>
      <c r="P60" s="1161"/>
      <c r="Q60" s="1161"/>
      <c r="R60" s="1161"/>
      <c r="S60" s="1161"/>
      <c r="T60" s="1161"/>
      <c r="U60" s="1161"/>
    </row>
    <row r="61" spans="1:22">
      <c r="A61" s="1161"/>
      <c r="B61" s="1278" t="s">
        <v>2068</v>
      </c>
      <c r="C61" s="1278"/>
      <c r="D61" s="1161"/>
      <c r="E61" s="1161"/>
      <c r="F61" s="1161"/>
      <c r="G61" s="1161"/>
      <c r="H61" s="1161"/>
      <c r="I61" s="1161"/>
      <c r="J61" s="1161"/>
      <c r="K61" s="1161"/>
      <c r="L61" s="1161"/>
      <c r="M61" s="1161"/>
      <c r="N61" s="1161"/>
      <c r="O61" s="1161"/>
      <c r="P61" s="1161"/>
      <c r="Q61" s="1161"/>
      <c r="R61" s="1161"/>
      <c r="S61" s="1161"/>
      <c r="T61" s="1161"/>
      <c r="U61" s="1161"/>
    </row>
    <row r="62" spans="1:22">
      <c r="A62" s="1161"/>
      <c r="B62" s="1278" t="s">
        <v>2069</v>
      </c>
      <c r="C62" s="1278"/>
      <c r="D62" s="1161"/>
      <c r="E62" s="1161"/>
      <c r="F62" s="1161"/>
      <c r="G62" s="1161"/>
      <c r="H62" s="1161"/>
      <c r="I62" s="1161"/>
      <c r="J62" s="1161"/>
      <c r="K62" s="1161"/>
      <c r="L62" s="1161"/>
      <c r="M62" s="1161"/>
      <c r="N62" s="1161"/>
      <c r="O62" s="1161"/>
      <c r="P62" s="1161"/>
      <c r="Q62" s="1161"/>
      <c r="R62" s="1161"/>
      <c r="S62" s="1161"/>
      <c r="T62" s="1161"/>
      <c r="U62" s="1161"/>
    </row>
    <row r="63" spans="1:22">
      <c r="A63" s="1161"/>
      <c r="B63" s="1278" t="s">
        <v>2070</v>
      </c>
      <c r="C63" s="1161"/>
      <c r="D63" s="1161"/>
      <c r="E63" s="1161"/>
      <c r="F63" s="1161"/>
      <c r="G63" s="1161"/>
      <c r="H63" s="1161"/>
      <c r="I63" s="1161"/>
      <c r="J63" s="1161"/>
      <c r="K63" s="1161"/>
      <c r="L63" s="1161"/>
      <c r="M63" s="1161"/>
      <c r="N63" s="1161"/>
      <c r="O63" s="1161"/>
      <c r="P63" s="1161"/>
      <c r="Q63" s="1161"/>
      <c r="R63" s="1161"/>
      <c r="S63" s="1161"/>
      <c r="T63" s="1161"/>
      <c r="U63" s="1161"/>
    </row>
    <row r="64" spans="1:22">
      <c r="A64" s="1161"/>
      <c r="B64" s="1278" t="s">
        <v>2071</v>
      </c>
      <c r="C64" s="1161"/>
      <c r="D64" s="1161"/>
      <c r="E64" s="1161"/>
      <c r="F64" s="1161"/>
      <c r="G64" s="1161"/>
      <c r="H64" s="1161"/>
      <c r="I64" s="1161"/>
      <c r="J64" s="1161"/>
      <c r="K64" s="1161"/>
      <c r="L64" s="1161"/>
      <c r="M64" s="1161"/>
      <c r="N64" s="1161"/>
      <c r="O64" s="1161"/>
      <c r="P64" s="1161"/>
      <c r="Q64" s="1161"/>
      <c r="R64" s="1161"/>
      <c r="S64" s="1161"/>
      <c r="T64" s="1161"/>
      <c r="U64" s="1161"/>
    </row>
    <row r="65" spans="1:21">
      <c r="A65" s="1161"/>
      <c r="B65" s="1278" t="s">
        <v>2072</v>
      </c>
      <c r="C65" s="1278"/>
      <c r="D65" s="1161"/>
      <c r="E65" s="1161"/>
      <c r="F65" s="1161"/>
      <c r="G65" s="1161"/>
      <c r="H65" s="1161"/>
      <c r="I65" s="1161"/>
      <c r="J65" s="1161"/>
      <c r="K65" s="1161"/>
      <c r="L65" s="1161"/>
      <c r="M65" s="1161"/>
      <c r="N65" s="1161"/>
      <c r="O65" s="1161"/>
      <c r="P65" s="1161"/>
      <c r="Q65" s="1161"/>
      <c r="R65" s="1161"/>
      <c r="S65" s="1161"/>
      <c r="T65" s="1161"/>
      <c r="U65" s="1161"/>
    </row>
    <row r="66" spans="1:21">
      <c r="A66" s="1161"/>
      <c r="B66" s="1392" t="s">
        <v>2073</v>
      </c>
      <c r="C66" s="1278"/>
      <c r="D66" s="1161"/>
      <c r="E66" s="1161"/>
      <c r="F66" s="1161"/>
      <c r="G66" s="1161"/>
      <c r="H66" s="1161"/>
      <c r="I66" s="1161"/>
      <c r="J66" s="1161"/>
      <c r="K66" s="1161"/>
      <c r="L66" s="1161"/>
      <c r="M66" s="1161"/>
      <c r="N66" s="1161"/>
      <c r="O66" s="1161"/>
      <c r="P66" s="1161"/>
      <c r="Q66" s="1161"/>
      <c r="R66" s="1161"/>
      <c r="S66" s="1161"/>
      <c r="T66" s="1161"/>
      <c r="U66" s="1161"/>
    </row>
    <row r="67" spans="1:21">
      <c r="A67" s="1161"/>
      <c r="B67" s="1392" t="s">
        <v>2074</v>
      </c>
      <c r="C67" s="1278"/>
      <c r="D67" s="1161"/>
      <c r="E67" s="1161"/>
      <c r="F67" s="1161"/>
      <c r="G67" s="1161"/>
      <c r="H67" s="1161"/>
      <c r="I67" s="1161"/>
      <c r="J67" s="1161"/>
      <c r="K67" s="1161"/>
      <c r="L67" s="1161"/>
      <c r="M67" s="1161"/>
      <c r="N67" s="1161"/>
      <c r="O67" s="1161"/>
      <c r="P67" s="1161"/>
      <c r="Q67" s="1161"/>
      <c r="R67" s="1161"/>
      <c r="S67" s="1161"/>
      <c r="T67" s="1161"/>
      <c r="U67" s="1161"/>
    </row>
    <row r="68" spans="1:21">
      <c r="A68" s="1161"/>
      <c r="B68" s="1392" t="s">
        <v>2075</v>
      </c>
      <c r="C68" s="1299"/>
      <c r="D68" s="1161"/>
      <c r="E68" s="1161"/>
      <c r="F68" s="1161"/>
      <c r="G68" s="1161"/>
      <c r="H68" s="1161"/>
      <c r="I68" s="1161"/>
      <c r="J68" s="1161"/>
      <c r="K68" s="1161"/>
      <c r="L68" s="1161"/>
      <c r="M68" s="1161"/>
      <c r="N68" s="1161"/>
      <c r="O68" s="1161"/>
      <c r="P68" s="1161"/>
      <c r="Q68" s="1161"/>
      <c r="R68" s="1161"/>
      <c r="S68" s="1161"/>
      <c r="T68" s="1161"/>
      <c r="U68" s="1161"/>
    </row>
    <row r="69" spans="1:21">
      <c r="A69" s="1161"/>
      <c r="B69" s="1278" t="s">
        <v>2076</v>
      </c>
      <c r="C69" s="1278"/>
      <c r="D69" s="1161"/>
      <c r="E69" s="1161"/>
      <c r="F69" s="1161"/>
      <c r="G69" s="1161"/>
      <c r="H69" s="1161"/>
      <c r="I69" s="1161"/>
      <c r="J69" s="1161"/>
      <c r="K69" s="1161"/>
      <c r="L69" s="1161"/>
      <c r="M69" s="1161"/>
      <c r="N69" s="1161"/>
      <c r="O69" s="1161"/>
      <c r="P69" s="1161"/>
      <c r="Q69" s="1161"/>
      <c r="R69" s="1161"/>
      <c r="S69" s="1161"/>
      <c r="T69" s="1161"/>
      <c r="U69" s="1161"/>
    </row>
    <row r="70" spans="1:21">
      <c r="A70" s="1161"/>
      <c r="B70" s="1278" t="s">
        <v>2077</v>
      </c>
      <c r="C70" s="1278"/>
      <c r="D70" s="1161"/>
      <c r="E70" s="1161"/>
      <c r="F70" s="1161"/>
      <c r="G70" s="1161"/>
      <c r="H70" s="1161"/>
      <c r="I70" s="1161"/>
      <c r="J70" s="1161"/>
      <c r="K70" s="1161"/>
      <c r="L70" s="1161"/>
      <c r="M70" s="1161"/>
      <c r="N70" s="1161"/>
      <c r="O70" s="1161"/>
      <c r="P70" s="1161"/>
      <c r="Q70" s="1161"/>
      <c r="R70" s="1161"/>
      <c r="S70" s="1161"/>
      <c r="T70" s="1161"/>
      <c r="U70" s="1161"/>
    </row>
    <row r="71" spans="1:21">
      <c r="A71" s="1161"/>
      <c r="B71" s="1278" t="s">
        <v>2078</v>
      </c>
      <c r="C71" s="1299"/>
      <c r="D71" s="1161"/>
      <c r="E71" s="1161"/>
      <c r="F71" s="1161"/>
      <c r="G71" s="1161"/>
      <c r="H71" s="1161"/>
      <c r="I71" s="1161"/>
      <c r="J71" s="1161"/>
      <c r="K71" s="1161"/>
      <c r="L71" s="1161"/>
      <c r="M71" s="1161"/>
      <c r="N71" s="1161"/>
      <c r="O71" s="1161"/>
      <c r="P71" s="1161"/>
      <c r="Q71" s="1161"/>
      <c r="R71" s="1161"/>
      <c r="S71" s="1161"/>
      <c r="T71" s="1161"/>
      <c r="U71" s="1161"/>
    </row>
    <row r="72" spans="1:21">
      <c r="A72" s="1161"/>
      <c r="B72" s="1161" t="s">
        <v>2079</v>
      </c>
      <c r="C72" s="1393"/>
      <c r="D72" s="1161"/>
      <c r="E72" s="1161"/>
      <c r="F72" s="1161"/>
      <c r="G72" s="1161"/>
      <c r="H72" s="1161"/>
      <c r="I72" s="1161"/>
      <c r="J72" s="1161"/>
      <c r="K72" s="1161"/>
      <c r="L72" s="1161"/>
      <c r="M72" s="1161"/>
      <c r="N72" s="1161"/>
      <c r="O72" s="1161"/>
      <c r="P72" s="1161"/>
      <c r="Q72" s="1161"/>
      <c r="R72" s="1161"/>
      <c r="S72" s="1161"/>
      <c r="T72" s="1161"/>
      <c r="U72" s="1161"/>
    </row>
    <row r="73" spans="1:21">
      <c r="A73" s="1161"/>
      <c r="B73" s="1161" t="s">
        <v>2080</v>
      </c>
      <c r="C73" s="1393"/>
      <c r="D73" s="1161"/>
      <c r="E73" s="1161"/>
      <c r="F73" s="1161"/>
      <c r="G73" s="1161"/>
      <c r="H73" s="1161"/>
      <c r="I73" s="1161"/>
      <c r="J73" s="1161"/>
      <c r="K73" s="1161"/>
      <c r="L73" s="1161"/>
      <c r="M73" s="1161"/>
      <c r="N73" s="1161"/>
      <c r="O73" s="1161"/>
      <c r="P73" s="1161"/>
      <c r="Q73" s="1161"/>
      <c r="R73" s="1161"/>
      <c r="S73" s="1161"/>
      <c r="T73" s="1161"/>
      <c r="U73" s="1161"/>
    </row>
    <row r="74" spans="1:21">
      <c r="A74" s="1161"/>
      <c r="B74" s="1161" t="s">
        <v>2081</v>
      </c>
      <c r="C74" s="1278"/>
      <c r="D74" s="1161"/>
      <c r="E74" s="1161"/>
      <c r="F74" s="1161"/>
      <c r="G74" s="1161"/>
      <c r="H74" s="1161"/>
      <c r="I74" s="1161"/>
      <c r="J74" s="1161"/>
      <c r="K74" s="1161"/>
      <c r="L74" s="1161"/>
      <c r="M74" s="1161"/>
      <c r="N74" s="1161"/>
      <c r="O74" s="1161"/>
      <c r="P74" s="1161"/>
      <c r="Q74" s="1161"/>
      <c r="R74" s="1161"/>
      <c r="S74" s="1161"/>
      <c r="T74" s="1161"/>
      <c r="U74" s="1161"/>
    </row>
    <row r="75" spans="1:21">
      <c r="A75" s="1161"/>
      <c r="B75" s="1161" t="s">
        <v>2082</v>
      </c>
      <c r="C75" s="1278"/>
      <c r="D75" s="1161"/>
      <c r="E75" s="1161"/>
      <c r="F75" s="1161"/>
      <c r="G75" s="1161"/>
      <c r="H75" s="1161"/>
      <c r="I75" s="1161"/>
      <c r="J75" s="1161"/>
      <c r="K75" s="1161"/>
      <c r="L75" s="1161"/>
      <c r="M75" s="1161"/>
      <c r="N75" s="1161"/>
      <c r="O75" s="1161"/>
      <c r="P75" s="1161"/>
      <c r="Q75" s="1161"/>
      <c r="R75" s="1161"/>
      <c r="S75" s="1161"/>
      <c r="T75" s="1161"/>
      <c r="U75" s="1161"/>
    </row>
    <row r="76" spans="1:21" ht="15">
      <c r="A76" s="1161"/>
      <c r="B76" s="1392" t="s">
        <v>2083</v>
      </c>
      <c r="C76" s="1161"/>
      <c r="D76" s="1161"/>
      <c r="E76" s="1161"/>
      <c r="F76" s="1161"/>
      <c r="G76" s="1161"/>
      <c r="H76" s="1161"/>
      <c r="I76" s="1161"/>
      <c r="J76" s="1161"/>
      <c r="K76" s="1161"/>
      <c r="L76" s="1161"/>
      <c r="M76" s="1161"/>
      <c r="N76" s="1161"/>
      <c r="O76" s="1161"/>
      <c r="P76" s="1161"/>
      <c r="Q76" s="1161"/>
      <c r="R76" s="1161"/>
      <c r="S76" s="1161"/>
      <c r="T76" s="1161"/>
      <c r="U76" s="1161"/>
    </row>
    <row r="77" spans="1:21">
      <c r="A77" s="1161"/>
      <c r="B77" s="1392" t="s">
        <v>2084</v>
      </c>
      <c r="C77" s="1278"/>
      <c r="D77" s="1161"/>
      <c r="E77" s="1161"/>
      <c r="F77" s="1161"/>
      <c r="G77" s="1161"/>
      <c r="H77" s="1161"/>
      <c r="I77" s="1161"/>
      <c r="J77" s="1161"/>
      <c r="K77" s="1161"/>
      <c r="L77" s="1161"/>
      <c r="M77" s="1161"/>
      <c r="N77" s="1161"/>
      <c r="O77" s="1161"/>
      <c r="P77" s="1161"/>
      <c r="Q77" s="1161"/>
      <c r="R77" s="1161"/>
      <c r="S77" s="1161"/>
      <c r="T77" s="1161"/>
      <c r="U77" s="1161"/>
    </row>
    <row r="78" spans="1:21">
      <c r="A78" s="1161"/>
      <c r="B78" s="1278" t="s">
        <v>2085</v>
      </c>
      <c r="C78" s="1278"/>
      <c r="D78" s="1161"/>
      <c r="E78" s="1161"/>
      <c r="F78" s="1161"/>
      <c r="G78" s="1161"/>
      <c r="H78" s="1161"/>
      <c r="I78" s="1161"/>
      <c r="J78" s="1161"/>
      <c r="K78" s="1161"/>
      <c r="L78" s="1161"/>
      <c r="M78" s="1161"/>
      <c r="N78" s="1161"/>
      <c r="O78" s="1161"/>
      <c r="P78" s="1161"/>
      <c r="Q78" s="1161"/>
      <c r="R78" s="1161"/>
      <c r="S78" s="1161"/>
      <c r="T78" s="1161"/>
      <c r="U78" s="1161"/>
    </row>
    <row r="79" spans="1:21">
      <c r="A79" s="1161"/>
      <c r="B79" s="1392" t="s">
        <v>2086</v>
      </c>
      <c r="C79" s="1278"/>
      <c r="D79" s="1161"/>
      <c r="E79" s="1161"/>
      <c r="F79" s="1161"/>
      <c r="G79" s="1161"/>
      <c r="H79" s="1161"/>
      <c r="I79" s="1161"/>
      <c r="J79" s="1161"/>
      <c r="K79" s="1161"/>
      <c r="L79" s="1161"/>
      <c r="M79" s="1161"/>
      <c r="N79" s="1161"/>
      <c r="O79" s="1161"/>
      <c r="P79" s="1161"/>
      <c r="Q79" s="1161"/>
      <c r="R79" s="1161"/>
      <c r="S79" s="1161"/>
      <c r="T79" s="1161"/>
      <c r="U79" s="1161"/>
    </row>
    <row r="80" spans="1:21">
      <c r="A80" s="1161"/>
      <c r="B80" s="1392" t="s">
        <v>2087</v>
      </c>
      <c r="C80" s="1278"/>
      <c r="D80" s="1161"/>
      <c r="E80" s="1161"/>
      <c r="F80" s="1161"/>
      <c r="G80" s="1161"/>
      <c r="H80" s="1161"/>
      <c r="I80" s="1161"/>
      <c r="J80" s="1161"/>
      <c r="K80" s="1161"/>
      <c r="L80" s="1161"/>
      <c r="M80" s="1161"/>
      <c r="N80" s="1161"/>
      <c r="O80" s="1161"/>
      <c r="P80" s="1161"/>
      <c r="Q80" s="1161"/>
      <c r="R80" s="1161"/>
      <c r="S80" s="1161"/>
      <c r="T80" s="1161"/>
      <c r="U80" s="1161"/>
    </row>
    <row r="81" spans="1:21" ht="15">
      <c r="A81" s="1161"/>
      <c r="B81" s="1394" t="s">
        <v>2088</v>
      </c>
      <c r="C81" s="1278"/>
      <c r="D81" s="1161"/>
      <c r="E81" s="1161"/>
      <c r="F81" s="1161"/>
      <c r="G81" s="1161"/>
      <c r="H81" s="1161"/>
      <c r="I81" s="1161"/>
      <c r="J81" s="1161"/>
      <c r="K81" s="1161"/>
      <c r="L81" s="1161"/>
      <c r="M81" s="1161"/>
      <c r="N81" s="1161"/>
      <c r="O81" s="1161"/>
      <c r="P81" s="1161"/>
      <c r="Q81" s="1161"/>
      <c r="R81" s="1161"/>
      <c r="S81" s="1161"/>
      <c r="T81" s="1161"/>
      <c r="U81" s="1161"/>
    </row>
    <row r="82" spans="1:21">
      <c r="A82" s="1161"/>
      <c r="B82" s="1161"/>
      <c r="C82" s="1161"/>
      <c r="D82" s="1161"/>
      <c r="E82" s="1161"/>
      <c r="F82" s="1161"/>
      <c r="G82" s="1161"/>
      <c r="H82" s="1161"/>
      <c r="I82" s="1161"/>
      <c r="J82" s="1161"/>
      <c r="K82" s="1161"/>
      <c r="L82" s="1161"/>
      <c r="M82" s="1161"/>
      <c r="N82" s="1161"/>
      <c r="O82" s="1161"/>
      <c r="P82" s="1161"/>
      <c r="Q82" s="1161"/>
      <c r="R82" s="1161"/>
      <c r="S82" s="1161"/>
      <c r="T82" s="1161"/>
      <c r="U82" s="1161"/>
    </row>
    <row r="83" spans="1:21">
      <c r="A83" s="1161"/>
      <c r="B83" s="1161"/>
      <c r="C83" s="1161"/>
      <c r="D83" s="1161"/>
      <c r="E83" s="1161"/>
      <c r="F83" s="1161"/>
      <c r="G83" s="1161"/>
      <c r="H83" s="1161"/>
      <c r="I83" s="1161"/>
      <c r="J83" s="1161"/>
      <c r="K83" s="1161"/>
      <c r="L83" s="1161"/>
      <c r="M83" s="1161"/>
      <c r="N83" s="1161"/>
      <c r="O83" s="1161"/>
      <c r="P83" s="1161"/>
      <c r="Q83" s="1161"/>
      <c r="R83" s="1161"/>
      <c r="S83" s="1161"/>
      <c r="T83" s="1161"/>
      <c r="U83" s="1161"/>
    </row>
    <row r="84" spans="1:21">
      <c r="A84" s="1161"/>
      <c r="B84" s="1390" t="s">
        <v>2089</v>
      </c>
      <c r="C84" s="1161"/>
      <c r="D84" s="1161"/>
      <c r="E84" s="1161"/>
      <c r="F84" s="1161"/>
      <c r="G84" s="1161"/>
      <c r="H84" s="1161"/>
      <c r="I84" s="1161"/>
      <c r="J84" s="1161"/>
      <c r="K84" s="1161"/>
      <c r="L84" s="1161"/>
      <c r="M84" s="1161"/>
      <c r="N84" s="1161"/>
      <c r="O84" s="1161"/>
      <c r="P84" s="1161"/>
      <c r="Q84" s="1161"/>
      <c r="R84" s="1161"/>
      <c r="S84" s="1161"/>
      <c r="T84" s="1161"/>
      <c r="U84" s="1161"/>
    </row>
    <row r="85" spans="1:21">
      <c r="A85" s="1161"/>
      <c r="B85" s="1161" t="s">
        <v>2090</v>
      </c>
      <c r="C85" s="1161"/>
      <c r="D85" s="1161"/>
      <c r="E85" s="1161"/>
      <c r="F85" s="1161"/>
      <c r="G85" s="1161"/>
      <c r="H85" s="1161"/>
      <c r="I85" s="1161"/>
      <c r="J85" s="1161"/>
      <c r="K85" s="1161"/>
      <c r="L85" s="1161"/>
      <c r="M85" s="1161"/>
      <c r="N85" s="1161"/>
      <c r="O85" s="1161"/>
      <c r="P85" s="1161"/>
      <c r="Q85" s="1161"/>
      <c r="R85" s="1161"/>
      <c r="S85" s="1161"/>
      <c r="T85" s="1161"/>
      <c r="U85" s="1161"/>
    </row>
    <row r="86" spans="1:21">
      <c r="A86" s="1161"/>
      <c r="B86" s="1161" t="s">
        <v>2091</v>
      </c>
      <c r="C86" s="1161"/>
      <c r="D86" s="1161"/>
      <c r="E86" s="1161"/>
      <c r="F86" s="1161"/>
      <c r="G86" s="1161"/>
      <c r="H86" s="1161"/>
      <c r="I86" s="1161"/>
      <c r="J86" s="1161"/>
      <c r="K86" s="1161"/>
      <c r="L86" s="1161"/>
      <c r="M86" s="1161"/>
      <c r="N86" s="1161"/>
      <c r="O86" s="1161"/>
      <c r="P86" s="1161"/>
      <c r="Q86" s="1161"/>
      <c r="R86" s="1161"/>
      <c r="S86" s="1161"/>
      <c r="T86" s="1161"/>
      <c r="U86" s="1161"/>
    </row>
    <row r="87" spans="1:21">
      <c r="A87" s="1161"/>
      <c r="B87" s="1278" t="s">
        <v>2092</v>
      </c>
      <c r="C87" s="1161"/>
      <c r="D87" s="1161"/>
      <c r="E87" s="1161"/>
      <c r="F87" s="1161"/>
      <c r="G87" s="1161"/>
      <c r="H87" s="1161"/>
      <c r="I87" s="1161"/>
      <c r="J87" s="1161"/>
      <c r="K87" s="1161"/>
      <c r="L87" s="1161"/>
      <c r="M87" s="1161"/>
      <c r="N87" s="1161"/>
      <c r="O87" s="1161"/>
      <c r="P87" s="1161"/>
      <c r="Q87" s="1161"/>
      <c r="R87" s="1161"/>
      <c r="S87" s="1161"/>
      <c r="T87" s="1161"/>
      <c r="U87" s="1161"/>
    </row>
    <row r="88" spans="1:21">
      <c r="B88" s="1278" t="s">
        <v>2093</v>
      </c>
    </row>
    <row r="89" spans="1:21">
      <c r="B89" s="1392" t="s">
        <v>2094</v>
      </c>
    </row>
    <row r="90" spans="1:21" ht="15">
      <c r="B90" s="1394" t="s">
        <v>2095</v>
      </c>
    </row>
    <row r="93" spans="1:21" ht="16.5" customHeight="1">
      <c r="A93" s="1161"/>
      <c r="B93" s="1395" t="s">
        <v>2096</v>
      </c>
      <c r="C93" s="1373"/>
      <c r="D93" s="1161"/>
      <c r="E93" s="1161"/>
      <c r="F93" s="1161"/>
      <c r="G93" s="1161"/>
      <c r="H93" s="1161"/>
      <c r="I93" s="1161"/>
      <c r="J93" s="1161"/>
      <c r="K93" s="1161"/>
      <c r="L93" s="1161"/>
      <c r="M93" s="1161"/>
      <c r="N93" s="1161"/>
      <c r="O93" s="1161"/>
      <c r="P93" s="1161"/>
      <c r="Q93" s="1161"/>
      <c r="R93" s="1161"/>
      <c r="S93" s="1161"/>
      <c r="T93" s="1161"/>
      <c r="U93" s="1161"/>
    </row>
    <row r="94" spans="1:21">
      <c r="A94" s="1161"/>
      <c r="B94" s="1392" t="s">
        <v>2097</v>
      </c>
      <c r="C94" s="1161"/>
      <c r="D94" s="1161"/>
      <c r="E94" s="1161"/>
      <c r="F94" s="1161"/>
      <c r="G94" s="1161"/>
      <c r="H94" s="1161"/>
      <c r="I94" s="1161"/>
      <c r="J94" s="1161"/>
      <c r="K94" s="1161"/>
      <c r="L94" s="1161"/>
      <c r="M94" s="1161"/>
      <c r="N94" s="1161"/>
      <c r="O94" s="1161"/>
      <c r="P94" s="1161"/>
      <c r="Q94" s="1161"/>
      <c r="R94" s="1161"/>
      <c r="S94" s="1161"/>
      <c r="T94" s="1161"/>
      <c r="U94" s="1161"/>
    </row>
    <row r="95" spans="1:21">
      <c r="A95" s="1161"/>
      <c r="B95" s="1161" t="s">
        <v>2098</v>
      </c>
      <c r="C95" s="1161"/>
      <c r="D95" s="1161"/>
      <c r="E95" s="1161"/>
      <c r="F95" s="1161"/>
      <c r="G95" s="1161"/>
      <c r="H95" s="1161"/>
      <c r="I95" s="1161"/>
      <c r="J95" s="1161"/>
      <c r="K95" s="1161"/>
      <c r="L95" s="1161"/>
      <c r="M95" s="1161"/>
      <c r="N95" s="1161"/>
      <c r="O95" s="1161"/>
      <c r="P95" s="1161"/>
      <c r="Q95" s="1161"/>
      <c r="R95" s="1161"/>
      <c r="S95" s="1161"/>
      <c r="T95" s="1161"/>
      <c r="U95" s="1161"/>
    </row>
    <row r="96" spans="1:21">
      <c r="A96" s="1161"/>
      <c r="B96" s="1161" t="s">
        <v>2099</v>
      </c>
      <c r="C96" s="1161"/>
      <c r="D96" s="1161"/>
      <c r="E96" s="1161"/>
      <c r="F96" s="1161"/>
      <c r="G96" s="1161"/>
      <c r="H96" s="1161"/>
      <c r="I96" s="1161"/>
      <c r="J96" s="1161"/>
      <c r="K96" s="1161"/>
      <c r="L96" s="1161"/>
      <c r="M96" s="1161"/>
      <c r="N96" s="1161"/>
      <c r="O96" s="1161"/>
      <c r="P96" s="1161"/>
      <c r="Q96" s="1161"/>
      <c r="R96" s="1161"/>
      <c r="S96" s="1161"/>
      <c r="T96" s="1161"/>
      <c r="U96" s="1161"/>
    </row>
    <row r="97" spans="1:21">
      <c r="A97" s="1161"/>
      <c r="B97" s="1161" t="s">
        <v>2100</v>
      </c>
      <c r="C97" s="1161"/>
      <c r="D97" s="1161"/>
      <c r="E97" s="1161"/>
      <c r="F97" s="1161"/>
      <c r="G97" s="1161"/>
      <c r="H97" s="1161"/>
      <c r="I97" s="1161"/>
      <c r="J97" s="1161"/>
      <c r="K97" s="1161"/>
      <c r="L97" s="1161"/>
      <c r="M97" s="1161"/>
      <c r="N97" s="1161"/>
      <c r="O97" s="1161"/>
      <c r="P97" s="1161"/>
      <c r="Q97" s="1161"/>
      <c r="R97" s="1161"/>
      <c r="S97" s="1161"/>
      <c r="T97" s="1161"/>
      <c r="U97" s="1161"/>
    </row>
    <row r="98" spans="1:21">
      <c r="A98" s="1161"/>
      <c r="B98" s="1161" t="s">
        <v>2101</v>
      </c>
      <c r="C98" s="1161"/>
      <c r="D98" s="1161"/>
      <c r="E98" s="1161"/>
      <c r="F98" s="1161"/>
      <c r="G98" s="1161"/>
      <c r="H98" s="1161"/>
      <c r="I98" s="1161"/>
      <c r="J98" s="1161"/>
      <c r="K98" s="1161"/>
      <c r="L98" s="1161"/>
      <c r="M98" s="1161"/>
      <c r="N98" s="1161"/>
      <c r="O98" s="1161"/>
      <c r="P98" s="1161"/>
      <c r="Q98" s="1161"/>
      <c r="R98" s="1161"/>
      <c r="S98" s="1161"/>
      <c r="T98" s="1161"/>
      <c r="U98" s="1161"/>
    </row>
    <row r="99" spans="1:21">
      <c r="A99" s="1161"/>
      <c r="B99" s="1161" t="s">
        <v>2102</v>
      </c>
      <c r="C99" s="1161"/>
      <c r="D99" s="1161"/>
      <c r="E99" s="1161"/>
      <c r="F99" s="1161"/>
      <c r="G99" s="1161"/>
      <c r="H99" s="1161"/>
      <c r="I99" s="1161"/>
      <c r="J99" s="1161"/>
      <c r="K99" s="1161"/>
      <c r="L99" s="1161"/>
      <c r="M99" s="1161"/>
      <c r="N99" s="1161"/>
      <c r="O99" s="1161"/>
      <c r="P99" s="1161"/>
      <c r="Q99" s="1161"/>
      <c r="R99" s="1161"/>
      <c r="S99" s="1161"/>
      <c r="T99" s="1161"/>
      <c r="U99" s="1161"/>
    </row>
    <row r="100" spans="1:21">
      <c r="A100" s="1161"/>
      <c r="B100" s="1161" t="s">
        <v>2103</v>
      </c>
      <c r="C100" s="1161"/>
      <c r="D100" s="1161"/>
      <c r="E100" s="1161"/>
      <c r="F100" s="1161"/>
      <c r="G100" s="1161"/>
      <c r="H100" s="1161"/>
      <c r="I100" s="1161"/>
      <c r="J100" s="1161"/>
      <c r="K100" s="1161"/>
      <c r="L100" s="1161"/>
      <c r="M100" s="1161"/>
      <c r="N100" s="1161"/>
      <c r="O100" s="1161"/>
      <c r="P100" s="1161"/>
      <c r="Q100" s="1161"/>
      <c r="R100" s="1161"/>
      <c r="S100" s="1161"/>
      <c r="T100" s="1161"/>
      <c r="U100" s="1161"/>
    </row>
    <row r="101" spans="1:21">
      <c r="A101" s="1161"/>
      <c r="B101" s="1161" t="s">
        <v>2104</v>
      </c>
      <c r="C101" s="1161"/>
      <c r="D101" s="1161"/>
      <c r="E101" s="1161"/>
      <c r="F101" s="1161"/>
      <c r="G101" s="1161"/>
      <c r="H101" s="1161"/>
      <c r="I101" s="1161"/>
      <c r="J101" s="1161"/>
      <c r="K101" s="1161"/>
      <c r="L101" s="1161"/>
      <c r="M101" s="1161"/>
      <c r="N101" s="1161"/>
      <c r="O101" s="1161"/>
      <c r="P101" s="1161"/>
      <c r="Q101" s="1161"/>
      <c r="R101" s="1161"/>
      <c r="S101" s="1161"/>
      <c r="T101" s="1161"/>
      <c r="U101" s="1161"/>
    </row>
    <row r="102" spans="1:21">
      <c r="A102" s="1161"/>
      <c r="B102" s="1161" t="s">
        <v>2105</v>
      </c>
      <c r="C102" s="1161"/>
      <c r="D102" s="1161"/>
      <c r="E102" s="1161"/>
      <c r="F102" s="1161"/>
      <c r="G102" s="1161"/>
      <c r="H102" s="1161"/>
      <c r="I102" s="1161"/>
      <c r="J102" s="1161"/>
      <c r="K102" s="1161"/>
      <c r="L102" s="1161"/>
      <c r="M102" s="1161"/>
      <c r="N102" s="1161"/>
      <c r="O102" s="1161"/>
      <c r="P102" s="1161"/>
      <c r="Q102" s="1161"/>
      <c r="R102" s="1161"/>
      <c r="S102" s="1161"/>
      <c r="T102" s="1161"/>
      <c r="U102" s="1161"/>
    </row>
    <row r="103" spans="1:21">
      <c r="A103" s="1161"/>
      <c r="B103" s="1161" t="s">
        <v>2106</v>
      </c>
      <c r="C103" s="1161"/>
      <c r="D103" s="1161"/>
      <c r="E103" s="1161"/>
      <c r="F103" s="1161"/>
      <c r="G103" s="1161"/>
      <c r="H103" s="1161"/>
      <c r="I103" s="1161"/>
      <c r="J103" s="1161"/>
      <c r="K103" s="1161"/>
      <c r="L103" s="1161"/>
      <c r="M103" s="1161"/>
      <c r="N103" s="1161"/>
      <c r="O103" s="1161"/>
      <c r="P103" s="1161"/>
      <c r="Q103" s="1161"/>
      <c r="R103" s="1161"/>
      <c r="S103" s="1161"/>
      <c r="T103" s="1161"/>
      <c r="U103" s="1161"/>
    </row>
    <row r="104" spans="1:21">
      <c r="A104" s="1161"/>
      <c r="B104" s="1392" t="s">
        <v>2107</v>
      </c>
      <c r="C104" s="1161"/>
      <c r="D104" s="1161"/>
      <c r="E104" s="1161"/>
      <c r="F104" s="1161"/>
      <c r="G104" s="1161"/>
      <c r="H104" s="1161"/>
      <c r="I104" s="1161"/>
      <c r="J104" s="1161"/>
      <c r="K104" s="1161"/>
      <c r="L104" s="1161"/>
      <c r="M104" s="1161"/>
      <c r="N104" s="1161"/>
      <c r="O104" s="1161"/>
      <c r="P104" s="1161"/>
      <c r="Q104" s="1161"/>
      <c r="R104" s="1161"/>
      <c r="S104" s="1161"/>
      <c r="T104" s="1161"/>
      <c r="U104" s="1161"/>
    </row>
    <row r="105" spans="1:21">
      <c r="A105" s="1161"/>
      <c r="B105" s="1392" t="s">
        <v>2108</v>
      </c>
      <c r="C105" s="1161"/>
      <c r="D105" s="1161"/>
      <c r="E105" s="1161"/>
      <c r="F105" s="1161"/>
      <c r="G105" s="1161"/>
      <c r="H105" s="1161"/>
      <c r="I105" s="1161"/>
      <c r="J105" s="1161"/>
      <c r="K105" s="1161"/>
      <c r="L105" s="1161"/>
      <c r="M105" s="1161"/>
      <c r="N105" s="1161"/>
      <c r="O105" s="1161"/>
      <c r="P105" s="1161"/>
      <c r="Q105" s="1161"/>
      <c r="R105" s="1161"/>
      <c r="S105" s="1161"/>
      <c r="T105" s="1161"/>
      <c r="U105" s="1161"/>
    </row>
    <row r="106" spans="1:21" ht="13.5" customHeight="1">
      <c r="A106" s="1161"/>
      <c r="B106" s="1161" t="s">
        <v>2109</v>
      </c>
      <c r="C106" s="1161"/>
      <c r="D106" s="1161"/>
      <c r="E106" s="1161"/>
      <c r="F106" s="1161"/>
      <c r="G106" s="1161"/>
      <c r="H106" s="1161"/>
      <c r="I106" s="1161"/>
      <c r="J106" s="1161"/>
      <c r="K106" s="1161"/>
      <c r="L106" s="1161"/>
      <c r="M106" s="1161"/>
      <c r="N106" s="1161"/>
      <c r="O106" s="1161"/>
      <c r="P106" s="1161"/>
      <c r="Q106" s="1161"/>
      <c r="R106" s="1161"/>
      <c r="S106" s="1161"/>
      <c r="T106" s="1161"/>
      <c r="U106" s="1161"/>
    </row>
    <row r="107" spans="1:21" ht="12.75" customHeight="1">
      <c r="A107" s="1161"/>
      <c r="B107" s="1392" t="s">
        <v>2110</v>
      </c>
      <c r="C107" s="1161"/>
      <c r="D107" s="1161"/>
      <c r="E107" s="1161"/>
      <c r="F107" s="1161"/>
      <c r="G107" s="1161"/>
      <c r="H107" s="1161"/>
      <c r="I107" s="1161"/>
      <c r="J107" s="1161"/>
      <c r="K107" s="1161"/>
      <c r="L107" s="1161"/>
      <c r="M107" s="1161"/>
      <c r="N107" s="1161"/>
      <c r="O107" s="1161"/>
      <c r="P107" s="1161"/>
      <c r="Q107" s="1161"/>
      <c r="R107" s="1161"/>
      <c r="S107" s="1161"/>
      <c r="T107" s="1161"/>
      <c r="U107" s="1161"/>
    </row>
    <row r="110" spans="1:21">
      <c r="A110" s="1161"/>
      <c r="B110" s="1161" t="s">
        <v>677</v>
      </c>
      <c r="C110" s="1396"/>
      <c r="D110" s="1161"/>
      <c r="E110" s="1161"/>
      <c r="F110" s="1161"/>
      <c r="G110" s="1161"/>
      <c r="H110" s="1161"/>
      <c r="I110" s="1161"/>
      <c r="J110" s="1161"/>
      <c r="K110" s="1161"/>
      <c r="L110" s="1161"/>
      <c r="M110" s="1161"/>
      <c r="N110" s="1161"/>
      <c r="O110" s="1161"/>
      <c r="P110" s="1161"/>
      <c r="Q110" s="1161"/>
      <c r="R110" s="1161"/>
      <c r="S110" s="1161"/>
      <c r="T110" s="1161"/>
      <c r="U110" s="1161"/>
    </row>
  </sheetData>
  <mergeCells count="2">
    <mergeCell ref="A7:A31"/>
    <mergeCell ref="A34:A42"/>
  </mergeCells>
  <pageMargins left="0.39370078740157483" right="0.47244094488188981" top="0.47244094488188981" bottom="0.31496062992125984" header="0.23622047244094491" footer="0.15748031496062992"/>
  <pageSetup paperSize="9" scale="63" orientation="landscape"/>
  <headerFooter alignWithMargins="0">
    <oddFooter>&amp;R&amp;8&amp;P/&amp;N</oddFooter>
  </headerFooter>
  <rowBreaks count="1" manualBreakCount="1">
    <brk id="58" max="16383" man="1"/>
  </rowBreaks>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C8BBE-BCC2-7B44-B956-BFBDB2396F0F}">
  <sheetPr>
    <pageSetUpPr fitToPage="1"/>
  </sheetPr>
  <dimension ref="A1:K54"/>
  <sheetViews>
    <sheetView topLeftCell="A26" zoomScaleNormal="100" workbookViewId="0">
      <selection activeCell="F3" sqref="F3:F4"/>
    </sheetView>
  </sheetViews>
  <sheetFormatPr baseColWidth="10" defaultColWidth="11.3984375" defaultRowHeight="13"/>
  <cols>
    <col min="1" max="1" width="15.796875" style="3" customWidth="1"/>
    <col min="2" max="2" width="12.796875" style="121" customWidth="1"/>
    <col min="3" max="3" width="11" style="121" customWidth="1"/>
    <col min="4" max="4" width="10.59765625" style="121" customWidth="1"/>
    <col min="5" max="6" width="11" style="121" customWidth="1"/>
    <col min="7" max="7" width="11.59765625" style="121" customWidth="1"/>
    <col min="8" max="8" width="11" style="121" customWidth="1"/>
    <col min="9" max="9" width="11.59765625" style="49" customWidth="1"/>
    <col min="10" max="10" width="9.59765625" style="121" customWidth="1"/>
    <col min="11" max="11" width="11" style="121" customWidth="1"/>
    <col min="12" max="13" width="4.59765625" style="3" customWidth="1"/>
    <col min="14" max="16384" width="11.3984375" style="3"/>
  </cols>
  <sheetData>
    <row r="1" spans="1:11" s="2" customFormat="1" ht="14" customHeight="1">
      <c r="A1" s="242"/>
      <c r="B1" s="1142"/>
      <c r="C1" s="1142"/>
      <c r="D1" s="1142"/>
      <c r="E1" s="1142"/>
      <c r="F1" s="1142"/>
      <c r="G1" s="1142"/>
      <c r="H1" s="1142"/>
      <c r="I1" s="1562"/>
      <c r="J1" s="1142"/>
      <c r="K1" s="1142"/>
    </row>
    <row r="2" spans="1:11" s="2" customFormat="1" ht="27" customHeight="1">
      <c r="A2" s="371" t="s">
        <v>2341</v>
      </c>
      <c r="B2" s="1142"/>
      <c r="C2" s="1142"/>
      <c r="D2" s="1142"/>
      <c r="E2" s="1142"/>
      <c r="F2" s="1142"/>
      <c r="G2" s="1142"/>
      <c r="H2" s="1142"/>
      <c r="I2" s="358">
        <v>2010</v>
      </c>
      <c r="J2" s="1142"/>
    </row>
    <row r="3" spans="1:11" ht="27" customHeight="1">
      <c r="A3" s="735" t="s">
        <v>203</v>
      </c>
      <c r="B3" s="1400" t="s">
        <v>1462</v>
      </c>
      <c r="C3" s="1539" t="s">
        <v>2342</v>
      </c>
      <c r="D3" s="1400" t="s">
        <v>2342</v>
      </c>
      <c r="E3" s="1539" t="s">
        <v>190</v>
      </c>
      <c r="F3" s="1400" t="s">
        <v>2324</v>
      </c>
      <c r="G3" s="1539" t="s">
        <v>1707</v>
      </c>
      <c r="H3" s="1563" t="s">
        <v>2343</v>
      </c>
      <c r="I3" s="1539" t="s">
        <v>2326</v>
      </c>
      <c r="J3" s="3"/>
      <c r="K3" s="3"/>
    </row>
    <row r="4" spans="1:11" ht="21.75" customHeight="1">
      <c r="A4" s="328"/>
      <c r="B4" s="1406" t="s">
        <v>2327</v>
      </c>
      <c r="C4" s="1416" t="s">
        <v>2344</v>
      </c>
      <c r="D4" s="1406" t="s">
        <v>2345</v>
      </c>
      <c r="E4" s="1416" t="s">
        <v>2346</v>
      </c>
      <c r="F4" s="1406" t="s">
        <v>2347</v>
      </c>
      <c r="G4" s="1416" t="s">
        <v>2330</v>
      </c>
      <c r="H4" s="1564" t="s">
        <v>2348</v>
      </c>
      <c r="I4" s="1416" t="s">
        <v>2331</v>
      </c>
      <c r="J4" s="3"/>
      <c r="K4" s="3"/>
    </row>
    <row r="5" spans="1:11" ht="20.25" customHeight="1">
      <c r="A5" s="328"/>
      <c r="B5" s="1406" t="s">
        <v>2332</v>
      </c>
      <c r="C5" s="1416" t="s">
        <v>2349</v>
      </c>
      <c r="D5" s="1406" t="s">
        <v>2350</v>
      </c>
      <c r="E5" s="1416" t="s">
        <v>2351</v>
      </c>
      <c r="F5" s="1406"/>
      <c r="G5" s="1416" t="s">
        <v>2352</v>
      </c>
      <c r="H5" s="1564" t="s">
        <v>2353</v>
      </c>
      <c r="I5" s="1416" t="s">
        <v>2354</v>
      </c>
      <c r="J5" s="3"/>
      <c r="K5" s="3"/>
    </row>
    <row r="6" spans="1:11" ht="19.5" customHeight="1">
      <c r="A6" s="328"/>
      <c r="B6" s="1406" t="s">
        <v>2335</v>
      </c>
      <c r="C6" s="1416" t="s">
        <v>2355</v>
      </c>
      <c r="D6" s="1406" t="s">
        <v>2356</v>
      </c>
      <c r="E6" s="1416" t="s">
        <v>2357</v>
      </c>
      <c r="F6" s="1406"/>
      <c r="G6" s="1416"/>
      <c r="H6" s="1564"/>
      <c r="I6" s="1416"/>
      <c r="J6" s="3"/>
      <c r="K6" s="3"/>
    </row>
    <row r="7" spans="1:11" ht="14.25" customHeight="1">
      <c r="A7" s="328"/>
      <c r="B7" s="440"/>
      <c r="C7" s="894"/>
      <c r="D7" s="440"/>
      <c r="E7" s="894"/>
      <c r="F7" s="440"/>
      <c r="G7" s="894"/>
      <c r="H7" s="440"/>
      <c r="I7" s="894"/>
      <c r="J7" s="3"/>
      <c r="K7" s="3"/>
    </row>
    <row r="8" spans="1:11" ht="30" customHeight="1" thickBot="1">
      <c r="A8" s="1448" t="s">
        <v>211</v>
      </c>
      <c r="B8" s="131">
        <v>1383881</v>
      </c>
      <c r="C8" s="130">
        <v>1312</v>
      </c>
      <c r="D8" s="131">
        <v>1980</v>
      </c>
      <c r="E8" s="130">
        <v>3292</v>
      </c>
      <c r="F8" s="1565">
        <v>2.378817253795666</v>
      </c>
      <c r="G8" s="104">
        <v>224</v>
      </c>
      <c r="H8" s="1566">
        <v>2</v>
      </c>
      <c r="I8" s="1567">
        <v>1.6186362844782174</v>
      </c>
      <c r="J8" s="3"/>
      <c r="K8" s="3"/>
    </row>
    <row r="9" spans="1:11" ht="18" customHeight="1" thickBot="1">
      <c r="A9" s="444" t="s">
        <v>212</v>
      </c>
      <c r="B9" s="133">
        <v>983631</v>
      </c>
      <c r="C9" s="132">
        <v>933</v>
      </c>
      <c r="D9" s="133">
        <v>1116</v>
      </c>
      <c r="E9" s="132">
        <v>2049</v>
      </c>
      <c r="F9" s="1568">
        <v>2.08309823500886</v>
      </c>
      <c r="G9" s="1569">
        <v>173</v>
      </c>
      <c r="H9" s="1570">
        <v>2</v>
      </c>
      <c r="I9" s="1571">
        <v>1.7587896274110921</v>
      </c>
      <c r="J9" s="3"/>
      <c r="K9" s="3"/>
    </row>
    <row r="10" spans="1:11" ht="18" customHeight="1" thickBot="1">
      <c r="A10" s="444" t="s">
        <v>213</v>
      </c>
      <c r="B10" s="133">
        <v>375223</v>
      </c>
      <c r="C10" s="132">
        <v>295</v>
      </c>
      <c r="D10" s="133">
        <v>281</v>
      </c>
      <c r="E10" s="132">
        <v>576</v>
      </c>
      <c r="F10" s="1568">
        <v>1.5350871348504755</v>
      </c>
      <c r="G10" s="1569">
        <v>34</v>
      </c>
      <c r="H10" s="1570">
        <v>1</v>
      </c>
      <c r="I10" s="1571">
        <v>0.90612782265479463</v>
      </c>
      <c r="J10" s="3"/>
      <c r="K10" s="3"/>
    </row>
    <row r="11" spans="1:11" ht="18" customHeight="1" thickBot="1">
      <c r="A11" s="444" t="s">
        <v>214</v>
      </c>
      <c r="B11" s="133">
        <v>34756</v>
      </c>
      <c r="C11" s="132">
        <v>25</v>
      </c>
      <c r="D11" s="133">
        <v>10</v>
      </c>
      <c r="E11" s="132">
        <v>35</v>
      </c>
      <c r="F11" s="1568">
        <v>1.0070203705834964</v>
      </c>
      <c r="G11" s="1569">
        <v>3</v>
      </c>
      <c r="H11" s="1570">
        <v>1</v>
      </c>
      <c r="I11" s="1571">
        <v>0.86316031764299694</v>
      </c>
      <c r="J11" s="3"/>
      <c r="K11" s="3"/>
    </row>
    <row r="12" spans="1:11" ht="18" customHeight="1" thickBot="1">
      <c r="A12" s="444" t="s">
        <v>215</v>
      </c>
      <c r="B12" s="133">
        <v>145231</v>
      </c>
      <c r="C12" s="132">
        <v>104</v>
      </c>
      <c r="D12" s="133">
        <v>85</v>
      </c>
      <c r="E12" s="132">
        <v>189</v>
      </c>
      <c r="F12" s="1568">
        <v>1.3013750507811692</v>
      </c>
      <c r="G12" s="1569">
        <v>12</v>
      </c>
      <c r="H12" s="1570">
        <v>1</v>
      </c>
      <c r="I12" s="1571">
        <v>0.82626987351185355</v>
      </c>
      <c r="J12" s="3"/>
      <c r="K12" s="3"/>
    </row>
    <row r="13" spans="1:11" ht="18" customHeight="1" thickBot="1">
      <c r="A13" s="444" t="s">
        <v>216</v>
      </c>
      <c r="B13" s="133">
        <v>35211</v>
      </c>
      <c r="C13" s="132">
        <v>27</v>
      </c>
      <c r="D13" s="133">
        <v>14</v>
      </c>
      <c r="E13" s="132">
        <v>41</v>
      </c>
      <c r="F13" s="1568">
        <v>1.1644088495072562</v>
      </c>
      <c r="G13" s="1569">
        <v>3</v>
      </c>
      <c r="H13" s="1570">
        <v>1</v>
      </c>
      <c r="I13" s="1571">
        <v>0.8520064752492118</v>
      </c>
      <c r="J13" s="3"/>
      <c r="K13" s="3"/>
    </row>
    <row r="14" spans="1:11" ht="18" customHeight="1" thickBot="1">
      <c r="A14" s="444" t="s">
        <v>217</v>
      </c>
      <c r="B14" s="133">
        <v>40250</v>
      </c>
      <c r="C14" s="132">
        <v>26</v>
      </c>
      <c r="D14" s="133">
        <v>23</v>
      </c>
      <c r="E14" s="132">
        <v>49</v>
      </c>
      <c r="F14" s="1568">
        <v>1.2173913043478259</v>
      </c>
      <c r="G14" s="1569">
        <v>3</v>
      </c>
      <c r="H14" s="1570">
        <v>1</v>
      </c>
      <c r="I14" s="1571">
        <v>0.74534161490683226</v>
      </c>
      <c r="J14" s="3"/>
      <c r="K14" s="3"/>
    </row>
    <row r="15" spans="1:11" ht="18" customHeight="1" thickBot="1">
      <c r="A15" s="444" t="s">
        <v>218</v>
      </c>
      <c r="B15" s="133">
        <v>38456</v>
      </c>
      <c r="C15" s="132">
        <v>34</v>
      </c>
      <c r="D15" s="133">
        <v>21</v>
      </c>
      <c r="E15" s="132">
        <v>55</v>
      </c>
      <c r="F15" s="1568">
        <v>1.4302059496567505</v>
      </c>
      <c r="G15" s="1569">
        <v>2</v>
      </c>
      <c r="H15" s="1570">
        <v>1</v>
      </c>
      <c r="I15" s="1571">
        <v>0.52007489078427294</v>
      </c>
      <c r="J15" s="3"/>
      <c r="K15" s="3"/>
    </row>
    <row r="16" spans="1:11" ht="18" customHeight="1" thickBot="1">
      <c r="A16" s="444" t="s">
        <v>219</v>
      </c>
      <c r="B16" s="133">
        <v>111931</v>
      </c>
      <c r="C16" s="132">
        <v>96</v>
      </c>
      <c r="D16" s="133">
        <v>132</v>
      </c>
      <c r="E16" s="132">
        <v>228</v>
      </c>
      <c r="F16" s="1568">
        <v>2.036969204241899</v>
      </c>
      <c r="G16" s="1569">
        <v>14</v>
      </c>
      <c r="H16" s="1570">
        <v>1</v>
      </c>
      <c r="I16" s="1571">
        <v>1.2507705640081836</v>
      </c>
      <c r="J16" s="3"/>
      <c r="K16" s="3"/>
    </row>
    <row r="17" spans="1:11" ht="18" customHeight="1" thickBot="1">
      <c r="A17" s="444" t="s">
        <v>220</v>
      </c>
      <c r="B17" s="133">
        <v>278622</v>
      </c>
      <c r="C17" s="132">
        <v>166</v>
      </c>
      <c r="D17" s="133">
        <v>219</v>
      </c>
      <c r="E17" s="132">
        <v>385</v>
      </c>
      <c r="F17" s="1568">
        <v>1.3818004321266806</v>
      </c>
      <c r="G17" s="1569">
        <v>70</v>
      </c>
      <c r="H17" s="1570">
        <v>2</v>
      </c>
      <c r="I17" s="1571">
        <v>2.5123644220485102</v>
      </c>
      <c r="J17" s="3"/>
      <c r="K17" s="3"/>
    </row>
    <row r="18" spans="1:11" ht="18" customHeight="1" thickBot="1">
      <c r="A18" s="444" t="s">
        <v>221</v>
      </c>
      <c r="B18" s="133">
        <v>253421</v>
      </c>
      <c r="C18" s="132">
        <v>225</v>
      </c>
      <c r="D18" s="133">
        <v>185</v>
      </c>
      <c r="E18" s="132">
        <v>410</v>
      </c>
      <c r="F18" s="1568">
        <v>1.6178611875101117</v>
      </c>
      <c r="G18" s="1569">
        <v>27</v>
      </c>
      <c r="H18" s="1570">
        <v>1</v>
      </c>
      <c r="I18" s="1571">
        <v>1.0654207820188539</v>
      </c>
      <c r="J18" s="3"/>
      <c r="K18" s="3"/>
    </row>
    <row r="19" spans="1:11" ht="18" customHeight="1" thickBot="1">
      <c r="A19" s="444" t="s">
        <v>222</v>
      </c>
      <c r="B19" s="133">
        <v>193653</v>
      </c>
      <c r="C19" s="132">
        <v>241</v>
      </c>
      <c r="D19" s="133">
        <v>516</v>
      </c>
      <c r="E19" s="132">
        <v>757</v>
      </c>
      <c r="F19" s="1568">
        <v>3.9090538230752947</v>
      </c>
      <c r="G19" s="1569">
        <v>73</v>
      </c>
      <c r="H19" s="1570">
        <v>3</v>
      </c>
      <c r="I19" s="1571">
        <v>3.7696291820937446</v>
      </c>
      <c r="J19" s="3"/>
      <c r="K19" s="3"/>
    </row>
    <row r="20" spans="1:11" ht="18" customHeight="1" thickBot="1">
      <c r="A20" s="444" t="s">
        <v>223</v>
      </c>
      <c r="B20" s="133">
        <v>272536</v>
      </c>
      <c r="C20" s="132">
        <v>246</v>
      </c>
      <c r="D20" s="133">
        <v>352</v>
      </c>
      <c r="E20" s="132">
        <v>598</v>
      </c>
      <c r="F20" s="1568">
        <v>2.1942055361493527</v>
      </c>
      <c r="G20" s="1569">
        <v>42</v>
      </c>
      <c r="H20" s="1570">
        <v>1</v>
      </c>
      <c r="I20" s="1571">
        <v>1.5410808113423546</v>
      </c>
      <c r="J20" s="3"/>
      <c r="K20" s="3"/>
    </row>
    <row r="21" spans="1:11" ht="18" customHeight="1" thickBot="1">
      <c r="A21" s="444" t="s">
        <v>224</v>
      </c>
      <c r="B21" s="133">
        <v>76118</v>
      </c>
      <c r="C21" s="132">
        <v>74</v>
      </c>
      <c r="D21" s="133">
        <v>68</v>
      </c>
      <c r="E21" s="132">
        <v>142</v>
      </c>
      <c r="F21" s="1568">
        <v>1.8655245802569693</v>
      </c>
      <c r="G21" s="1569">
        <v>13</v>
      </c>
      <c r="H21" s="1570">
        <v>2</v>
      </c>
      <c r="I21" s="1571">
        <v>1.7078746157282116</v>
      </c>
      <c r="J21" s="3"/>
      <c r="K21" s="3"/>
    </row>
    <row r="22" spans="1:11" ht="18" customHeight="1" thickBot="1">
      <c r="A22" s="444" t="s">
        <v>225</v>
      </c>
      <c r="B22" s="133">
        <v>52599</v>
      </c>
      <c r="C22" s="132">
        <v>46</v>
      </c>
      <c r="D22" s="133">
        <v>39</v>
      </c>
      <c r="E22" s="132">
        <v>85</v>
      </c>
      <c r="F22" s="1568">
        <v>1.6160003041882927</v>
      </c>
      <c r="G22" s="1569">
        <v>6</v>
      </c>
      <c r="H22" s="1570">
        <v>1</v>
      </c>
      <c r="I22" s="1571">
        <v>1.1407060970740888</v>
      </c>
      <c r="J22" s="3"/>
      <c r="K22" s="3"/>
    </row>
    <row r="23" spans="1:11" ht="18" customHeight="1" thickBot="1">
      <c r="A23" s="444" t="s">
        <v>226</v>
      </c>
      <c r="B23" s="133">
        <v>15813</v>
      </c>
      <c r="C23" s="132">
        <v>11</v>
      </c>
      <c r="D23" s="133">
        <v>5</v>
      </c>
      <c r="E23" s="132">
        <v>16</v>
      </c>
      <c r="F23" s="1568">
        <v>1.011825713020932</v>
      </c>
      <c r="G23" s="1569">
        <v>1</v>
      </c>
      <c r="H23" s="1570">
        <v>1</v>
      </c>
      <c r="I23" s="1571">
        <v>0.63239107063808253</v>
      </c>
      <c r="J23" s="3"/>
      <c r="K23" s="3"/>
    </row>
    <row r="24" spans="1:11" ht="18" customHeight="1" thickBot="1">
      <c r="A24" s="444" t="s">
        <v>227</v>
      </c>
      <c r="B24" s="133">
        <v>477290</v>
      </c>
      <c r="C24" s="132">
        <v>393</v>
      </c>
      <c r="D24" s="133">
        <v>404</v>
      </c>
      <c r="E24" s="132">
        <v>797</v>
      </c>
      <c r="F24" s="1568">
        <v>1.6698443294433154</v>
      </c>
      <c r="G24" s="1569">
        <v>51</v>
      </c>
      <c r="H24" s="1570">
        <v>1</v>
      </c>
      <c r="I24" s="1571">
        <v>1.0685327578620964</v>
      </c>
      <c r="J24" s="3"/>
      <c r="K24" s="3"/>
    </row>
    <row r="25" spans="1:11" ht="18" customHeight="1" thickBot="1">
      <c r="A25" s="444" t="s">
        <v>228</v>
      </c>
      <c r="B25" s="133">
        <v>195420</v>
      </c>
      <c r="C25" s="132">
        <v>196</v>
      </c>
      <c r="D25" s="133">
        <v>131</v>
      </c>
      <c r="E25" s="132">
        <v>327</v>
      </c>
      <c r="F25" s="1568">
        <v>1.6733190052195273</v>
      </c>
      <c r="G25" s="1569">
        <v>42</v>
      </c>
      <c r="H25" s="1570">
        <v>2</v>
      </c>
      <c r="I25" s="1571">
        <v>2.1492170709241631</v>
      </c>
      <c r="J25" s="3"/>
      <c r="K25" s="3"/>
    </row>
    <row r="26" spans="1:11" ht="18" customHeight="1" thickBot="1">
      <c r="A26" s="444" t="s">
        <v>229</v>
      </c>
      <c r="B26" s="133">
        <v>604429</v>
      </c>
      <c r="C26" s="132">
        <v>423</v>
      </c>
      <c r="D26" s="133">
        <v>531</v>
      </c>
      <c r="E26" s="132">
        <v>954</v>
      </c>
      <c r="F26" s="1568">
        <v>1.5783491526713642</v>
      </c>
      <c r="G26" s="1569">
        <v>115</v>
      </c>
      <c r="H26" s="1570">
        <v>2</v>
      </c>
      <c r="I26" s="1571">
        <v>1.9026221442055229</v>
      </c>
      <c r="J26" s="3"/>
      <c r="K26" s="3"/>
    </row>
    <row r="27" spans="1:11" ht="18" customHeight="1" thickBot="1">
      <c r="A27" s="444" t="s">
        <v>230</v>
      </c>
      <c r="B27" s="133">
        <v>246893</v>
      </c>
      <c r="C27" s="132">
        <v>185</v>
      </c>
      <c r="D27" s="133">
        <v>154</v>
      </c>
      <c r="E27" s="132">
        <v>339</v>
      </c>
      <c r="F27" s="1568">
        <v>1.3730644449214842</v>
      </c>
      <c r="G27" s="1569">
        <v>25</v>
      </c>
      <c r="H27" s="1570">
        <v>1</v>
      </c>
      <c r="I27" s="1571">
        <v>1.012584398909649</v>
      </c>
      <c r="J27" s="3"/>
      <c r="K27" s="3"/>
    </row>
    <row r="28" spans="1:11" ht="18" customHeight="1" thickBot="1">
      <c r="A28" s="444" t="s">
        <v>231</v>
      </c>
      <c r="B28" s="133">
        <v>335794</v>
      </c>
      <c r="C28" s="132">
        <v>287</v>
      </c>
      <c r="D28" s="133">
        <v>362</v>
      </c>
      <c r="E28" s="132">
        <v>649</v>
      </c>
      <c r="F28" s="1568">
        <v>1.9327325681816829</v>
      </c>
      <c r="G28" s="1569">
        <v>189</v>
      </c>
      <c r="H28" s="1570">
        <v>3</v>
      </c>
      <c r="I28" s="1571">
        <v>5.6284507763688456</v>
      </c>
      <c r="J28" s="3"/>
      <c r="K28" s="3"/>
    </row>
    <row r="29" spans="1:11" ht="18" customHeight="1" thickBot="1">
      <c r="A29" s="444" t="s">
        <v>232</v>
      </c>
      <c r="B29" s="133">
        <v>716565</v>
      </c>
      <c r="C29" s="132">
        <v>625</v>
      </c>
      <c r="D29" s="133">
        <v>1047</v>
      </c>
      <c r="E29" s="132">
        <v>1672</v>
      </c>
      <c r="F29" s="1568">
        <v>2.3333542665354852</v>
      </c>
      <c r="G29" s="1569">
        <v>247</v>
      </c>
      <c r="H29" s="1570">
        <v>3</v>
      </c>
      <c r="I29" s="1571">
        <v>3.4470006210183302</v>
      </c>
      <c r="J29" s="3"/>
      <c r="K29" s="3"/>
    </row>
    <row r="30" spans="1:11" ht="18" customHeight="1" thickBot="1">
      <c r="A30" s="444" t="s">
        <v>233</v>
      </c>
      <c r="B30" s="133">
        <v>309366</v>
      </c>
      <c r="C30" s="132">
        <v>229</v>
      </c>
      <c r="D30" s="133">
        <v>230</v>
      </c>
      <c r="E30" s="132">
        <v>459</v>
      </c>
      <c r="F30" s="1568">
        <v>1.4836795252225521</v>
      </c>
      <c r="G30" s="1569">
        <v>113</v>
      </c>
      <c r="H30" s="1570">
        <v>2</v>
      </c>
      <c r="I30" s="1571">
        <v>3.6526315108964784</v>
      </c>
      <c r="J30" s="3"/>
      <c r="K30" s="3"/>
    </row>
    <row r="31" spans="1:11" ht="18" customHeight="1" thickBot="1">
      <c r="A31" s="444" t="s">
        <v>234</v>
      </c>
      <c r="B31" s="133">
        <v>172407</v>
      </c>
      <c r="C31" s="132">
        <v>155</v>
      </c>
      <c r="D31" s="133">
        <v>182</v>
      </c>
      <c r="E31" s="132">
        <v>337</v>
      </c>
      <c r="F31" s="1568">
        <v>1.9546770142743621</v>
      </c>
      <c r="G31" s="1569">
        <v>58</v>
      </c>
      <c r="H31" s="1570">
        <v>3</v>
      </c>
      <c r="I31" s="1571">
        <v>3.3641325468223449</v>
      </c>
      <c r="J31" s="3"/>
      <c r="K31" s="3"/>
    </row>
    <row r="32" spans="1:11" ht="18" customHeight="1" thickBot="1">
      <c r="A32" s="444" t="s">
        <v>235</v>
      </c>
      <c r="B32" s="133">
        <v>459210</v>
      </c>
      <c r="C32" s="132">
        <v>511</v>
      </c>
      <c r="D32" s="133">
        <v>1035</v>
      </c>
      <c r="E32" s="132">
        <v>1546</v>
      </c>
      <c r="F32" s="1568">
        <v>3.366651423096187</v>
      </c>
      <c r="G32" s="1569">
        <v>173</v>
      </c>
      <c r="H32" s="1570">
        <v>3</v>
      </c>
      <c r="I32" s="1571">
        <v>3.7673395614207008</v>
      </c>
      <c r="J32" s="3"/>
      <c r="K32" s="3"/>
    </row>
    <row r="33" spans="1:11" ht="18" customHeight="1" thickBot="1">
      <c r="A33" s="444" t="s">
        <v>236</v>
      </c>
      <c r="B33" s="133">
        <v>68865</v>
      </c>
      <c r="C33" s="132">
        <v>48</v>
      </c>
      <c r="D33" s="133">
        <v>52</v>
      </c>
      <c r="E33" s="132">
        <v>100</v>
      </c>
      <c r="F33" s="1568">
        <v>1.4521164597400711</v>
      </c>
      <c r="G33" s="1569">
        <v>20</v>
      </c>
      <c r="H33" s="1570">
        <v>2</v>
      </c>
      <c r="I33" s="1571">
        <v>2.9042329194801422</v>
      </c>
      <c r="J33" s="3"/>
      <c r="K33" s="3"/>
    </row>
    <row r="34" spans="1:11" ht="30" customHeight="1" thickBot="1">
      <c r="A34" s="447" t="s">
        <v>0</v>
      </c>
      <c r="B34" s="435">
        <v>7877571</v>
      </c>
      <c r="C34" s="436">
        <v>6913</v>
      </c>
      <c r="D34" s="435">
        <v>9174</v>
      </c>
      <c r="E34" s="436">
        <v>16087</v>
      </c>
      <c r="F34" s="1572">
        <v>2.0421269449681887</v>
      </c>
      <c r="G34" s="1538">
        <v>1733</v>
      </c>
      <c r="H34" s="1573" t="s">
        <v>35</v>
      </c>
      <c r="I34" s="1574">
        <v>2.1999167002112707</v>
      </c>
      <c r="J34" s="96"/>
      <c r="K34" s="96"/>
    </row>
    <row r="35" spans="1:11" ht="17.5" customHeight="1">
      <c r="A35" s="1146" t="s">
        <v>2369</v>
      </c>
      <c r="B35" s="1147"/>
      <c r="C35" s="1147"/>
      <c r="D35" s="1147"/>
      <c r="E35" s="1147"/>
      <c r="F35" s="1147"/>
      <c r="G35" s="1147"/>
      <c r="H35" s="1147"/>
      <c r="I35" s="1551"/>
      <c r="J35" s="1024"/>
      <c r="K35" s="1024"/>
    </row>
    <row r="36" spans="1:11" ht="13.75" customHeight="1">
      <c r="A36" s="1159"/>
      <c r="B36" s="1024"/>
      <c r="C36" s="1024"/>
      <c r="D36" s="1024"/>
      <c r="E36" s="1024"/>
      <c r="F36" s="1024"/>
      <c r="G36" s="1024"/>
      <c r="H36" s="1024"/>
      <c r="I36" s="1552"/>
      <c r="J36" s="1024"/>
      <c r="K36" s="1024"/>
    </row>
    <row r="37" spans="1:11" ht="12" customHeight="1">
      <c r="A37" s="96" t="s">
        <v>2358</v>
      </c>
      <c r="B37" s="1024"/>
      <c r="C37" s="1024"/>
      <c r="D37" s="1024"/>
      <c r="E37" s="1024"/>
      <c r="F37" s="1024"/>
      <c r="G37" s="1024"/>
      <c r="H37" s="1024"/>
      <c r="I37" s="1552"/>
      <c r="J37" s="1024"/>
      <c r="K37" s="1024"/>
    </row>
    <row r="38" spans="1:11" ht="12" customHeight="1">
      <c r="A38" s="96" t="s">
        <v>2359</v>
      </c>
      <c r="B38" s="1024"/>
      <c r="C38" s="1024"/>
      <c r="D38" s="1024"/>
      <c r="E38" s="1024"/>
      <c r="F38" s="1024"/>
      <c r="G38" s="1024"/>
      <c r="H38" s="1024"/>
      <c r="I38" s="1552"/>
      <c r="J38" s="1024"/>
      <c r="K38" s="1024"/>
    </row>
    <row r="39" spans="1:11" ht="13.75" customHeight="1">
      <c r="A39" s="1159" t="s">
        <v>2360</v>
      </c>
      <c r="B39" s="1024"/>
      <c r="C39" s="1024"/>
      <c r="D39" s="1024"/>
      <c r="E39" s="1024"/>
      <c r="F39" s="1024"/>
      <c r="G39" s="1024"/>
      <c r="H39" s="1024"/>
      <c r="I39" s="1552"/>
      <c r="J39" s="1024"/>
      <c r="K39" s="1024"/>
    </row>
    <row r="40" spans="1:11" ht="12" customHeight="1">
      <c r="A40" s="1159" t="s">
        <v>2361</v>
      </c>
      <c r="B40" s="1024"/>
      <c r="C40" s="1024"/>
      <c r="D40" s="1024"/>
      <c r="E40" s="1024"/>
      <c r="F40" s="1024"/>
      <c r="G40" s="1024"/>
      <c r="H40" s="1024"/>
      <c r="I40" s="1552"/>
      <c r="J40" s="1024"/>
      <c r="K40" s="1024"/>
    </row>
    <row r="41" spans="1:11" ht="12" customHeight="1">
      <c r="A41" s="1159" t="s">
        <v>2362</v>
      </c>
      <c r="B41" s="1024"/>
      <c r="C41" s="1024"/>
      <c r="D41" s="1024"/>
      <c r="E41" s="1024"/>
      <c r="F41" s="1024"/>
      <c r="G41" s="1024"/>
      <c r="H41" s="1024"/>
      <c r="I41" s="1552"/>
      <c r="J41" s="1024"/>
      <c r="K41" s="1024"/>
    </row>
    <row r="42" spans="1:11" ht="13.75" customHeight="1">
      <c r="A42" s="1159" t="s">
        <v>2363</v>
      </c>
      <c r="B42" s="1024"/>
      <c r="C42" s="1024"/>
      <c r="D42" s="1024"/>
      <c r="E42" s="1024"/>
      <c r="F42" s="1024"/>
      <c r="G42" s="1024"/>
      <c r="H42" s="1024"/>
      <c r="I42" s="1552"/>
      <c r="J42" s="1024"/>
      <c r="K42" s="1024"/>
    </row>
    <row r="43" spans="1:11" ht="13.25" customHeight="1">
      <c r="A43" s="1159" t="s">
        <v>2337</v>
      </c>
      <c r="B43" s="1024"/>
      <c r="C43" s="1024"/>
      <c r="D43" s="1024"/>
      <c r="E43" s="1024"/>
      <c r="F43" s="1024"/>
      <c r="G43" s="1024"/>
      <c r="H43" s="1024"/>
      <c r="I43" s="1552"/>
      <c r="J43" s="1024"/>
      <c r="K43" s="1024"/>
    </row>
    <row r="44" spans="1:11" ht="12.5" customHeight="1">
      <c r="A44" s="1159" t="s">
        <v>2364</v>
      </c>
      <c r="B44" s="1024"/>
      <c r="C44" s="1024"/>
      <c r="D44" s="1024"/>
      <c r="E44" s="1024"/>
      <c r="F44" s="1024"/>
      <c r="G44" s="1024"/>
      <c r="H44" s="1024"/>
      <c r="I44" s="1552"/>
      <c r="J44" s="1024"/>
      <c r="K44" s="1024"/>
    </row>
    <row r="45" spans="1:11" ht="12" customHeight="1">
      <c r="A45" s="1159" t="s">
        <v>2365</v>
      </c>
      <c r="B45" s="1024"/>
      <c r="C45" s="1024"/>
      <c r="D45" s="1024"/>
      <c r="E45" s="1024"/>
      <c r="F45" s="1024"/>
      <c r="G45" s="1024"/>
      <c r="H45" s="1024"/>
      <c r="I45" s="1552"/>
      <c r="J45" s="1024"/>
      <c r="K45" s="1024"/>
    </row>
    <row r="46" spans="1:11" ht="13.75" customHeight="1">
      <c r="A46" s="1159" t="s">
        <v>2366</v>
      </c>
      <c r="B46" s="1024"/>
      <c r="C46" s="1024"/>
      <c r="D46" s="1024"/>
      <c r="E46" s="1024"/>
      <c r="F46" s="1024"/>
      <c r="G46" s="1024"/>
      <c r="H46" s="1024"/>
      <c r="I46" s="1552"/>
      <c r="J46" s="1024"/>
      <c r="K46" s="1024"/>
    </row>
    <row r="47" spans="1:11" ht="13.75" customHeight="1">
      <c r="A47" s="1159" t="s">
        <v>2367</v>
      </c>
      <c r="B47" s="1024"/>
      <c r="C47" s="1024"/>
      <c r="D47" s="1024"/>
      <c r="E47" s="1024"/>
      <c r="F47" s="1024"/>
      <c r="G47" s="1024"/>
      <c r="H47" s="1024"/>
      <c r="I47" s="1552"/>
      <c r="J47" s="1024"/>
      <c r="K47" s="1024"/>
    </row>
    <row r="48" spans="1:11" ht="12" customHeight="1">
      <c r="A48" s="1148" t="s">
        <v>2368</v>
      </c>
      <c r="B48" s="1024"/>
      <c r="C48" s="1024"/>
      <c r="D48" s="1024"/>
      <c r="E48" s="1024"/>
      <c r="F48" s="1024"/>
      <c r="G48" s="1024"/>
      <c r="H48" s="1024"/>
      <c r="I48" s="1552"/>
      <c r="J48" s="1024"/>
      <c r="K48" s="1024"/>
    </row>
    <row r="49" spans="1:11" ht="12" customHeight="1">
      <c r="A49" s="1159"/>
      <c r="B49" s="1024"/>
      <c r="C49" s="1024"/>
      <c r="D49" s="1024"/>
      <c r="E49" s="1024"/>
      <c r="F49" s="1024"/>
      <c r="G49" s="1024"/>
      <c r="H49" s="1024"/>
      <c r="I49" s="1552"/>
      <c r="J49" s="1024"/>
      <c r="K49" s="1024"/>
    </row>
    <row r="50" spans="1:11" ht="12" customHeight="1">
      <c r="A50" s="1159"/>
      <c r="B50" s="1024"/>
      <c r="C50" s="1024"/>
      <c r="D50" s="1024"/>
      <c r="E50" s="1024"/>
      <c r="F50" s="1024"/>
      <c r="G50" s="1024"/>
      <c r="H50" s="1024"/>
      <c r="I50" s="1552"/>
      <c r="J50" s="1024"/>
      <c r="K50" s="1024"/>
    </row>
    <row r="51" spans="1:11" ht="12" customHeight="1">
      <c r="A51" s="1159" t="s">
        <v>677</v>
      </c>
      <c r="B51" s="1024"/>
      <c r="C51" s="1024"/>
      <c r="D51" s="1024"/>
      <c r="E51" s="1024"/>
      <c r="F51" s="1024"/>
      <c r="G51" s="1024"/>
      <c r="H51" s="1024"/>
      <c r="I51" s="1552"/>
      <c r="J51" s="1024"/>
      <c r="K51" s="1024"/>
    </row>
    <row r="52" spans="1:11" ht="12" customHeight="1">
      <c r="A52" s="1159"/>
      <c r="B52" s="1024"/>
      <c r="C52" s="1024"/>
      <c r="D52" s="1024"/>
      <c r="E52" s="1024"/>
      <c r="F52" s="1024"/>
      <c r="G52" s="1024"/>
      <c r="H52" s="1024"/>
      <c r="I52" s="1552"/>
      <c r="J52" s="1024"/>
      <c r="K52" s="1024"/>
    </row>
    <row r="53" spans="1:11" ht="12" customHeight="1">
      <c r="A53" s="1148"/>
      <c r="B53" s="1149"/>
      <c r="C53" s="1149"/>
      <c r="D53" s="1149"/>
      <c r="E53" s="1149"/>
      <c r="F53" s="1149"/>
      <c r="G53" s="1149"/>
      <c r="H53" s="1149"/>
      <c r="I53" s="1575"/>
      <c r="J53" s="1149"/>
      <c r="K53" s="1149"/>
    </row>
    <row r="54" spans="1:11">
      <c r="A54" s="324"/>
      <c r="B54" s="1576"/>
      <c r="C54" s="1576"/>
      <c r="D54" s="1576"/>
      <c r="E54" s="1576"/>
      <c r="F54" s="1576"/>
      <c r="G54" s="1576"/>
      <c r="H54" s="1576"/>
      <c r="I54" s="1003"/>
      <c r="J54" s="1576"/>
      <c r="K54" s="1576"/>
    </row>
  </sheetData>
  <pageMargins left="0.43307086614173229" right="0.43307086614173229" top="0.74803149606299213" bottom="0.47244094488188981" header="0.47244094488188981" footer="0.51181102362204722"/>
  <pageSetup paperSize="9" scale="82" orientation="portrait" horizontalDpi="1200" verticalDpi="1200"/>
  <headerFooter alignWithMargins="0"/>
  <drawing r:id="rId1"/>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07697-B1A8-E643-9F4D-E7D023D65796}">
  <sheetPr>
    <pageSetUpPr fitToPage="1"/>
  </sheetPr>
  <dimension ref="A1:N42"/>
  <sheetViews>
    <sheetView topLeftCell="A7" zoomScaleNormal="100" workbookViewId="0">
      <selection activeCell="A29" sqref="A29"/>
    </sheetView>
  </sheetViews>
  <sheetFormatPr baseColWidth="10" defaultColWidth="11.3984375" defaultRowHeight="13"/>
  <cols>
    <col min="1" max="1" width="12.59765625" style="3" customWidth="1"/>
    <col min="2" max="2" width="13.796875" style="121" customWidth="1"/>
    <col min="3" max="3" width="14.19921875" style="121" customWidth="1"/>
    <col min="4" max="5" width="11.59765625" style="121" customWidth="1"/>
    <col min="6" max="6" width="14" style="121" customWidth="1"/>
    <col min="7" max="8" width="11.59765625" style="121" customWidth="1"/>
    <col min="9" max="9" width="14.3984375" style="121" customWidth="1"/>
    <col min="10" max="10" width="7.19921875" style="3" customWidth="1"/>
    <col min="11" max="16384" width="11.3984375" style="3"/>
  </cols>
  <sheetData>
    <row r="1" spans="1:9" s="2" customFormat="1" ht="14" customHeight="1">
      <c r="A1" s="242"/>
      <c r="B1" s="1142"/>
      <c r="C1" s="1142"/>
      <c r="D1" s="1142"/>
      <c r="E1" s="1142"/>
      <c r="F1" s="1142"/>
      <c r="G1" s="1142"/>
      <c r="H1" s="1142"/>
      <c r="I1" s="1142"/>
    </row>
    <row r="2" spans="1:9" s="2" customFormat="1" ht="25.75" customHeight="1">
      <c r="A2" s="1812" t="s">
        <v>2323</v>
      </c>
      <c r="B2" s="1811"/>
      <c r="C2" s="1811"/>
      <c r="D2" s="1811"/>
      <c r="E2" s="1811"/>
      <c r="F2" s="1811"/>
      <c r="G2" s="1811"/>
      <c r="H2" s="1811"/>
      <c r="I2" s="1811"/>
    </row>
    <row r="3" spans="1:9" ht="27" customHeight="1">
      <c r="A3" s="72" t="s">
        <v>695</v>
      </c>
      <c r="B3" s="73" t="s">
        <v>1462</v>
      </c>
      <c r="C3" s="277" t="s">
        <v>585</v>
      </c>
      <c r="D3" s="73" t="s">
        <v>1707</v>
      </c>
      <c r="E3" s="1539" t="s">
        <v>2324</v>
      </c>
      <c r="F3" s="299" t="s">
        <v>2325</v>
      </c>
      <c r="G3" s="74" t="s">
        <v>1707</v>
      </c>
      <c r="H3" s="73" t="s">
        <v>2326</v>
      </c>
      <c r="I3" s="277" t="s">
        <v>2325</v>
      </c>
    </row>
    <row r="4" spans="1:9" ht="17.25" customHeight="1">
      <c r="A4" s="328"/>
      <c r="B4" s="440" t="s">
        <v>2327</v>
      </c>
      <c r="C4" s="1554" t="s">
        <v>586</v>
      </c>
      <c r="D4" s="76" t="s">
        <v>2328</v>
      </c>
      <c r="E4" s="1540" t="s">
        <v>2329</v>
      </c>
      <c r="F4" s="78" t="s">
        <v>586</v>
      </c>
      <c r="G4" s="77" t="s">
        <v>2330</v>
      </c>
      <c r="H4" s="76" t="s">
        <v>2331</v>
      </c>
      <c r="I4" s="75" t="s">
        <v>586</v>
      </c>
    </row>
    <row r="5" spans="1:9" ht="18.75" customHeight="1">
      <c r="A5" s="328"/>
      <c r="B5" s="440" t="s">
        <v>2332</v>
      </c>
      <c r="C5" s="1554" t="s">
        <v>210</v>
      </c>
      <c r="D5" s="440"/>
      <c r="E5" s="894"/>
      <c r="F5" s="1555" t="s">
        <v>210</v>
      </c>
      <c r="G5" s="77" t="s">
        <v>2333</v>
      </c>
      <c r="H5" s="440" t="s">
        <v>2334</v>
      </c>
      <c r="I5" s="75" t="s">
        <v>210</v>
      </c>
    </row>
    <row r="6" spans="1:9" ht="21" customHeight="1">
      <c r="A6" s="263"/>
      <c r="B6" s="82" t="s">
        <v>2335</v>
      </c>
      <c r="C6" s="79"/>
      <c r="D6" s="82"/>
      <c r="E6" s="81"/>
      <c r="F6" s="80"/>
      <c r="G6" s="81"/>
      <c r="H6" s="82"/>
      <c r="I6" s="79"/>
    </row>
    <row r="7" spans="1:9" ht="1.5" customHeight="1" thickBot="1">
      <c r="A7" s="441">
        <v>1996</v>
      </c>
      <c r="B7" s="123">
        <v>7105446</v>
      </c>
      <c r="C7" s="309">
        <v>3.459706242723432E-3</v>
      </c>
      <c r="D7" s="123">
        <v>12711</v>
      </c>
      <c r="E7" s="1556">
        <v>1.7889095209505499</v>
      </c>
      <c r="F7" s="300">
        <v>2.7595951533686547E-2</v>
      </c>
      <c r="G7" s="124">
        <v>1649</v>
      </c>
      <c r="H7" s="1557">
        <v>2.3207550940503947</v>
      </c>
      <c r="I7" s="309">
        <v>1.4104900491136441E-3</v>
      </c>
    </row>
    <row r="8" spans="1:9" ht="0.75" customHeight="1" thickBot="1">
      <c r="A8" s="444">
        <v>1997</v>
      </c>
      <c r="B8" s="133">
        <v>7113565</v>
      </c>
      <c r="C8" s="452">
        <v>1.142644670017899E-3</v>
      </c>
      <c r="D8" s="133">
        <v>13038</v>
      </c>
      <c r="E8" s="1558">
        <v>1.8328362782936545</v>
      </c>
      <c r="F8" s="301">
        <v>2.4555046987375651E-2</v>
      </c>
      <c r="G8" s="132">
        <v>1651</v>
      </c>
      <c r="H8" s="1559">
        <v>2.3209178520193463</v>
      </c>
      <c r="I8" s="452">
        <v>7.0131471161527514E-5</v>
      </c>
    </row>
    <row r="9" spans="1:9" ht="18" hidden="1" customHeight="1" thickBot="1">
      <c r="A9" s="444">
        <v>1998</v>
      </c>
      <c r="B9" s="133">
        <v>7131888</v>
      </c>
      <c r="C9" s="452">
        <v>2.5757830286220764E-3</v>
      </c>
      <c r="D9" s="133">
        <v>13357</v>
      </c>
      <c r="E9" s="1558">
        <v>1.8728561076674226</v>
      </c>
      <c r="F9" s="301">
        <v>2.1834917743458249E-2</v>
      </c>
      <c r="G9" s="132">
        <v>1653</v>
      </c>
      <c r="H9" s="1559">
        <v>2.3177593366581193</v>
      </c>
      <c r="I9" s="452">
        <v>-1.3608906314710456E-3</v>
      </c>
    </row>
    <row r="10" spans="1:9" ht="18" hidden="1" customHeight="1" thickBot="1">
      <c r="A10" s="444">
        <v>1999</v>
      </c>
      <c r="B10" s="133">
        <v>7166738</v>
      </c>
      <c r="C10" s="452">
        <v>4.8865041066264644E-3</v>
      </c>
      <c r="D10" s="133">
        <v>13622</v>
      </c>
      <c r="E10" s="1558">
        <v>1.9007252671996662</v>
      </c>
      <c r="F10" s="301">
        <v>1.4880566327625466E-2</v>
      </c>
      <c r="G10" s="132">
        <v>1654</v>
      </c>
      <c r="H10" s="1559">
        <v>2.3078840052475758</v>
      </c>
      <c r="I10" s="452">
        <v>-4.260723386743992E-3</v>
      </c>
    </row>
    <row r="11" spans="1:9" ht="18" customHeight="1" thickBot="1">
      <c r="A11" s="444">
        <v>2000</v>
      </c>
      <c r="B11" s="133">
        <v>7209042</v>
      </c>
      <c r="C11" s="452">
        <v>5.9028249672305588E-3</v>
      </c>
      <c r="D11" s="133">
        <v>13935</v>
      </c>
      <c r="E11" s="1558">
        <v>1.9329891544535323</v>
      </c>
      <c r="F11" s="301">
        <v>1.6974513787255674E-2</v>
      </c>
      <c r="G11" s="132">
        <v>1664</v>
      </c>
      <c r="H11" s="1559">
        <v>2.3082123810625603</v>
      </c>
      <c r="I11" s="452">
        <v>1.4228436708174641E-4</v>
      </c>
    </row>
    <row r="12" spans="1:9" ht="18" customHeight="1" thickBot="1">
      <c r="A12" s="444">
        <v>2001</v>
      </c>
      <c r="B12" s="133">
        <v>7260339</v>
      </c>
      <c r="C12" s="452">
        <v>7.1156472663080617E-3</v>
      </c>
      <c r="D12" s="133">
        <v>14178</v>
      </c>
      <c r="E12" s="1558">
        <v>1.952801377456342</v>
      </c>
      <c r="F12" s="301">
        <v>1.0249526210306614E-2</v>
      </c>
      <c r="G12" s="132">
        <v>1653</v>
      </c>
      <c r="H12" s="1559">
        <v>2.2767531929294211</v>
      </c>
      <c r="I12" s="452">
        <v>-1.362924330154458E-2</v>
      </c>
    </row>
    <row r="13" spans="1:9" ht="18" customHeight="1" thickBot="1">
      <c r="A13" s="444">
        <v>2002</v>
      </c>
      <c r="B13" s="133">
        <v>7347770</v>
      </c>
      <c r="C13" s="452">
        <v>1.2042275160980775E-2</v>
      </c>
      <c r="D13" s="133">
        <v>14408</v>
      </c>
      <c r="E13" s="1558">
        <v>1.9608670385708864</v>
      </c>
      <c r="F13" s="301">
        <v>4.1303028601149538E-3</v>
      </c>
      <c r="G13" s="132">
        <v>1648</v>
      </c>
      <c r="H13" s="1559">
        <v>2.2428573567218355</v>
      </c>
      <c r="I13" s="452">
        <v>-1.4887795617395394E-2</v>
      </c>
    </row>
    <row r="14" spans="1:9" ht="18" customHeight="1" thickBot="1">
      <c r="A14" s="444">
        <v>2003</v>
      </c>
      <c r="B14" s="133">
        <v>7405051</v>
      </c>
      <c r="C14" s="452">
        <v>7.7956985588824908E-3</v>
      </c>
      <c r="D14" s="133">
        <v>14879</v>
      </c>
      <c r="E14" s="1558">
        <v>2.0093041898023394</v>
      </c>
      <c r="F14" s="301">
        <v>2.4701904962793897E-2</v>
      </c>
      <c r="G14" s="132">
        <v>1653</v>
      </c>
      <c r="H14" s="1559">
        <v>2.2322601154266191</v>
      </c>
      <c r="I14" s="452">
        <v>-4.7248842033830174E-3</v>
      </c>
    </row>
    <row r="15" spans="1:9" ht="18" customHeight="1" thickBot="1">
      <c r="A15" s="444">
        <v>2004</v>
      </c>
      <c r="B15" s="133">
        <v>7454112</v>
      </c>
      <c r="C15" s="452">
        <v>6.6253426208678374E-3</v>
      </c>
      <c r="D15" s="133">
        <v>15199</v>
      </c>
      <c r="E15" s="1558">
        <v>2.03900880480465</v>
      </c>
      <c r="F15" s="301">
        <v>1.4783533102189272E-2</v>
      </c>
      <c r="G15" s="132">
        <v>1656</v>
      </c>
      <c r="H15" s="1559">
        <v>2.2215925921155999</v>
      </c>
      <c r="I15" s="452">
        <v>-4.7787994048267279E-3</v>
      </c>
    </row>
    <row r="16" spans="1:9" ht="18" customHeight="1" thickBot="1">
      <c r="A16" s="444">
        <v>2005</v>
      </c>
      <c r="B16" s="133">
        <v>7501255</v>
      </c>
      <c r="C16" s="452">
        <v>6.3244287180015402E-3</v>
      </c>
      <c r="D16" s="133">
        <v>15313</v>
      </c>
      <c r="E16" s="1558">
        <v>2.0413917404487649</v>
      </c>
      <c r="F16" s="301">
        <v>1.1686735429978778E-3</v>
      </c>
      <c r="G16" s="132">
        <v>1672</v>
      </c>
      <c r="H16" s="1559">
        <v>2.2289603539674361</v>
      </c>
      <c r="I16" s="452">
        <v>3.3164324899102038E-3</v>
      </c>
    </row>
    <row r="17" spans="1:14" ht="18" customHeight="1" thickBot="1">
      <c r="A17" s="444">
        <v>2006</v>
      </c>
      <c r="B17" s="133">
        <v>7557609</v>
      </c>
      <c r="C17" s="452">
        <v>7.5126095566675488E-3</v>
      </c>
      <c r="D17" s="133">
        <v>15532</v>
      </c>
      <c r="E17" s="1558">
        <v>2.0551473356189769</v>
      </c>
      <c r="F17" s="301">
        <v>6.7383417389490496E-3</v>
      </c>
      <c r="G17" s="132">
        <v>1692</v>
      </c>
      <c r="H17" s="1559">
        <v>2.2388033040608479</v>
      </c>
      <c r="I17" s="452">
        <v>4.415937715487761E-3</v>
      </c>
    </row>
    <row r="18" spans="1:14" ht="18" customHeight="1" thickBot="1">
      <c r="A18" s="444">
        <v>2007</v>
      </c>
      <c r="B18" s="133">
        <v>7618599</v>
      </c>
      <c r="C18" s="452">
        <v>8.0700126190704768E-3</v>
      </c>
      <c r="D18" s="133">
        <v>15588</v>
      </c>
      <c r="E18" s="1558">
        <v>2.0460454737150493</v>
      </c>
      <c r="F18" s="301">
        <v>-4.4288123513958055E-3</v>
      </c>
      <c r="G18" s="132">
        <v>1700</v>
      </c>
      <c r="H18" s="1559">
        <v>2.2313813865252654</v>
      </c>
      <c r="I18" s="452">
        <v>-3.3151271137219496E-3</v>
      </c>
    </row>
    <row r="19" spans="1:14" ht="18" customHeight="1" thickBot="1">
      <c r="A19" s="444">
        <v>2008</v>
      </c>
      <c r="B19" s="133">
        <v>7711056</v>
      </c>
      <c r="C19" s="452">
        <v>1.2135695814939229E-2</v>
      </c>
      <c r="D19" s="133">
        <v>15090</v>
      </c>
      <c r="E19" s="1558">
        <v>1.9569304126438714</v>
      </c>
      <c r="F19" s="301">
        <v>-4.3554780290083084E-2</v>
      </c>
      <c r="G19" s="132">
        <v>1721</v>
      </c>
      <c r="H19" s="1559">
        <v>2.2318603314513603</v>
      </c>
      <c r="I19" s="452">
        <v>2.1464054911768393E-4</v>
      </c>
    </row>
    <row r="20" spans="1:14" ht="18" customHeight="1" thickBot="1">
      <c r="A20" s="444">
        <v>2009</v>
      </c>
      <c r="B20" s="133">
        <v>7801278</v>
      </c>
      <c r="C20" s="452">
        <v>1.1700342988042012E-2</v>
      </c>
      <c r="D20" s="133">
        <v>15912</v>
      </c>
      <c r="E20" s="1558">
        <v>2.0396658086021291</v>
      </c>
      <c r="F20" s="301">
        <v>4.2278149199224568E-2</v>
      </c>
      <c r="G20" s="132">
        <v>1731</v>
      </c>
      <c r="H20" s="1559">
        <v>2.2188672163714713</v>
      </c>
      <c r="I20" s="452">
        <v>-5.821652411125422E-3</v>
      </c>
    </row>
    <row r="21" spans="1:14" ht="25.75" customHeight="1" thickBot="1">
      <c r="A21" s="447">
        <v>2010</v>
      </c>
      <c r="B21" s="435">
        <v>7877571</v>
      </c>
      <c r="C21" s="413">
        <v>9.7795515042535808E-3</v>
      </c>
      <c r="D21" s="435">
        <v>16087</v>
      </c>
      <c r="E21" s="1560">
        <v>2.0421269449681887</v>
      </c>
      <c r="F21" s="412">
        <v>1.2066370655821057E-3</v>
      </c>
      <c r="G21" s="436">
        <v>1733</v>
      </c>
      <c r="H21" s="1561">
        <v>2.1999167002112707</v>
      </c>
      <c r="I21" s="413">
        <v>-8.5406265054429609E-3</v>
      </c>
    </row>
    <row r="22" spans="1:14" ht="20" customHeight="1">
      <c r="A22" s="1146" t="s">
        <v>2369</v>
      </c>
      <c r="B22" s="1147"/>
      <c r="C22" s="1147"/>
      <c r="D22" s="1147"/>
      <c r="E22" s="1147"/>
      <c r="F22" s="1147"/>
      <c r="G22" s="1147"/>
      <c r="H22" s="1147"/>
      <c r="I22" s="1147"/>
    </row>
    <row r="23" spans="1:14" ht="17.25" customHeight="1">
      <c r="A23" s="1159"/>
      <c r="B23" s="1024"/>
      <c r="C23" s="1024"/>
      <c r="D23" s="1024"/>
      <c r="E23" s="1024"/>
      <c r="F23" s="1024"/>
      <c r="G23" s="1024"/>
      <c r="H23" s="1024"/>
      <c r="I23" s="1024"/>
    </row>
    <row r="24" spans="1:14" ht="12" customHeight="1">
      <c r="A24" s="1159" t="s">
        <v>2336</v>
      </c>
      <c r="B24" s="1024"/>
      <c r="C24" s="1024"/>
      <c r="D24" s="1024"/>
      <c r="E24" s="1024"/>
      <c r="F24" s="1024"/>
      <c r="G24" s="1024"/>
      <c r="H24" s="1024"/>
      <c r="I24" s="1024"/>
    </row>
    <row r="25" spans="1:14" ht="13.75" customHeight="1">
      <c r="A25" s="1159" t="s">
        <v>2337</v>
      </c>
      <c r="B25" s="1024"/>
      <c r="C25" s="1024"/>
      <c r="D25" s="1024"/>
      <c r="E25" s="1024"/>
      <c r="F25" s="1024"/>
      <c r="G25" s="1024"/>
      <c r="H25" s="1024"/>
      <c r="I25" s="1024"/>
    </row>
    <row r="26" spans="1:14" ht="14.5" customHeight="1">
      <c r="A26" s="138" t="s">
        <v>2338</v>
      </c>
      <c r="B26" s="1024"/>
      <c r="C26" s="1024"/>
      <c r="D26" s="1024"/>
      <c r="E26" s="1024"/>
      <c r="F26" s="1024"/>
      <c r="G26" s="1024"/>
      <c r="H26" s="1024"/>
      <c r="I26" s="1024"/>
    </row>
    <row r="27" spans="1:14" ht="12.5" customHeight="1">
      <c r="A27" s="138" t="s">
        <v>2339</v>
      </c>
      <c r="B27" s="1024"/>
      <c r="C27" s="1024"/>
      <c r="D27" s="1024"/>
      <c r="E27" s="1024"/>
      <c r="F27" s="1024"/>
      <c r="G27" s="1024"/>
      <c r="H27" s="1024"/>
      <c r="I27" s="1024"/>
    </row>
    <row r="28" spans="1:14" ht="13.25" customHeight="1">
      <c r="A28" s="138" t="s">
        <v>2340</v>
      </c>
      <c r="B28" s="1024"/>
      <c r="C28" s="1024"/>
      <c r="D28" s="1024"/>
      <c r="E28" s="1024"/>
      <c r="F28" s="1024"/>
      <c r="G28" s="1024"/>
      <c r="H28" s="1024"/>
      <c r="I28" s="1024"/>
    </row>
    <row r="29" spans="1:14" ht="15" customHeight="1">
      <c r="A29" s="317"/>
      <c r="B29" s="1152"/>
      <c r="C29" s="1152"/>
      <c r="D29" s="1152"/>
      <c r="E29" s="1152"/>
      <c r="F29" s="1152"/>
      <c r="G29" s="1152"/>
      <c r="H29" s="1152"/>
      <c r="I29" s="1152"/>
    </row>
    <row r="30" spans="1:14" ht="15" customHeight="1">
      <c r="A30" s="4"/>
      <c r="B30" s="1150"/>
      <c r="C30" s="1150"/>
      <c r="D30" s="1150"/>
      <c r="E30" s="1150"/>
      <c r="F30" s="1150"/>
      <c r="G30" s="1150"/>
      <c r="H30" s="1150"/>
      <c r="I30" s="1150"/>
      <c r="J30" s="4"/>
      <c r="K30" s="4"/>
      <c r="L30" s="4"/>
      <c r="M30" s="4"/>
      <c r="N30" s="4"/>
    </row>
    <row r="31" spans="1:14" ht="15" customHeight="1">
      <c r="A31" s="4" t="s">
        <v>677</v>
      </c>
      <c r="B31" s="1150"/>
      <c r="C31" s="1150"/>
      <c r="D31" s="1150"/>
      <c r="E31" s="1150"/>
      <c r="F31" s="1150"/>
      <c r="G31" s="1150"/>
      <c r="H31" s="1150"/>
      <c r="I31" s="1150"/>
      <c r="J31" s="4"/>
      <c r="K31" s="4"/>
      <c r="L31" s="1151"/>
      <c r="M31" s="4"/>
      <c r="N31" s="4"/>
    </row>
    <row r="32" spans="1:14" ht="31" customHeight="1">
      <c r="A32" s="4"/>
      <c r="B32" s="1150"/>
      <c r="C32" s="1150"/>
      <c r="D32" s="1150"/>
      <c r="E32" s="1150"/>
      <c r="F32" s="1150"/>
      <c r="G32" s="1150"/>
      <c r="H32" s="1150"/>
      <c r="I32" s="1150"/>
      <c r="J32" s="4"/>
      <c r="K32" s="4"/>
      <c r="L32" s="4"/>
      <c r="M32" s="4"/>
      <c r="N32" s="4"/>
    </row>
    <row r="33" spans="1:14" ht="31" customHeight="1">
      <c r="A33" s="4"/>
      <c r="B33" s="1150"/>
      <c r="C33" s="1150"/>
      <c r="D33" s="1150"/>
      <c r="E33" s="1150"/>
      <c r="F33" s="1150"/>
      <c r="G33" s="1150"/>
      <c r="H33" s="1150"/>
      <c r="I33" s="1150"/>
      <c r="J33" s="4"/>
      <c r="K33" s="4"/>
      <c r="L33" s="4"/>
      <c r="M33" s="4"/>
      <c r="N33" s="4"/>
    </row>
    <row r="34" spans="1:14" ht="31" customHeight="1">
      <c r="A34" s="4"/>
      <c r="B34" s="1150"/>
      <c r="C34" s="1150"/>
      <c r="D34" s="1150"/>
      <c r="E34" s="1150"/>
      <c r="F34" s="1150"/>
      <c r="G34" s="1150"/>
      <c r="H34" s="1150"/>
      <c r="I34" s="1150"/>
      <c r="J34" s="4"/>
      <c r="K34" s="4"/>
      <c r="L34" s="4"/>
      <c r="M34" s="4"/>
      <c r="N34" s="4"/>
    </row>
    <row r="35" spans="1:14" ht="31" customHeight="1">
      <c r="A35" s="4"/>
      <c r="B35" s="1150"/>
      <c r="C35" s="1150"/>
      <c r="D35" s="1150"/>
      <c r="E35" s="1150"/>
      <c r="F35" s="1150"/>
      <c r="G35" s="1150"/>
      <c r="H35" s="1150"/>
      <c r="I35" s="1150"/>
      <c r="J35" s="4"/>
      <c r="K35" s="4"/>
      <c r="L35" s="4"/>
      <c r="M35" s="4"/>
      <c r="N35" s="4"/>
    </row>
    <row r="36" spans="1:14" ht="31" customHeight="1">
      <c r="A36" s="4"/>
      <c r="B36" s="1150"/>
      <c r="C36" s="1150"/>
      <c r="D36" s="1150"/>
      <c r="E36" s="1150"/>
      <c r="F36" s="1150"/>
      <c r="G36" s="1150"/>
      <c r="H36" s="1150"/>
      <c r="I36" s="1150"/>
      <c r="J36" s="4"/>
      <c r="K36" s="4"/>
      <c r="L36" s="4"/>
      <c r="M36" s="4"/>
      <c r="N36" s="4"/>
    </row>
    <row r="37" spans="1:14" ht="18" customHeight="1">
      <c r="A37" s="4"/>
      <c r="B37" s="1150"/>
      <c r="C37" s="1150"/>
      <c r="D37" s="1150"/>
      <c r="E37" s="1150"/>
      <c r="F37" s="1150"/>
      <c r="G37" s="1150"/>
      <c r="H37" s="1150"/>
      <c r="I37" s="1150"/>
      <c r="J37" s="4"/>
      <c r="K37" s="4"/>
      <c r="L37" s="4"/>
      <c r="M37" s="4"/>
      <c r="N37" s="4"/>
    </row>
    <row r="38" spans="1:14">
      <c r="A38" s="4"/>
      <c r="B38" s="1150"/>
      <c r="C38" s="1150"/>
      <c r="D38" s="1150"/>
      <c r="E38" s="1150"/>
      <c r="F38" s="1150"/>
      <c r="G38" s="1150"/>
      <c r="H38" s="1150"/>
      <c r="I38" s="1150"/>
      <c r="J38" s="4"/>
      <c r="K38" s="4"/>
      <c r="L38" s="4"/>
      <c r="M38" s="4"/>
      <c r="N38" s="4"/>
    </row>
    <row r="39" spans="1:14">
      <c r="A39" s="4"/>
      <c r="B39" s="1150"/>
      <c r="C39" s="1150"/>
      <c r="D39" s="1150"/>
      <c r="E39" s="1150"/>
      <c r="F39" s="1150"/>
      <c r="G39" s="1150"/>
      <c r="H39" s="1150"/>
      <c r="I39" s="1150"/>
      <c r="J39" s="4"/>
      <c r="K39" s="4"/>
      <c r="L39" s="4"/>
      <c r="M39" s="4"/>
      <c r="N39" s="4"/>
    </row>
    <row r="40" spans="1:14">
      <c r="A40" s="4"/>
      <c r="B40" s="1150"/>
      <c r="C40" s="1150"/>
      <c r="D40" s="1150"/>
      <c r="E40" s="1150"/>
      <c r="F40" s="1150"/>
      <c r="G40" s="1150"/>
      <c r="H40" s="1150"/>
      <c r="I40" s="1150"/>
      <c r="J40" s="4"/>
      <c r="K40" s="4"/>
      <c r="L40" s="4"/>
      <c r="M40" s="4"/>
      <c r="N40" s="4"/>
    </row>
    <row r="41" spans="1:14">
      <c r="A41" s="4"/>
      <c r="B41" s="1150"/>
      <c r="C41" s="1150"/>
      <c r="D41" s="1150"/>
      <c r="E41" s="1150"/>
      <c r="F41" s="1150"/>
      <c r="G41" s="1150"/>
      <c r="H41" s="1150"/>
      <c r="I41" s="1150"/>
      <c r="J41" s="4"/>
      <c r="K41" s="4"/>
      <c r="L41" s="4"/>
      <c r="M41" s="4"/>
      <c r="N41" s="4"/>
    </row>
    <row r="42" spans="1:14">
      <c r="A42" s="4"/>
      <c r="B42" s="1150"/>
      <c r="C42" s="1150"/>
      <c r="D42" s="1150"/>
      <c r="E42" s="1150"/>
      <c r="F42" s="1150"/>
      <c r="G42" s="1150"/>
      <c r="H42" s="1150"/>
      <c r="I42" s="1150"/>
      <c r="J42" s="4"/>
      <c r="K42" s="4"/>
      <c r="L42" s="4"/>
      <c r="M42" s="4"/>
      <c r="N42" s="4"/>
    </row>
  </sheetData>
  <mergeCells count="1">
    <mergeCell ref="A2:I2"/>
  </mergeCells>
  <pageMargins left="0.55118110236220474" right="0.59055118110236227" top="0.87" bottom="0.47244094488188981" header="0.55118110236220474" footer="0.51181102362204722"/>
  <pageSetup paperSize="9" scale="78" orientation="portrait" horizontalDpi="4294967292" verticalDpi="4294967292"/>
  <headerFooter alignWithMargins="0"/>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0A9E0-4B46-8E43-A061-9585368BD033}">
  <sheetPr>
    <pageSetUpPr fitToPage="1"/>
  </sheetPr>
  <dimension ref="A1:O46"/>
  <sheetViews>
    <sheetView topLeftCell="A20" zoomScaleNormal="100" workbookViewId="0">
      <selection activeCell="A39" sqref="A39"/>
    </sheetView>
  </sheetViews>
  <sheetFormatPr baseColWidth="10" defaultColWidth="11.3984375" defaultRowHeight="13"/>
  <cols>
    <col min="1" max="1" width="17.59765625" style="3" customWidth="1"/>
    <col min="2" max="7" width="18.3984375" style="121" customWidth="1"/>
    <col min="8" max="9" width="18.3984375" style="3" customWidth="1"/>
    <col min="10" max="10" width="18.3984375" customWidth="1"/>
    <col min="11" max="12" width="11.796875" style="3" customWidth="1"/>
    <col min="13" max="13" width="18.19921875" style="3" customWidth="1"/>
    <col min="14" max="14" width="15.59765625" style="3" customWidth="1"/>
    <col min="15" max="15" width="16.59765625" style="3" customWidth="1"/>
    <col min="16" max="16" width="11.3984375" style="3"/>
    <col min="17" max="17" width="8.3984375" style="3" customWidth="1"/>
    <col min="18" max="16384" width="11.3984375" style="3"/>
  </cols>
  <sheetData>
    <row r="1" spans="1:15" s="2" customFormat="1" ht="15.75" customHeight="1">
      <c r="A1" s="242"/>
      <c r="B1" s="1142"/>
      <c r="C1" s="1142"/>
      <c r="D1" s="1142"/>
      <c r="E1" s="1142"/>
      <c r="F1" s="1142"/>
      <c r="G1" s="1142"/>
      <c r="H1" s="242"/>
      <c r="J1"/>
      <c r="K1"/>
    </row>
    <row r="2" spans="1:15" s="2" customFormat="1" ht="29.25" customHeight="1">
      <c r="A2" s="1397" t="s">
        <v>2111</v>
      </c>
      <c r="B2" s="1398"/>
      <c r="C2" s="1398"/>
      <c r="D2" s="1398"/>
      <c r="E2" s="1398"/>
      <c r="F2" s="1398"/>
      <c r="G2" s="1398"/>
      <c r="H2" s="1398"/>
      <c r="I2" s="1398"/>
      <c r="J2" s="1398"/>
      <c r="K2" s="1399"/>
      <c r="L2" s="246"/>
      <c r="M2" s="437"/>
    </row>
    <row r="3" spans="1:15" ht="24.75" customHeight="1">
      <c r="A3" s="72" t="s">
        <v>695</v>
      </c>
      <c r="B3" s="1400" t="s">
        <v>788</v>
      </c>
      <c r="C3" s="1401" t="s">
        <v>2112</v>
      </c>
      <c r="D3" s="1402"/>
      <c r="E3" s="1403"/>
      <c r="F3" s="1403"/>
      <c r="G3" s="1401" t="s">
        <v>2113</v>
      </c>
      <c r="H3" s="1402"/>
      <c r="I3" s="1403"/>
      <c r="J3" s="1403"/>
      <c r="K3" s="96"/>
      <c r="L3" s="96"/>
      <c r="M3" s="276" t="s">
        <v>2114</v>
      </c>
      <c r="N3" s="1404"/>
      <c r="O3" s="1405" t="s">
        <v>2115</v>
      </c>
    </row>
    <row r="4" spans="1:15" ht="20.25" customHeight="1">
      <c r="A4" s="328"/>
      <c r="B4" s="1406" t="s">
        <v>801</v>
      </c>
      <c r="C4" s="1407"/>
      <c r="D4" s="440"/>
      <c r="E4" s="77"/>
      <c r="F4" s="76"/>
      <c r="G4" s="1407"/>
      <c r="H4" s="440"/>
      <c r="I4" s="77"/>
      <c r="J4" s="76"/>
      <c r="M4" s="1407"/>
      <c r="N4" s="1408"/>
      <c r="O4" s="1407" t="s">
        <v>2116</v>
      </c>
    </row>
    <row r="5" spans="1:15" s="236" customFormat="1" ht="15" customHeight="1">
      <c r="A5" s="669"/>
      <c r="B5" s="1406" t="s">
        <v>2117</v>
      </c>
      <c r="C5" s="1409" t="s">
        <v>1496</v>
      </c>
      <c r="D5" s="76" t="s">
        <v>1496</v>
      </c>
      <c r="E5" s="77" t="s">
        <v>1496</v>
      </c>
      <c r="F5" s="1406" t="s">
        <v>2118</v>
      </c>
      <c r="G5" s="1409" t="s">
        <v>1496</v>
      </c>
      <c r="H5" s="76" t="s">
        <v>1496</v>
      </c>
      <c r="I5" s="77" t="s">
        <v>1496</v>
      </c>
      <c r="J5" s="1406" t="s">
        <v>2118</v>
      </c>
      <c r="M5" s="1409" t="s">
        <v>1496</v>
      </c>
      <c r="N5" s="1406" t="s">
        <v>1496</v>
      </c>
      <c r="O5" s="1409" t="s">
        <v>2119</v>
      </c>
    </row>
    <row r="6" spans="1:15" s="236" customFormat="1" ht="18" customHeight="1">
      <c r="A6" s="669"/>
      <c r="B6" s="1406" t="s">
        <v>2120</v>
      </c>
      <c r="C6" s="1409" t="s">
        <v>2121</v>
      </c>
      <c r="D6" s="440" t="s">
        <v>2122</v>
      </c>
      <c r="E6" s="77" t="s">
        <v>2123</v>
      </c>
      <c r="F6" s="1406" t="s">
        <v>2124</v>
      </c>
      <c r="G6" s="1409" t="s">
        <v>2121</v>
      </c>
      <c r="H6" s="440" t="s">
        <v>2122</v>
      </c>
      <c r="I6" s="77" t="s">
        <v>2123</v>
      </c>
      <c r="J6" s="1406" t="s">
        <v>2124</v>
      </c>
      <c r="M6" s="1409" t="s">
        <v>2122</v>
      </c>
      <c r="N6" s="1406" t="s">
        <v>2123</v>
      </c>
      <c r="O6" s="1409" t="s">
        <v>2125</v>
      </c>
    </row>
    <row r="7" spans="1:15" s="236" customFormat="1" ht="18" customHeight="1">
      <c r="A7" s="669"/>
      <c r="B7" s="1410"/>
      <c r="C7" s="1409" t="s">
        <v>2126</v>
      </c>
      <c r="D7" s="1411"/>
      <c r="E7" s="1412"/>
      <c r="F7" s="1406"/>
      <c r="G7" s="1409" t="s">
        <v>2126</v>
      </c>
      <c r="H7" s="1411"/>
      <c r="I7" s="1412"/>
      <c r="J7" s="1413"/>
      <c r="M7" s="1414"/>
      <c r="N7" s="1411"/>
      <c r="O7" s="1409" t="s">
        <v>2127</v>
      </c>
    </row>
    <row r="8" spans="1:15" s="236" customFormat="1" ht="23.25" customHeight="1">
      <c r="A8" s="669"/>
      <c r="B8" s="1406"/>
      <c r="C8" s="1415"/>
      <c r="D8" s="1406"/>
      <c r="E8" s="1416"/>
      <c r="F8" s="1406"/>
      <c r="G8" s="1409"/>
      <c r="H8" s="1406"/>
      <c r="I8" s="1416"/>
      <c r="J8" s="1406"/>
      <c r="M8" s="1409"/>
      <c r="N8" s="1406"/>
      <c r="O8" s="1409"/>
    </row>
    <row r="9" spans="1:15" ht="1.25" customHeight="1" thickBot="1">
      <c r="A9" s="1417">
        <v>1996</v>
      </c>
      <c r="B9" s="1418">
        <v>7194754</v>
      </c>
      <c r="C9" s="1419" t="s">
        <v>35</v>
      </c>
      <c r="D9" s="1420">
        <v>0.18782351696805755</v>
      </c>
      <c r="E9" s="1421">
        <v>0.10061414191506757</v>
      </c>
      <c r="F9" s="1420" t="s">
        <v>35</v>
      </c>
      <c r="G9" s="1419" t="s">
        <v>35</v>
      </c>
      <c r="H9" s="1420" t="s">
        <v>35</v>
      </c>
      <c r="I9" s="1421" t="s">
        <v>35</v>
      </c>
      <c r="J9" s="1420" t="s">
        <v>35</v>
      </c>
      <c r="M9" s="1419" t="s">
        <v>35</v>
      </c>
      <c r="N9" s="1420" t="s">
        <v>35</v>
      </c>
      <c r="O9" s="1419" t="s">
        <v>35</v>
      </c>
    </row>
    <row r="10" spans="1:15" ht="22.5" hidden="1" customHeight="1" thickBot="1">
      <c r="A10" s="1417">
        <v>1997</v>
      </c>
      <c r="B10" s="1418">
        <v>7214805</v>
      </c>
      <c r="C10" s="1419" t="s">
        <v>35</v>
      </c>
      <c r="D10" s="1420">
        <v>0.17122098241047401</v>
      </c>
      <c r="E10" s="1421">
        <v>8.6709897218289339E-2</v>
      </c>
      <c r="F10" s="1420" t="s">
        <v>35</v>
      </c>
      <c r="G10" s="1419" t="s">
        <v>35</v>
      </c>
      <c r="H10" s="1420" t="s">
        <v>35</v>
      </c>
      <c r="I10" s="1421" t="s">
        <v>35</v>
      </c>
      <c r="J10" s="1420" t="s">
        <v>35</v>
      </c>
      <c r="M10" s="1419">
        <v>2.1729346808402997E-2</v>
      </c>
      <c r="N10" s="1422">
        <v>6.734901359080391E-3</v>
      </c>
      <c r="O10" s="1419" t="s">
        <v>35</v>
      </c>
    </row>
    <row r="11" spans="1:15" ht="0.75" customHeight="1" thickBot="1">
      <c r="A11" s="1417">
        <v>1998</v>
      </c>
      <c r="B11" s="1418">
        <v>7248603</v>
      </c>
      <c r="C11" s="1419" t="s">
        <v>35</v>
      </c>
      <c r="D11" s="1420">
        <v>0.16889778623549945</v>
      </c>
      <c r="E11" s="1421">
        <v>8.0429428953413512E-2</v>
      </c>
      <c r="F11" s="1420" t="s">
        <v>35</v>
      </c>
      <c r="G11" s="1419" t="s">
        <v>35</v>
      </c>
      <c r="H11" s="1420" t="s">
        <v>35</v>
      </c>
      <c r="I11" s="1421" t="s">
        <v>35</v>
      </c>
      <c r="J11" s="1420" t="s">
        <v>35</v>
      </c>
      <c r="M11" s="1419">
        <v>2.1183943995829266E-2</v>
      </c>
      <c r="N11" s="1423">
        <v>6.9956928252243918E-3</v>
      </c>
      <c r="O11" s="1419" t="s">
        <v>35</v>
      </c>
    </row>
    <row r="12" spans="1:15" ht="0.5" hidden="1" customHeight="1" thickBot="1">
      <c r="A12" s="444">
        <v>1999</v>
      </c>
      <c r="B12" s="1418">
        <v>7266534</v>
      </c>
      <c r="C12" s="1419" t="s">
        <v>35</v>
      </c>
      <c r="D12" s="1420">
        <v>0.15472314586293823</v>
      </c>
      <c r="E12" s="1421">
        <v>7.4331173569132131E-2</v>
      </c>
      <c r="F12" s="1420" t="s">
        <v>35</v>
      </c>
      <c r="G12" s="1419" t="s">
        <v>35</v>
      </c>
      <c r="H12" s="1420" t="s">
        <v>35</v>
      </c>
      <c r="I12" s="1421" t="s">
        <v>35</v>
      </c>
      <c r="J12" s="1420" t="s">
        <v>35</v>
      </c>
      <c r="M12" s="1419">
        <v>3.5360462085500463E-2</v>
      </c>
      <c r="N12" s="1423">
        <v>5.9961186447348904E-3</v>
      </c>
      <c r="O12" s="1419" t="s">
        <v>35</v>
      </c>
    </row>
    <row r="13" spans="1:15" ht="22.5" customHeight="1" thickBot="1">
      <c r="A13" s="444">
        <v>2000</v>
      </c>
      <c r="B13" s="1418">
        <v>7268111</v>
      </c>
      <c r="C13" s="1419" t="s">
        <v>35</v>
      </c>
      <c r="D13" s="1420">
        <v>0.12321647261578696</v>
      </c>
      <c r="E13" s="1421">
        <v>6.2163057223534421E-2</v>
      </c>
      <c r="F13" s="1420" t="s">
        <v>35</v>
      </c>
      <c r="G13" s="1419" t="s">
        <v>35</v>
      </c>
      <c r="H13" s="1420" t="s">
        <v>35</v>
      </c>
      <c r="I13" s="1421" t="s">
        <v>35</v>
      </c>
      <c r="J13" s="1420" t="s">
        <v>35</v>
      </c>
      <c r="M13" s="1419">
        <v>6.6940089384985996E-2</v>
      </c>
      <c r="N13" s="1423">
        <v>2.2992631785618025E-2</v>
      </c>
      <c r="O13" s="1419" t="s">
        <v>35</v>
      </c>
    </row>
    <row r="14" spans="1:15" ht="22.5" customHeight="1" thickBot="1">
      <c r="A14" s="444">
        <v>2001</v>
      </c>
      <c r="B14" s="1418">
        <v>7321287</v>
      </c>
      <c r="C14" s="1419" t="s">
        <v>35</v>
      </c>
      <c r="D14" s="1420">
        <v>0.11914653803354519</v>
      </c>
      <c r="E14" s="1421">
        <v>6.1670168100226096E-2</v>
      </c>
      <c r="F14" s="1420" t="s">
        <v>35</v>
      </c>
      <c r="G14" s="1419" t="s">
        <v>35</v>
      </c>
      <c r="H14" s="1420" t="s">
        <v>35</v>
      </c>
      <c r="I14" s="1421" t="s">
        <v>35</v>
      </c>
      <c r="J14" s="1420" t="s">
        <v>35</v>
      </c>
      <c r="M14" s="1419">
        <v>9.1391855011284218E-2</v>
      </c>
      <c r="N14" s="1423">
        <v>3.6045984811140443E-2</v>
      </c>
      <c r="O14" s="1419" t="s">
        <v>35</v>
      </c>
    </row>
    <row r="15" spans="1:15" ht="22.5" customHeight="1" thickBot="1">
      <c r="A15" s="444">
        <v>2002</v>
      </c>
      <c r="B15" s="1418">
        <v>7359365</v>
      </c>
      <c r="C15" s="1419">
        <v>0.41612068432534599</v>
      </c>
      <c r="D15" s="1420">
        <v>0.10741619691372829</v>
      </c>
      <c r="E15" s="1421">
        <v>5.1274804279988831E-2</v>
      </c>
      <c r="F15" s="1420" t="s">
        <v>35</v>
      </c>
      <c r="G15" s="1419" t="s">
        <v>35</v>
      </c>
      <c r="H15" s="1420" t="s">
        <v>35</v>
      </c>
      <c r="I15" s="1421" t="s">
        <v>35</v>
      </c>
      <c r="J15" s="1420" t="s">
        <v>35</v>
      </c>
      <c r="M15" s="1419">
        <v>9.5236341722417628E-2</v>
      </c>
      <c r="N15" s="1423">
        <v>4.2874215370483727E-2</v>
      </c>
      <c r="O15" s="1419" t="s">
        <v>35</v>
      </c>
    </row>
    <row r="16" spans="1:15" ht="22.5" customHeight="1" thickBot="1">
      <c r="A16" s="444">
        <v>2003</v>
      </c>
      <c r="B16" s="1418">
        <v>7393188</v>
      </c>
      <c r="C16" s="1419">
        <v>0.40096288637594502</v>
      </c>
      <c r="D16" s="1420">
        <v>0.10284683684494429</v>
      </c>
      <c r="E16" s="1421">
        <v>4.5843416940026416E-2</v>
      </c>
      <c r="F16" s="1420" t="s">
        <v>35</v>
      </c>
      <c r="G16" s="1419" t="s">
        <v>35</v>
      </c>
      <c r="H16" s="1420" t="s">
        <v>35</v>
      </c>
      <c r="I16" s="1421" t="s">
        <v>35</v>
      </c>
      <c r="J16" s="1420" t="s">
        <v>35</v>
      </c>
      <c r="M16" s="1419">
        <v>9.3782276333294917E-2</v>
      </c>
      <c r="N16" s="1423">
        <v>4.102993187783132E-2</v>
      </c>
      <c r="O16" s="1419">
        <v>0.23588525004368888</v>
      </c>
    </row>
    <row r="17" spans="1:15" ht="22.5" customHeight="1" thickBot="1">
      <c r="A17" s="444">
        <v>2004</v>
      </c>
      <c r="B17" s="1418">
        <v>7419974</v>
      </c>
      <c r="C17" s="1419">
        <v>0.41515172425132485</v>
      </c>
      <c r="D17" s="1420">
        <v>8.8858128074303225E-2</v>
      </c>
      <c r="E17" s="1421">
        <v>3.8901214478649117E-2</v>
      </c>
      <c r="F17" s="1420" t="s">
        <v>35</v>
      </c>
      <c r="G17" s="1419" t="s">
        <v>35</v>
      </c>
      <c r="H17" s="1420" t="s">
        <v>35</v>
      </c>
      <c r="I17" s="1421" t="s">
        <v>35</v>
      </c>
      <c r="J17" s="1420" t="s">
        <v>35</v>
      </c>
      <c r="M17" s="1419">
        <v>0.1022666656244348</v>
      </c>
      <c r="N17" s="1423">
        <v>4.6828870289841985E-2</v>
      </c>
      <c r="O17" s="1419">
        <v>0.22847465503248393</v>
      </c>
    </row>
    <row r="18" spans="1:15" ht="22.5" customHeight="1" thickBot="1">
      <c r="A18" s="444">
        <v>2005</v>
      </c>
      <c r="B18" s="1418">
        <v>7458475</v>
      </c>
      <c r="C18" s="1419">
        <v>0.40559658643355379</v>
      </c>
      <c r="D18" s="1420">
        <v>8.7504349079402965E-2</v>
      </c>
      <c r="E18" s="1421">
        <v>3.6415889307130481E-2</v>
      </c>
      <c r="F18" s="1420" t="s">
        <v>35</v>
      </c>
      <c r="G18" s="1419" t="s">
        <v>35</v>
      </c>
      <c r="H18" s="1420" t="s">
        <v>35</v>
      </c>
      <c r="I18" s="1421" t="s">
        <v>35</v>
      </c>
      <c r="J18" s="1420" t="s">
        <v>35</v>
      </c>
      <c r="M18" s="1419">
        <v>9.9828450185862394E-2</v>
      </c>
      <c r="N18" s="1423">
        <v>4.6900204130200879E-2</v>
      </c>
      <c r="O18" s="1419">
        <v>0.22295429025370467</v>
      </c>
    </row>
    <row r="19" spans="1:15" ht="22.5" customHeight="1" thickBot="1">
      <c r="A19" s="444">
        <v>2006</v>
      </c>
      <c r="B19" s="1418">
        <v>7507545</v>
      </c>
      <c r="C19" s="1419">
        <v>0.35229745542650759</v>
      </c>
      <c r="D19" s="1420">
        <v>8.0637811694768399E-2</v>
      </c>
      <c r="E19" s="1421">
        <v>3.4424568883702995E-2</v>
      </c>
      <c r="F19" s="1420">
        <v>1.1072461104129246E-2</v>
      </c>
      <c r="G19" s="1419">
        <v>2.8267829230460822E-2</v>
      </c>
      <c r="H19" s="1420">
        <v>7.3543348724516471E-3</v>
      </c>
      <c r="I19" s="1421">
        <v>3.3165302372479954E-3</v>
      </c>
      <c r="J19" s="1420">
        <v>8.6433048353356525E-4</v>
      </c>
      <c r="M19" s="1419">
        <v>0.10136709137274569</v>
      </c>
      <c r="N19" s="1423">
        <v>4.8815425015767473E-2</v>
      </c>
      <c r="O19" s="1419">
        <v>0.21886368979473317</v>
      </c>
    </row>
    <row r="20" spans="1:15" ht="22.5" customHeight="1" thickBot="1">
      <c r="A20" s="444">
        <v>2007</v>
      </c>
      <c r="B20" s="1418">
        <v>7577132</v>
      </c>
      <c r="C20" s="1419">
        <v>0.34950084015957489</v>
      </c>
      <c r="D20" s="1420">
        <v>7.9577602713005402E-2</v>
      </c>
      <c r="E20" s="1421">
        <v>3.4038868532315393E-2</v>
      </c>
      <c r="F20" s="1420">
        <v>2.0345824779085281E-2</v>
      </c>
      <c r="G20" s="1419">
        <v>3.0507453215807775E-2</v>
      </c>
      <c r="H20" s="1420">
        <v>7.6386421669834975E-3</v>
      </c>
      <c r="I20" s="1421">
        <v>4.5006474745325807E-3</v>
      </c>
      <c r="J20" s="1420">
        <v>4.7718582703851539E-3</v>
      </c>
      <c r="M20" s="1419">
        <v>9.8380231464886711E-2</v>
      </c>
      <c r="N20" s="1423">
        <v>4.8201615070187505E-2</v>
      </c>
      <c r="O20" s="1419">
        <v>0.21754194067095572</v>
      </c>
    </row>
    <row r="21" spans="1:15" ht="22.5" customHeight="1" thickBot="1">
      <c r="A21" s="444">
        <v>2008</v>
      </c>
      <c r="B21" s="1418">
        <v>7669611</v>
      </c>
      <c r="C21" s="1419">
        <v>0.32124333294087537</v>
      </c>
      <c r="D21" s="1420">
        <v>7.2603422781155391E-2</v>
      </c>
      <c r="E21" s="1421">
        <v>3.1619807054099613E-2</v>
      </c>
      <c r="F21" s="1420">
        <v>1.5602015538988875E-2</v>
      </c>
      <c r="G21" s="1419">
        <v>3.4330945858922962E-2</v>
      </c>
      <c r="H21" s="1420">
        <v>7.8339044835520344E-3</v>
      </c>
      <c r="I21" s="1421">
        <v>4.7705157406288268E-3</v>
      </c>
      <c r="J21" s="1420">
        <v>5.1662333330856026E-3</v>
      </c>
      <c r="M21" s="1419" t="s">
        <v>35</v>
      </c>
      <c r="N21" s="1423" t="s">
        <v>35</v>
      </c>
      <c r="O21" s="1419" t="s">
        <v>35</v>
      </c>
    </row>
    <row r="22" spans="1:15" ht="22.5" customHeight="1" thickBot="1">
      <c r="A22" s="444">
        <v>2009</v>
      </c>
      <c r="B22" s="1418">
        <v>7748921.9299999997</v>
      </c>
      <c r="C22" s="1419">
        <v>0.31741512202846522</v>
      </c>
      <c r="D22" s="1420">
        <v>7.1110407999684155E-2</v>
      </c>
      <c r="E22" s="1421">
        <v>3.0618710853368994E-2</v>
      </c>
      <c r="F22" s="1420">
        <v>2.0811540167368806E-2</v>
      </c>
      <c r="G22" s="1419">
        <v>4.2848928276658996E-2</v>
      </c>
      <c r="H22" s="1420">
        <v>9.3020681652421812E-3</v>
      </c>
      <c r="I22" s="1421">
        <v>5.3513250455473364E-3</v>
      </c>
      <c r="J22" s="1420">
        <v>6.1051073203934065E-3</v>
      </c>
      <c r="M22" s="1419" t="s">
        <v>35</v>
      </c>
      <c r="N22" s="1423" t="s">
        <v>35</v>
      </c>
      <c r="O22" s="1419" t="s">
        <v>35</v>
      </c>
    </row>
    <row r="23" spans="1:15" s="115" customFormat="1" ht="29.25" customHeight="1" thickBot="1">
      <c r="A23" s="447">
        <v>2010</v>
      </c>
      <c r="B23" s="843">
        <v>7822633</v>
      </c>
      <c r="C23" s="1424">
        <v>0.31214197444773389</v>
      </c>
      <c r="D23" s="1425">
        <v>6.8765860548487948E-2</v>
      </c>
      <c r="E23" s="1426">
        <v>2.9352490395497272E-2</v>
      </c>
      <c r="F23" s="1425">
        <v>2.729913061241656E-2</v>
      </c>
      <c r="G23" s="1424">
        <v>4.9063747462011829E-2</v>
      </c>
      <c r="H23" s="1425">
        <v>1.1165858094071395E-2</v>
      </c>
      <c r="I23" s="993">
        <v>5.153749383359797E-3</v>
      </c>
      <c r="J23" s="994">
        <v>9.7869093436954019E-3</v>
      </c>
      <c r="K23" s="1427"/>
      <c r="M23" s="1428" t="s">
        <v>35</v>
      </c>
      <c r="N23" s="994" t="s">
        <v>35</v>
      </c>
      <c r="O23" s="1428" t="s">
        <v>35</v>
      </c>
    </row>
    <row r="24" spans="1:15" ht="20" customHeight="1">
      <c r="A24" s="1146" t="s">
        <v>678</v>
      </c>
      <c r="B24" s="1147"/>
      <c r="C24" s="1147"/>
      <c r="D24" s="1147"/>
      <c r="E24" s="1147"/>
      <c r="F24" s="1147"/>
      <c r="G24" s="1147"/>
      <c r="H24" s="1147"/>
      <c r="J24" s="451"/>
    </row>
    <row r="25" spans="1:15" ht="13.5" customHeight="1">
      <c r="A25" s="1148"/>
      <c r="B25" s="1149"/>
      <c r="C25" s="1149"/>
      <c r="D25" s="1149"/>
      <c r="E25" s="1149"/>
      <c r="F25" s="1149"/>
      <c r="G25" s="1149"/>
      <c r="H25" s="1149"/>
    </row>
    <row r="26" spans="1:15" ht="12.75" customHeight="1">
      <c r="A26" s="1148" t="s">
        <v>2128</v>
      </c>
      <c r="B26" s="1149"/>
      <c r="C26" s="1149"/>
      <c r="D26" s="1149"/>
      <c r="E26" s="1149"/>
      <c r="F26" s="1149"/>
      <c r="G26" s="1149"/>
      <c r="H26" s="1149"/>
    </row>
    <row r="27" spans="1:15" ht="12.75" customHeight="1">
      <c r="A27" s="1148" t="s">
        <v>2129</v>
      </c>
      <c r="B27" s="1149"/>
      <c r="C27" s="1149"/>
      <c r="D27" s="1149"/>
      <c r="E27" s="1149"/>
      <c r="F27" s="1149"/>
      <c r="G27" s="1149"/>
      <c r="H27" s="1149"/>
    </row>
    <row r="28" spans="1:15" ht="12.75" customHeight="1">
      <c r="A28" s="1148" t="s">
        <v>2130</v>
      </c>
      <c r="B28" s="1149"/>
      <c r="C28" s="1149"/>
      <c r="D28" s="1149"/>
      <c r="E28" s="1149"/>
      <c r="F28" s="1149"/>
      <c r="G28" s="1149"/>
      <c r="H28" s="1149"/>
    </row>
    <row r="29" spans="1:15" ht="12.75" customHeight="1">
      <c r="A29" s="1429" t="s">
        <v>2131</v>
      </c>
      <c r="B29" s="1149"/>
      <c r="C29" s="1149"/>
      <c r="D29" s="1149"/>
      <c r="E29" s="1149"/>
      <c r="F29" s="1149"/>
      <c r="G29" s="1149"/>
      <c r="H29" s="1149"/>
    </row>
    <row r="30" spans="1:15" ht="12.75" customHeight="1">
      <c r="A30" s="3" t="s">
        <v>2132</v>
      </c>
      <c r="B30" s="1149"/>
      <c r="C30" s="1149"/>
      <c r="D30" s="1149"/>
      <c r="E30" s="1149"/>
      <c r="F30" s="1149"/>
      <c r="G30" s="1149"/>
      <c r="H30" s="1149"/>
    </row>
    <row r="31" spans="1:15" ht="13.5" customHeight="1">
      <c r="A31" s="1159" t="s">
        <v>2133</v>
      </c>
      <c r="B31" s="1149"/>
      <c r="C31" s="1149"/>
      <c r="D31" s="1149"/>
      <c r="E31" s="1149"/>
      <c r="F31" s="1149"/>
      <c r="G31" s="1149"/>
      <c r="H31" s="1149"/>
    </row>
    <row r="32" spans="1:15" ht="13.5" customHeight="1">
      <c r="A32" s="3" t="s">
        <v>2134</v>
      </c>
      <c r="B32" s="1149"/>
      <c r="C32" s="1149"/>
      <c r="D32" s="1149"/>
      <c r="E32" s="1149"/>
      <c r="F32" s="1149"/>
      <c r="G32" s="1149"/>
      <c r="H32" s="1149"/>
    </row>
    <row r="33" spans="1:8" ht="13.5" customHeight="1">
      <c r="A33" s="1148" t="s">
        <v>2135</v>
      </c>
      <c r="B33" s="1149"/>
      <c r="C33" s="1149"/>
      <c r="D33" s="1149"/>
      <c r="E33" s="1149"/>
      <c r="F33" s="1149"/>
      <c r="G33" s="1149"/>
      <c r="H33" s="1149"/>
    </row>
    <row r="34" spans="1:8" ht="13.5" customHeight="1">
      <c r="A34" s="1159" t="s">
        <v>2136</v>
      </c>
      <c r="B34" s="1149"/>
      <c r="C34" s="1149"/>
      <c r="D34" s="1149"/>
      <c r="E34" s="1149"/>
      <c r="F34" s="1149"/>
      <c r="G34" s="1149"/>
      <c r="H34" s="1149"/>
    </row>
    <row r="35" spans="1:8" ht="13.5" customHeight="1">
      <c r="A35" s="4" t="s">
        <v>2137</v>
      </c>
      <c r="B35" s="1149"/>
      <c r="C35" s="1149"/>
      <c r="D35" s="1149"/>
      <c r="E35" s="1149"/>
      <c r="F35" s="1149"/>
      <c r="G35" s="1149"/>
      <c r="H35" s="1149"/>
    </row>
    <row r="36" spans="1:8" ht="13.5" customHeight="1">
      <c r="A36" s="4" t="s">
        <v>2138</v>
      </c>
      <c r="B36" s="1149"/>
      <c r="C36" s="1149"/>
      <c r="D36" s="1149"/>
      <c r="E36" s="1149"/>
      <c r="F36" s="1149"/>
      <c r="G36" s="1149"/>
      <c r="H36" s="1149"/>
    </row>
    <row r="37" spans="1:8" ht="13.5" customHeight="1">
      <c r="A37" s="1430" t="s">
        <v>2139</v>
      </c>
      <c r="B37" s="1149"/>
      <c r="C37" s="1149"/>
      <c r="D37" s="1149"/>
      <c r="E37" s="1149"/>
      <c r="F37" s="1149"/>
      <c r="G37" s="1149"/>
      <c r="H37" s="1149"/>
    </row>
    <row r="38" spans="1:8" ht="13.5" customHeight="1">
      <c r="A38" s="552" t="s">
        <v>2140</v>
      </c>
      <c r="B38" s="1149"/>
      <c r="C38" s="1149"/>
      <c r="D38" s="1149"/>
      <c r="E38" s="1149"/>
      <c r="F38" s="1149"/>
      <c r="G38" s="1149"/>
      <c r="H38" s="1149"/>
    </row>
    <row r="39" spans="1:8" ht="13.5" customHeight="1">
      <c r="A39" s="1430" t="s">
        <v>2141</v>
      </c>
      <c r="B39" s="1149"/>
      <c r="C39" s="1149"/>
      <c r="D39" s="1149"/>
      <c r="E39" s="1149"/>
      <c r="F39" s="1149"/>
      <c r="G39" s="1149"/>
      <c r="H39" s="1149"/>
    </row>
    <row r="40" spans="1:8" ht="13.5" customHeight="1">
      <c r="A40" s="1430" t="s">
        <v>2142</v>
      </c>
      <c r="B40" s="1149"/>
      <c r="C40" s="1149"/>
      <c r="D40" s="1149"/>
      <c r="E40" s="1149"/>
      <c r="F40" s="1149"/>
      <c r="G40" s="1149"/>
      <c r="H40" s="1149"/>
    </row>
    <row r="41" spans="1:8" ht="13.5" customHeight="1">
      <c r="A41" s="1430" t="s">
        <v>2143</v>
      </c>
      <c r="B41" s="1149"/>
      <c r="C41" s="1149"/>
      <c r="D41" s="1149"/>
      <c r="E41" s="1149"/>
      <c r="F41" s="1149"/>
      <c r="G41" s="1149"/>
      <c r="H41" s="1149"/>
    </row>
    <row r="42" spans="1:8" ht="12.75" customHeight="1">
      <c r="B42" s="1149"/>
      <c r="C42" s="1149"/>
      <c r="D42" s="1149"/>
      <c r="E42" s="1149"/>
      <c r="F42" s="1149"/>
      <c r="G42" s="1149"/>
      <c r="H42" s="4"/>
    </row>
    <row r="43" spans="1:8" ht="15" customHeight="1">
      <c r="A43" s="479"/>
      <c r="B43" s="1150"/>
      <c r="C43" s="1150"/>
      <c r="D43" s="1150"/>
      <c r="E43" s="1150"/>
      <c r="F43" s="1150"/>
      <c r="G43" s="1150"/>
      <c r="H43" s="4"/>
    </row>
    <row r="44" spans="1:8" ht="15" customHeight="1">
      <c r="A44" s="854" t="s">
        <v>677</v>
      </c>
      <c r="B44" s="1150"/>
      <c r="C44" s="1150"/>
      <c r="D44" s="1150"/>
      <c r="E44" s="1150"/>
      <c r="F44" s="1150"/>
      <c r="G44" s="1150"/>
      <c r="H44" s="4"/>
    </row>
    <row r="45" spans="1:8" ht="15" customHeight="1">
      <c r="A45" s="854"/>
      <c r="B45" s="1150"/>
      <c r="C45" s="1150"/>
      <c r="D45" s="1150"/>
      <c r="E45" s="1150"/>
      <c r="F45" s="1150"/>
      <c r="G45" s="1150"/>
      <c r="H45" s="4"/>
    </row>
    <row r="46" spans="1:8" ht="15" customHeight="1">
      <c r="A46" s="854"/>
      <c r="B46" s="1150"/>
      <c r="C46" s="1150"/>
      <c r="D46" s="1150"/>
      <c r="E46" s="1150"/>
      <c r="F46" s="1150"/>
      <c r="G46" s="1150"/>
      <c r="H46" s="4"/>
    </row>
  </sheetData>
  <pageMargins left="0.38" right="0.28999999999999998" top="0.71" bottom="0.49" header="0.52" footer="0.4921259845"/>
  <pageSetup paperSize="9" scale="72" orientation="landscape"/>
  <headerFooter alignWithMargins="0"/>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32226-8428-FC41-9CC4-B5C1B44B968D}">
  <sheetPr>
    <pageSetUpPr fitToPage="1"/>
  </sheetPr>
  <dimension ref="A1:K58"/>
  <sheetViews>
    <sheetView topLeftCell="A30" zoomScaleNormal="100" workbookViewId="0">
      <selection activeCell="I44" sqref="I44"/>
    </sheetView>
  </sheetViews>
  <sheetFormatPr baseColWidth="10" defaultColWidth="11.3984375" defaultRowHeight="13"/>
  <cols>
    <col min="1" max="1" width="12.3984375" style="3" customWidth="1"/>
    <col min="2" max="2" width="13.3984375" style="121" customWidth="1"/>
    <col min="3" max="3" width="12.59765625" style="121" customWidth="1"/>
    <col min="4" max="4" width="14" style="121" customWidth="1"/>
    <col min="5" max="5" width="13.3984375" style="121" customWidth="1"/>
    <col min="6" max="6" width="13.59765625" style="121" customWidth="1"/>
    <col min="7" max="7" width="13.19921875" style="121" customWidth="1"/>
    <col min="8" max="8" width="14" style="121" customWidth="1"/>
    <col min="9" max="9" width="13.59765625" style="121" customWidth="1"/>
    <col min="10" max="16384" width="11.3984375" style="3"/>
  </cols>
  <sheetData>
    <row r="1" spans="1:9" s="2" customFormat="1" ht="14" customHeight="1">
      <c r="A1" s="242"/>
      <c r="B1" s="1142"/>
      <c r="C1" s="1142"/>
      <c r="D1" s="1142"/>
      <c r="E1" s="1142"/>
      <c r="F1" s="1142"/>
      <c r="G1" s="1142"/>
      <c r="H1" s="1142"/>
      <c r="I1" s="1142"/>
    </row>
    <row r="2" spans="1:9" s="2" customFormat="1" ht="25.25" customHeight="1">
      <c r="A2" s="372" t="s">
        <v>2144</v>
      </c>
      <c r="B2" s="1431"/>
      <c r="C2" s="1431"/>
      <c r="D2" s="1431"/>
      <c r="E2" s="1431"/>
      <c r="F2" s="1431"/>
      <c r="G2" s="1431"/>
      <c r="H2" s="1431"/>
      <c r="I2" s="437"/>
    </row>
    <row r="3" spans="1:9" s="1435" customFormat="1" ht="64.25" customHeight="1">
      <c r="A3" s="1432" t="s">
        <v>695</v>
      </c>
      <c r="B3" s="1433" t="s">
        <v>1497</v>
      </c>
      <c r="C3" s="1434" t="s">
        <v>2145</v>
      </c>
      <c r="D3" s="1433" t="s">
        <v>2146</v>
      </c>
      <c r="E3" s="1434" t="s">
        <v>2147</v>
      </c>
      <c r="F3" s="1433" t="s">
        <v>2148</v>
      </c>
      <c r="G3" s="1434" t="s">
        <v>2149</v>
      </c>
      <c r="H3" s="1433" t="s">
        <v>2150</v>
      </c>
      <c r="I3" s="1434" t="s">
        <v>2151</v>
      </c>
    </row>
    <row r="4" spans="1:9" ht="12" customHeight="1">
      <c r="A4" s="329"/>
      <c r="B4" s="82"/>
      <c r="C4" s="81"/>
      <c r="D4" s="82"/>
      <c r="E4" s="81" t="s">
        <v>1365</v>
      </c>
      <c r="F4" s="82"/>
      <c r="G4" s="81"/>
      <c r="H4" s="82"/>
      <c r="I4" s="81"/>
    </row>
    <row r="5" spans="1:9" ht="1.5" customHeight="1" thickBot="1">
      <c r="A5" s="441">
        <v>1996</v>
      </c>
      <c r="B5" s="308">
        <v>100</v>
      </c>
      <c r="C5" s="428">
        <v>100</v>
      </c>
      <c r="D5" s="308">
        <v>100</v>
      </c>
      <c r="E5" s="428">
        <v>100</v>
      </c>
      <c r="F5" s="308">
        <v>100</v>
      </c>
      <c r="G5" s="428">
        <v>100</v>
      </c>
      <c r="H5" s="308">
        <v>100</v>
      </c>
      <c r="I5" s="428">
        <v>100</v>
      </c>
    </row>
    <row r="6" spans="1:9" ht="18" hidden="1" customHeight="1" thickBot="1">
      <c r="A6" s="444">
        <v>1997</v>
      </c>
      <c r="B6" s="429">
        <v>99.603751768772071</v>
      </c>
      <c r="C6" s="430">
        <v>100.38008221695314</v>
      </c>
      <c r="D6" s="429">
        <v>100.54808570359472</v>
      </c>
      <c r="E6" s="430">
        <v>101.42789940293106</v>
      </c>
      <c r="F6" s="429">
        <v>99.259050938587137</v>
      </c>
      <c r="G6" s="430">
        <v>99.621819781936267</v>
      </c>
      <c r="H6" s="429">
        <v>100.76095634245317</v>
      </c>
      <c r="I6" s="430">
        <v>100.52020451848172</v>
      </c>
    </row>
    <row r="7" spans="1:9" ht="18.75" hidden="1" customHeight="1" thickBot="1">
      <c r="A7" s="444">
        <v>1998</v>
      </c>
      <c r="B7" s="429">
        <v>96.927242504783251</v>
      </c>
      <c r="C7" s="430">
        <v>100.33490779124649</v>
      </c>
      <c r="D7" s="429">
        <v>101.27038445552139</v>
      </c>
      <c r="E7" s="430">
        <v>102.99618303138374</v>
      </c>
      <c r="F7" s="429">
        <v>98.452579284674385</v>
      </c>
      <c r="G7" s="430">
        <v>100.44765774993816</v>
      </c>
      <c r="H7" s="429">
        <v>101.24816209588769</v>
      </c>
      <c r="I7" s="430">
        <v>100.538234878222</v>
      </c>
    </row>
    <row r="8" spans="1:9" ht="18.5" hidden="1" customHeight="1" thickBot="1">
      <c r="A8" s="444">
        <v>1999</v>
      </c>
      <c r="B8" s="429">
        <v>95.844672232466905</v>
      </c>
      <c r="C8" s="430">
        <v>100.33187275209576</v>
      </c>
      <c r="D8" s="429">
        <v>101.87444222283719</v>
      </c>
      <c r="E8" s="430">
        <v>104.14320934906627</v>
      </c>
      <c r="F8" s="429">
        <v>98.676778256833302</v>
      </c>
      <c r="G8" s="430">
        <v>98.097369567529682</v>
      </c>
      <c r="H8" s="429">
        <v>101.67388949401801</v>
      </c>
      <c r="I8" s="430">
        <v>101.34904536554785</v>
      </c>
    </row>
    <row r="9" spans="1:9" ht="18.75" customHeight="1" thickBot="1">
      <c r="A9" s="444">
        <v>2000</v>
      </c>
      <c r="B9" s="429">
        <v>96.254772438034038</v>
      </c>
      <c r="C9" s="430">
        <v>100.33187275209576</v>
      </c>
      <c r="D9" s="429">
        <v>103.57018844964638</v>
      </c>
      <c r="E9" s="430">
        <v>104.72011004030597</v>
      </c>
      <c r="F9" s="429">
        <v>98.363608314160032</v>
      </c>
      <c r="G9" s="430">
        <v>97.073589844089597</v>
      </c>
      <c r="H9" s="429">
        <v>102.16099312393871</v>
      </c>
      <c r="I9" s="430">
        <v>102.92856130382158</v>
      </c>
    </row>
    <row r="10" spans="1:9" ht="18.75" customHeight="1" thickBot="1">
      <c r="A10" s="444">
        <v>2001</v>
      </c>
      <c r="B10" s="429">
        <v>95.617677812696272</v>
      </c>
      <c r="C10" s="430">
        <v>100.39157021638326</v>
      </c>
      <c r="D10" s="429">
        <v>105.66882988327751</v>
      </c>
      <c r="E10" s="430">
        <v>105.48310266577438</v>
      </c>
      <c r="F10" s="429">
        <v>99.731930662678707</v>
      </c>
      <c r="G10" s="430">
        <v>97.957928816735219</v>
      </c>
      <c r="H10" s="429">
        <v>102.72634889630439</v>
      </c>
      <c r="I10" s="430">
        <v>103.94658841484843</v>
      </c>
    </row>
    <row r="11" spans="1:9" ht="18.75" customHeight="1" thickBot="1">
      <c r="A11" s="444">
        <v>2002</v>
      </c>
      <c r="B11" s="429">
        <v>92.551966547481953</v>
      </c>
      <c r="C11" s="430">
        <v>100.41926181326284</v>
      </c>
      <c r="D11" s="429">
        <v>106.79946557044345</v>
      </c>
      <c r="E11" s="430">
        <v>107.26502318301614</v>
      </c>
      <c r="F11" s="429">
        <v>100.07068960129637</v>
      </c>
      <c r="G11" s="430">
        <v>98.584756517798724</v>
      </c>
      <c r="H11" s="429">
        <v>103.14270646204406</v>
      </c>
      <c r="I11" s="430">
        <v>104.61466069154169</v>
      </c>
    </row>
    <row r="12" spans="1:9" ht="18.75" customHeight="1" thickBot="1">
      <c r="A12" s="444">
        <v>2003</v>
      </c>
      <c r="B12" s="429">
        <v>91.45775676895002</v>
      </c>
      <c r="C12" s="430">
        <v>100.41926181326284</v>
      </c>
      <c r="D12" s="429">
        <v>107.42707824790855</v>
      </c>
      <c r="E12" s="430">
        <v>109.53160933947478</v>
      </c>
      <c r="F12" s="429">
        <v>99.942646202359242</v>
      </c>
      <c r="G12" s="430">
        <v>101.42505436052258</v>
      </c>
      <c r="H12" s="429">
        <v>104.03822755450696</v>
      </c>
      <c r="I12" s="430">
        <v>105.28242519538023</v>
      </c>
    </row>
    <row r="13" spans="1:9" ht="18.75" customHeight="1" thickBot="1">
      <c r="A13" s="444">
        <v>2004</v>
      </c>
      <c r="B13" s="429">
        <v>91.277873491072683</v>
      </c>
      <c r="C13" s="430">
        <v>100.41926181326284</v>
      </c>
      <c r="D13" s="429">
        <v>108.0206930792616</v>
      </c>
      <c r="E13" s="430">
        <v>111.84653649880872</v>
      </c>
      <c r="F13" s="429">
        <v>99.616681761713792</v>
      </c>
      <c r="G13" s="430">
        <v>102.9912008077947</v>
      </c>
      <c r="H13" s="429">
        <v>105.00309051283621</v>
      </c>
      <c r="I13" s="430">
        <v>106.12777463640488</v>
      </c>
    </row>
    <row r="14" spans="1:9" ht="18.75" customHeight="1" thickBot="1">
      <c r="A14" s="444">
        <v>2005</v>
      </c>
      <c r="B14" s="429">
        <v>90.545065570821578</v>
      </c>
      <c r="C14" s="430">
        <v>100.41926181326284</v>
      </c>
      <c r="D14" s="429">
        <v>108.68924828481903</v>
      </c>
      <c r="E14" s="430">
        <v>113.62688750297009</v>
      </c>
      <c r="F14" s="429">
        <v>99.312074290760378</v>
      </c>
      <c r="G14" s="430">
        <v>104.286528158435</v>
      </c>
      <c r="H14" s="429">
        <v>105.64575378514422</v>
      </c>
      <c r="I14" s="430">
        <v>107.37148474241722</v>
      </c>
    </row>
    <row r="15" spans="1:9" ht="18.75" customHeight="1" thickBot="1">
      <c r="A15" s="444">
        <v>2006</v>
      </c>
      <c r="B15" s="429">
        <v>86.696332978376475</v>
      </c>
      <c r="C15" s="430">
        <v>100.71403685540849</v>
      </c>
      <c r="D15" s="429">
        <v>109.14873746718119</v>
      </c>
      <c r="E15" s="430">
        <v>115.28983892872013</v>
      </c>
      <c r="F15" s="429">
        <v>98.680124510149113</v>
      </c>
      <c r="G15" s="430">
        <v>106.00372327689165</v>
      </c>
      <c r="H15" s="429">
        <v>105.66566787033413</v>
      </c>
      <c r="I15" s="430">
        <v>108.50911580449518</v>
      </c>
    </row>
    <row r="16" spans="1:9" ht="18.75" customHeight="1" thickBot="1">
      <c r="A16" s="444">
        <v>2007</v>
      </c>
      <c r="B16" s="429">
        <v>83.233835471503482</v>
      </c>
      <c r="C16" s="430">
        <v>100.42267684759494</v>
      </c>
      <c r="D16" s="429">
        <v>110.00800794644306</v>
      </c>
      <c r="E16" s="430">
        <v>116.63437045741058</v>
      </c>
      <c r="F16" s="429">
        <v>99.187764413075584</v>
      </c>
      <c r="G16" s="430">
        <v>105.50553429064226</v>
      </c>
      <c r="H16" s="429">
        <v>105.43881893306715</v>
      </c>
      <c r="I16" s="430">
        <v>109.30370285388793</v>
      </c>
    </row>
    <row r="17" spans="1:9" ht="18.75" customHeight="1" thickBot="1">
      <c r="A17" s="444">
        <v>2008</v>
      </c>
      <c r="B17" s="429">
        <v>80.876503293860637</v>
      </c>
      <c r="C17" s="430">
        <v>100.27174673364941</v>
      </c>
      <c r="D17" s="429">
        <v>110.60728313222906</v>
      </c>
      <c r="E17" s="430">
        <v>117.20461917762597</v>
      </c>
      <c r="F17" s="429">
        <v>100.09938833310221</v>
      </c>
      <c r="G17" s="430">
        <v>106.37901466085199</v>
      </c>
      <c r="H17" s="429">
        <v>105.25410470313801</v>
      </c>
      <c r="I17" s="430">
        <v>111.95546669777498</v>
      </c>
    </row>
    <row r="18" spans="1:9" ht="18.75" customHeight="1" thickBot="1">
      <c r="A18" s="444">
        <v>2009</v>
      </c>
      <c r="B18" s="429">
        <v>79.774559305345349</v>
      </c>
      <c r="C18" s="430">
        <v>100.24578836075855</v>
      </c>
      <c r="D18" s="429">
        <v>111.95824700734549</v>
      </c>
      <c r="E18" s="430">
        <v>118.31872254158185</v>
      </c>
      <c r="F18" s="429">
        <v>99.579677577575481</v>
      </c>
      <c r="G18" s="430">
        <v>107.51319620704622</v>
      </c>
      <c r="H18" s="429">
        <v>105.58870631204552</v>
      </c>
      <c r="I18" s="430">
        <v>111.41755622659586</v>
      </c>
    </row>
    <row r="19" spans="1:9" s="248" customFormat="1" ht="24" customHeight="1" thickBot="1">
      <c r="A19" s="447">
        <v>2010</v>
      </c>
      <c r="B19" s="432">
        <v>75.837832454358434</v>
      </c>
      <c r="C19" s="433">
        <v>100.23725272557202</v>
      </c>
      <c r="D19" s="432">
        <v>113.02277156346835</v>
      </c>
      <c r="E19" s="433">
        <v>119.53575426201748</v>
      </c>
      <c r="F19" s="432">
        <v>99.007991606364158</v>
      </c>
      <c r="G19" s="433">
        <v>109.36105925946448</v>
      </c>
      <c r="H19" s="432">
        <v>105.34544603494989</v>
      </c>
      <c r="I19" s="433">
        <v>112.18439310242962</v>
      </c>
    </row>
    <row r="20" spans="1:9" ht="20" customHeight="1">
      <c r="A20" s="1146"/>
      <c r="B20" s="1147"/>
      <c r="C20" s="1147"/>
      <c r="D20" s="1147"/>
      <c r="E20" s="1147"/>
      <c r="F20" s="1147"/>
      <c r="G20" s="1147"/>
      <c r="H20" s="1147"/>
      <c r="I20" s="1147"/>
    </row>
    <row r="21" spans="1:9" ht="28.5" customHeight="1">
      <c r="A21" s="1436" t="s">
        <v>2152</v>
      </c>
      <c r="B21" s="1024"/>
      <c r="C21" s="1024"/>
      <c r="D21" s="1024"/>
      <c r="E21" s="1024"/>
      <c r="F21" s="1024"/>
      <c r="G21" s="1024"/>
      <c r="H21" s="1024"/>
      <c r="I21" s="1437"/>
    </row>
    <row r="22" spans="1:9" ht="63.5" customHeight="1">
      <c r="A22" s="1438" t="s">
        <v>695</v>
      </c>
      <c r="B22" s="1439" t="s">
        <v>1497</v>
      </c>
      <c r="C22" s="1440" t="s">
        <v>2145</v>
      </c>
      <c r="D22" s="1439" t="s">
        <v>2146</v>
      </c>
      <c r="E22" s="1440" t="s">
        <v>2147</v>
      </c>
      <c r="F22" s="1439" t="s">
        <v>2148</v>
      </c>
      <c r="G22" s="1440" t="s">
        <v>2149</v>
      </c>
      <c r="H22" s="1439" t="s">
        <v>2150</v>
      </c>
      <c r="I22" s="1434" t="s">
        <v>2153</v>
      </c>
    </row>
    <row r="23" spans="1:9" ht="12.5" customHeight="1">
      <c r="A23" s="329"/>
      <c r="B23" s="82"/>
      <c r="C23" s="81"/>
      <c r="D23" s="82"/>
      <c r="E23" s="81"/>
      <c r="F23" s="82"/>
      <c r="G23" s="81"/>
      <c r="H23" s="82"/>
      <c r="I23" s="81"/>
    </row>
    <row r="24" spans="1:9" ht="1.25" customHeight="1" thickBot="1">
      <c r="A24" s="441">
        <v>1997</v>
      </c>
      <c r="B24" s="462">
        <v>-3.9624823122792474E-3</v>
      </c>
      <c r="C24" s="443">
        <v>3.8008221695313704E-3</v>
      </c>
      <c r="D24" s="462">
        <v>5.4808570359472508E-3</v>
      </c>
      <c r="E24" s="443">
        <v>1.4278994029310654E-2</v>
      </c>
      <c r="F24" s="462">
        <v>-7.4094906141286554E-3</v>
      </c>
      <c r="G24" s="443">
        <v>-3.7818021806372837E-3</v>
      </c>
      <c r="H24" s="462">
        <v>7.6095634245316734E-3</v>
      </c>
      <c r="I24" s="443">
        <v>5.2020451848171501E-3</v>
      </c>
    </row>
    <row r="25" spans="1:9" ht="20.25" hidden="1" customHeight="1" thickBot="1">
      <c r="A25" s="444">
        <v>1998</v>
      </c>
      <c r="B25" s="335">
        <v>-2.6871570763742691E-2</v>
      </c>
      <c r="C25" s="464">
        <v>-4.5003375877905594E-4</v>
      </c>
      <c r="D25" s="335">
        <v>7.1836151516193603E-3</v>
      </c>
      <c r="E25" s="464">
        <v>1.5462053711893686E-2</v>
      </c>
      <c r="F25" s="335">
        <v>-8.1249180431084422E-3</v>
      </c>
      <c r="G25" s="464">
        <v>8.2897297982467144E-3</v>
      </c>
      <c r="H25" s="335">
        <v>4.8352632916530691E-3</v>
      </c>
      <c r="I25" s="464">
        <v>1.7937050393657117E-4</v>
      </c>
    </row>
    <row r="26" spans="1:9" ht="0.5" customHeight="1" thickBot="1">
      <c r="A26" s="444">
        <v>1999</v>
      </c>
      <c r="B26" s="335">
        <v>-1.1168895806180856E-2</v>
      </c>
      <c r="C26" s="464">
        <v>-3.0249084964961703E-5</v>
      </c>
      <c r="D26" s="335">
        <v>5.9648017588114222E-3</v>
      </c>
      <c r="E26" s="464">
        <v>1.1136590540768099E-2</v>
      </c>
      <c r="F26" s="335">
        <v>2.2772280197012051E-3</v>
      </c>
      <c r="G26" s="464">
        <v>-2.3398138244890232E-2</v>
      </c>
      <c r="H26" s="335">
        <v>4.2047913692213612E-3</v>
      </c>
      <c r="I26" s="464">
        <v>8.0646978565712679E-3</v>
      </c>
    </row>
    <row r="27" spans="1:9" ht="20.25" customHeight="1" thickBot="1">
      <c r="A27" s="444">
        <v>2000</v>
      </c>
      <c r="B27" s="335">
        <v>4.2788002297347028E-3</v>
      </c>
      <c r="C27" s="464">
        <v>0</v>
      </c>
      <c r="D27" s="335">
        <v>1.6645452871290045E-2</v>
      </c>
      <c r="E27" s="464">
        <v>5.5394940759512235E-3</v>
      </c>
      <c r="F27" s="335">
        <v>-3.1736944416462798E-3</v>
      </c>
      <c r="G27" s="464">
        <v>-1.0436362646149444E-2</v>
      </c>
      <c r="H27" s="335">
        <v>4.7908428835050643E-3</v>
      </c>
      <c r="I27" s="464">
        <v>1.5584911851677541E-2</v>
      </c>
    </row>
    <row r="28" spans="1:9" ht="20.25" customHeight="1" thickBot="1">
      <c r="A28" s="444">
        <v>2001</v>
      </c>
      <c r="B28" s="335">
        <v>-6.618836751683288E-3</v>
      </c>
      <c r="C28" s="464">
        <v>5.9499999999990116E-4</v>
      </c>
      <c r="D28" s="335">
        <v>2.0262987497135176E-2</v>
      </c>
      <c r="E28" s="464">
        <v>7.2860181790750378E-3</v>
      </c>
      <c r="F28" s="335">
        <v>1.3910859635694051E-2</v>
      </c>
      <c r="G28" s="464">
        <v>9.1099852603160336E-3</v>
      </c>
      <c r="H28" s="335">
        <v>5.5339690333648939E-3</v>
      </c>
      <c r="I28" s="464">
        <v>9.8906182903097939E-3</v>
      </c>
    </row>
    <row r="29" spans="1:9" ht="20.25" customHeight="1" thickBot="1">
      <c r="A29" s="444">
        <v>2002</v>
      </c>
      <c r="B29" s="335">
        <v>-3.206218071118272E-2</v>
      </c>
      <c r="C29" s="464">
        <v>2.7583587765289685E-4</v>
      </c>
      <c r="D29" s="335">
        <v>1.0699803228774618E-2</v>
      </c>
      <c r="E29" s="464">
        <v>1.6892947516796264E-2</v>
      </c>
      <c r="F29" s="335">
        <v>3.3966948836419153E-3</v>
      </c>
      <c r="G29" s="464">
        <v>6.3989480855215497E-3</v>
      </c>
      <c r="H29" s="335">
        <v>4.0530747000455669E-3</v>
      </c>
      <c r="I29" s="464">
        <v>6.4270726618462781E-3</v>
      </c>
    </row>
    <row r="30" spans="1:9" ht="20.25" customHeight="1" thickBot="1">
      <c r="A30" s="444">
        <v>2003</v>
      </c>
      <c r="B30" s="335">
        <v>-1.1822652930562727E-2</v>
      </c>
      <c r="C30" s="464">
        <v>0</v>
      </c>
      <c r="D30" s="335">
        <v>5.8765526036377302E-3</v>
      </c>
      <c r="E30" s="464">
        <v>2.1130710544772668E-2</v>
      </c>
      <c r="F30" s="335">
        <v>-1.2795294950727065E-3</v>
      </c>
      <c r="G30" s="464">
        <v>2.8810720268006795E-2</v>
      </c>
      <c r="H30" s="335">
        <v>8.6823501455475238E-3</v>
      </c>
      <c r="I30" s="464">
        <v>6.3830872214694079E-3</v>
      </c>
    </row>
    <row r="31" spans="1:9" ht="20.25" customHeight="1" thickBot="1">
      <c r="A31" s="444">
        <v>2004</v>
      </c>
      <c r="B31" s="335">
        <v>-1.966845505863235E-3</v>
      </c>
      <c r="C31" s="464">
        <v>0</v>
      </c>
      <c r="D31" s="335">
        <v>5.5257467766476331E-3</v>
      </c>
      <c r="E31" s="464">
        <v>2.1134786326011179E-2</v>
      </c>
      <c r="F31" s="335">
        <v>-3.2615150091729328E-3</v>
      </c>
      <c r="G31" s="464">
        <v>1.5441415902082145E-2</v>
      </c>
      <c r="H31" s="335">
        <v>9.2741195328778225E-3</v>
      </c>
      <c r="I31" s="464">
        <v>8.0293500026797915E-3</v>
      </c>
    </row>
    <row r="32" spans="1:9" ht="20.25" customHeight="1" thickBot="1">
      <c r="A32" s="444">
        <v>2005</v>
      </c>
      <c r="B32" s="335">
        <v>-8.0283193749334236E-3</v>
      </c>
      <c r="C32" s="464">
        <v>0</v>
      </c>
      <c r="D32" s="335">
        <v>6.1891401221325637E-3</v>
      </c>
      <c r="E32" s="464">
        <v>1.5917801837165957E-2</v>
      </c>
      <c r="F32" s="335">
        <v>-3.0577957985193915E-3</v>
      </c>
      <c r="G32" s="464">
        <v>1.2577068142527015E-2</v>
      </c>
      <c r="H32" s="335">
        <v>6.1204224482274139E-3</v>
      </c>
      <c r="I32" s="464">
        <v>1.1718987892409105E-2</v>
      </c>
    </row>
    <row r="33" spans="1:9" ht="20.25" customHeight="1" thickBot="1">
      <c r="A33" s="444">
        <v>2006</v>
      </c>
      <c r="B33" s="335">
        <v>-4.2506265451149772E-2</v>
      </c>
      <c r="C33" s="464">
        <v>2.9354432289476762E-3</v>
      </c>
      <c r="D33" s="335">
        <v>4.227549547109577E-3</v>
      </c>
      <c r="E33" s="464">
        <v>1.4635192974959965E-2</v>
      </c>
      <c r="F33" s="335">
        <v>-6.3632723928520596E-3</v>
      </c>
      <c r="G33" s="464">
        <v>1.6466126054631269E-2</v>
      </c>
      <c r="H33" s="335">
        <v>1.8849868050940799E-4</v>
      </c>
      <c r="I33" s="464">
        <v>1.059528109168939E-2</v>
      </c>
    </row>
    <row r="34" spans="1:9" ht="20.25" customHeight="1" thickBot="1">
      <c r="A34" s="444">
        <v>2007</v>
      </c>
      <c r="B34" s="335">
        <v>-3.9938223312589227E-2</v>
      </c>
      <c r="C34" s="464">
        <v>-2.8929433960813711E-3</v>
      </c>
      <c r="D34" s="335">
        <v>7.8724729135801752E-3</v>
      </c>
      <c r="E34" s="464">
        <v>1.1662185854225404E-2</v>
      </c>
      <c r="F34" s="335">
        <v>5.1442973491004906E-3</v>
      </c>
      <c r="G34" s="464">
        <v>-4.6997310174480278E-3</v>
      </c>
      <c r="H34" s="335">
        <v>-2.1468556612480594E-3</v>
      </c>
      <c r="I34" s="464">
        <v>7.3227677094371835E-3</v>
      </c>
    </row>
    <row r="35" spans="1:9" ht="20.25" customHeight="1" thickBot="1">
      <c r="A35" s="444">
        <v>2008</v>
      </c>
      <c r="B35" s="335">
        <v>-2.8321801636185806E-2</v>
      </c>
      <c r="C35" s="464">
        <v>-1.5029485240131146E-3</v>
      </c>
      <c r="D35" s="335">
        <v>5.4475596547276517E-3</v>
      </c>
      <c r="E35" s="464">
        <v>4.8891996242532709E-3</v>
      </c>
      <c r="F35" s="335">
        <v>9.1908908868043593E-3</v>
      </c>
      <c r="G35" s="464">
        <v>8.279000491135502E-3</v>
      </c>
      <c r="H35" s="335">
        <v>-1.7518617127758596E-3</v>
      </c>
      <c r="I35" s="464">
        <v>2.4260512449718163E-2</v>
      </c>
    </row>
    <row r="36" spans="1:9" ht="20.25" customHeight="1" thickBot="1">
      <c r="A36" s="444">
        <v>2009</v>
      </c>
      <c r="B36" s="335">
        <v>-1.3625020168236412E-2</v>
      </c>
      <c r="C36" s="464">
        <v>-2.5888023033859842E-4</v>
      </c>
      <c r="D36" s="335">
        <v>1.2214058937704664E-2</v>
      </c>
      <c r="E36" s="464">
        <v>9.505626755780261E-3</v>
      </c>
      <c r="F36" s="335">
        <v>-5.1919473653253556E-3</v>
      </c>
      <c r="G36" s="464">
        <v>1.0661703812637535E-2</v>
      </c>
      <c r="H36" s="335">
        <v>3.1789886945619017E-3</v>
      </c>
      <c r="I36" s="464">
        <v>-4.8046824960429335E-3</v>
      </c>
    </row>
    <row r="37" spans="1:9" ht="22.5" customHeight="1" thickBot="1">
      <c r="A37" s="1441">
        <v>2010</v>
      </c>
      <c r="B37" s="994">
        <v>-4.9348149150140519E-2</v>
      </c>
      <c r="C37" s="993">
        <v>-8.5147070277069581E-5</v>
      </c>
      <c r="D37" s="994">
        <v>9.508228152706133E-3</v>
      </c>
      <c r="E37" s="993">
        <v>1.0286045135484922E-2</v>
      </c>
      <c r="F37" s="994">
        <v>-5.7409903819578556E-3</v>
      </c>
      <c r="G37" s="993">
        <v>1.7187313907584878E-2</v>
      </c>
      <c r="H37" s="994">
        <v>-2.3038475002877812E-3</v>
      </c>
      <c r="I37" s="993">
        <v>6.8825497686755277E-3</v>
      </c>
    </row>
    <row r="38" spans="1:9" ht="20" customHeight="1">
      <c r="A38" s="1146" t="s">
        <v>2254</v>
      </c>
      <c r="B38" s="1024"/>
      <c r="C38" s="1024"/>
      <c r="D38" s="1024"/>
      <c r="E38" s="1024"/>
      <c r="F38" s="1024"/>
      <c r="G38" s="1024"/>
      <c r="H38" s="1024"/>
      <c r="I38" s="1024"/>
    </row>
    <row r="39" spans="1:9" ht="11.25" customHeight="1">
      <c r="A39" s="1159"/>
      <c r="B39" s="1024"/>
      <c r="C39" s="1024"/>
      <c r="D39" s="1024"/>
      <c r="E39" s="1024"/>
      <c r="F39" s="1024"/>
      <c r="G39" s="1024"/>
      <c r="H39" s="1024"/>
      <c r="I39" s="1024"/>
    </row>
    <row r="40" spans="1:9" ht="13.5" customHeight="1">
      <c r="A40" s="1159" t="s">
        <v>2154</v>
      </c>
      <c r="B40" s="1024"/>
      <c r="C40" s="1024"/>
      <c r="D40" s="1024"/>
      <c r="E40" s="1024"/>
      <c r="F40" s="1024"/>
      <c r="G40" s="1024"/>
      <c r="H40" s="1024"/>
      <c r="I40" s="1024"/>
    </row>
    <row r="41" spans="1:9" ht="12.75" customHeight="1">
      <c r="A41" s="1159"/>
      <c r="B41" s="1024"/>
      <c r="C41" s="1024"/>
      <c r="D41" s="1024"/>
      <c r="E41" s="1024"/>
      <c r="F41" s="1024"/>
      <c r="G41" s="1024"/>
      <c r="H41" s="1024"/>
      <c r="I41" s="1024"/>
    </row>
    <row r="42" spans="1:9" ht="13.5" customHeight="1">
      <c r="A42" s="52" t="s">
        <v>2155</v>
      </c>
      <c r="B42" s="1152"/>
      <c r="C42" s="1152"/>
      <c r="D42" s="1152"/>
      <c r="E42" s="1152"/>
      <c r="F42" s="1152"/>
      <c r="G42" s="1152"/>
      <c r="H42" s="1152"/>
      <c r="I42" s="1152"/>
    </row>
    <row r="43" spans="1:9" ht="13.5" customHeight="1">
      <c r="A43" s="1140" t="s">
        <v>2156</v>
      </c>
      <c r="B43" s="1152"/>
      <c r="C43" s="1152"/>
      <c r="D43" s="1152"/>
      <c r="E43" s="1152"/>
      <c r="F43" s="1152"/>
      <c r="G43" s="1152"/>
      <c r="H43" s="1152"/>
      <c r="I43" s="1152"/>
    </row>
    <row r="44" spans="1:9" ht="13.5" customHeight="1">
      <c r="A44" s="1140" t="s">
        <v>2157</v>
      </c>
      <c r="B44" s="1152"/>
      <c r="C44" s="1152"/>
      <c r="D44" s="1152"/>
      <c r="E44" s="1152"/>
      <c r="F44" s="1152"/>
      <c r="G44" s="1152"/>
      <c r="H44" s="1152"/>
      <c r="I44" s="1152"/>
    </row>
    <row r="45" spans="1:9" ht="13.5" customHeight="1">
      <c r="A45" s="3" t="s">
        <v>2158</v>
      </c>
      <c r="B45" s="1152"/>
      <c r="C45" s="1152"/>
      <c r="D45" s="1152"/>
      <c r="E45" s="1152"/>
      <c r="F45" s="1152"/>
      <c r="G45" s="1152"/>
      <c r="H45" s="1152"/>
      <c r="I45" s="1152"/>
    </row>
    <row r="46" spans="1:9" ht="13.5" customHeight="1">
      <c r="A46" s="3" t="s">
        <v>2159</v>
      </c>
      <c r="B46" s="1152"/>
      <c r="C46" s="1152"/>
      <c r="D46" s="1152"/>
      <c r="E46" s="1152"/>
      <c r="F46" s="1152"/>
      <c r="G46" s="1152"/>
      <c r="H46" s="1152"/>
      <c r="I46" s="1152"/>
    </row>
    <row r="47" spans="1:9" ht="13.5" customHeight="1">
      <c r="A47" s="1140" t="s">
        <v>2160</v>
      </c>
      <c r="B47" s="1152"/>
      <c r="C47" s="1152"/>
      <c r="D47" s="1152"/>
      <c r="E47" s="1152"/>
      <c r="F47" s="1152"/>
      <c r="G47" s="1152"/>
      <c r="H47" s="1152"/>
      <c r="I47" s="1152"/>
    </row>
    <row r="48" spans="1:9" ht="13.5" customHeight="1">
      <c r="A48" s="1140" t="s">
        <v>2161</v>
      </c>
      <c r="B48" s="1152"/>
      <c r="C48" s="1152"/>
      <c r="D48" s="1152"/>
      <c r="E48" s="1152"/>
      <c r="F48" s="1152"/>
      <c r="G48" s="1152"/>
      <c r="H48" s="1152"/>
      <c r="I48" s="1152"/>
    </row>
    <row r="49" spans="1:11" ht="13.5" customHeight="1">
      <c r="A49" s="1140" t="s">
        <v>2162</v>
      </c>
      <c r="B49" s="1152"/>
      <c r="C49" s="1152"/>
      <c r="D49" s="1152"/>
      <c r="E49" s="1152"/>
      <c r="F49" s="1152"/>
      <c r="G49" s="1152"/>
      <c r="H49" s="1152"/>
      <c r="I49" s="1152"/>
    </row>
    <row r="50" spans="1:11" ht="13.5" customHeight="1">
      <c r="A50" s="1140" t="s">
        <v>2163</v>
      </c>
      <c r="B50" s="1152"/>
      <c r="C50" s="1152"/>
      <c r="D50" s="1152"/>
      <c r="E50" s="1152"/>
      <c r="F50" s="1152"/>
      <c r="G50" s="1152"/>
      <c r="H50" s="1152"/>
      <c r="I50" s="1152"/>
    </row>
    <row r="51" spans="1:11" ht="13.5" customHeight="1">
      <c r="A51" s="3" t="s">
        <v>2164</v>
      </c>
      <c r="B51" s="1152"/>
      <c r="C51" s="1152"/>
      <c r="D51" s="1152"/>
      <c r="E51" s="1152"/>
      <c r="F51" s="1152"/>
      <c r="G51" s="1152"/>
      <c r="H51" s="1152"/>
      <c r="I51" s="1152"/>
    </row>
    <row r="52" spans="1:11" ht="13.5" customHeight="1">
      <c r="A52" s="3" t="s">
        <v>2165</v>
      </c>
      <c r="B52" s="1152"/>
      <c r="C52" s="1152"/>
      <c r="D52" s="1152"/>
      <c r="E52" s="1152"/>
      <c r="F52" s="1152"/>
      <c r="G52" s="1152"/>
      <c r="H52" s="1152"/>
      <c r="I52" s="1152"/>
    </row>
    <row r="53" spans="1:11" ht="13.5" customHeight="1">
      <c r="A53" s="1140" t="s">
        <v>2166</v>
      </c>
      <c r="B53" s="1152"/>
      <c r="C53" s="1152"/>
      <c r="D53" s="1152"/>
      <c r="E53" s="1152"/>
      <c r="F53" s="1152"/>
      <c r="G53" s="1152"/>
      <c r="H53" s="1152"/>
      <c r="I53" s="1152"/>
    </row>
    <row r="55" spans="1:11">
      <c r="A55" s="1159" t="s">
        <v>2167</v>
      </c>
    </row>
    <row r="58" spans="1:11" ht="16">
      <c r="A58" s="324" t="s">
        <v>677</v>
      </c>
      <c r="K58" s="317"/>
    </row>
  </sheetData>
  <pageMargins left="0.5" right="0.44" top="0.76" bottom="0.49" header="0.38" footer="0.4921259845"/>
  <pageSetup paperSize="9" scale="78" orientation="portrait"/>
  <headerFooter alignWithMargins="0"/>
  <rowBreaks count="1" manualBreakCount="1">
    <brk id="55" max="16383" man="1"/>
  </rowBreaks>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24A4A-455F-0949-BBF0-1635000DAFFE}">
  <sheetPr>
    <pageSetUpPr fitToPage="1"/>
  </sheetPr>
  <dimension ref="A1:K70"/>
  <sheetViews>
    <sheetView topLeftCell="A34" zoomScaleNormal="100" workbookViewId="0">
      <selection activeCell="A53" sqref="A53"/>
    </sheetView>
  </sheetViews>
  <sheetFormatPr baseColWidth="10" defaultColWidth="11.3984375" defaultRowHeight="13"/>
  <cols>
    <col min="1" max="1" width="11.3984375" style="3"/>
    <col min="2" max="7" width="13.59765625" style="121" customWidth="1"/>
    <col min="8" max="9" width="13.59765625" style="3" customWidth="1"/>
    <col min="10" max="10" width="2.59765625" style="3" customWidth="1"/>
    <col min="11" max="11" width="13.59765625" style="3" customWidth="1"/>
    <col min="12" max="16384" width="11.3984375" style="3"/>
  </cols>
  <sheetData>
    <row r="1" spans="1:11" s="2" customFormat="1" ht="14" customHeight="1">
      <c r="A1" s="242"/>
      <c r="B1" s="1142"/>
      <c r="C1" s="1142"/>
      <c r="D1" s="1142"/>
      <c r="E1" s="1142"/>
      <c r="F1" s="1142"/>
      <c r="G1" s="1142"/>
    </row>
    <row r="2" spans="1:11" s="2" customFormat="1" ht="25.25" customHeight="1">
      <c r="A2" s="1397" t="s">
        <v>2168</v>
      </c>
      <c r="B2" s="306"/>
      <c r="C2" s="306"/>
      <c r="D2" s="306"/>
      <c r="E2" s="306"/>
      <c r="F2" s="306"/>
      <c r="G2" s="306"/>
      <c r="H2" s="306"/>
      <c r="I2" s="306"/>
      <c r="J2" s="1442"/>
      <c r="K2" s="47"/>
    </row>
    <row r="3" spans="1:11" ht="27" customHeight="1">
      <c r="A3" s="72" t="s">
        <v>695</v>
      </c>
      <c r="B3" s="1106" t="s">
        <v>2169</v>
      </c>
      <c r="C3" s="74"/>
      <c r="D3" s="73"/>
      <c r="E3" s="1046"/>
      <c r="F3" s="1443" t="s">
        <v>2170</v>
      </c>
      <c r="G3" s="74"/>
      <c r="H3" s="628"/>
      <c r="I3" s="16"/>
      <c r="J3" s="324"/>
    </row>
    <row r="4" spans="1:11" ht="22.75" customHeight="1">
      <c r="A4" s="328"/>
      <c r="B4" s="1406" t="s">
        <v>500</v>
      </c>
      <c r="C4" s="1416" t="s">
        <v>206</v>
      </c>
      <c r="D4" s="1406" t="s">
        <v>205</v>
      </c>
      <c r="E4" s="1416" t="s">
        <v>2171</v>
      </c>
      <c r="F4" s="1444" t="s">
        <v>500</v>
      </c>
      <c r="G4" s="1416" t="s">
        <v>1496</v>
      </c>
      <c r="H4" s="1406" t="s">
        <v>1496</v>
      </c>
      <c r="I4" s="1416" t="s">
        <v>1496</v>
      </c>
      <c r="J4" s="1445"/>
    </row>
    <row r="5" spans="1:11" ht="16.25" customHeight="1">
      <c r="A5" s="328"/>
      <c r="B5" s="1406" t="s">
        <v>501</v>
      </c>
      <c r="C5" s="1416"/>
      <c r="D5" s="1406" t="s">
        <v>206</v>
      </c>
      <c r="E5" s="1416"/>
      <c r="F5" s="1444" t="s">
        <v>501</v>
      </c>
      <c r="G5" s="1416" t="s">
        <v>2121</v>
      </c>
      <c r="H5" s="1406" t="s">
        <v>2122</v>
      </c>
      <c r="I5" s="1416" t="s">
        <v>2123</v>
      </c>
      <c r="J5" s="1445"/>
    </row>
    <row r="6" spans="1:11" s="434" customFormat="1" ht="22.75" customHeight="1">
      <c r="A6" s="849"/>
      <c r="B6" s="1406"/>
      <c r="C6" s="1416"/>
      <c r="D6" s="1406"/>
      <c r="E6" s="1416"/>
      <c r="F6" s="1444"/>
      <c r="G6" s="1416" t="s">
        <v>2172</v>
      </c>
      <c r="H6" s="1446"/>
      <c r="I6" s="1447"/>
      <c r="J6" s="461"/>
    </row>
    <row r="7" spans="1:11" ht="1.75" customHeight="1" thickBot="1">
      <c r="A7" s="1448">
        <v>1996</v>
      </c>
      <c r="B7" s="1017">
        <v>85.845027995215389</v>
      </c>
      <c r="C7" s="1087" t="s">
        <v>35</v>
      </c>
      <c r="D7" s="1017" t="s">
        <v>35</v>
      </c>
      <c r="E7" s="1087" t="s">
        <v>35</v>
      </c>
      <c r="F7" s="1449" t="s">
        <v>35</v>
      </c>
      <c r="G7" s="1087" t="s">
        <v>35</v>
      </c>
      <c r="H7" s="308" t="s">
        <v>35</v>
      </c>
      <c r="I7" s="428" t="s">
        <v>35</v>
      </c>
      <c r="J7" s="1149"/>
    </row>
    <row r="8" spans="1:11" ht="0.75" hidden="1" customHeight="1" thickBot="1">
      <c r="A8" s="444">
        <v>1997</v>
      </c>
      <c r="B8" s="1017">
        <v>92.815135115864891</v>
      </c>
      <c r="C8" s="430">
        <v>92.444560110674317</v>
      </c>
      <c r="D8" s="429">
        <v>92.272278855639584</v>
      </c>
      <c r="E8" s="430">
        <v>94.708135081815001</v>
      </c>
      <c r="F8" s="1449" t="s">
        <v>35</v>
      </c>
      <c r="G8" s="1087" t="s">
        <v>35</v>
      </c>
      <c r="H8" s="308" t="s">
        <v>35</v>
      </c>
      <c r="I8" s="428" t="s">
        <v>35</v>
      </c>
      <c r="J8" s="1149"/>
    </row>
    <row r="9" spans="1:11" ht="18" hidden="1" customHeight="1" thickBot="1">
      <c r="A9" s="1450">
        <v>1998</v>
      </c>
      <c r="B9" s="1017">
        <v>97.82364594098182</v>
      </c>
      <c r="C9" s="1451">
        <v>97.816191141488716</v>
      </c>
      <c r="D9" s="1452">
        <v>98.901550603293458</v>
      </c>
      <c r="E9" s="1451">
        <v>97.609376813276072</v>
      </c>
      <c r="F9" s="1449" t="s">
        <v>35</v>
      </c>
      <c r="G9" s="1087" t="s">
        <v>35</v>
      </c>
      <c r="H9" s="308" t="s">
        <v>35</v>
      </c>
      <c r="I9" s="428" t="s">
        <v>35</v>
      </c>
      <c r="J9" s="1149"/>
    </row>
    <row r="10" spans="1:11" ht="18" hidden="1" customHeight="1" thickBot="1">
      <c r="A10" s="444">
        <v>1999</v>
      </c>
      <c r="B10" s="1017">
        <v>100</v>
      </c>
      <c r="C10" s="430">
        <v>100</v>
      </c>
      <c r="D10" s="429">
        <v>100</v>
      </c>
      <c r="E10" s="430">
        <v>100</v>
      </c>
      <c r="F10" s="1453">
        <v>100</v>
      </c>
      <c r="G10" s="430">
        <v>100</v>
      </c>
      <c r="H10" s="429">
        <v>100</v>
      </c>
      <c r="I10" s="430">
        <v>100</v>
      </c>
      <c r="J10" s="1149"/>
    </row>
    <row r="11" spans="1:11" ht="18" customHeight="1" thickBot="1">
      <c r="A11" s="441">
        <v>2000</v>
      </c>
      <c r="B11" s="308">
        <v>103.20562026598945</v>
      </c>
      <c r="C11" s="428">
        <v>103.03441222531174</v>
      </c>
      <c r="D11" s="308">
        <v>99.091265525004431</v>
      </c>
      <c r="E11" s="428">
        <v>103.07365838293074</v>
      </c>
      <c r="F11" s="1454">
        <v>106.4</v>
      </c>
      <c r="G11" s="428">
        <v>104.3</v>
      </c>
      <c r="H11" s="308">
        <v>107.5</v>
      </c>
      <c r="I11" s="428">
        <v>106.7</v>
      </c>
      <c r="J11" s="1149"/>
    </row>
    <row r="12" spans="1:11" ht="18" customHeight="1" thickBot="1">
      <c r="A12" s="444">
        <v>2001</v>
      </c>
      <c r="B12" s="429">
        <v>106.94335020000455</v>
      </c>
      <c r="C12" s="430">
        <v>107.41253121846763</v>
      </c>
      <c r="D12" s="429">
        <v>99.966483697164392</v>
      </c>
      <c r="E12" s="430">
        <v>108.20305376415389</v>
      </c>
      <c r="F12" s="1453">
        <v>111.1</v>
      </c>
      <c r="G12" s="430">
        <v>107.5</v>
      </c>
      <c r="H12" s="429">
        <v>112.5</v>
      </c>
      <c r="I12" s="430">
        <v>112.5</v>
      </c>
      <c r="J12" s="1149"/>
    </row>
    <row r="13" spans="1:11" ht="18" customHeight="1" thickBot="1">
      <c r="A13" s="1450">
        <v>2002</v>
      </c>
      <c r="B13" s="1452">
        <v>116.62017344016445</v>
      </c>
      <c r="C13" s="1451">
        <v>116.60890964793332</v>
      </c>
      <c r="D13" s="1452">
        <v>112.72607694837224</v>
      </c>
      <c r="E13" s="1451">
        <v>118.09048558497321</v>
      </c>
      <c r="F13" s="1455">
        <v>115.4</v>
      </c>
      <c r="G13" s="1451">
        <v>107.9</v>
      </c>
      <c r="H13" s="1452">
        <v>117.5</v>
      </c>
      <c r="I13" s="1451">
        <v>119.3</v>
      </c>
      <c r="J13" s="1149"/>
    </row>
    <row r="14" spans="1:11" ht="18" customHeight="1" thickBot="1">
      <c r="A14" s="1450">
        <v>2003</v>
      </c>
      <c r="B14" s="1452">
        <v>127.26432081149086</v>
      </c>
      <c r="C14" s="1451">
        <v>126.36094255801954</v>
      </c>
      <c r="D14" s="1452">
        <v>128.18468115245491</v>
      </c>
      <c r="E14" s="1451">
        <v>128.50511447470944</v>
      </c>
      <c r="F14" s="1455">
        <v>116.38</v>
      </c>
      <c r="G14" s="1451">
        <v>110</v>
      </c>
      <c r="H14" s="1452">
        <v>117.9</v>
      </c>
      <c r="I14" s="1451">
        <v>120.1</v>
      </c>
      <c r="J14" s="1149"/>
    </row>
    <row r="15" spans="1:11" ht="15.75" customHeight="1" thickBot="1">
      <c r="A15" s="1450">
        <v>2004</v>
      </c>
      <c r="B15" s="1452">
        <v>136.21209815526825</v>
      </c>
      <c r="C15" s="1451">
        <v>134.46062249738608</v>
      </c>
      <c r="D15" s="1452">
        <v>140.98790883565627</v>
      </c>
      <c r="E15" s="1451">
        <v>134.59274855352376</v>
      </c>
      <c r="F15" s="1455">
        <v>117.9</v>
      </c>
      <c r="G15" s="1451">
        <v>113.3</v>
      </c>
      <c r="H15" s="1452">
        <v>118.6</v>
      </c>
      <c r="I15" s="1451">
        <v>121.2</v>
      </c>
      <c r="J15" s="1149"/>
    </row>
    <row r="16" spans="1:11" s="248" customFormat="1" ht="19.5" customHeight="1" thickBot="1">
      <c r="A16" s="1450">
        <v>2005</v>
      </c>
      <c r="B16" s="1452">
        <v>138.755283887497</v>
      </c>
      <c r="C16" s="1451">
        <v>137.01928125613529</v>
      </c>
      <c r="D16" s="1452">
        <v>145.19388864998862</v>
      </c>
      <c r="E16" s="1451">
        <v>134.35401780533496</v>
      </c>
      <c r="F16" s="1455">
        <v>118.91</v>
      </c>
      <c r="G16" s="1451">
        <v>114.2</v>
      </c>
      <c r="H16" s="1452">
        <v>119.4</v>
      </c>
      <c r="I16" s="1451">
        <v>122.7</v>
      </c>
      <c r="J16" s="1149"/>
    </row>
    <row r="17" spans="1:11" ht="19.5" customHeight="1" thickBot="1">
      <c r="A17" s="1450">
        <v>2006</v>
      </c>
      <c r="B17" s="1452">
        <v>144.06903358290245</v>
      </c>
      <c r="C17" s="1451">
        <v>142.457115984312</v>
      </c>
      <c r="D17" s="1452">
        <v>151.60878253610909</v>
      </c>
      <c r="E17" s="1451">
        <v>137.84213929276015</v>
      </c>
      <c r="F17" s="1455">
        <v>122.4</v>
      </c>
      <c r="G17" s="1451">
        <v>113.4</v>
      </c>
      <c r="H17" s="1452">
        <v>123.8</v>
      </c>
      <c r="I17" s="1451">
        <v>128.5</v>
      </c>
      <c r="J17" s="1149"/>
    </row>
    <row r="18" spans="1:11" ht="19.5" customHeight="1" thickBot="1">
      <c r="A18" s="1450">
        <v>2007</v>
      </c>
      <c r="B18" s="1452">
        <v>145.70957931673081</v>
      </c>
      <c r="C18" s="1451">
        <v>143.74603348537357</v>
      </c>
      <c r="D18" s="1452">
        <v>152.46313206688083</v>
      </c>
      <c r="E18" s="1451">
        <v>137.76256237669722</v>
      </c>
      <c r="F18" s="1455">
        <v>123</v>
      </c>
      <c r="G18" s="1451">
        <v>113.3</v>
      </c>
      <c r="H18" s="1452">
        <v>124.8</v>
      </c>
      <c r="I18" s="1451">
        <v>128.80000000000001</v>
      </c>
      <c r="J18" s="1149"/>
    </row>
    <row r="19" spans="1:11" ht="19.5" customHeight="1" thickBot="1">
      <c r="A19" s="1450">
        <v>2008</v>
      </c>
      <c r="B19" s="1452">
        <v>144.2402840216258</v>
      </c>
      <c r="C19" s="1451">
        <v>142.13751192807996</v>
      </c>
      <c r="D19" s="1452">
        <v>151.18824779298308</v>
      </c>
      <c r="E19" s="1451">
        <v>133.56819575921349</v>
      </c>
      <c r="F19" s="1455">
        <v>124.4</v>
      </c>
      <c r="G19" s="1451">
        <v>114.4</v>
      </c>
      <c r="H19" s="1452">
        <v>125.1</v>
      </c>
      <c r="I19" s="1451">
        <v>132</v>
      </c>
      <c r="J19" s="1149"/>
    </row>
    <row r="20" spans="1:11" ht="19.5" customHeight="1" thickBot="1">
      <c r="A20" s="1450">
        <v>2009</v>
      </c>
      <c r="B20" s="1452">
        <v>145.62457246467343</v>
      </c>
      <c r="C20" s="1451">
        <v>142.63879062206922</v>
      </c>
      <c r="D20" s="1452">
        <v>152.86418891088371</v>
      </c>
      <c r="E20" s="1451">
        <v>133.17503978163364</v>
      </c>
      <c r="F20" s="1455">
        <v>126.6</v>
      </c>
      <c r="G20" s="1451">
        <v>114.3</v>
      </c>
      <c r="H20" s="1452">
        <v>127.8</v>
      </c>
      <c r="I20" s="1451">
        <v>135.6</v>
      </c>
      <c r="J20" s="1149"/>
    </row>
    <row r="21" spans="1:11" s="248" customFormat="1" ht="19.5" customHeight="1" thickBot="1">
      <c r="A21" s="1456">
        <v>2010</v>
      </c>
      <c r="B21" s="1457">
        <v>158.11372025519123</v>
      </c>
      <c r="C21" s="1458">
        <v>154.20278530169568</v>
      </c>
      <c r="D21" s="1457">
        <v>170.07906968946978</v>
      </c>
      <c r="E21" s="1458">
        <v>144.32918357213987</v>
      </c>
      <c r="F21" s="1459">
        <v>134.80000000000001</v>
      </c>
      <c r="G21" s="1458">
        <v>120.5</v>
      </c>
      <c r="H21" s="1457">
        <v>136.4</v>
      </c>
      <c r="I21" s="1458">
        <v>145.19999999999999</v>
      </c>
      <c r="J21" s="1460"/>
    </row>
    <row r="22" spans="1:11" s="236" customFormat="1" ht="21.75" customHeight="1" thickBot="1">
      <c r="A22" s="1461">
        <v>2011</v>
      </c>
      <c r="B22" s="1462" t="s">
        <v>35</v>
      </c>
      <c r="C22" s="1463" t="s">
        <v>35</v>
      </c>
      <c r="D22" s="1464" t="s">
        <v>35</v>
      </c>
      <c r="E22" s="1463" t="s">
        <v>35</v>
      </c>
      <c r="F22" s="1465">
        <v>141.30000000000001</v>
      </c>
      <c r="G22" s="1463">
        <v>124.7</v>
      </c>
      <c r="H22" s="1464">
        <v>143.30000000000001</v>
      </c>
      <c r="I22" s="1463">
        <v>153.1</v>
      </c>
      <c r="J22" s="1466"/>
    </row>
    <row r="23" spans="1:11" ht="18" customHeight="1">
      <c r="A23" s="1467"/>
      <c r="B23" s="1149"/>
      <c r="C23" s="463"/>
      <c r="D23" s="1149"/>
      <c r="E23" s="463"/>
      <c r="F23" s="1149"/>
      <c r="G23" s="463"/>
      <c r="H23" s="1149"/>
      <c r="I23" s="463"/>
      <c r="J23" s="323"/>
    </row>
    <row r="24" spans="1:11" ht="18" customHeight="1">
      <c r="A24" s="1467"/>
      <c r="B24" s="1149"/>
      <c r="C24" s="463"/>
      <c r="D24" s="1149"/>
      <c r="E24" s="463"/>
      <c r="F24" s="1149"/>
      <c r="G24" s="463"/>
      <c r="H24" s="1149"/>
      <c r="I24" s="463"/>
      <c r="J24" s="323"/>
    </row>
    <row r="25" spans="1:11" ht="18" customHeight="1">
      <c r="A25" s="1468" t="s">
        <v>2173</v>
      </c>
      <c r="B25" s="1149"/>
      <c r="C25" s="463"/>
      <c r="D25" s="1149"/>
      <c r="E25" s="463"/>
      <c r="F25" s="1149"/>
      <c r="G25" s="463"/>
      <c r="H25" s="1149"/>
      <c r="I25" s="463"/>
      <c r="J25" s="323"/>
    </row>
    <row r="26" spans="1:11" ht="10.75" customHeight="1">
      <c r="A26" s="1469"/>
      <c r="B26" s="1470"/>
      <c r="C26" s="1471"/>
      <c r="D26" s="1470"/>
      <c r="E26" s="1471"/>
      <c r="F26" s="1470"/>
      <c r="G26" s="1471"/>
      <c r="H26" s="1470"/>
      <c r="I26" s="1471"/>
      <c r="J26" s="323"/>
      <c r="K26" s="184"/>
    </row>
    <row r="27" spans="1:11" ht="27" customHeight="1">
      <c r="A27" s="72" t="s">
        <v>695</v>
      </c>
      <c r="B27" s="1106" t="s">
        <v>2169</v>
      </c>
      <c r="C27" s="74"/>
      <c r="D27" s="73"/>
      <c r="E27" s="1046"/>
      <c r="F27" s="1443" t="s">
        <v>2170</v>
      </c>
      <c r="G27" s="74"/>
      <c r="H27" s="628"/>
      <c r="I27" s="16"/>
      <c r="J27" s="323"/>
      <c r="K27" s="1472" t="s">
        <v>2174</v>
      </c>
    </row>
    <row r="28" spans="1:11" ht="23.5" customHeight="1">
      <c r="A28" s="328"/>
      <c r="B28" s="1406" t="s">
        <v>500</v>
      </c>
      <c r="C28" s="1416" t="s">
        <v>206</v>
      </c>
      <c r="D28" s="1406" t="s">
        <v>205</v>
      </c>
      <c r="E28" s="1416" t="s">
        <v>2171</v>
      </c>
      <c r="F28" s="1444" t="s">
        <v>500</v>
      </c>
      <c r="G28" s="1416" t="s">
        <v>1496</v>
      </c>
      <c r="H28" s="1406" t="s">
        <v>1496</v>
      </c>
      <c r="I28" s="1416" t="s">
        <v>1496</v>
      </c>
      <c r="J28" s="323"/>
      <c r="K28" s="1473" t="s">
        <v>2175</v>
      </c>
    </row>
    <row r="29" spans="1:11" ht="15" customHeight="1">
      <c r="A29" s="328"/>
      <c r="B29" s="1406" t="s">
        <v>501</v>
      </c>
      <c r="C29" s="1416"/>
      <c r="D29" s="1406" t="s">
        <v>206</v>
      </c>
      <c r="E29" s="1416"/>
      <c r="F29" s="1444" t="s">
        <v>501</v>
      </c>
      <c r="G29" s="1416" t="s">
        <v>2121</v>
      </c>
      <c r="H29" s="1406" t="s">
        <v>2122</v>
      </c>
      <c r="I29" s="1416" t="s">
        <v>2123</v>
      </c>
      <c r="J29" s="323"/>
      <c r="K29" s="1473" t="s">
        <v>2176</v>
      </c>
    </row>
    <row r="30" spans="1:11" s="434" customFormat="1" ht="26.25" customHeight="1">
      <c r="A30" s="329"/>
      <c r="B30" s="1446"/>
      <c r="C30" s="1447"/>
      <c r="D30" s="1446"/>
      <c r="E30" s="1447"/>
      <c r="F30" s="1474"/>
      <c r="G30" s="1447" t="s">
        <v>2172</v>
      </c>
      <c r="H30" s="1446"/>
      <c r="I30" s="1447"/>
      <c r="J30" s="323"/>
      <c r="K30" s="1475" t="s">
        <v>2177</v>
      </c>
    </row>
    <row r="31" spans="1:11" ht="2.25" customHeight="1" thickBot="1">
      <c r="A31" s="441">
        <v>1997</v>
      </c>
      <c r="B31" s="462">
        <v>8.1194068933590158E-2</v>
      </c>
      <c r="C31" s="443" t="s">
        <v>35</v>
      </c>
      <c r="D31" s="462" t="s">
        <v>35</v>
      </c>
      <c r="E31" s="443" t="s">
        <v>35</v>
      </c>
      <c r="F31" s="1476" t="s">
        <v>35</v>
      </c>
      <c r="G31" s="443" t="s">
        <v>35</v>
      </c>
      <c r="H31" s="462" t="s">
        <v>35</v>
      </c>
      <c r="I31" s="443" t="s">
        <v>35</v>
      </c>
      <c r="J31" s="323"/>
      <c r="K31" s="308" t="s">
        <v>35</v>
      </c>
    </row>
    <row r="32" spans="1:11" ht="18" hidden="1" customHeight="1" thickBot="1">
      <c r="A32" s="444">
        <v>1998</v>
      </c>
      <c r="B32" s="462">
        <v>5.3962220912188608E-2</v>
      </c>
      <c r="C32" s="464">
        <v>5.8106512967161184E-2</v>
      </c>
      <c r="D32" s="335">
        <v>7.1844673501836986E-2</v>
      </c>
      <c r="E32" s="464">
        <v>3.0633500796471091E-2</v>
      </c>
      <c r="F32" s="1476" t="s">
        <v>35</v>
      </c>
      <c r="G32" s="443" t="s">
        <v>35</v>
      </c>
      <c r="H32" s="462" t="s">
        <v>35</v>
      </c>
      <c r="I32" s="443" t="s">
        <v>35</v>
      </c>
      <c r="J32" s="323"/>
      <c r="K32" s="308" t="s">
        <v>35</v>
      </c>
    </row>
    <row r="33" spans="1:11" ht="18" hidden="1" customHeight="1" thickBot="1">
      <c r="A33" s="441">
        <v>1999</v>
      </c>
      <c r="B33" s="462">
        <v>2.2247729964299134E-2</v>
      </c>
      <c r="C33" s="464">
        <v>2.2325637842026236E-2</v>
      </c>
      <c r="D33" s="335">
        <v>1.1106493174334098E-2</v>
      </c>
      <c r="E33" s="464">
        <v>2.4491737011057113E-2</v>
      </c>
      <c r="F33" s="1476" t="s">
        <v>35</v>
      </c>
      <c r="G33" s="443" t="s">
        <v>35</v>
      </c>
      <c r="H33" s="462" t="s">
        <v>35</v>
      </c>
      <c r="I33" s="443" t="s">
        <v>35</v>
      </c>
      <c r="J33" s="323"/>
      <c r="K33" s="429" t="s">
        <v>35</v>
      </c>
    </row>
    <row r="34" spans="1:11" ht="18" customHeight="1" thickBot="1">
      <c r="A34" s="444">
        <v>2000</v>
      </c>
      <c r="B34" s="462">
        <v>3.2056202659894506E-2</v>
      </c>
      <c r="C34" s="464">
        <v>3.0344122253117334E-2</v>
      </c>
      <c r="D34" s="335">
        <v>-9.0873447499556503E-3</v>
      </c>
      <c r="E34" s="464">
        <v>3.073658382930744E-2</v>
      </c>
      <c r="F34" s="1477">
        <v>6.4000000000000001E-2</v>
      </c>
      <c r="G34" s="464">
        <v>4.2999999999999997E-2</v>
      </c>
      <c r="H34" s="335">
        <v>7.4999999999999997E-2</v>
      </c>
      <c r="I34" s="464">
        <v>6.7000000000000004E-2</v>
      </c>
      <c r="J34" s="323"/>
      <c r="K34" s="462">
        <v>-3.0000000000000001E-3</v>
      </c>
    </row>
    <row r="35" spans="1:11" ht="18" customHeight="1" thickBot="1">
      <c r="A35" s="441">
        <v>2001</v>
      </c>
      <c r="B35" s="462">
        <v>3.6216340974279504E-2</v>
      </c>
      <c r="C35" s="464">
        <v>4.2491813158326064E-2</v>
      </c>
      <c r="D35" s="335">
        <v>8.8324451960815065E-3</v>
      </c>
      <c r="E35" s="464">
        <v>4.9764367169028212E-2</v>
      </c>
      <c r="F35" s="1477">
        <v>4.4000000000000004E-2</v>
      </c>
      <c r="G35" s="464">
        <v>0.03</v>
      </c>
      <c r="H35" s="335">
        <v>4.7E-2</v>
      </c>
      <c r="I35" s="464">
        <v>5.5E-2</v>
      </c>
      <c r="J35" s="323"/>
      <c r="K35" s="335">
        <v>-4.0000000000000001E-3</v>
      </c>
    </row>
    <row r="36" spans="1:11" ht="18" customHeight="1" thickBot="1">
      <c r="A36" s="444">
        <v>2002</v>
      </c>
      <c r="B36" s="462">
        <v>9.0485506785250358E-2</v>
      </c>
      <c r="C36" s="464">
        <v>8.5617370013942429E-2</v>
      </c>
      <c r="D36" s="335">
        <v>0.12763871228942492</v>
      </c>
      <c r="E36" s="464">
        <v>9.1378491427520858E-2</v>
      </c>
      <c r="F36" s="1477">
        <v>3.9E-2</v>
      </c>
      <c r="G36" s="464">
        <v>4.0000000000000001E-3</v>
      </c>
      <c r="H36" s="335">
        <v>4.4000000000000004E-2</v>
      </c>
      <c r="I36" s="464">
        <v>0.06</v>
      </c>
      <c r="J36" s="323"/>
      <c r="K36" s="1478">
        <v>-5.0000000000000001E-3</v>
      </c>
    </row>
    <row r="37" spans="1:11" ht="18" customHeight="1" thickBot="1">
      <c r="A37" s="444">
        <v>2003</v>
      </c>
      <c r="B37" s="462">
        <v>9.1271921978299142E-2</v>
      </c>
      <c r="C37" s="464">
        <v>8.3630255522752606E-2</v>
      </c>
      <c r="D37" s="335">
        <v>0.13713423391078017</v>
      </c>
      <c r="E37" s="464">
        <v>8.8191938903005695E-2</v>
      </c>
      <c r="F37" s="1477">
        <v>8.492201039861369E-3</v>
      </c>
      <c r="G37" s="464">
        <v>1.9462465245597693E-2</v>
      </c>
      <c r="H37" s="335">
        <v>3.4042553191488967E-3</v>
      </c>
      <c r="I37" s="464">
        <v>6.7057837384743024E-3</v>
      </c>
      <c r="J37" s="323"/>
      <c r="K37" s="1478">
        <v>-5.0000000000000001E-3</v>
      </c>
    </row>
    <row r="38" spans="1:11" ht="18" customHeight="1" thickBot="1">
      <c r="A38" s="1450">
        <v>2004</v>
      </c>
      <c r="B38" s="462">
        <v>7.0308608781491921E-2</v>
      </c>
      <c r="C38" s="464">
        <v>6.4099553037502144E-2</v>
      </c>
      <c r="D38" s="335">
        <v>9.9881105667954051E-2</v>
      </c>
      <c r="E38" s="464">
        <v>4.7372698773109123E-2</v>
      </c>
      <c r="F38" s="1477">
        <v>1.3060663344217405E-2</v>
      </c>
      <c r="G38" s="464">
        <v>3.0000000000000027E-2</v>
      </c>
      <c r="H38" s="335">
        <v>5.9372349448685302E-3</v>
      </c>
      <c r="I38" s="464">
        <v>9.1590341382181695E-3</v>
      </c>
      <c r="J38" s="1479"/>
      <c r="K38" s="1478">
        <v>-4.0000000000000001E-3</v>
      </c>
    </row>
    <row r="39" spans="1:11" ht="18" customHeight="1" thickBot="1">
      <c r="A39" s="1450">
        <v>2005</v>
      </c>
      <c r="B39" s="462">
        <v>1.8670777167897112E-2</v>
      </c>
      <c r="C39" s="464">
        <v>1.9029056323154769E-2</v>
      </c>
      <c r="D39" s="335">
        <v>2.9832202272288999E-2</v>
      </c>
      <c r="E39" s="464">
        <v>-1.773726673646614E-3</v>
      </c>
      <c r="F39" s="1477">
        <v>8.5665818490245904E-3</v>
      </c>
      <c r="G39" s="464">
        <v>7.9435127978817466E-3</v>
      </c>
      <c r="H39" s="335">
        <v>6.7453625632378778E-3</v>
      </c>
      <c r="I39" s="464">
        <v>1.2376237623762387E-2</v>
      </c>
      <c r="J39" s="323"/>
      <c r="K39" s="1478">
        <v>-2E-3</v>
      </c>
    </row>
    <row r="40" spans="1:11" ht="18" customHeight="1" thickBot="1">
      <c r="A40" s="1450">
        <v>2006</v>
      </c>
      <c r="B40" s="462">
        <v>3.8295836717208154E-2</v>
      </c>
      <c r="C40" s="464">
        <v>3.9686638831593068E-2</v>
      </c>
      <c r="D40" s="335">
        <v>4.4181569525866937E-2</v>
      </c>
      <c r="E40" s="464">
        <v>2.5962167298034355E-2</v>
      </c>
      <c r="F40" s="1477">
        <v>2.9349928517366175E-2</v>
      </c>
      <c r="G40" s="464">
        <v>-7.0052539404553693E-3</v>
      </c>
      <c r="H40" s="335">
        <v>3.6850921273031689E-2</v>
      </c>
      <c r="I40" s="464">
        <v>4.7269763651181629E-2</v>
      </c>
      <c r="J40" s="1479"/>
      <c r="K40" s="1478">
        <v>-3.0000000000000001E-3</v>
      </c>
    </row>
    <row r="41" spans="1:11" ht="21" customHeight="1" thickBot="1">
      <c r="A41" s="1450">
        <v>2007</v>
      </c>
      <c r="B41" s="462">
        <v>1.1387219675381033E-2</v>
      </c>
      <c r="C41" s="464">
        <v>9.0477579316117218E-3</v>
      </c>
      <c r="D41" s="335">
        <v>5.6352245330395512E-3</v>
      </c>
      <c r="E41" s="464">
        <v>-5.7730470864159056E-4</v>
      </c>
      <c r="F41" s="1477">
        <v>4.9019607843137081E-3</v>
      </c>
      <c r="G41" s="464">
        <v>-8.8183421516763172E-4</v>
      </c>
      <c r="H41" s="335">
        <v>8.0775444264944429E-3</v>
      </c>
      <c r="I41" s="464">
        <v>2.3346303501945442E-3</v>
      </c>
      <c r="J41" s="1479"/>
      <c r="K41" s="1478">
        <v>0</v>
      </c>
    </row>
    <row r="42" spans="1:11" ht="21" customHeight="1" thickBot="1">
      <c r="A42" s="1450">
        <v>2008</v>
      </c>
      <c r="B42" s="462">
        <v>-1.0083724776331904E-2</v>
      </c>
      <c r="C42" s="464">
        <v>-1.1190023949128935E-2</v>
      </c>
      <c r="D42" s="335">
        <v>-8.3619184298174831E-3</v>
      </c>
      <c r="E42" s="464">
        <v>-3.0446345836793287E-2</v>
      </c>
      <c r="F42" s="1477">
        <v>1.1382113821138296E-2</v>
      </c>
      <c r="G42" s="464">
        <v>9.7087378640776656E-3</v>
      </c>
      <c r="H42" s="335">
        <v>2.4038461538460343E-3</v>
      </c>
      <c r="I42" s="464">
        <v>2.4844720496894235E-2</v>
      </c>
      <c r="J42" s="1479"/>
      <c r="K42" s="1478">
        <v>0</v>
      </c>
    </row>
    <row r="43" spans="1:11" ht="21" customHeight="1" thickBot="1">
      <c r="A43" s="1450">
        <v>2009</v>
      </c>
      <c r="B43" s="462">
        <v>9.5971000919554683E-3</v>
      </c>
      <c r="C43" s="464">
        <v>3.5267163973076165E-3</v>
      </c>
      <c r="D43" s="335">
        <v>1.1085128258086829E-2</v>
      </c>
      <c r="E43" s="464">
        <v>-2.9434849766826199E-3</v>
      </c>
      <c r="F43" s="1477">
        <v>1.7684887459807008E-2</v>
      </c>
      <c r="G43" s="464">
        <v>-8.7412587412594167E-4</v>
      </c>
      <c r="H43" s="335">
        <v>2.1582733812949728E-2</v>
      </c>
      <c r="I43" s="464">
        <v>2.7272727272727337E-2</v>
      </c>
      <c r="J43" s="1479"/>
      <c r="K43" s="1478">
        <v>-1E-3</v>
      </c>
    </row>
    <row r="44" spans="1:11" s="248" customFormat="1" ht="21" customHeight="1" thickBot="1">
      <c r="A44" s="1456">
        <v>2010</v>
      </c>
      <c r="B44" s="1480">
        <v>8.5762640048591354E-2</v>
      </c>
      <c r="C44" s="1481">
        <v>8.1071878338242698E-2</v>
      </c>
      <c r="D44" s="1482">
        <v>0.11261552428490584</v>
      </c>
      <c r="E44" s="1481">
        <v>8.3755513111132718E-2</v>
      </c>
      <c r="F44" s="1483">
        <v>6.4770932069510456E-2</v>
      </c>
      <c r="G44" s="1481">
        <v>5.4243219597550407E-2</v>
      </c>
      <c r="H44" s="1482">
        <v>6.7292644757433573E-2</v>
      </c>
      <c r="I44" s="1481">
        <v>7.0796460176991038E-2</v>
      </c>
      <c r="J44" s="1484"/>
      <c r="K44" s="1485">
        <v>-6.0000000000000001E-3</v>
      </c>
    </row>
    <row r="45" spans="1:11" s="236" customFormat="1" ht="21" customHeight="1" thickBot="1">
      <c r="A45" s="1461" t="s">
        <v>2178</v>
      </c>
      <c r="B45" s="1486">
        <v>6.1470342488100682E-2</v>
      </c>
      <c r="C45" s="1487" t="s">
        <v>35</v>
      </c>
      <c r="D45" s="1488" t="s">
        <v>35</v>
      </c>
      <c r="E45" s="1487" t="s">
        <v>35</v>
      </c>
      <c r="F45" s="1489">
        <v>4.8219584569732854E-2</v>
      </c>
      <c r="G45" s="1487">
        <v>3.4854771784232463E-2</v>
      </c>
      <c r="H45" s="339">
        <v>5.0586510263929574E-2</v>
      </c>
      <c r="I45" s="860">
        <v>5.4407713498622723E-2</v>
      </c>
      <c r="J45" s="1490"/>
      <c r="K45" s="339">
        <v>-4.0000000000000001E-3</v>
      </c>
    </row>
    <row r="46" spans="1:11" ht="17.25" customHeight="1">
      <c r="A46" s="1155" t="s">
        <v>2255</v>
      </c>
      <c r="B46" s="1156"/>
      <c r="C46" s="1156"/>
      <c r="D46" s="1156"/>
      <c r="E46" s="1156"/>
      <c r="F46" s="1156"/>
      <c r="G46" s="1156"/>
    </row>
    <row r="47" spans="1:11" ht="12" customHeight="1">
      <c r="A47" s="1148"/>
      <c r="B47" s="1149"/>
      <c r="C47" s="1149"/>
      <c r="D47" s="1149"/>
      <c r="E47" s="1149"/>
      <c r="F47" s="1149"/>
      <c r="G47" s="1149"/>
    </row>
    <row r="48" spans="1:11" ht="14.25" customHeight="1">
      <c r="A48" s="1148" t="s">
        <v>2179</v>
      </c>
      <c r="B48" s="1149"/>
      <c r="C48" s="1149"/>
      <c r="D48" s="1149"/>
      <c r="E48" s="1149"/>
      <c r="F48" s="1149"/>
      <c r="G48" s="1149"/>
    </row>
    <row r="49" spans="1:9" ht="15" customHeight="1">
      <c r="A49" s="1491" t="s">
        <v>2180</v>
      </c>
      <c r="B49"/>
      <c r="C49"/>
      <c r="D49"/>
      <c r="E49"/>
      <c r="F49"/>
      <c r="G49"/>
      <c r="I49" s="324"/>
    </row>
    <row r="50" spans="1:9" ht="15.75" customHeight="1">
      <c r="A50" s="4" t="s">
        <v>2181</v>
      </c>
      <c r="B50" s="1150"/>
      <c r="C50" s="1150"/>
      <c r="D50" s="1150"/>
      <c r="E50" s="1150"/>
      <c r="F50" s="1150"/>
      <c r="G50" s="1150"/>
      <c r="I50" s="838"/>
    </row>
    <row r="51" spans="1:9" ht="15" customHeight="1">
      <c r="A51" s="1148" t="s">
        <v>2182</v>
      </c>
      <c r="B51" s="1150"/>
      <c r="C51" s="1150"/>
      <c r="D51" s="1150"/>
      <c r="E51" s="1150"/>
      <c r="F51" s="1150"/>
      <c r="G51" s="1150"/>
    </row>
    <row r="52" spans="1:9" ht="15" customHeight="1">
      <c r="A52" s="1148" t="s">
        <v>2183</v>
      </c>
      <c r="B52" s="1150"/>
      <c r="C52" s="1150"/>
      <c r="D52" s="1150"/>
      <c r="E52" s="1150"/>
      <c r="F52" s="1150"/>
      <c r="G52" s="1150"/>
    </row>
    <row r="53" spans="1:9" ht="15.75" customHeight="1">
      <c r="A53" s="4"/>
      <c r="B53" s="1150"/>
      <c r="C53" s="1150"/>
      <c r="D53" s="1150"/>
      <c r="E53" s="1150"/>
      <c r="F53" s="1150"/>
      <c r="G53" s="1150"/>
      <c r="I53" s="324"/>
    </row>
    <row r="54" spans="1:9" ht="15" customHeight="1">
      <c r="A54" s="1148"/>
      <c r="B54" s="1150"/>
      <c r="C54" s="1150"/>
      <c r="D54" s="1150"/>
      <c r="E54" s="1150"/>
      <c r="F54" s="1150"/>
      <c r="G54" s="1150"/>
    </row>
    <row r="55" spans="1:9" ht="16.5" customHeight="1">
      <c r="A55" s="4" t="s">
        <v>677</v>
      </c>
      <c r="B55" s="1150"/>
      <c r="C55" s="1150"/>
      <c r="D55" s="1150"/>
      <c r="E55" s="1150"/>
      <c r="F55" s="1150"/>
      <c r="G55" s="1150"/>
    </row>
    <row r="56" spans="1:9" ht="31" customHeight="1">
      <c r="A56" s="4"/>
      <c r="B56" s="1150"/>
      <c r="C56" s="1150"/>
      <c r="D56" s="1150"/>
      <c r="E56" s="1150"/>
      <c r="F56" s="1150"/>
      <c r="G56" s="1150"/>
    </row>
    <row r="57" spans="1:9" ht="31" customHeight="1">
      <c r="A57" s="4"/>
      <c r="B57" s="1150"/>
      <c r="C57" s="1150"/>
      <c r="D57" s="1150"/>
      <c r="E57" s="1150"/>
      <c r="F57" s="1150"/>
      <c r="G57" s="1150"/>
    </row>
    <row r="58" spans="1:9">
      <c r="A58" s="4"/>
      <c r="B58" s="1150"/>
      <c r="C58" s="1150"/>
      <c r="D58" s="1150"/>
      <c r="E58" s="1150"/>
      <c r="F58" s="1150"/>
      <c r="G58" s="1150"/>
    </row>
    <row r="59" spans="1:9">
      <c r="A59" s="4"/>
      <c r="B59" s="1150"/>
      <c r="C59" s="1150"/>
      <c r="D59" s="1150"/>
      <c r="E59" s="1150"/>
      <c r="F59" s="1150"/>
      <c r="G59" s="1150"/>
    </row>
    <row r="60" spans="1:9">
      <c r="A60" s="4"/>
      <c r="B60" s="1150"/>
      <c r="C60" s="1150"/>
      <c r="D60" s="1150"/>
      <c r="E60" s="1150"/>
      <c r="F60" s="1150"/>
      <c r="G60" s="1150"/>
    </row>
    <row r="61" spans="1:9">
      <c r="A61" s="4"/>
      <c r="B61" s="1150"/>
      <c r="C61" s="1150"/>
      <c r="D61" s="1150"/>
      <c r="E61" s="1150"/>
      <c r="F61" s="1150"/>
      <c r="G61" s="1150"/>
    </row>
    <row r="62" spans="1:9">
      <c r="A62" s="4"/>
      <c r="B62" s="1150"/>
      <c r="C62" s="1150"/>
      <c r="D62" s="1150"/>
      <c r="E62" s="1150"/>
      <c r="F62" s="1150"/>
      <c r="G62" s="1150"/>
    </row>
    <row r="63" spans="1:9">
      <c r="A63" s="4"/>
      <c r="B63" s="1150"/>
      <c r="C63" s="1150"/>
      <c r="D63" s="1150"/>
      <c r="E63" s="1150"/>
      <c r="F63" s="1150"/>
      <c r="G63" s="1150"/>
    </row>
    <row r="64" spans="1:9">
      <c r="A64" s="4"/>
      <c r="B64" s="1150"/>
      <c r="C64" s="1150"/>
      <c r="D64" s="1150"/>
      <c r="E64" s="1150"/>
      <c r="F64" s="1150"/>
      <c r="G64" s="1150"/>
    </row>
    <row r="65" spans="1:7">
      <c r="A65" s="4"/>
      <c r="B65" s="1150"/>
      <c r="C65" s="1150"/>
      <c r="D65" s="1150"/>
      <c r="E65" s="1150"/>
      <c r="F65" s="1150"/>
      <c r="G65" s="1150"/>
    </row>
    <row r="66" spans="1:7">
      <c r="A66" s="4"/>
      <c r="B66" s="1150"/>
      <c r="C66" s="1150"/>
      <c r="D66" s="1150"/>
      <c r="E66" s="1150"/>
      <c r="F66" s="1150"/>
      <c r="G66" s="1150"/>
    </row>
    <row r="67" spans="1:7">
      <c r="A67" s="4"/>
      <c r="B67" s="1150"/>
      <c r="C67" s="1150"/>
      <c r="D67" s="1150"/>
      <c r="E67" s="1150"/>
      <c r="F67" s="1150"/>
      <c r="G67" s="1150"/>
    </row>
    <row r="68" spans="1:7">
      <c r="A68" s="4"/>
      <c r="B68" s="1150"/>
      <c r="C68" s="1150"/>
      <c r="D68" s="1150"/>
      <c r="E68" s="1150"/>
      <c r="F68" s="1150"/>
      <c r="G68" s="1150"/>
    </row>
    <row r="69" spans="1:7">
      <c r="A69" s="4"/>
      <c r="B69" s="1150"/>
      <c r="C69" s="1150"/>
      <c r="D69" s="1150"/>
      <c r="E69" s="1150"/>
      <c r="F69" s="1150"/>
      <c r="G69" s="1150"/>
    </row>
    <row r="70" spans="1:7">
      <c r="A70" s="4"/>
      <c r="B70" s="1150"/>
      <c r="C70" s="1150"/>
      <c r="D70" s="1150"/>
      <c r="E70" s="1150"/>
      <c r="F70" s="1150"/>
      <c r="G70" s="1150"/>
    </row>
  </sheetData>
  <pageMargins left="0.46" right="0.44" top="0.67" bottom="0.68" header="0.41" footer="0.33"/>
  <pageSetup paperSize="9" scale="69" orientation="portrait" horizontalDpi="1200" verticalDpi="1200"/>
  <headerFooter alignWithMargins="0"/>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5A98D-C7F9-524F-B594-C840FF97785B}">
  <sheetPr>
    <pageSetUpPr fitToPage="1"/>
  </sheetPr>
  <dimension ref="A1:O37"/>
  <sheetViews>
    <sheetView topLeftCell="A13" zoomScaleNormal="100" workbookViewId="0">
      <selection activeCell="A27" sqref="A27"/>
    </sheetView>
  </sheetViews>
  <sheetFormatPr baseColWidth="10" defaultColWidth="11.3984375" defaultRowHeight="13"/>
  <cols>
    <col min="1" max="1" width="17.3984375" style="3" customWidth="1"/>
    <col min="2" max="2" width="13.3984375" style="121" customWidth="1"/>
    <col min="3" max="3" width="13" style="121" customWidth="1"/>
    <col min="4" max="4" width="14.796875" style="121" customWidth="1"/>
    <col min="5" max="5" width="13.19921875" style="121" customWidth="1"/>
    <col min="6" max="6" width="15" style="121" customWidth="1"/>
    <col min="7" max="7" width="12.796875" style="121" customWidth="1"/>
    <col min="8" max="8" width="13.3984375" style="121" customWidth="1"/>
    <col min="9" max="10" width="13" style="121" customWidth="1"/>
    <col min="11" max="11" width="13.3984375" style="121" customWidth="1"/>
    <col min="12" max="12" width="12.59765625" style="3" customWidth="1"/>
    <col min="13" max="13" width="14" style="3" customWidth="1"/>
    <col min="14" max="16384" width="11.3984375" style="3"/>
  </cols>
  <sheetData>
    <row r="1" spans="1:15" s="2" customFormat="1" ht="14" customHeight="1">
      <c r="A1" s="242"/>
      <c r="B1" s="1142"/>
      <c r="C1" s="1142"/>
      <c r="D1" s="1142"/>
      <c r="E1" s="1142"/>
      <c r="F1" s="1142"/>
      <c r="G1" s="1142"/>
      <c r="H1" s="1142"/>
      <c r="I1" s="1142"/>
      <c r="J1" s="1142"/>
      <c r="K1" s="1142"/>
    </row>
    <row r="2" spans="1:15" s="2" customFormat="1" ht="27" customHeight="1">
      <c r="A2" s="372" t="s">
        <v>2282</v>
      </c>
      <c r="B2" s="306"/>
      <c r="C2" s="306"/>
      <c r="D2" s="306"/>
      <c r="E2" s="306"/>
      <c r="F2" s="306"/>
      <c r="G2" s="306"/>
      <c r="H2" s="306"/>
      <c r="I2" s="306"/>
      <c r="J2" s="306"/>
      <c r="K2" s="358"/>
      <c r="M2" s="358"/>
    </row>
    <row r="3" spans="1:15" s="552" customFormat="1" ht="27" customHeight="1">
      <c r="A3" s="72" t="s">
        <v>695</v>
      </c>
      <c r="B3" s="73" t="s">
        <v>2283</v>
      </c>
      <c r="C3" s="277" t="s">
        <v>585</v>
      </c>
      <c r="D3" s="73" t="s">
        <v>2284</v>
      </c>
      <c r="E3" s="277" t="s">
        <v>585</v>
      </c>
      <c r="F3" s="73" t="s">
        <v>2285</v>
      </c>
      <c r="G3" s="277" t="s">
        <v>585</v>
      </c>
      <c r="H3" s="73" t="s">
        <v>2286</v>
      </c>
      <c r="I3" s="277" t="s">
        <v>585</v>
      </c>
      <c r="J3" s="73" t="s">
        <v>759</v>
      </c>
      <c r="K3" s="277" t="s">
        <v>585</v>
      </c>
      <c r="L3" s="73" t="s">
        <v>2287</v>
      </c>
      <c r="M3" s="277" t="s">
        <v>585</v>
      </c>
    </row>
    <row r="4" spans="1:15" s="552" customFormat="1" ht="19.5" customHeight="1">
      <c r="A4" s="328"/>
      <c r="B4" s="76" t="s">
        <v>2288</v>
      </c>
      <c r="C4" s="75" t="s">
        <v>586</v>
      </c>
      <c r="D4" s="76" t="s">
        <v>2289</v>
      </c>
      <c r="E4" s="75" t="s">
        <v>586</v>
      </c>
      <c r="F4" s="76" t="s">
        <v>2290</v>
      </c>
      <c r="G4" s="75" t="s">
        <v>586</v>
      </c>
      <c r="H4" s="76" t="s">
        <v>421</v>
      </c>
      <c r="I4" s="75" t="s">
        <v>586</v>
      </c>
      <c r="J4" s="76" t="s">
        <v>777</v>
      </c>
      <c r="K4" s="75" t="s">
        <v>586</v>
      </c>
      <c r="L4" s="76" t="s">
        <v>2291</v>
      </c>
      <c r="M4" s="75" t="s">
        <v>586</v>
      </c>
    </row>
    <row r="5" spans="1:15" s="552" customFormat="1" ht="19.5" customHeight="1">
      <c r="A5" s="328"/>
      <c r="B5" s="76" t="s">
        <v>2292</v>
      </c>
      <c r="C5" s="75" t="s">
        <v>210</v>
      </c>
      <c r="D5" s="76" t="s">
        <v>2293</v>
      </c>
      <c r="E5" s="75" t="s">
        <v>210</v>
      </c>
      <c r="F5" s="76" t="s">
        <v>2294</v>
      </c>
      <c r="G5" s="75" t="s">
        <v>210</v>
      </c>
      <c r="H5" s="76"/>
      <c r="I5" s="75" t="s">
        <v>210</v>
      </c>
      <c r="J5" s="76" t="s">
        <v>2295</v>
      </c>
      <c r="K5" s="75" t="s">
        <v>210</v>
      </c>
      <c r="L5" s="76" t="s">
        <v>2296</v>
      </c>
      <c r="M5" s="75" t="s">
        <v>210</v>
      </c>
    </row>
    <row r="6" spans="1:15" ht="33.75" customHeight="1">
      <c r="A6" s="263"/>
      <c r="B6" s="82" t="s">
        <v>2297</v>
      </c>
      <c r="C6" s="79"/>
      <c r="D6" s="82"/>
      <c r="E6" s="79"/>
      <c r="F6" s="82" t="s">
        <v>2298</v>
      </c>
      <c r="G6" s="79"/>
      <c r="H6" s="82" t="s">
        <v>2299</v>
      </c>
      <c r="I6" s="79"/>
      <c r="J6" s="82" t="s">
        <v>2300</v>
      </c>
      <c r="K6" s="79"/>
      <c r="L6" s="82"/>
      <c r="M6" s="79"/>
      <c r="O6" s="358"/>
    </row>
    <row r="7" spans="1:15" ht="21" customHeight="1" thickBot="1">
      <c r="A7" s="441">
        <v>1996</v>
      </c>
      <c r="B7" s="308">
        <v>100</v>
      </c>
      <c r="C7" s="309" t="s">
        <v>1222</v>
      </c>
      <c r="D7" s="308">
        <v>100</v>
      </c>
      <c r="E7" s="309" t="s">
        <v>1222</v>
      </c>
      <c r="F7" s="308">
        <v>100</v>
      </c>
      <c r="G7" s="309" t="s">
        <v>1222</v>
      </c>
      <c r="H7" s="308">
        <v>100</v>
      </c>
      <c r="I7" s="309" t="s">
        <v>1222</v>
      </c>
      <c r="J7" s="308">
        <v>100</v>
      </c>
      <c r="K7" s="309" t="s">
        <v>1222</v>
      </c>
      <c r="L7" s="308">
        <v>100</v>
      </c>
      <c r="M7" s="309" t="s">
        <v>1222</v>
      </c>
    </row>
    <row r="8" spans="1:15" ht="20.25" customHeight="1" thickBot="1">
      <c r="A8" s="444">
        <v>1997</v>
      </c>
      <c r="B8" s="429">
        <v>105.39794339791686</v>
      </c>
      <c r="C8" s="452">
        <v>5.3979433979168601E-2</v>
      </c>
      <c r="D8" s="429">
        <v>101.86202823875851</v>
      </c>
      <c r="E8" s="452">
        <v>1.8620282387585174E-2</v>
      </c>
      <c r="F8" s="429">
        <v>107.8243544179355</v>
      </c>
      <c r="G8" s="452">
        <v>7.8243544179354974E-2</v>
      </c>
      <c r="H8" s="429">
        <v>108.11940689335901</v>
      </c>
      <c r="I8" s="452">
        <v>8.1194068933590158E-2</v>
      </c>
      <c r="J8" s="429">
        <v>105.86780210602365</v>
      </c>
      <c r="K8" s="452">
        <v>5.8678021060236452E-2</v>
      </c>
      <c r="L8" s="429">
        <v>100.47120418848168</v>
      </c>
      <c r="M8" s="452">
        <v>4.7120418848167755E-3</v>
      </c>
      <c r="N8" s="358"/>
    </row>
    <row r="9" spans="1:15" ht="20.25" customHeight="1" thickBot="1">
      <c r="A9" s="444">
        <v>1998</v>
      </c>
      <c r="B9" s="429">
        <v>112.34514562910323</v>
      </c>
      <c r="C9" s="452">
        <v>6.5914020778926163E-2</v>
      </c>
      <c r="D9" s="429">
        <v>105.86830875441009</v>
      </c>
      <c r="E9" s="452">
        <v>3.9330460868706618E-2</v>
      </c>
      <c r="F9" s="429">
        <v>115.36251956603556</v>
      </c>
      <c r="G9" s="452">
        <v>6.9911525914466033E-2</v>
      </c>
      <c r="H9" s="429">
        <v>113.95377021303325</v>
      </c>
      <c r="I9" s="452">
        <v>5.3962220912188608E-2</v>
      </c>
      <c r="J9" s="429">
        <v>124.70421988413921</v>
      </c>
      <c r="K9" s="452">
        <v>0.17792395235759617</v>
      </c>
      <c r="L9" s="429">
        <v>101.15183246073298</v>
      </c>
      <c r="M9" s="452">
        <v>6.774361646690874E-3</v>
      </c>
    </row>
    <row r="10" spans="1:15" ht="20.25" customHeight="1" thickBot="1">
      <c r="A10" s="444">
        <v>1999</v>
      </c>
      <c r="B10" s="429">
        <v>116.73767747746584</v>
      </c>
      <c r="C10" s="452">
        <v>3.9098546036551829E-2</v>
      </c>
      <c r="D10" s="429">
        <v>108.76544952296268</v>
      </c>
      <c r="E10" s="452">
        <v>2.7365514785669065E-2</v>
      </c>
      <c r="F10" s="429">
        <v>118.23129090839484</v>
      </c>
      <c r="G10" s="452">
        <v>2.4867447010960442E-2</v>
      </c>
      <c r="H10" s="429">
        <v>116.48898292114663</v>
      </c>
      <c r="I10" s="452">
        <v>2.2247729964299356E-2</v>
      </c>
      <c r="J10" s="429">
        <v>129.78488562275899</v>
      </c>
      <c r="K10" s="452">
        <v>4.0741730659476838E-2</v>
      </c>
      <c r="L10" s="429">
        <v>101.46596858638743</v>
      </c>
      <c r="M10" s="452">
        <v>3.1055900621119736E-3</v>
      </c>
    </row>
    <row r="11" spans="1:15" ht="20.25" customHeight="1" thickBot="1">
      <c r="A11" s="444">
        <v>2000</v>
      </c>
      <c r="B11" s="429">
        <v>123.67905954399367</v>
      </c>
      <c r="C11" s="452">
        <v>5.9461368570295159E-2</v>
      </c>
      <c r="D11" s="429">
        <v>112.70035278561646</v>
      </c>
      <c r="E11" s="452">
        <v>3.6177878912025507E-2</v>
      </c>
      <c r="F11" s="429">
        <v>122.25148214575734</v>
      </c>
      <c r="G11" s="452">
        <v>3.4002768695787333E-2</v>
      </c>
      <c r="H11" s="429">
        <v>120.22317736531187</v>
      </c>
      <c r="I11" s="452">
        <v>3.2056202659894284E-2</v>
      </c>
      <c r="J11" s="429">
        <v>135.7015791217149</v>
      </c>
      <c r="K11" s="452">
        <v>4.5588463329649498E-2</v>
      </c>
      <c r="L11" s="429">
        <v>102.77486910994764</v>
      </c>
      <c r="M11" s="452">
        <v>1.2899896800825594E-2</v>
      </c>
    </row>
    <row r="12" spans="1:15" ht="20.25" customHeight="1" thickBot="1">
      <c r="A12" s="444">
        <v>2001</v>
      </c>
      <c r="B12" s="429">
        <v>130.2910910770666</v>
      </c>
      <c r="C12" s="452">
        <v>5.3461204810673513E-2</v>
      </c>
      <c r="D12" s="429">
        <v>119.03449432568512</v>
      </c>
      <c r="E12" s="452">
        <v>5.6203386977126346E-2</v>
      </c>
      <c r="F12" s="429">
        <v>126.81505316810784</v>
      </c>
      <c r="G12" s="452">
        <v>3.7329371736446237E-2</v>
      </c>
      <c r="H12" s="429">
        <v>124.57722094978531</v>
      </c>
      <c r="I12" s="452">
        <v>3.6216340974279726E-2</v>
      </c>
      <c r="J12" s="429">
        <v>141.65456872934899</v>
      </c>
      <c r="K12" s="452">
        <v>4.3868241225805349E-2</v>
      </c>
      <c r="L12" s="429">
        <v>105.28795811518326</v>
      </c>
      <c r="M12" s="452">
        <v>2.4452368823229875E-2</v>
      </c>
    </row>
    <row r="13" spans="1:15" ht="20.25" customHeight="1" thickBot="1">
      <c r="A13" s="444">
        <v>2002</v>
      </c>
      <c r="B13" s="429">
        <v>135.12284583994762</v>
      </c>
      <c r="C13" s="452">
        <v>3.7084306554951318E-2</v>
      </c>
      <c r="D13" s="429">
        <v>122.30444994955147</v>
      </c>
      <c r="E13" s="452">
        <v>2.7470655816116407E-2</v>
      </c>
      <c r="F13" s="429">
        <v>137.28928000877301</v>
      </c>
      <c r="G13" s="452">
        <v>8.2594507347486523E-2</v>
      </c>
      <c r="H13" s="429">
        <v>135.84965392132474</v>
      </c>
      <c r="I13" s="452">
        <v>9.0485506785250358E-2</v>
      </c>
      <c r="J13" s="429">
        <v>146.83573016358903</v>
      </c>
      <c r="K13" s="452">
        <v>3.6576027732218019E-2</v>
      </c>
      <c r="L13" s="429">
        <v>107.17277486910994</v>
      </c>
      <c r="M13" s="452">
        <v>1.7901541521630815E-2</v>
      </c>
    </row>
    <row r="14" spans="1:15" ht="20.25" customHeight="1" thickBot="1">
      <c r="A14" s="444">
        <v>2003</v>
      </c>
      <c r="B14" s="429">
        <v>141.13594015958546</v>
      </c>
      <c r="C14" s="452">
        <v>4.4500944916156637E-2</v>
      </c>
      <c r="D14" s="429">
        <v>126.16400951454192</v>
      </c>
      <c r="E14" s="452">
        <v>3.1556983957512941E-2</v>
      </c>
      <c r="F14" s="429">
        <v>148.64710880687124</v>
      </c>
      <c r="G14" s="452">
        <v>8.2729174465569821E-2</v>
      </c>
      <c r="H14" s="429">
        <v>148.24891293481085</v>
      </c>
      <c r="I14" s="452">
        <v>9.1271921978299142E-2</v>
      </c>
      <c r="J14" s="429">
        <v>151.28762572832832</v>
      </c>
      <c r="K14" s="452">
        <v>3.0318884645988087E-2</v>
      </c>
      <c r="L14" s="429">
        <v>108.6910994764398</v>
      </c>
      <c r="M14" s="452">
        <v>1.4167073766487626E-2</v>
      </c>
    </row>
    <row r="15" spans="1:15" ht="20.25" customHeight="1" thickBot="1">
      <c r="A15" s="444">
        <v>2004</v>
      </c>
      <c r="B15" s="429">
        <v>150.48255750594851</v>
      </c>
      <c r="C15" s="452">
        <v>6.6224218549822522E-2</v>
      </c>
      <c r="D15" s="429">
        <v>129.76680025721751</v>
      </c>
      <c r="E15" s="452">
        <v>2.8556406510371168E-2</v>
      </c>
      <c r="F15" s="429">
        <v>159.53922129347404</v>
      </c>
      <c r="G15" s="452">
        <v>7.3274970324207933E-2</v>
      </c>
      <c r="H15" s="429">
        <v>158.6720877566259</v>
      </c>
      <c r="I15" s="452">
        <v>7.0308608781491699E-2</v>
      </c>
      <c r="J15" s="429">
        <v>165.28935819309285</v>
      </c>
      <c r="K15" s="452">
        <v>9.2550414466202602E-2</v>
      </c>
      <c r="L15" s="429">
        <v>109.68586387434556</v>
      </c>
      <c r="M15" s="452">
        <v>9.1522157996146714E-3</v>
      </c>
    </row>
    <row r="16" spans="1:15" ht="20.25" customHeight="1" thickBot="1">
      <c r="A16" s="444">
        <v>2005</v>
      </c>
      <c r="B16" s="429">
        <v>158.85411997758723</v>
      </c>
      <c r="C16" s="452">
        <v>5.5631447327759487E-2</v>
      </c>
      <c r="D16" s="429">
        <v>131.56863292998989</v>
      </c>
      <c r="E16" s="452">
        <v>1.3885159140865522E-2</v>
      </c>
      <c r="F16" s="429">
        <v>163.19650081000955</v>
      </c>
      <c r="G16" s="452">
        <v>2.2924015090984406E-2</v>
      </c>
      <c r="H16" s="429">
        <v>161.63461894989487</v>
      </c>
      <c r="I16" s="452">
        <v>1.8670777167897112E-2</v>
      </c>
      <c r="J16" s="429">
        <v>173.55365358411964</v>
      </c>
      <c r="K16" s="452">
        <v>4.9998956262945482E-2</v>
      </c>
      <c r="L16" s="429">
        <v>110.73298429319371</v>
      </c>
      <c r="M16" s="452">
        <v>9.5465393794746944E-3</v>
      </c>
    </row>
    <row r="17" spans="1:13" ht="20.25" customHeight="1" thickBot="1">
      <c r="A17" s="444">
        <v>2006</v>
      </c>
      <c r="B17" s="429">
        <v>159.92892738162934</v>
      </c>
      <c r="C17" s="452">
        <v>6.7660026960192354E-3</v>
      </c>
      <c r="D17" s="429">
        <v>132.42007975142448</v>
      </c>
      <c r="E17" s="452">
        <v>6.4715031423003833E-3</v>
      </c>
      <c r="F17" s="429">
        <v>168.77599451425854</v>
      </c>
      <c r="G17" s="452">
        <v>3.4188807214344141E-2</v>
      </c>
      <c r="H17" s="429">
        <v>167.82455192504821</v>
      </c>
      <c r="I17" s="452">
        <v>3.8295836717208154E-2</v>
      </c>
      <c r="J17" s="429">
        <v>175.08520169816336</v>
      </c>
      <c r="K17" s="452">
        <v>8.8246376979981278E-3</v>
      </c>
      <c r="L17" s="429">
        <v>112.04188481675392</v>
      </c>
      <c r="M17" s="452">
        <v>1.1820330969267268E-2</v>
      </c>
    </row>
    <row r="18" spans="1:13" ht="20.25" customHeight="1" thickBot="1">
      <c r="A18" s="444">
        <v>2007</v>
      </c>
      <c r="B18" s="429">
        <v>166.19096335942064</v>
      </c>
      <c r="C18" s="452">
        <v>3.915511771581226E-2</v>
      </c>
      <c r="D18" s="429">
        <v>137.4374713918709</v>
      </c>
      <c r="E18" s="452">
        <v>3.7889960871983597E-2</v>
      </c>
      <c r="F18" s="429">
        <v>171.12819099456249</v>
      </c>
      <c r="G18" s="452">
        <v>1.3936795259738455E-2</v>
      </c>
      <c r="H18" s="429">
        <v>169.73560696474115</v>
      </c>
      <c r="I18" s="452">
        <v>1.1387219675381255E-2</v>
      </c>
      <c r="J18" s="429">
        <v>180.36269580313146</v>
      </c>
      <c r="K18" s="452">
        <v>3.014243381954218E-2</v>
      </c>
      <c r="L18" s="429">
        <v>113.87434554973821</v>
      </c>
      <c r="M18" s="452">
        <v>1.6355140186915751E-2</v>
      </c>
    </row>
    <row r="19" spans="1:13" ht="20.25" customHeight="1" thickBot="1">
      <c r="A19" s="444">
        <v>2008</v>
      </c>
      <c r="B19" s="429">
        <v>173.20418822710363</v>
      </c>
      <c r="C19" s="452">
        <v>4.2199796703239034E-2</v>
      </c>
      <c r="D19" s="1143">
        <v>143.68661612885961</v>
      </c>
      <c r="E19" s="1494">
        <v>4.5469002548589765E-2</v>
      </c>
      <c r="F19" s="429">
        <v>170.40272566721498</v>
      </c>
      <c r="G19" s="452">
        <v>-4.2393092752938122E-3</v>
      </c>
      <c r="H19" s="429">
        <v>168.02403981936502</v>
      </c>
      <c r="I19" s="452">
        <v>-1.0083724776332126E-2</v>
      </c>
      <c r="J19" s="429">
        <v>186.17626997740183</v>
      </c>
      <c r="K19" s="452">
        <v>3.223268619036368E-2</v>
      </c>
      <c r="L19" s="429">
        <v>116.1780104712042</v>
      </c>
      <c r="M19" s="452">
        <v>2.0229885057471586E-2</v>
      </c>
    </row>
    <row r="20" spans="1:13" ht="20.25" customHeight="1" thickBot="1">
      <c r="A20" s="444">
        <v>2009</v>
      </c>
      <c r="B20" s="429">
        <v>178.14457174882662</v>
      </c>
      <c r="C20" s="452">
        <v>2.8523464543739552E-2</v>
      </c>
      <c r="D20" s="429">
        <v>148.24252210037352</v>
      </c>
      <c r="E20" s="452">
        <v>3.1707239645953678E-2</v>
      </c>
      <c r="F20" s="429">
        <v>172.18272475452474</v>
      </c>
      <c r="G20" s="452">
        <v>1.0445836945037978E-2</v>
      </c>
      <c r="H20" s="429">
        <v>169.63658334736624</v>
      </c>
      <c r="I20" s="452">
        <v>9.5971000919559124E-3</v>
      </c>
      <c r="J20" s="429">
        <v>189.06670056079494</v>
      </c>
      <c r="K20" s="452">
        <v>1.5525236292165179E-2</v>
      </c>
      <c r="L20" s="429">
        <v>118.63874345549739</v>
      </c>
      <c r="M20" s="452">
        <v>2.118071203244698E-2</v>
      </c>
    </row>
    <row r="21" spans="1:13" s="248" customFormat="1" ht="26.25" customHeight="1" thickBot="1">
      <c r="A21" s="447">
        <v>2010</v>
      </c>
      <c r="B21" s="432">
        <v>181.26989827085112</v>
      </c>
      <c r="C21" s="413">
        <v>1.7543765107987719E-2</v>
      </c>
      <c r="D21" s="1545">
        <v>150.82109199585011</v>
      </c>
      <c r="E21" s="1546">
        <v>1.7394266226330668E-2</v>
      </c>
      <c r="F21" s="432">
        <v>184.78971423770679</v>
      </c>
      <c r="G21" s="413">
        <v>7.3218666397313781E-2</v>
      </c>
      <c r="H21" s="432">
        <v>184.18506458405923</v>
      </c>
      <c r="I21" s="413">
        <v>8.5762640048591132E-2</v>
      </c>
      <c r="J21" s="432">
        <v>188.79926771134839</v>
      </c>
      <c r="K21" s="413">
        <v>-1.4144894296738153E-3</v>
      </c>
      <c r="L21" s="450">
        <v>119.58115183246075</v>
      </c>
      <c r="M21" s="837">
        <v>7.9435127978817466E-3</v>
      </c>
    </row>
    <row r="22" spans="1:13" ht="20" customHeight="1">
      <c r="A22" s="1146" t="s">
        <v>2369</v>
      </c>
      <c r="B22" s="1147"/>
      <c r="C22" s="1147"/>
      <c r="D22" s="1147"/>
      <c r="E22" s="1147"/>
      <c r="F22" s="1147"/>
      <c r="G22" s="1147"/>
      <c r="H22" s="1147"/>
      <c r="I22" s="1147"/>
      <c r="J22" s="1147"/>
      <c r="K22" s="1147"/>
    </row>
    <row r="23" spans="1:13" ht="12.75" customHeight="1">
      <c r="A23" s="1159"/>
      <c r="B23" s="1024"/>
      <c r="C23" s="1024"/>
      <c r="D23" s="1024"/>
      <c r="E23" s="1024"/>
      <c r="F23" s="1024"/>
      <c r="G23" s="1024"/>
      <c r="H23" s="1024"/>
      <c r="I23" s="1024"/>
      <c r="J23" s="1024"/>
      <c r="K23" s="1024"/>
    </row>
    <row r="24" spans="1:13" ht="12" customHeight="1">
      <c r="A24" s="1159" t="s">
        <v>2301</v>
      </c>
      <c r="B24" s="1024"/>
      <c r="C24" s="1024"/>
      <c r="D24" s="1024"/>
      <c r="E24" s="1024"/>
      <c r="F24" s="1024"/>
      <c r="G24" s="1024"/>
      <c r="H24" s="1024"/>
      <c r="I24" s="1024"/>
      <c r="J24" s="1024"/>
      <c r="K24" s="1024"/>
    </row>
    <row r="25" spans="1:13" ht="12" customHeight="1">
      <c r="A25" s="1159" t="s">
        <v>2302</v>
      </c>
      <c r="B25" s="1024"/>
      <c r="C25" s="1024"/>
      <c r="D25" s="1024"/>
      <c r="E25" s="1024"/>
      <c r="F25" s="1024"/>
      <c r="G25" s="1024"/>
      <c r="H25" s="1024"/>
      <c r="I25" s="1024"/>
      <c r="J25" s="1024"/>
      <c r="K25" s="1024"/>
    </row>
    <row r="26" spans="1:13" ht="12" customHeight="1">
      <c r="A26" s="1159" t="s">
        <v>2303</v>
      </c>
      <c r="B26" s="1024"/>
      <c r="C26" s="1024"/>
      <c r="D26" s="1024"/>
      <c r="E26" s="1024"/>
      <c r="F26" s="1024"/>
      <c r="G26" s="1024"/>
      <c r="H26" s="1024"/>
      <c r="I26" s="1024"/>
      <c r="J26" s="1024"/>
      <c r="K26" s="1024"/>
    </row>
    <row r="27" spans="1:13" ht="12" customHeight="1">
      <c r="A27" s="1159" t="s">
        <v>2304</v>
      </c>
      <c r="B27" s="1024"/>
      <c r="C27" s="1024"/>
      <c r="D27" s="1024"/>
      <c r="E27" s="1024"/>
      <c r="F27" s="1024"/>
      <c r="G27" s="1024"/>
      <c r="H27" s="1024"/>
      <c r="I27" s="1024"/>
      <c r="J27" s="1024"/>
      <c r="K27" s="1024"/>
    </row>
    <row r="28" spans="1:13" ht="12" customHeight="1">
      <c r="A28" s="1159" t="s">
        <v>2305</v>
      </c>
      <c r="B28" s="1024"/>
      <c r="C28" s="1024"/>
      <c r="D28" s="1024"/>
      <c r="E28" s="1024"/>
      <c r="F28" s="1024"/>
      <c r="G28" s="1024"/>
      <c r="H28" s="1024"/>
      <c r="I28" s="1024"/>
      <c r="J28" s="1024"/>
      <c r="K28" s="1024"/>
    </row>
    <row r="29" spans="1:13" ht="12" customHeight="1">
      <c r="A29" s="1159" t="s">
        <v>2306</v>
      </c>
      <c r="B29" s="1152"/>
      <c r="C29" s="1152"/>
      <c r="D29" s="1152"/>
      <c r="E29" s="1152"/>
      <c r="F29" s="1152"/>
      <c r="G29" s="1152"/>
      <c r="H29" s="1152"/>
      <c r="I29" s="1152"/>
      <c r="J29" s="1152"/>
      <c r="K29" s="1152"/>
    </row>
    <row r="30" spans="1:13" ht="15.75" customHeight="1">
      <c r="A30" s="1159"/>
      <c r="B30" s="1152"/>
      <c r="C30" s="1152"/>
      <c r="D30" s="1152"/>
      <c r="E30" s="1152"/>
      <c r="F30" s="1152"/>
      <c r="G30" s="1152"/>
      <c r="H30" s="1152"/>
      <c r="I30" s="1152"/>
      <c r="J30" s="1152"/>
      <c r="K30" s="1152"/>
    </row>
    <row r="31" spans="1:13" ht="15.75" customHeight="1">
      <c r="A31" s="138"/>
      <c r="B31" s="1152"/>
      <c r="C31" s="1152"/>
      <c r="D31" s="1152"/>
      <c r="E31" s="1152"/>
      <c r="F31" s="1152"/>
      <c r="G31" s="1152"/>
      <c r="H31" s="1152"/>
      <c r="I31" s="1152"/>
      <c r="J31" s="1152"/>
      <c r="K31" s="1152"/>
      <c r="M31" s="317"/>
    </row>
    <row r="32" spans="1:13" ht="15.75" customHeight="1">
      <c r="A32" s="324" t="s">
        <v>677</v>
      </c>
      <c r="B32" s="1152"/>
      <c r="C32" s="1152"/>
      <c r="D32" s="1152"/>
      <c r="E32" s="1152"/>
      <c r="F32" s="1152"/>
      <c r="G32" s="1152"/>
      <c r="H32" s="1152"/>
      <c r="I32" s="1152"/>
      <c r="J32" s="1152"/>
      <c r="K32" s="1152"/>
    </row>
    <row r="33" spans="1:11" ht="31" customHeight="1">
      <c r="A33" s="138"/>
      <c r="B33" s="1152"/>
      <c r="C33" s="1152"/>
      <c r="D33" s="1152"/>
      <c r="E33" s="1152"/>
      <c r="F33" s="1152"/>
      <c r="G33" s="1152"/>
      <c r="H33" s="1152"/>
      <c r="I33" s="1152"/>
      <c r="J33" s="1152"/>
      <c r="K33" s="1152"/>
    </row>
    <row r="34" spans="1:11" ht="31" customHeight="1">
      <c r="A34" s="138"/>
      <c r="B34" s="1152"/>
      <c r="C34" s="1152"/>
      <c r="D34" s="1152"/>
      <c r="E34" s="1152"/>
      <c r="F34" s="1152"/>
      <c r="G34" s="1152"/>
      <c r="H34" s="1152"/>
      <c r="I34" s="1152"/>
      <c r="J34" s="1152"/>
      <c r="K34" s="1152"/>
    </row>
    <row r="35" spans="1:11" ht="31" customHeight="1">
      <c r="A35" s="138"/>
      <c r="B35" s="1152"/>
      <c r="C35" s="1152"/>
      <c r="D35" s="1152"/>
      <c r="E35" s="1152"/>
      <c r="F35" s="1152"/>
      <c r="G35" s="1152"/>
      <c r="H35" s="1152"/>
      <c r="I35" s="1152"/>
      <c r="J35" s="1152"/>
      <c r="K35" s="1152"/>
    </row>
    <row r="36" spans="1:11" ht="31" customHeight="1">
      <c r="A36" s="138"/>
      <c r="B36" s="1152"/>
      <c r="C36" s="1152"/>
      <c r="D36" s="1152"/>
      <c r="E36" s="1152"/>
      <c r="F36" s="1152"/>
      <c r="G36" s="1152"/>
      <c r="H36" s="1152"/>
      <c r="I36" s="1152"/>
      <c r="J36" s="1152"/>
      <c r="K36" s="1152"/>
    </row>
    <row r="37" spans="1:11" ht="31" customHeight="1">
      <c r="A37" s="138"/>
      <c r="B37" s="1152"/>
      <c r="C37" s="1152"/>
      <c r="D37" s="1152"/>
      <c r="E37" s="1152"/>
      <c r="F37" s="1152"/>
      <c r="G37" s="1152"/>
      <c r="H37" s="1152"/>
      <c r="I37" s="1152"/>
      <c r="J37" s="1152"/>
      <c r="K37" s="1152"/>
    </row>
  </sheetData>
  <pageMargins left="0.55118110236220474" right="0.59055118110236227" top="0.82" bottom="0.47244094488188981" header="0.47244094488188981" footer="0.51181102362204722"/>
  <pageSetup paperSize="9" scale="75" orientation="landscape"/>
  <headerFooter alignWithMargins="0"/>
  <rowBreaks count="1" manualBreakCount="1">
    <brk id="28" max="16383" man="1"/>
  </rowBreaks>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4868F-6E7A-BB46-974D-A02C38BA3A55}">
  <sheetPr>
    <pageSetUpPr fitToPage="1"/>
  </sheetPr>
  <dimension ref="A1:J55"/>
  <sheetViews>
    <sheetView zoomScaleNormal="100" workbookViewId="0">
      <selection activeCell="A3" sqref="A3"/>
    </sheetView>
  </sheetViews>
  <sheetFormatPr baseColWidth="10" defaultColWidth="11.3984375" defaultRowHeight="13"/>
  <cols>
    <col min="1" max="1" width="23.59765625" style="3" customWidth="1"/>
    <col min="2" max="2" width="20" style="3" customWidth="1"/>
    <col min="3" max="3" width="15.796875" style="3" customWidth="1"/>
    <col min="4" max="4" width="18.796875" style="3" customWidth="1"/>
    <col min="5" max="5" width="14.3984375" style="3" customWidth="1"/>
    <col min="6" max="6" width="20" style="3" customWidth="1"/>
    <col min="7" max="7" width="15" style="3" customWidth="1"/>
    <col min="8" max="8" width="13.19921875" style="3" customWidth="1"/>
    <col min="9" max="10" width="13.3984375" style="3" customWidth="1"/>
    <col min="11" max="16384" width="11.3984375" style="3"/>
  </cols>
  <sheetData>
    <row r="1" spans="1:10" s="2" customFormat="1" ht="14" customHeight="1"/>
    <row r="2" spans="1:10" s="2" customFormat="1" ht="25.25" customHeight="1">
      <c r="A2" s="129" t="s">
        <v>2184</v>
      </c>
      <c r="B2" s="306"/>
      <c r="C2" s="306"/>
      <c r="D2" s="306"/>
      <c r="E2" s="306"/>
      <c r="F2" s="306"/>
      <c r="G2" s="71"/>
    </row>
    <row r="3" spans="1:10" ht="24" customHeight="1">
      <c r="A3" s="72" t="s">
        <v>680</v>
      </c>
      <c r="B3" s="73" t="s">
        <v>681</v>
      </c>
      <c r="C3" s="74" t="s">
        <v>682</v>
      </c>
      <c r="D3" s="73" t="s">
        <v>683</v>
      </c>
      <c r="E3" s="74" t="s">
        <v>684</v>
      </c>
      <c r="F3" s="73" t="s">
        <v>644</v>
      </c>
      <c r="G3" s="277" t="s">
        <v>585</v>
      </c>
    </row>
    <row r="4" spans="1:10" ht="15" customHeight="1">
      <c r="A4" s="328"/>
      <c r="B4" s="76" t="s">
        <v>685</v>
      </c>
      <c r="C4" s="77" t="s">
        <v>686</v>
      </c>
      <c r="D4" s="76" t="s">
        <v>687</v>
      </c>
      <c r="E4" s="106" t="s">
        <v>688</v>
      </c>
      <c r="F4" s="76"/>
      <c r="G4" s="75" t="s">
        <v>586</v>
      </c>
    </row>
    <row r="5" spans="1:10" ht="15" customHeight="1">
      <c r="A5" s="328"/>
      <c r="B5" s="76" t="s">
        <v>689</v>
      </c>
      <c r="C5" s="77" t="s">
        <v>690</v>
      </c>
      <c r="D5" s="76"/>
      <c r="E5" s="106" t="s">
        <v>699</v>
      </c>
      <c r="F5" s="76"/>
      <c r="G5" s="75" t="s">
        <v>210</v>
      </c>
    </row>
    <row r="6" spans="1:10" ht="24" customHeight="1">
      <c r="A6" s="263"/>
      <c r="B6" s="82"/>
      <c r="C6" s="81"/>
      <c r="D6" s="82"/>
      <c r="E6" s="109" t="s">
        <v>692</v>
      </c>
      <c r="F6" s="82"/>
      <c r="G6" s="108"/>
    </row>
    <row r="7" spans="1:10" ht="1.5" customHeight="1" thickBot="1">
      <c r="A7" s="427">
        <v>1996</v>
      </c>
      <c r="B7" s="123">
        <v>1753.1648672625149</v>
      </c>
      <c r="C7" s="124">
        <v>1842.1623355260151</v>
      </c>
      <c r="D7" s="123">
        <v>1515.4959144221264</v>
      </c>
      <c r="E7" s="124">
        <v>1176.4588298743031</v>
      </c>
      <c r="F7" s="123">
        <v>1771.0161788756484</v>
      </c>
      <c r="G7" s="309" t="s">
        <v>35</v>
      </c>
    </row>
    <row r="8" spans="1:10" ht="19.5" hidden="1" customHeight="1" thickBot="1">
      <c r="A8" s="333">
        <v>1997</v>
      </c>
      <c r="B8" s="133">
        <v>1811.5958116334416</v>
      </c>
      <c r="C8" s="132">
        <v>2130.0081643172375</v>
      </c>
      <c r="D8" s="133">
        <v>1576.8168903289518</v>
      </c>
      <c r="E8" s="132">
        <v>1389.6088488110106</v>
      </c>
      <c r="F8" s="133">
        <v>1909.5867615098578</v>
      </c>
      <c r="G8" s="452">
        <v>7.8243544179354974E-2</v>
      </c>
      <c r="H8" s="9"/>
      <c r="I8" s="9"/>
      <c r="J8" s="9"/>
    </row>
    <row r="9" spans="1:10" ht="21" hidden="1" customHeight="1" thickBot="1">
      <c r="A9" s="333">
        <v>1998</v>
      </c>
      <c r="B9" s="133">
        <v>1918.0694163570959</v>
      </c>
      <c r="C9" s="132">
        <v>2297.6573623558743</v>
      </c>
      <c r="D9" s="133">
        <v>1557.6743377537739</v>
      </c>
      <c r="E9" s="132">
        <v>1666.142713790621</v>
      </c>
      <c r="F9" s="133">
        <v>2043.088885873075</v>
      </c>
      <c r="G9" s="452">
        <v>6.9911525914465811E-2</v>
      </c>
    </row>
    <row r="10" spans="1:10" ht="21" hidden="1" customHeight="1" thickBot="1">
      <c r="A10" s="333">
        <v>1999</v>
      </c>
      <c r="B10" s="133">
        <v>1950.8999883727415</v>
      </c>
      <c r="C10" s="132">
        <v>2374.4763783142644</v>
      </c>
      <c r="D10" s="133">
        <v>1570.8419091195699</v>
      </c>
      <c r="E10" s="132">
        <v>1752.9616538234313</v>
      </c>
      <c r="F10" s="133">
        <v>2093.8952904812063</v>
      </c>
      <c r="G10" s="452">
        <v>2.4867447010960664E-2</v>
      </c>
    </row>
    <row r="11" spans="1:10" ht="21" customHeight="1" thickBot="1">
      <c r="A11" s="333">
        <v>2000</v>
      </c>
      <c r="B11" s="133">
        <v>2027.0193294058211</v>
      </c>
      <c r="C11" s="132">
        <v>2433.7171249231678</v>
      </c>
      <c r="D11" s="133">
        <v>1662.9240904226378</v>
      </c>
      <c r="E11" s="132">
        <v>1828.3919207533229</v>
      </c>
      <c r="F11" s="133">
        <v>2165.0935277166373</v>
      </c>
      <c r="G11" s="452">
        <v>3.4002768695787333E-2</v>
      </c>
    </row>
    <row r="12" spans="1:10" ht="21" customHeight="1" thickBot="1">
      <c r="A12" s="333">
        <v>2001</v>
      </c>
      <c r="B12" s="133">
        <v>2122.8464393209329</v>
      </c>
      <c r="C12" s="132">
        <v>2484.2689833767849</v>
      </c>
      <c r="D12" s="133">
        <v>1731.3120166424887</v>
      </c>
      <c r="E12" s="132">
        <v>1922.2028434326885</v>
      </c>
      <c r="F12" s="133">
        <v>2245.9151088569452</v>
      </c>
      <c r="G12" s="452">
        <v>3.7329371736446237E-2</v>
      </c>
    </row>
    <row r="13" spans="1:10" ht="21" customHeight="1" thickBot="1">
      <c r="A13" s="333">
        <v>2002</v>
      </c>
      <c r="B13" s="133">
        <v>2285.7395632640332</v>
      </c>
      <c r="C13" s="132">
        <v>2654.9017890161094</v>
      </c>
      <c r="D13" s="133">
        <v>1950.7839810299843</v>
      </c>
      <c r="E13" s="132">
        <v>2240.2987240624661</v>
      </c>
      <c r="F13" s="133">
        <v>2431.415360817261</v>
      </c>
      <c r="G13" s="452">
        <v>8.2594507347486523E-2</v>
      </c>
    </row>
    <row r="14" spans="1:10" ht="21" customHeight="1" thickBot="1">
      <c r="A14" s="333">
        <v>2003</v>
      </c>
      <c r="B14" s="133">
        <v>2510.8199696536694</v>
      </c>
      <c r="C14" s="132">
        <v>2859.9015075571601</v>
      </c>
      <c r="D14" s="133">
        <v>2124.4793305026888</v>
      </c>
      <c r="E14" s="132">
        <v>2210.374964555655</v>
      </c>
      <c r="F14" s="133">
        <v>2632.5643464005784</v>
      </c>
      <c r="G14" s="452">
        <v>8.2729174465569821E-2</v>
      </c>
    </row>
    <row r="15" spans="1:10" ht="21" customHeight="1" thickBot="1">
      <c r="A15" s="333">
        <v>2004</v>
      </c>
      <c r="B15" s="133">
        <v>2690.5459375499613</v>
      </c>
      <c r="C15" s="132">
        <v>3090.7636553345851</v>
      </c>
      <c r="D15" s="133">
        <v>2246.9396743730986</v>
      </c>
      <c r="E15" s="132">
        <v>2415.1482194113514</v>
      </c>
      <c r="F15" s="133">
        <v>2825.4654207596486</v>
      </c>
      <c r="G15" s="452">
        <v>7.3274970324207933E-2</v>
      </c>
    </row>
    <row r="16" spans="1:10" ht="21" customHeight="1" thickBot="1">
      <c r="A16" s="333">
        <v>2005</v>
      </c>
      <c r="B16" s="133">
        <v>2840.2952473424793</v>
      </c>
      <c r="C16" s="132">
        <v>3103.8126743937628</v>
      </c>
      <c r="D16" s="133">
        <v>2376.2836440132501</v>
      </c>
      <c r="E16" s="132">
        <v>2400.5917441113538</v>
      </c>
      <c r="F16" s="133">
        <v>2890.2364327041978</v>
      </c>
      <c r="G16" s="452">
        <v>2.2924015090984629E-2</v>
      </c>
    </row>
    <row r="17" spans="1:7" ht="21" customHeight="1" thickBot="1">
      <c r="A17" s="333">
        <v>2006</v>
      </c>
      <c r="B17" s="133">
        <v>3011.1782609964857</v>
      </c>
      <c r="C17" s="132">
        <v>3242.7971622539844</v>
      </c>
      <c r="D17" s="133">
        <v>2532.6355623862773</v>
      </c>
      <c r="E17" s="132">
        <v>2415.428916702369</v>
      </c>
      <c r="F17" s="133">
        <v>2989.0501689057955</v>
      </c>
      <c r="G17" s="452">
        <v>3.4188807214344141E-2</v>
      </c>
    </row>
    <row r="18" spans="1:7" ht="21" customHeight="1" thickBot="1">
      <c r="A18" s="333">
        <v>2007</v>
      </c>
      <c r="B18" s="133">
        <v>3123.9745528614731</v>
      </c>
      <c r="C18" s="132">
        <v>3317.638542693885</v>
      </c>
      <c r="D18" s="133">
        <v>2650.6385932147032</v>
      </c>
      <c r="E18" s="132">
        <v>2470.5095950288969</v>
      </c>
      <c r="F18" s="133">
        <v>3030.7079491309219</v>
      </c>
      <c r="G18" s="452">
        <v>1.3936795259738233E-2</v>
      </c>
    </row>
    <row r="19" spans="1:7" ht="21" customHeight="1" thickBot="1">
      <c r="A19" s="333">
        <v>2008</v>
      </c>
      <c r="B19" s="133">
        <v>3180.5156961243692</v>
      </c>
      <c r="C19" s="132">
        <v>3344.9015527889869</v>
      </c>
      <c r="D19" s="133">
        <v>2727.0156464501351</v>
      </c>
      <c r="E19" s="132">
        <v>2468.4220560673621</v>
      </c>
      <c r="F19" s="133">
        <v>3017.8598408114649</v>
      </c>
      <c r="G19" s="452">
        <v>-4.2393092752937012E-3</v>
      </c>
    </row>
    <row r="20" spans="1:7" ht="21" customHeight="1" thickBot="1">
      <c r="A20" s="333">
        <v>2009</v>
      </c>
      <c r="B20" s="133">
        <v>3243.4047860779601</v>
      </c>
      <c r="C20" s="132">
        <v>3381.8730613579137</v>
      </c>
      <c r="D20" s="133">
        <v>2806.1776808293953</v>
      </c>
      <c r="E20" s="132">
        <v>2595.8313806278784</v>
      </c>
      <c r="F20" s="133">
        <v>3049.3839126315593</v>
      </c>
      <c r="G20" s="452">
        <v>1.0445836945037756E-2</v>
      </c>
    </row>
    <row r="21" spans="1:7" ht="21.75" customHeight="1" thickBot="1">
      <c r="A21" s="431">
        <v>2010</v>
      </c>
      <c r="B21" s="435">
        <v>3580.9467455800068</v>
      </c>
      <c r="C21" s="436">
        <v>3784.2286980765448</v>
      </c>
      <c r="D21" s="435">
        <v>3041.1445773385881</v>
      </c>
      <c r="E21" s="436">
        <v>2814.6296923683039</v>
      </c>
      <c r="F21" s="435">
        <v>3272.655736047865</v>
      </c>
      <c r="G21" s="837">
        <v>7.3218666397313781E-2</v>
      </c>
    </row>
    <row r="22" spans="1:7" ht="20" customHeight="1">
      <c r="A22" s="1492" t="s">
        <v>678</v>
      </c>
      <c r="B22" s="95"/>
      <c r="C22" s="95"/>
      <c r="D22" s="95"/>
      <c r="E22" s="95"/>
      <c r="F22" s="95"/>
      <c r="G22" s="666"/>
    </row>
    <row r="23" spans="1:7">
      <c r="G23" s="667"/>
    </row>
    <row r="24" spans="1:7">
      <c r="A24" s="249" t="s">
        <v>2185</v>
      </c>
      <c r="G24" s="667"/>
    </row>
    <row r="25" spans="1:7">
      <c r="G25" s="667"/>
    </row>
    <row r="26" spans="1:7">
      <c r="G26" s="667"/>
    </row>
    <row r="27" spans="1:7" ht="16">
      <c r="A27" s="838" t="s">
        <v>2186</v>
      </c>
      <c r="G27" s="667"/>
    </row>
    <row r="28" spans="1:7">
      <c r="G28" s="667"/>
    </row>
    <row r="29" spans="1:7" ht="18" customHeight="1">
      <c r="A29" s="72" t="s">
        <v>695</v>
      </c>
      <c r="B29" s="73" t="s">
        <v>204</v>
      </c>
      <c r="C29" s="652" t="s">
        <v>585</v>
      </c>
      <c r="D29" s="73" t="s">
        <v>1362</v>
      </c>
      <c r="E29" s="652" t="s">
        <v>585</v>
      </c>
      <c r="F29" s="73" t="s">
        <v>1481</v>
      </c>
      <c r="G29" s="652" t="s">
        <v>585</v>
      </c>
    </row>
    <row r="30" spans="1:7" ht="18" customHeight="1">
      <c r="A30" s="839"/>
      <c r="B30" s="76" t="s">
        <v>207</v>
      </c>
      <c r="C30" s="653" t="s">
        <v>586</v>
      </c>
      <c r="D30" s="76" t="s">
        <v>208</v>
      </c>
      <c r="E30" s="653" t="s">
        <v>586</v>
      </c>
      <c r="F30" s="76" t="s">
        <v>1482</v>
      </c>
      <c r="G30" s="653" t="s">
        <v>586</v>
      </c>
    </row>
    <row r="31" spans="1:7" ht="18" customHeight="1">
      <c r="A31" s="328"/>
      <c r="B31" s="76"/>
      <c r="C31" s="653" t="s">
        <v>210</v>
      </c>
      <c r="D31" s="76"/>
      <c r="E31" s="653" t="s">
        <v>210</v>
      </c>
      <c r="F31" s="76"/>
      <c r="G31" s="653" t="s">
        <v>210</v>
      </c>
    </row>
    <row r="32" spans="1:7" ht="18" customHeight="1">
      <c r="A32" s="329"/>
      <c r="B32" s="82"/>
      <c r="C32" s="654"/>
      <c r="D32" s="82"/>
      <c r="E32" s="654"/>
      <c r="F32" s="82"/>
      <c r="G32" s="654"/>
    </row>
    <row r="33" spans="1:7" ht="1.5" customHeight="1" thickBot="1">
      <c r="A33" s="427">
        <v>1996</v>
      </c>
      <c r="B33" s="123" t="s">
        <v>35</v>
      </c>
      <c r="C33" s="124" t="s">
        <v>35</v>
      </c>
      <c r="D33" s="123" t="s">
        <v>35</v>
      </c>
      <c r="E33" s="124" t="s">
        <v>35</v>
      </c>
      <c r="F33" s="123" t="s">
        <v>35</v>
      </c>
      <c r="G33" s="309" t="s">
        <v>35</v>
      </c>
    </row>
    <row r="34" spans="1:7" ht="0.75" hidden="1" customHeight="1" thickBot="1">
      <c r="A34" s="333">
        <v>1997</v>
      </c>
      <c r="B34" s="123">
        <v>635</v>
      </c>
      <c r="C34" s="452" t="s">
        <v>35</v>
      </c>
      <c r="D34" s="123">
        <v>1640.1499999999999</v>
      </c>
      <c r="E34" s="452" t="s">
        <v>35</v>
      </c>
      <c r="F34" s="123">
        <v>2340.06</v>
      </c>
      <c r="G34" s="452" t="s">
        <v>35</v>
      </c>
    </row>
    <row r="35" spans="1:7" ht="21" hidden="1" customHeight="1" thickBot="1">
      <c r="A35" s="333">
        <v>1998</v>
      </c>
      <c r="B35" s="123">
        <v>656.52</v>
      </c>
      <c r="C35" s="452">
        <v>3.388976377952746E-2</v>
      </c>
      <c r="D35" s="123">
        <v>1784.45</v>
      </c>
      <c r="E35" s="452">
        <v>8.7979757948968285E-2</v>
      </c>
      <c r="F35" s="123">
        <v>2512.02</v>
      </c>
      <c r="G35" s="452">
        <v>7.3485295248839844E-2</v>
      </c>
    </row>
    <row r="36" spans="1:7" ht="21" hidden="1" customHeight="1" thickBot="1">
      <c r="A36" s="333">
        <v>1999</v>
      </c>
      <c r="B36" s="123">
        <v>671.71</v>
      </c>
      <c r="C36" s="452">
        <v>2.3137147383171852E-2</v>
      </c>
      <c r="D36" s="123">
        <v>1815.1499999999999</v>
      </c>
      <c r="E36" s="452">
        <v>1.7204180559836191E-2</v>
      </c>
      <c r="F36" s="123">
        <v>2575.1999999999998</v>
      </c>
      <c r="G36" s="452">
        <v>2.5151073637948773E-2</v>
      </c>
    </row>
    <row r="37" spans="1:7" ht="21" customHeight="1" thickBot="1">
      <c r="A37" s="333">
        <v>2000</v>
      </c>
      <c r="B37" s="123">
        <v>693.68000000000006</v>
      </c>
      <c r="C37" s="452">
        <v>3.2707567253725589E-2</v>
      </c>
      <c r="D37" s="123">
        <v>1808.28</v>
      </c>
      <c r="E37" s="452">
        <v>-3.784811172630298E-3</v>
      </c>
      <c r="F37" s="123">
        <v>2662.32</v>
      </c>
      <c r="G37" s="452">
        <v>3.3830382106244228E-2</v>
      </c>
    </row>
    <row r="38" spans="1:7" ht="21" customHeight="1" thickBot="1">
      <c r="A38" s="333">
        <v>2001</v>
      </c>
      <c r="B38" s="123">
        <v>727.81999999999994</v>
      </c>
      <c r="C38" s="452">
        <v>4.9215776727020932E-2</v>
      </c>
      <c r="D38" s="123">
        <v>1832.96</v>
      </c>
      <c r="E38" s="452">
        <v>1.364832879863731E-2</v>
      </c>
      <c r="F38" s="123">
        <v>2775.24</v>
      </c>
      <c r="G38" s="452">
        <v>4.2414135040115264E-2</v>
      </c>
    </row>
    <row r="39" spans="1:7" ht="21" customHeight="1" thickBot="1">
      <c r="A39" s="333">
        <v>2002</v>
      </c>
      <c r="B39" s="123">
        <v>787.46999999999991</v>
      </c>
      <c r="C39" s="452">
        <v>8.1957077299332326E-2</v>
      </c>
      <c r="D39" s="123">
        <v>2041.33</v>
      </c>
      <c r="E39" s="452">
        <v>0.11367951291899425</v>
      </c>
      <c r="F39" s="123">
        <v>2988.54</v>
      </c>
      <c r="G39" s="452">
        <v>7.6858217667661322E-2</v>
      </c>
    </row>
    <row r="40" spans="1:7" ht="21" customHeight="1" thickBot="1">
      <c r="A40" s="333">
        <v>2003</v>
      </c>
      <c r="B40" s="123">
        <v>852.56</v>
      </c>
      <c r="C40" s="452">
        <v>8.2657117096524457E-2</v>
      </c>
      <c r="D40" s="123">
        <v>2294.29</v>
      </c>
      <c r="E40" s="452">
        <v>0.12391920953496016</v>
      </c>
      <c r="F40" s="123">
        <v>3212.78</v>
      </c>
      <c r="G40" s="452">
        <v>7.5033293849170679E-2</v>
      </c>
    </row>
    <row r="41" spans="1:7" ht="21" customHeight="1" thickBot="1">
      <c r="A41" s="333">
        <v>2004</v>
      </c>
      <c r="B41" s="123">
        <v>892.68000000000006</v>
      </c>
      <c r="C41" s="452">
        <v>4.7058271558600095E-2</v>
      </c>
      <c r="D41" s="123">
        <v>2519.2999999999997</v>
      </c>
      <c r="E41" s="452">
        <v>9.8073913934158208E-2</v>
      </c>
      <c r="F41" s="123">
        <v>3430.62</v>
      </c>
      <c r="G41" s="452">
        <v>6.7804206948499424E-2</v>
      </c>
    </row>
    <row r="42" spans="1:7" ht="21" customHeight="1" thickBot="1">
      <c r="A42" s="333">
        <v>2005</v>
      </c>
      <c r="B42" s="123">
        <v>898.43</v>
      </c>
      <c r="C42" s="452">
        <v>6.4412779495450767E-3</v>
      </c>
      <c r="D42" s="123">
        <v>2598.67</v>
      </c>
      <c r="E42" s="452">
        <v>3.1504783074663756E-2</v>
      </c>
      <c r="F42" s="123">
        <v>3506.0200000000004</v>
      </c>
      <c r="G42" s="452">
        <v>2.1978534492307578E-2</v>
      </c>
    </row>
    <row r="43" spans="1:7" ht="21" customHeight="1" thickBot="1">
      <c r="A43" s="333">
        <v>2006</v>
      </c>
      <c r="B43" s="123">
        <v>921.03000000000009</v>
      </c>
      <c r="C43" s="452">
        <v>2.5154992598199311E-2</v>
      </c>
      <c r="D43" s="123">
        <v>2701.55</v>
      </c>
      <c r="E43" s="452">
        <v>3.9589482312105906E-2</v>
      </c>
      <c r="F43" s="123">
        <v>3630.2000000000003</v>
      </c>
      <c r="G43" s="452">
        <v>3.5419079183803825E-2</v>
      </c>
    </row>
    <row r="44" spans="1:7" ht="21" customHeight="1" thickBot="1">
      <c r="A44" s="333">
        <v>2007</v>
      </c>
      <c r="B44" s="123">
        <v>923.76</v>
      </c>
      <c r="C44" s="452">
        <v>2.9640728315036835E-3</v>
      </c>
      <c r="D44" s="123">
        <v>2720.47</v>
      </c>
      <c r="E44" s="452">
        <v>7.0033869445316199E-3</v>
      </c>
      <c r="F44" s="123">
        <v>3670.5600000000004</v>
      </c>
      <c r="G44" s="452">
        <v>1.1117844746845851E-2</v>
      </c>
    </row>
    <row r="45" spans="1:7" ht="21" customHeight="1" thickBot="1">
      <c r="A45" s="333">
        <v>2008</v>
      </c>
      <c r="B45" s="123">
        <v>900.7570192948325</v>
      </c>
      <c r="C45" s="452">
        <v>-2.4901468677110405E-2</v>
      </c>
      <c r="D45" s="123">
        <v>2711.5696629149288</v>
      </c>
      <c r="E45" s="452">
        <v>-3.2716174356162142E-3</v>
      </c>
      <c r="F45" s="123">
        <v>3651.1711467075061</v>
      </c>
      <c r="G45" s="452">
        <v>-5.2822602797650831E-3</v>
      </c>
    </row>
    <row r="46" spans="1:7" ht="21" customHeight="1" thickBot="1">
      <c r="A46" s="333">
        <v>2009</v>
      </c>
      <c r="B46" s="123">
        <v>899.0236454390664</v>
      </c>
      <c r="C46" s="452">
        <v>-1.9243523154813813E-3</v>
      </c>
      <c r="D46" s="123">
        <v>2751.4413723136295</v>
      </c>
      <c r="E46" s="452">
        <v>1.4704291003108105E-2</v>
      </c>
      <c r="F46" s="123">
        <v>3668.3142766978899</v>
      </c>
      <c r="G46" s="452">
        <v>4.6952414174949997E-3</v>
      </c>
    </row>
    <row r="47" spans="1:7" ht="21.75" customHeight="1" thickBot="1">
      <c r="A47" s="841">
        <v>2010</v>
      </c>
      <c r="B47" s="843">
        <v>964.51625034648475</v>
      </c>
      <c r="C47" s="837">
        <v>7.284858995608845E-2</v>
      </c>
      <c r="D47" s="843">
        <v>3021.122471904001</v>
      </c>
      <c r="E47" s="837">
        <v>9.8014481538308162E-2</v>
      </c>
      <c r="F47" s="843">
        <v>3920.1467433099961</v>
      </c>
      <c r="G47" s="837">
        <v>6.8650733720339474E-2</v>
      </c>
    </row>
    <row r="48" spans="1:7" ht="16.75" customHeight="1">
      <c r="A48" s="352" t="s">
        <v>678</v>
      </c>
    </row>
    <row r="50" spans="1:1">
      <c r="A50" s="96" t="str">
        <f>A24</f>
        <v>Quelle: T 3.12 + 2.02</v>
      </c>
    </row>
    <row r="52" spans="1:1">
      <c r="A52" s="324" t="s">
        <v>1484</v>
      </c>
    </row>
    <row r="55" spans="1:1">
      <c r="A55" s="3" t="s">
        <v>677</v>
      </c>
    </row>
  </sheetData>
  <pageMargins left="0.56000000000000005" right="0.54" top="0.5" bottom="0.49" header="0.36" footer="0.4921259845"/>
  <pageSetup paperSize="9" scale="72" orientation="portrait" horizontalDpi="1200" verticalDpi="1200"/>
  <headerFooter alignWithMargins="0"/>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A2DD2-A273-304B-A6DB-DC35837C45C4}">
  <sheetPr>
    <pageSetUpPr fitToPage="1"/>
  </sheetPr>
  <dimension ref="A1:K30"/>
  <sheetViews>
    <sheetView zoomScaleNormal="100" workbookViewId="0">
      <selection activeCell="B20" sqref="B20"/>
    </sheetView>
  </sheetViews>
  <sheetFormatPr baseColWidth="10" defaultColWidth="11.3984375" defaultRowHeight="13"/>
  <cols>
    <col min="1" max="1" width="20.796875" style="3" customWidth="1"/>
    <col min="2" max="2" width="14.3984375" style="3" customWidth="1"/>
    <col min="3" max="3" width="14.3984375" style="49" customWidth="1"/>
    <col min="4" max="4" width="14.3984375" style="3" customWidth="1"/>
    <col min="5" max="5" width="14.3984375" style="49" customWidth="1"/>
    <col min="6" max="6" width="14.3984375" style="3" customWidth="1"/>
    <col min="7" max="7" width="14.3984375" style="49" customWidth="1"/>
    <col min="8" max="16384" width="11.3984375" style="3"/>
  </cols>
  <sheetData>
    <row r="1" spans="1:11" s="2" customFormat="1" ht="14" customHeight="1">
      <c r="C1" s="261"/>
      <c r="E1" s="261"/>
      <c r="G1" s="261"/>
    </row>
    <row r="2" spans="1:11" s="2" customFormat="1" ht="22.75" customHeight="1">
      <c r="A2" s="47" t="s">
        <v>2189</v>
      </c>
      <c r="C2" s="261"/>
      <c r="E2" s="261"/>
      <c r="G2" s="1493"/>
    </row>
    <row r="3" spans="1:11" ht="24" customHeight="1">
      <c r="A3" s="72" t="s">
        <v>695</v>
      </c>
      <c r="B3" s="73" t="s">
        <v>2190</v>
      </c>
      <c r="C3" s="277" t="s">
        <v>585</v>
      </c>
      <c r="D3" s="73" t="s">
        <v>2191</v>
      </c>
      <c r="E3" s="277" t="s">
        <v>585</v>
      </c>
      <c r="F3" s="73" t="s">
        <v>2192</v>
      </c>
      <c r="G3" s="277" t="s">
        <v>585</v>
      </c>
    </row>
    <row r="4" spans="1:11" ht="15" customHeight="1">
      <c r="A4" s="328"/>
      <c r="B4" s="76"/>
      <c r="C4" s="75" t="s">
        <v>586</v>
      </c>
      <c r="D4" s="76" t="s">
        <v>2193</v>
      </c>
      <c r="E4" s="75" t="s">
        <v>586</v>
      </c>
      <c r="F4" s="76"/>
      <c r="G4" s="75" t="s">
        <v>586</v>
      </c>
    </row>
    <row r="5" spans="1:11" ht="15" customHeight="1">
      <c r="A5" s="328"/>
      <c r="B5" s="76"/>
      <c r="C5" s="75" t="s">
        <v>210</v>
      </c>
      <c r="D5" s="76"/>
      <c r="E5" s="75" t="s">
        <v>210</v>
      </c>
      <c r="F5" s="76"/>
      <c r="G5" s="75" t="s">
        <v>210</v>
      </c>
    </row>
    <row r="6" spans="1:11" ht="24" customHeight="1">
      <c r="A6" s="329"/>
      <c r="B6" s="82"/>
      <c r="C6" s="79"/>
      <c r="D6" s="82"/>
      <c r="E6" s="79"/>
      <c r="F6" s="82"/>
      <c r="G6" s="79"/>
    </row>
    <row r="7" spans="1:11" ht="1.5" customHeight="1" thickBot="1">
      <c r="A7" s="427">
        <v>1996</v>
      </c>
      <c r="B7" s="123">
        <v>5599991</v>
      </c>
      <c r="C7" s="309">
        <v>-1.7950663164953688E-2</v>
      </c>
      <c r="D7" s="123">
        <v>1117084</v>
      </c>
      <c r="E7" s="309">
        <v>-7.0395014962435803E-2</v>
      </c>
      <c r="F7" s="123">
        <v>18812841</v>
      </c>
      <c r="G7" s="309">
        <v>-0.15548674078736344</v>
      </c>
    </row>
    <row r="8" spans="1:11" ht="0.75" hidden="1" customHeight="1" thickBot="1">
      <c r="A8" s="333">
        <v>1997</v>
      </c>
      <c r="B8" s="133">
        <v>5669325</v>
      </c>
      <c r="C8" s="452">
        <v>1.2381091326753918E-2</v>
      </c>
      <c r="D8" s="133">
        <v>1150122</v>
      </c>
      <c r="E8" s="452">
        <v>2.9575215471710273E-2</v>
      </c>
      <c r="F8" s="133">
        <v>18987651</v>
      </c>
      <c r="G8" s="452">
        <v>9.2920574835028899E-3</v>
      </c>
      <c r="I8" s="9"/>
      <c r="J8" s="9"/>
      <c r="K8" s="9"/>
    </row>
    <row r="9" spans="1:11" ht="19.5" hidden="1" customHeight="1" thickBot="1">
      <c r="A9" s="333">
        <v>1998</v>
      </c>
      <c r="B9" s="133">
        <v>5768621</v>
      </c>
      <c r="C9" s="452">
        <v>1.7514607118131346E-2</v>
      </c>
      <c r="D9" s="133">
        <v>1154759</v>
      </c>
      <c r="E9" s="452">
        <v>4.0317461973599323E-3</v>
      </c>
      <c r="F9" s="133">
        <v>17067058</v>
      </c>
      <c r="G9" s="452">
        <v>-0.10114958401120813</v>
      </c>
    </row>
    <row r="10" spans="1:11" ht="19.75" hidden="1" customHeight="1" thickBot="1">
      <c r="A10" s="333">
        <v>1999</v>
      </c>
      <c r="B10" s="133">
        <v>5833167</v>
      </c>
      <c r="C10" s="452">
        <v>1.1189155952523141E-2</v>
      </c>
      <c r="D10" s="133">
        <v>1096033</v>
      </c>
      <c r="E10" s="452">
        <v>-5.085563308014919E-2</v>
      </c>
      <c r="F10" s="133">
        <v>12747160</v>
      </c>
      <c r="G10" s="452">
        <v>-0.25311321963047173</v>
      </c>
    </row>
    <row r="11" spans="1:11" ht="19.5" customHeight="1" thickBot="1">
      <c r="A11" s="333">
        <v>2000</v>
      </c>
      <c r="B11" s="133">
        <v>5947035</v>
      </c>
      <c r="C11" s="452">
        <v>1.9520785192674923E-2</v>
      </c>
      <c r="D11" s="133">
        <v>1097932</v>
      </c>
      <c r="E11" s="452">
        <v>1.7326120655126261E-3</v>
      </c>
      <c r="F11" s="133">
        <v>12447351</v>
      </c>
      <c r="G11" s="452">
        <v>-2.3519670263807781E-2</v>
      </c>
    </row>
    <row r="12" spans="1:11" ht="19.5" customHeight="1" thickBot="1">
      <c r="A12" s="333">
        <v>2001</v>
      </c>
      <c r="B12" s="133">
        <v>6043905</v>
      </c>
      <c r="C12" s="452">
        <v>1.6288789287434831E-2</v>
      </c>
      <c r="D12" s="133">
        <v>1193315</v>
      </c>
      <c r="E12" s="452">
        <v>8.6875143451507014E-2</v>
      </c>
      <c r="F12" s="133">
        <v>12514126</v>
      </c>
      <c r="G12" s="452">
        <v>5.3645952460085683E-3</v>
      </c>
    </row>
    <row r="13" spans="1:11" ht="19.5" customHeight="1" thickBot="1">
      <c r="A13" s="333">
        <v>2002</v>
      </c>
      <c r="B13" s="133">
        <v>6170788</v>
      </c>
      <c r="C13" s="452">
        <v>2.0993546390950885E-2</v>
      </c>
      <c r="D13" s="133">
        <v>1207239</v>
      </c>
      <c r="E13" s="452">
        <v>1.1668335686721444E-2</v>
      </c>
      <c r="F13" s="133">
        <v>12391461</v>
      </c>
      <c r="G13" s="452">
        <v>-9.8021228170469109E-3</v>
      </c>
    </row>
    <row r="14" spans="1:11" ht="19.5" customHeight="1" thickBot="1">
      <c r="A14" s="333">
        <v>2003</v>
      </c>
      <c r="B14" s="133">
        <v>6105077</v>
      </c>
      <c r="C14" s="452">
        <v>-1.0648721038544834E-2</v>
      </c>
      <c r="D14" s="133">
        <v>1148028</v>
      </c>
      <c r="E14" s="452">
        <v>-4.904662622728391E-2</v>
      </c>
      <c r="F14" s="133">
        <v>11395671</v>
      </c>
      <c r="G14" s="452">
        <v>-8.0360984067980368E-2</v>
      </c>
    </row>
    <row r="15" spans="1:11" ht="19.5" customHeight="1" thickBot="1">
      <c r="A15" s="333">
        <v>2004</v>
      </c>
      <c r="B15" s="133">
        <v>6076231</v>
      </c>
      <c r="C15" s="452">
        <v>-4.7249199313948043E-3</v>
      </c>
      <c r="D15" s="133">
        <v>1196146</v>
      </c>
      <c r="E15" s="452">
        <v>4.191361186312529E-2</v>
      </c>
      <c r="F15" s="133">
        <v>11754955</v>
      </c>
      <c r="G15" s="452">
        <v>3.1528112736845422E-2</v>
      </c>
    </row>
    <row r="16" spans="1:11" ht="19.5" customHeight="1" thickBot="1">
      <c r="A16" s="333">
        <v>2005</v>
      </c>
      <c r="B16" s="133">
        <v>6104057</v>
      </c>
      <c r="C16" s="452">
        <v>4.5794835647294807E-3</v>
      </c>
      <c r="D16" s="133">
        <v>1219455</v>
      </c>
      <c r="E16" s="452">
        <v>1.948675161727742E-2</v>
      </c>
      <c r="F16" s="133">
        <v>11492862</v>
      </c>
      <c r="G16" s="452">
        <v>-2.2296384801132829E-2</v>
      </c>
    </row>
    <row r="17" spans="1:7" ht="19.5" customHeight="1" thickBot="1">
      <c r="A17" s="333">
        <v>2006</v>
      </c>
      <c r="B17" s="133">
        <v>6139775</v>
      </c>
      <c r="C17" s="452">
        <v>5.8515180968985447E-3</v>
      </c>
      <c r="D17" s="133">
        <v>1147933</v>
      </c>
      <c r="E17" s="452">
        <v>-5.86507907220849E-2</v>
      </c>
      <c r="F17" s="133">
        <v>11050113</v>
      </c>
      <c r="G17" s="452">
        <v>-3.8523824613921231E-2</v>
      </c>
    </row>
    <row r="18" spans="1:7" ht="19.5" customHeight="1" thickBot="1">
      <c r="A18" s="333">
        <v>2007</v>
      </c>
      <c r="B18" s="133">
        <v>6170950</v>
      </c>
      <c r="C18" s="452">
        <v>5.0775476300026767E-3</v>
      </c>
      <c r="D18" s="133">
        <v>1232442</v>
      </c>
      <c r="E18" s="452">
        <v>7.3618408042978034E-2</v>
      </c>
      <c r="F18" s="133">
        <v>11706006</v>
      </c>
      <c r="G18" s="452">
        <v>5.935622558791942E-2</v>
      </c>
    </row>
    <row r="19" spans="1:7" ht="19.5" customHeight="1" thickBot="1">
      <c r="A19" s="333">
        <v>2008</v>
      </c>
      <c r="B19" s="751">
        <v>6246787.7832813188</v>
      </c>
      <c r="C19" s="1494">
        <v>1.2289482702228849E-2</v>
      </c>
      <c r="D19" s="133">
        <v>1283429</v>
      </c>
      <c r="E19" s="452">
        <v>4.1370709534404027E-2</v>
      </c>
      <c r="F19" s="133">
        <v>11789734</v>
      </c>
      <c r="G19" s="452">
        <v>7.152567664838072E-3</v>
      </c>
    </row>
    <row r="20" spans="1:7" ht="19.5" customHeight="1" thickBot="1">
      <c r="A20" s="333">
        <v>2009</v>
      </c>
      <c r="B20" s="133">
        <v>6463073</v>
      </c>
      <c r="C20" s="1494">
        <v>3.4623429548469531E-2</v>
      </c>
      <c r="D20" s="133">
        <v>1289334</v>
      </c>
      <c r="E20" s="452">
        <v>4.6009557209631957E-3</v>
      </c>
      <c r="F20" s="133">
        <v>11966875</v>
      </c>
      <c r="G20" s="452">
        <v>1.5025020920743426E-2</v>
      </c>
    </row>
    <row r="21" spans="1:7" ht="30" customHeight="1" thickBot="1">
      <c r="A21" s="431">
        <v>2010</v>
      </c>
      <c r="B21" s="435">
        <v>6497094</v>
      </c>
      <c r="C21" s="1495">
        <v>5.2639046472164885E-3</v>
      </c>
      <c r="D21" s="435">
        <v>1211453</v>
      </c>
      <c r="E21" s="314">
        <v>-6.0404053565639271E-2</v>
      </c>
      <c r="F21" s="435">
        <v>10978202</v>
      </c>
      <c r="G21" s="314">
        <v>-8.2617475322504852E-2</v>
      </c>
    </row>
    <row r="22" spans="1:7" ht="17.5" customHeight="1">
      <c r="A22" s="95" t="s">
        <v>678</v>
      </c>
      <c r="B22" s="95"/>
      <c r="C22" s="292"/>
      <c r="D22" s="95"/>
      <c r="E22" s="292"/>
      <c r="F22" s="95"/>
      <c r="G22" s="292"/>
    </row>
    <row r="23" spans="1:7" ht="12.75" customHeight="1">
      <c r="A23" s="96"/>
      <c r="B23" s="96"/>
      <c r="C23" s="316"/>
      <c r="D23" s="96"/>
      <c r="E23" s="316"/>
      <c r="F23" s="96"/>
      <c r="G23" s="316"/>
    </row>
    <row r="24" spans="1:7" ht="12.75" customHeight="1">
      <c r="A24" s="96" t="s">
        <v>2194</v>
      </c>
      <c r="B24" s="96"/>
      <c r="C24" s="316"/>
      <c r="D24" s="96"/>
      <c r="E24" s="316"/>
      <c r="F24" s="96"/>
      <c r="G24" s="316"/>
    </row>
    <row r="25" spans="1:7" ht="12.75" customHeight="1">
      <c r="A25" s="1496" t="s">
        <v>2195</v>
      </c>
      <c r="B25" s="96"/>
      <c r="C25" s="316"/>
      <c r="D25" s="96"/>
      <c r="E25" s="316"/>
      <c r="F25" s="96"/>
      <c r="G25" s="316"/>
    </row>
    <row r="27" spans="1:7">
      <c r="A27" s="3" t="s">
        <v>2196</v>
      </c>
    </row>
    <row r="30" spans="1:7">
      <c r="A30" s="3" t="s">
        <v>677</v>
      </c>
    </row>
  </sheetData>
  <pageMargins left="0.53" right="0.47" top="0.92" bottom="0.49" header="0.54" footer="0.4921259845"/>
  <pageSetup paperSize="9" scale="86" orientation="portrait" horizontalDpi="4294967292" verticalDpi="4294967292"/>
  <headerFooter alignWithMargins="0"/>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E893D-8ED7-8940-94A0-690BCC4A712D}">
  <sheetPr>
    <pageSetUpPr fitToPage="1"/>
  </sheetPr>
  <dimension ref="A1:K40"/>
  <sheetViews>
    <sheetView zoomScaleNormal="100" workbookViewId="0">
      <selection activeCell="J2" sqref="J2"/>
    </sheetView>
  </sheetViews>
  <sheetFormatPr baseColWidth="10" defaultColWidth="11.3984375" defaultRowHeight="13"/>
  <cols>
    <col min="1" max="1" width="15.3984375" style="3" customWidth="1"/>
    <col min="2" max="9" width="14.59765625" style="121" customWidth="1"/>
    <col min="10" max="10" width="14.3984375" style="121" customWidth="1"/>
    <col min="11" max="11" width="14.19921875" style="121" customWidth="1"/>
    <col min="12" max="16384" width="11.3984375" style="3"/>
  </cols>
  <sheetData>
    <row r="1" spans="1:11" s="2" customFormat="1" ht="14" customHeight="1">
      <c r="A1" s="242"/>
      <c r="B1" s="1142"/>
      <c r="C1" s="1142"/>
      <c r="D1" s="1142"/>
      <c r="E1" s="1142"/>
      <c r="F1" s="1142"/>
      <c r="G1" s="1142"/>
      <c r="H1" s="1142"/>
      <c r="I1" s="1142"/>
      <c r="J1" s="1142"/>
      <c r="K1" s="1142"/>
    </row>
    <row r="2" spans="1:11" s="2" customFormat="1" ht="21.5" customHeight="1">
      <c r="A2" s="372" t="s">
        <v>2197</v>
      </c>
      <c r="B2" s="1431"/>
      <c r="C2" s="1431"/>
      <c r="D2" s="1431"/>
      <c r="E2" s="1431"/>
      <c r="F2" s="1431"/>
      <c r="G2" s="1431"/>
      <c r="H2" s="1431"/>
      <c r="I2" s="1431"/>
      <c r="J2" s="1497"/>
      <c r="K2" s="454"/>
    </row>
    <row r="3" spans="1:11" ht="20" customHeight="1">
      <c r="A3" s="328" t="s">
        <v>695</v>
      </c>
      <c r="B3" s="1404" t="s">
        <v>2198</v>
      </c>
      <c r="C3" s="77"/>
      <c r="D3" s="693"/>
      <c r="E3" s="189" t="s">
        <v>190</v>
      </c>
      <c r="F3" s="1443" t="s">
        <v>2199</v>
      </c>
      <c r="G3" s="328"/>
      <c r="H3" s="78"/>
      <c r="I3" s="189" t="s">
        <v>190</v>
      </c>
      <c r="J3" s="3"/>
      <c r="K3" s="3"/>
    </row>
    <row r="4" spans="1:11" ht="32.25" customHeight="1">
      <c r="A4" s="328"/>
      <c r="B4" s="380" t="s">
        <v>2200</v>
      </c>
      <c r="C4" s="1498"/>
      <c r="D4" s="1499" t="s">
        <v>2201</v>
      </c>
      <c r="E4" s="328"/>
      <c r="F4" s="1500" t="s">
        <v>2200</v>
      </c>
      <c r="G4" s="379"/>
      <c r="H4" s="1499" t="s">
        <v>2201</v>
      </c>
      <c r="I4" s="75"/>
      <c r="J4" s="3"/>
      <c r="K4" s="3"/>
    </row>
    <row r="5" spans="1:11" ht="15" customHeight="1">
      <c r="A5" s="328"/>
      <c r="B5" s="76" t="s">
        <v>2202</v>
      </c>
      <c r="C5" s="77" t="s">
        <v>687</v>
      </c>
      <c r="D5" s="76" t="s">
        <v>687</v>
      </c>
      <c r="E5" s="77"/>
      <c r="F5" s="1501" t="s">
        <v>2202</v>
      </c>
      <c r="G5" s="77" t="s">
        <v>687</v>
      </c>
      <c r="H5" s="76" t="s">
        <v>687</v>
      </c>
      <c r="I5" s="77"/>
      <c r="J5" s="3"/>
      <c r="K5" s="3"/>
    </row>
    <row r="6" spans="1:11" ht="15" customHeight="1">
      <c r="A6" s="328"/>
      <c r="B6" s="440" t="s">
        <v>687</v>
      </c>
      <c r="C6" s="894" t="s">
        <v>2203</v>
      </c>
      <c r="D6" s="440" t="s">
        <v>1955</v>
      </c>
      <c r="E6" s="77"/>
      <c r="F6" s="1502" t="s">
        <v>687</v>
      </c>
      <c r="G6" s="77" t="s">
        <v>2203</v>
      </c>
      <c r="H6" s="76" t="s">
        <v>1955</v>
      </c>
      <c r="I6" s="77"/>
      <c r="J6" s="3"/>
      <c r="K6" s="3"/>
    </row>
    <row r="7" spans="1:11" ht="15" customHeight="1">
      <c r="A7" s="328"/>
      <c r="B7" s="440" t="s">
        <v>2204</v>
      </c>
      <c r="C7" s="894"/>
      <c r="D7" s="440"/>
      <c r="E7" s="894"/>
      <c r="F7" s="1502" t="s">
        <v>2204</v>
      </c>
      <c r="G7" s="77"/>
      <c r="H7" s="76"/>
      <c r="I7" s="77"/>
      <c r="J7" s="3"/>
      <c r="K7" s="3"/>
    </row>
    <row r="8" spans="1:11" ht="13.25" customHeight="1">
      <c r="A8" s="263"/>
      <c r="B8" s="82"/>
      <c r="C8" s="81"/>
      <c r="D8" s="82"/>
      <c r="E8" s="81"/>
      <c r="F8" s="1503"/>
      <c r="G8" s="81"/>
      <c r="H8" s="82"/>
      <c r="I8" s="81"/>
      <c r="J8" s="3"/>
      <c r="K8" s="3"/>
    </row>
    <row r="9" spans="1:11" ht="1.5" customHeight="1" thickBot="1">
      <c r="A9" s="441">
        <v>1991</v>
      </c>
      <c r="B9" s="1504">
        <v>996.2</v>
      </c>
      <c r="C9" s="1505" t="s">
        <v>35</v>
      </c>
      <c r="D9" s="1504">
        <v>780</v>
      </c>
      <c r="E9" s="1505">
        <v>1776.2</v>
      </c>
      <c r="F9" s="1506">
        <v>885.4</v>
      </c>
      <c r="G9" s="1505" t="s">
        <v>35</v>
      </c>
      <c r="H9" s="308">
        <v>649.4</v>
      </c>
      <c r="I9" s="428">
        <v>1534.8</v>
      </c>
      <c r="J9" s="3"/>
      <c r="K9" s="3"/>
    </row>
    <row r="10" spans="1:11" ht="20" hidden="1" customHeight="1" thickBot="1">
      <c r="A10" s="444">
        <v>1992</v>
      </c>
      <c r="B10" s="1507">
        <v>1003.8</v>
      </c>
      <c r="C10" s="1505" t="s">
        <v>35</v>
      </c>
      <c r="D10" s="1508">
        <v>897</v>
      </c>
      <c r="E10" s="1509">
        <v>1900.8</v>
      </c>
      <c r="F10" s="1510">
        <v>923.2</v>
      </c>
      <c r="G10" s="1505" t="s">
        <v>35</v>
      </c>
      <c r="H10" s="1143">
        <v>783.9</v>
      </c>
      <c r="I10" s="1511">
        <v>1707.1</v>
      </c>
      <c r="J10" s="3"/>
      <c r="K10" s="3"/>
    </row>
    <row r="11" spans="1:11" ht="20" hidden="1" customHeight="1" thickBot="1">
      <c r="A11" s="444">
        <v>1993</v>
      </c>
      <c r="B11" s="1507">
        <v>1026.2</v>
      </c>
      <c r="C11" s="1505" t="s">
        <v>35</v>
      </c>
      <c r="D11" s="1508">
        <v>932.8</v>
      </c>
      <c r="E11" s="1509">
        <v>1959</v>
      </c>
      <c r="F11" s="1510">
        <v>928.41399999999999</v>
      </c>
      <c r="G11" s="1505" t="s">
        <v>35</v>
      </c>
      <c r="H11" s="1143">
        <v>833.7</v>
      </c>
      <c r="I11" s="1511">
        <v>1762.114</v>
      </c>
      <c r="J11" s="3"/>
      <c r="K11" s="3"/>
    </row>
    <row r="12" spans="1:11" ht="20" hidden="1" customHeight="1" thickBot="1">
      <c r="A12" s="444">
        <v>1994</v>
      </c>
      <c r="B12" s="1507">
        <v>1052.2</v>
      </c>
      <c r="C12" s="1505" t="s">
        <v>35</v>
      </c>
      <c r="D12" s="1508">
        <v>931.1</v>
      </c>
      <c r="E12" s="1509">
        <v>1983.3000000000002</v>
      </c>
      <c r="F12" s="1510">
        <v>983.23500000000001</v>
      </c>
      <c r="G12" s="1505" t="s">
        <v>35</v>
      </c>
      <c r="H12" s="1143">
        <v>876.1</v>
      </c>
      <c r="I12" s="1511">
        <v>1859.335</v>
      </c>
      <c r="J12" s="3"/>
      <c r="K12" s="3"/>
    </row>
    <row r="13" spans="1:11" ht="19.5" hidden="1" customHeight="1" thickBot="1">
      <c r="A13" s="444">
        <v>1995</v>
      </c>
      <c r="B13" s="1507">
        <v>1073.0999999999999</v>
      </c>
      <c r="C13" s="1505" t="s">
        <v>35</v>
      </c>
      <c r="D13" s="1508">
        <v>935</v>
      </c>
      <c r="E13" s="1509">
        <v>2008.1</v>
      </c>
      <c r="F13" s="1510">
        <v>1017.388</v>
      </c>
      <c r="G13" s="1505" t="s">
        <v>35</v>
      </c>
      <c r="H13" s="1143">
        <v>901.4</v>
      </c>
      <c r="I13" s="1511">
        <v>1918.788</v>
      </c>
      <c r="J13" s="3"/>
      <c r="K13" s="3"/>
    </row>
    <row r="14" spans="1:11" ht="0.75" hidden="1" customHeight="1" thickBot="1">
      <c r="A14" s="444">
        <v>1996</v>
      </c>
      <c r="B14" s="1507">
        <v>832</v>
      </c>
      <c r="C14" s="1512">
        <v>180.9</v>
      </c>
      <c r="D14" s="1508">
        <v>978.3</v>
      </c>
      <c r="E14" s="1509">
        <v>1991.1999999999998</v>
      </c>
      <c r="F14" s="1510">
        <v>872.50191104999999</v>
      </c>
      <c r="G14" s="1512">
        <v>116.7</v>
      </c>
      <c r="H14" s="1143">
        <v>846.1</v>
      </c>
      <c r="I14" s="1511">
        <v>1835.3019110499999</v>
      </c>
      <c r="J14"/>
      <c r="K14" s="3"/>
    </row>
    <row r="15" spans="1:11" ht="19.5" hidden="1" customHeight="1" thickBot="1">
      <c r="A15" s="444">
        <v>1997</v>
      </c>
      <c r="B15" s="1507">
        <v>558.9</v>
      </c>
      <c r="C15" s="430">
        <v>393.8</v>
      </c>
      <c r="D15" s="429">
        <v>1319.9</v>
      </c>
      <c r="E15" s="1505">
        <v>2272.6000000000004</v>
      </c>
      <c r="F15" s="1510">
        <v>621.52611999999999</v>
      </c>
      <c r="G15" s="430">
        <v>335.7</v>
      </c>
      <c r="H15" s="429">
        <v>1082.8</v>
      </c>
      <c r="I15" s="428">
        <v>2040.02612</v>
      </c>
      <c r="J15"/>
      <c r="K15" s="3"/>
    </row>
    <row r="16" spans="1:11" ht="0.75" hidden="1" customHeight="1" thickBot="1">
      <c r="A16" s="444">
        <v>1998</v>
      </c>
      <c r="B16" s="1507">
        <v>509.6</v>
      </c>
      <c r="C16" s="430">
        <v>508.1</v>
      </c>
      <c r="D16" s="429">
        <v>1428.4</v>
      </c>
      <c r="E16" s="1505">
        <v>2446.1000000000004</v>
      </c>
      <c r="F16" s="1510">
        <v>456.36259100000001</v>
      </c>
      <c r="G16" s="430">
        <v>453.7</v>
      </c>
      <c r="H16" s="429">
        <v>1137.0999999999999</v>
      </c>
      <c r="I16" s="428">
        <v>2047.1625909999998</v>
      </c>
      <c r="J16"/>
      <c r="K16" s="3"/>
    </row>
    <row r="17" spans="1:11" ht="19.75" hidden="1" customHeight="1" thickBot="1">
      <c r="A17" s="444">
        <v>1999</v>
      </c>
      <c r="B17" s="1507">
        <v>462.9</v>
      </c>
      <c r="C17" s="430">
        <v>442.7</v>
      </c>
      <c r="D17" s="429">
        <v>1337.8</v>
      </c>
      <c r="E17" s="1505">
        <v>2243.3999999999996</v>
      </c>
      <c r="F17" s="1510">
        <v>412.14915300000001</v>
      </c>
      <c r="G17" s="430">
        <v>385.2</v>
      </c>
      <c r="H17" s="429">
        <v>1077.5</v>
      </c>
      <c r="I17" s="428">
        <v>1874.8491530000001</v>
      </c>
      <c r="J17"/>
      <c r="K17" s="3"/>
    </row>
    <row r="18" spans="1:11" ht="20" customHeight="1" thickBot="1">
      <c r="A18" s="444">
        <v>2000</v>
      </c>
      <c r="B18" s="1507">
        <v>438.9</v>
      </c>
      <c r="C18" s="430">
        <v>339.7</v>
      </c>
      <c r="D18" s="429">
        <v>1636.2</v>
      </c>
      <c r="E18" s="1505">
        <v>2414.8000000000002</v>
      </c>
      <c r="F18" s="1510">
        <v>381.63992000000002</v>
      </c>
      <c r="G18" s="430">
        <v>299.2</v>
      </c>
      <c r="H18" s="429">
        <v>1334.1</v>
      </c>
      <c r="I18" s="428">
        <v>2014.9399199999998</v>
      </c>
      <c r="J18"/>
      <c r="K18" s="3"/>
    </row>
    <row r="19" spans="1:11" ht="20" customHeight="1" thickBot="1">
      <c r="A19" s="444">
        <v>2001</v>
      </c>
      <c r="B19" s="1507">
        <v>398.65</v>
      </c>
      <c r="C19" s="430">
        <v>248.38</v>
      </c>
      <c r="D19" s="429">
        <v>1850.78</v>
      </c>
      <c r="E19" s="1505">
        <v>2497.81</v>
      </c>
      <c r="F19" s="1510">
        <v>351.97137099999998</v>
      </c>
      <c r="G19" s="430">
        <v>201.85</v>
      </c>
      <c r="H19" s="429">
        <v>1595.15</v>
      </c>
      <c r="I19" s="428">
        <v>2148.9713710000001</v>
      </c>
      <c r="J19"/>
      <c r="K19" s="3"/>
    </row>
    <row r="20" spans="1:11" ht="20" customHeight="1" thickBot="1">
      <c r="A20" s="444">
        <v>2002</v>
      </c>
      <c r="B20" s="1507">
        <v>370.90300000000002</v>
      </c>
      <c r="C20" s="430">
        <v>248.779527</v>
      </c>
      <c r="D20" s="429">
        <v>1945.9522629999999</v>
      </c>
      <c r="E20" s="1505">
        <v>2565.6347900000001</v>
      </c>
      <c r="F20" s="1510">
        <v>329.149</v>
      </c>
      <c r="G20" s="430">
        <v>227.06825000000001</v>
      </c>
      <c r="H20" s="429">
        <v>1700.9860189999999</v>
      </c>
      <c r="I20" s="428">
        <v>2257.2032690000001</v>
      </c>
      <c r="J20"/>
      <c r="K20" s="3"/>
    </row>
    <row r="21" spans="1:11" ht="20" customHeight="1" thickBot="1">
      <c r="A21" s="444">
        <v>2003</v>
      </c>
      <c r="B21" s="1507">
        <v>354.08080662000003</v>
      </c>
      <c r="C21" s="430">
        <v>295.50233600000001</v>
      </c>
      <c r="D21" s="429">
        <v>2059.7853359999999</v>
      </c>
      <c r="E21" s="1505">
        <v>2709.3684786200001</v>
      </c>
      <c r="F21" s="1510">
        <v>309.91303072000005</v>
      </c>
      <c r="G21" s="430">
        <v>266.92607400000003</v>
      </c>
      <c r="H21" s="429">
        <v>1821.754373</v>
      </c>
      <c r="I21" s="428">
        <v>2398.59347772</v>
      </c>
      <c r="J21"/>
      <c r="K21" s="3"/>
    </row>
    <row r="22" spans="1:11" ht="20" customHeight="1" thickBot="1">
      <c r="A22" s="444">
        <v>2004</v>
      </c>
      <c r="B22" s="1507">
        <v>354.05374882999996</v>
      </c>
      <c r="C22" s="430">
        <v>465.97641131</v>
      </c>
      <c r="D22" s="429">
        <v>2199.5077430000001</v>
      </c>
      <c r="E22" s="1505">
        <v>3019.5379031399998</v>
      </c>
      <c r="F22" s="1510">
        <v>277.93515424999998</v>
      </c>
      <c r="G22" s="430">
        <v>341.37247587999997</v>
      </c>
      <c r="H22" s="429">
        <v>1729.046304</v>
      </c>
      <c r="I22" s="428">
        <v>2348.3539341300002</v>
      </c>
      <c r="J22"/>
      <c r="K22" s="3"/>
    </row>
    <row r="23" spans="1:11" ht="20" customHeight="1" thickBot="1">
      <c r="A23" s="444">
        <v>2005</v>
      </c>
      <c r="B23" s="1507">
        <v>340.05814830000003</v>
      </c>
      <c r="C23" s="430">
        <v>497.83377424000003</v>
      </c>
      <c r="D23" s="429">
        <v>2145.0129550000001</v>
      </c>
      <c r="E23" s="1505">
        <v>2982.9048775400001</v>
      </c>
      <c r="F23" s="1510">
        <v>251.06148209</v>
      </c>
      <c r="G23" s="430">
        <v>268.00454783000004</v>
      </c>
      <c r="H23" s="429">
        <v>1547.535421</v>
      </c>
      <c r="I23" s="428">
        <v>2066.6014509199999</v>
      </c>
      <c r="J23"/>
      <c r="K23" s="3"/>
    </row>
    <row r="24" spans="1:11" ht="20" customHeight="1" thickBot="1">
      <c r="A24" s="444">
        <v>2006</v>
      </c>
      <c r="B24" s="1507">
        <v>315.75842189999997</v>
      </c>
      <c r="C24" s="430">
        <v>549.01423610000006</v>
      </c>
      <c r="D24" s="429">
        <v>2152.4333590000001</v>
      </c>
      <c r="E24" s="1505">
        <v>3017.2060170000004</v>
      </c>
      <c r="F24" s="1510">
        <v>220.62135384000001</v>
      </c>
      <c r="G24" s="430">
        <v>347.81852166000004</v>
      </c>
      <c r="H24" s="429">
        <v>1471.853128</v>
      </c>
      <c r="I24" s="428">
        <v>2040.2930034999999</v>
      </c>
      <c r="J24"/>
      <c r="K24" s="3"/>
    </row>
    <row r="25" spans="1:11" ht="20" customHeight="1" thickBot="1">
      <c r="A25" s="444">
        <v>2007</v>
      </c>
      <c r="B25" s="1507">
        <v>299.25460810000004</v>
      </c>
      <c r="C25" s="430">
        <v>544.40750937999996</v>
      </c>
      <c r="D25" s="429">
        <v>2152.1659110000001</v>
      </c>
      <c r="E25" s="1505">
        <v>2995.8280284800003</v>
      </c>
      <c r="F25" s="1510">
        <v>207.71949052000002</v>
      </c>
      <c r="G25" s="430">
        <v>361.81478957000002</v>
      </c>
      <c r="H25" s="429">
        <v>1413.613732</v>
      </c>
      <c r="I25" s="428">
        <v>1983.1480120900001</v>
      </c>
      <c r="J25"/>
      <c r="K25" s="3"/>
    </row>
    <row r="26" spans="1:11" ht="20" customHeight="1" thickBot="1">
      <c r="A26" s="444">
        <v>2008</v>
      </c>
      <c r="B26" s="1507">
        <v>279.14776779000005</v>
      </c>
      <c r="C26" s="430">
        <v>601.73837565999997</v>
      </c>
      <c r="D26" s="429">
        <v>2165.5996903400001</v>
      </c>
      <c r="E26" s="1505">
        <v>3046.48583379</v>
      </c>
      <c r="F26" s="1510">
        <v>198.28855634000001</v>
      </c>
      <c r="G26" s="430">
        <v>376.54164749</v>
      </c>
      <c r="H26" s="429">
        <v>1588.33368651</v>
      </c>
      <c r="I26" s="428">
        <v>2163.1638903399999</v>
      </c>
      <c r="J26"/>
      <c r="K26" s="3"/>
    </row>
    <row r="27" spans="1:11" ht="20" customHeight="1" thickBot="1">
      <c r="A27" s="444">
        <v>2009</v>
      </c>
      <c r="B27" s="1507">
        <v>266.99439283000004</v>
      </c>
      <c r="C27" s="430">
        <v>613.90236912</v>
      </c>
      <c r="D27" s="429">
        <v>2277.2683508800001</v>
      </c>
      <c r="E27" s="1505">
        <v>3158.16511283</v>
      </c>
      <c r="F27" s="1510">
        <v>197.19709062000001</v>
      </c>
      <c r="G27" s="430">
        <v>416.67744579000004</v>
      </c>
      <c r="H27" s="429">
        <v>1765.9177112100001</v>
      </c>
      <c r="I27" s="428">
        <v>2379.7922476200001</v>
      </c>
      <c r="J27"/>
      <c r="K27" s="3"/>
    </row>
    <row r="28" spans="1:11" s="115" customFormat="1" ht="27.75" customHeight="1" thickBot="1">
      <c r="A28" s="447">
        <v>2010</v>
      </c>
      <c r="B28" s="1513">
        <v>247.74789125999999</v>
      </c>
      <c r="C28" s="433">
        <v>635.46234808000008</v>
      </c>
      <c r="D28" s="432">
        <v>2210.8710219199997</v>
      </c>
      <c r="E28" s="1514">
        <v>3094.0812612599998</v>
      </c>
      <c r="F28" s="1515">
        <v>191.64464322000001</v>
      </c>
      <c r="G28" s="433">
        <v>422.56109957000001</v>
      </c>
      <c r="H28" s="432">
        <v>1869.3956174300001</v>
      </c>
      <c r="I28" s="1514">
        <v>2483.6013602200001</v>
      </c>
      <c r="J28" s="1516"/>
      <c r="K28" s="1427"/>
    </row>
    <row r="29" spans="1:11" ht="17.5" customHeight="1">
      <c r="A29" s="1146" t="s">
        <v>2254</v>
      </c>
      <c r="B29" s="1147"/>
      <c r="C29" s="1147"/>
      <c r="D29" s="1147"/>
      <c r="E29" s="1147"/>
      <c r="F29" s="1147"/>
      <c r="G29" s="1147"/>
      <c r="H29" s="1147"/>
      <c r="I29" s="1147"/>
      <c r="J29" s="1024"/>
      <c r="K29" s="1024"/>
    </row>
    <row r="30" spans="1:11" ht="13.5" customHeight="1">
      <c r="A30" s="1159"/>
      <c r="B30" s="1024"/>
      <c r="C30" s="1024"/>
      <c r="D30" s="1024"/>
      <c r="E30" s="1024"/>
      <c r="F30" s="1024"/>
      <c r="G30" s="1024"/>
      <c r="H30" s="1024"/>
      <c r="I30" s="1024"/>
      <c r="J30" s="1024"/>
      <c r="K30" s="1024"/>
    </row>
    <row r="31" spans="1:11">
      <c r="A31" s="138" t="s">
        <v>2205</v>
      </c>
      <c r="B31" s="1152"/>
      <c r="C31" s="1152"/>
      <c r="D31" s="1152"/>
      <c r="E31" s="1152"/>
      <c r="F31" s="1152"/>
      <c r="G31" s="1152"/>
      <c r="H31" s="1152"/>
      <c r="I31" s="1152"/>
      <c r="J31" s="1152"/>
      <c r="K31" s="1152"/>
    </row>
    <row r="32" spans="1:11">
      <c r="A32" s="138" t="s">
        <v>2206</v>
      </c>
      <c r="B32" s="1152"/>
      <c r="C32" s="1152"/>
      <c r="D32" s="1152"/>
      <c r="E32" s="1152"/>
      <c r="F32" s="1152"/>
      <c r="G32" s="1152"/>
      <c r="H32" s="1152"/>
      <c r="I32" s="1152"/>
      <c r="J32" s="1152"/>
      <c r="K32" s="1152"/>
    </row>
    <row r="33" spans="1:11">
      <c r="A33" s="138" t="s">
        <v>2207</v>
      </c>
      <c r="B33" s="1152"/>
      <c r="C33" s="1152"/>
      <c r="D33" s="1152"/>
      <c r="E33" s="1152"/>
      <c r="F33" s="1152"/>
      <c r="G33" s="1152"/>
      <c r="H33" s="1152"/>
      <c r="I33" s="1152"/>
      <c r="J33" s="1152"/>
      <c r="K33" s="1152"/>
    </row>
    <row r="34" spans="1:11">
      <c r="A34" s="138" t="s">
        <v>2208</v>
      </c>
      <c r="B34" s="1152"/>
      <c r="C34" s="1152"/>
      <c r="D34" s="1152"/>
      <c r="E34" s="1152"/>
      <c r="F34" s="1152"/>
      <c r="G34" s="1152"/>
      <c r="H34" s="1152"/>
      <c r="I34" s="1152"/>
      <c r="J34" s="1152"/>
      <c r="K34" s="1152"/>
    </row>
    <row r="35" spans="1:11">
      <c r="A35" s="1159" t="s">
        <v>2209</v>
      </c>
      <c r="B35" s="1152"/>
      <c r="C35" s="1152"/>
      <c r="D35" s="1152"/>
      <c r="E35" s="1152"/>
      <c r="F35" s="1152"/>
      <c r="G35" s="1152"/>
      <c r="H35" s="1152"/>
      <c r="I35" s="1152"/>
      <c r="J35" s="1152"/>
      <c r="K35" s="1152"/>
    </row>
    <row r="36" spans="1:11">
      <c r="A36" s="1159" t="s">
        <v>2210</v>
      </c>
      <c r="B36" s="1152"/>
      <c r="C36" s="1152"/>
      <c r="D36" s="1152"/>
      <c r="E36" s="1152"/>
      <c r="F36" s="1152"/>
      <c r="G36" s="1152"/>
      <c r="H36" s="1152"/>
      <c r="I36" s="1152"/>
      <c r="J36" s="1152"/>
      <c r="K36" s="1152"/>
    </row>
    <row r="37" spans="1:11">
      <c r="A37" s="138" t="s">
        <v>2211</v>
      </c>
      <c r="B37" s="1152"/>
      <c r="C37" s="1152"/>
      <c r="D37" s="1152"/>
      <c r="E37" s="1152"/>
      <c r="F37" s="1152"/>
      <c r="G37" s="1152"/>
      <c r="H37" s="1152"/>
      <c r="I37" s="1152"/>
      <c r="J37" s="1152"/>
      <c r="K37" s="1152"/>
    </row>
    <row r="38" spans="1:11">
      <c r="A38" s="1517"/>
      <c r="B38" s="1152"/>
      <c r="C38" s="1152"/>
      <c r="D38" s="1152"/>
      <c r="E38" s="1152"/>
      <c r="F38" s="1152"/>
      <c r="G38" s="1152"/>
      <c r="H38" s="1152"/>
      <c r="I38" s="1152"/>
      <c r="J38" s="1152"/>
      <c r="K38" s="1152"/>
    </row>
    <row r="40" spans="1:11">
      <c r="A40" s="3" t="s">
        <v>677</v>
      </c>
    </row>
  </sheetData>
  <pageMargins left="0.47244094488188981" right="0.43307086614173229" top="0.62992125984251968" bottom="0.47244094488188981" header="0.39370078740157483" footer="0.51181102362204722"/>
  <pageSetup paperSize="9" scale="85" orientation="landscape"/>
  <headerFooter alignWithMargins="0"/>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FEA72-52EB-A341-A3DE-8B2D6129F4F9}">
  <sheetPr>
    <pageSetUpPr fitToPage="1"/>
  </sheetPr>
  <dimension ref="A1:L40"/>
  <sheetViews>
    <sheetView zoomScaleNormal="100" workbookViewId="0">
      <selection activeCell="A36" sqref="A36"/>
    </sheetView>
  </sheetViews>
  <sheetFormatPr baseColWidth="10" defaultColWidth="11.3984375" defaultRowHeight="13"/>
  <cols>
    <col min="1" max="1" width="13" style="3" customWidth="1"/>
    <col min="2" max="2" width="17" style="121" customWidth="1"/>
    <col min="3" max="3" width="17.3984375" style="121" customWidth="1"/>
    <col min="4" max="4" width="16.796875" style="121" customWidth="1"/>
    <col min="5" max="5" width="15.19921875" style="121" customWidth="1"/>
    <col min="6" max="6" width="16.3984375" style="121" customWidth="1"/>
    <col min="7" max="7" width="17.59765625" style="121" customWidth="1"/>
    <col min="8" max="8" width="17.19921875" style="121" customWidth="1"/>
    <col min="9" max="9" width="16.3984375" style="121" customWidth="1"/>
    <col min="10" max="10" width="9.59765625" style="3" customWidth="1"/>
    <col min="11" max="16384" width="11.3984375" style="3"/>
  </cols>
  <sheetData>
    <row r="1" spans="1:12" s="2" customFormat="1" ht="14" customHeight="1">
      <c r="A1" s="242"/>
      <c r="B1" s="1142"/>
      <c r="C1" s="1142"/>
      <c r="D1" s="1142"/>
      <c r="E1" s="1142"/>
      <c r="F1" s="1142"/>
      <c r="G1" s="1142"/>
      <c r="H1" s="1142"/>
      <c r="I1" s="1142"/>
    </row>
    <row r="2" spans="1:12" s="2" customFormat="1" ht="24.5" customHeight="1">
      <c r="A2" s="372" t="s">
        <v>2212</v>
      </c>
      <c r="B2" s="1431"/>
      <c r="C2" s="1431"/>
      <c r="D2" s="1431"/>
      <c r="E2" s="1431"/>
      <c r="F2" s="1431"/>
      <c r="G2" s="1431"/>
      <c r="H2" s="1431"/>
      <c r="I2" s="437"/>
    </row>
    <row r="3" spans="1:12" ht="20" customHeight="1">
      <c r="A3" s="328" t="s">
        <v>695</v>
      </c>
      <c r="B3" s="1404" t="s">
        <v>421</v>
      </c>
      <c r="C3" s="77"/>
      <c r="D3" s="76"/>
      <c r="E3" s="189" t="s">
        <v>190</v>
      </c>
      <c r="F3" s="1518" t="s">
        <v>433</v>
      </c>
      <c r="G3" s="328"/>
      <c r="H3" s="693"/>
      <c r="I3" s="189" t="s">
        <v>190</v>
      </c>
    </row>
    <row r="4" spans="1:12" ht="33" customHeight="1">
      <c r="A4" s="328"/>
      <c r="B4" s="380" t="s">
        <v>2200</v>
      </c>
      <c r="C4" s="1498"/>
      <c r="D4" s="1499" t="s">
        <v>2213</v>
      </c>
      <c r="E4" s="1519"/>
      <c r="F4" s="1500" t="s">
        <v>2200</v>
      </c>
      <c r="G4" s="379"/>
      <c r="H4" s="1499" t="s">
        <v>2213</v>
      </c>
      <c r="I4" s="1519"/>
    </row>
    <row r="5" spans="1:12" ht="15" customHeight="1">
      <c r="A5" s="328"/>
      <c r="B5" s="440" t="s">
        <v>2214</v>
      </c>
      <c r="C5" s="894" t="s">
        <v>785</v>
      </c>
      <c r="D5" s="440" t="s">
        <v>687</v>
      </c>
      <c r="E5" s="77"/>
      <c r="F5" s="1502" t="s">
        <v>2214</v>
      </c>
      <c r="G5" s="894" t="s">
        <v>785</v>
      </c>
      <c r="H5" s="440" t="s">
        <v>687</v>
      </c>
      <c r="I5" s="77"/>
    </row>
    <row r="6" spans="1:12" ht="17.25" customHeight="1">
      <c r="A6" s="328"/>
      <c r="B6" s="440" t="s">
        <v>2215</v>
      </c>
      <c r="C6" s="894" t="s">
        <v>2216</v>
      </c>
      <c r="D6" s="440" t="s">
        <v>769</v>
      </c>
      <c r="E6" s="77"/>
      <c r="F6" s="1502" t="s">
        <v>2215</v>
      </c>
      <c r="G6" s="894" t="s">
        <v>2216</v>
      </c>
      <c r="H6" s="440" t="s">
        <v>769</v>
      </c>
      <c r="I6" s="77"/>
    </row>
    <row r="7" spans="1:12" ht="16.5" customHeight="1">
      <c r="A7" s="263"/>
      <c r="B7" s="82"/>
      <c r="C7" s="81"/>
      <c r="D7" s="82"/>
      <c r="E7" s="81"/>
      <c r="F7" s="1503"/>
      <c r="G7" s="81"/>
      <c r="H7" s="82"/>
      <c r="I7" s="81"/>
    </row>
    <row r="8" spans="1:12" ht="1.5" customHeight="1" thickBot="1">
      <c r="A8" s="441">
        <v>1991</v>
      </c>
      <c r="B8" s="1504">
        <v>7381.6</v>
      </c>
      <c r="C8" s="1505">
        <v>2030</v>
      </c>
      <c r="D8" s="1504">
        <v>763.6</v>
      </c>
      <c r="E8" s="428">
        <v>10175.200000000001</v>
      </c>
      <c r="F8" s="1506">
        <v>8411.9</v>
      </c>
      <c r="G8" s="1505">
        <v>1717.6</v>
      </c>
      <c r="H8" s="1504">
        <v>608.6</v>
      </c>
      <c r="I8" s="428">
        <v>10738.1</v>
      </c>
    </row>
    <row r="9" spans="1:12" ht="20" hidden="1" customHeight="1" thickBot="1">
      <c r="A9" s="444">
        <v>1992</v>
      </c>
      <c r="B9" s="1507">
        <v>8071.6</v>
      </c>
      <c r="C9" s="1512">
        <v>2234.5</v>
      </c>
      <c r="D9" s="1508">
        <v>751.05194456734102</v>
      </c>
      <c r="E9" s="1511">
        <v>11057.151944567342</v>
      </c>
      <c r="F9" s="1510">
        <v>9374.4</v>
      </c>
      <c r="G9" s="1512">
        <v>1832.3</v>
      </c>
      <c r="H9" s="1508">
        <v>631.14866850607859</v>
      </c>
      <c r="I9" s="1511">
        <v>11837.848668506078</v>
      </c>
    </row>
    <row r="10" spans="1:12" ht="20" hidden="1" customHeight="1" thickBot="1">
      <c r="A10" s="444">
        <v>1993</v>
      </c>
      <c r="B10" s="1507">
        <v>8959</v>
      </c>
      <c r="C10" s="1512">
        <v>3326.3</v>
      </c>
      <c r="D10" s="1508">
        <v>734.92479192401356</v>
      </c>
      <c r="E10" s="1511">
        <v>13020.224791924013</v>
      </c>
      <c r="F10" s="1510">
        <v>9747.2000000000007</v>
      </c>
      <c r="G10" s="1512">
        <v>2431.9</v>
      </c>
      <c r="H10" s="1508">
        <v>626.00138979065252</v>
      </c>
      <c r="I10" s="1511">
        <v>12805.101389790652</v>
      </c>
    </row>
    <row r="11" spans="1:12" ht="20" hidden="1" customHeight="1" thickBot="1">
      <c r="A11" s="444">
        <v>1994</v>
      </c>
      <c r="B11" s="1507">
        <v>8986.1</v>
      </c>
      <c r="C11" s="1512">
        <v>4076.6</v>
      </c>
      <c r="D11" s="1508">
        <v>690.03021854426788</v>
      </c>
      <c r="E11" s="1511">
        <v>13752.730218544268</v>
      </c>
      <c r="F11" s="1510">
        <v>9548.9</v>
      </c>
      <c r="G11" s="1512">
        <v>3331.5</v>
      </c>
      <c r="H11" s="1508">
        <v>613.0603501903413</v>
      </c>
      <c r="I11" s="1511">
        <v>13493.46035019034</v>
      </c>
    </row>
    <row r="12" spans="1:12" ht="19.5" hidden="1" customHeight="1" thickBot="1">
      <c r="A12" s="444">
        <v>1995</v>
      </c>
      <c r="B12" s="1507">
        <v>9125.7999999999993</v>
      </c>
      <c r="C12" s="1512">
        <v>4249.7</v>
      </c>
      <c r="D12" s="1508">
        <v>651.42256806953048</v>
      </c>
      <c r="E12" s="1511">
        <v>14026.922568069531</v>
      </c>
      <c r="F12" s="1510">
        <v>10017.200000000001</v>
      </c>
      <c r="G12" s="1512">
        <v>3664.1</v>
      </c>
      <c r="H12" s="1508">
        <v>587.27080996548773</v>
      </c>
      <c r="I12" s="1511">
        <v>14268.570809965489</v>
      </c>
    </row>
    <row r="13" spans="1:12" ht="0.75" hidden="1" customHeight="1" thickBot="1">
      <c r="A13" s="444">
        <v>1996</v>
      </c>
      <c r="B13" s="1507">
        <v>11035.2</v>
      </c>
      <c r="C13" s="1512">
        <v>4337.5</v>
      </c>
      <c r="D13" s="1508">
        <v>640.36315374410731</v>
      </c>
      <c r="E13" s="1511">
        <v>16013.063153744108</v>
      </c>
      <c r="F13" s="1510">
        <v>10780.5</v>
      </c>
      <c r="G13" s="1512">
        <v>3809.6285714248806</v>
      </c>
      <c r="H13" s="1508">
        <v>512.67578326995283</v>
      </c>
      <c r="I13" s="1511">
        <v>15102.804354694834</v>
      </c>
      <c r="K13"/>
      <c r="L13"/>
    </row>
    <row r="14" spans="1:12" ht="19.5" hidden="1" customHeight="1" thickBot="1">
      <c r="A14" s="444">
        <v>1997</v>
      </c>
      <c r="B14" s="429">
        <v>11924.8</v>
      </c>
      <c r="C14" s="430">
        <v>4410.6000000000004</v>
      </c>
      <c r="D14" s="429">
        <v>601.9</v>
      </c>
      <c r="E14" s="428">
        <v>16937.3</v>
      </c>
      <c r="F14" s="1453">
        <v>11360.5</v>
      </c>
      <c r="G14" s="430">
        <v>3288.3</v>
      </c>
      <c r="H14" s="429">
        <v>475.9</v>
      </c>
      <c r="I14" s="428">
        <v>15124.699999999999</v>
      </c>
      <c r="K14"/>
      <c r="L14"/>
    </row>
    <row r="15" spans="1:12" ht="0.75" hidden="1" customHeight="1" thickBot="1">
      <c r="A15" s="444">
        <v>1998</v>
      </c>
      <c r="B15" s="429">
        <v>12604.2</v>
      </c>
      <c r="C15" s="430">
        <v>4453.3</v>
      </c>
      <c r="D15" s="429">
        <v>637.79999999999995</v>
      </c>
      <c r="E15" s="428">
        <v>17695.3</v>
      </c>
      <c r="F15" s="1453">
        <v>11926.9</v>
      </c>
      <c r="G15" s="430">
        <v>3299.5</v>
      </c>
      <c r="H15" s="429">
        <v>460.1</v>
      </c>
      <c r="I15" s="428">
        <v>15686.5</v>
      </c>
      <c r="K15"/>
      <c r="L15"/>
    </row>
    <row r="16" spans="1:12" ht="19.75" hidden="1" customHeight="1" thickBot="1">
      <c r="A16" s="444">
        <v>1999</v>
      </c>
      <c r="B16" s="429">
        <v>12949.5</v>
      </c>
      <c r="C16" s="430">
        <v>3766.7</v>
      </c>
      <c r="D16" s="429">
        <v>1098.2</v>
      </c>
      <c r="E16" s="428">
        <v>17814.400000000001</v>
      </c>
      <c r="F16" s="1453">
        <v>12430.6</v>
      </c>
      <c r="G16" s="430">
        <v>2787.1</v>
      </c>
      <c r="H16" s="429">
        <v>763.9</v>
      </c>
      <c r="I16" s="428">
        <v>15981.6</v>
      </c>
      <c r="K16"/>
      <c r="L16"/>
    </row>
    <row r="17" spans="1:12" ht="20" customHeight="1" thickBot="1">
      <c r="A17" s="444">
        <v>2000</v>
      </c>
      <c r="B17" s="429">
        <v>13346.7</v>
      </c>
      <c r="C17" s="430">
        <v>2917.4</v>
      </c>
      <c r="D17" s="429">
        <v>2242.9</v>
      </c>
      <c r="E17" s="428">
        <v>18507</v>
      </c>
      <c r="F17" s="1453">
        <v>13190.3</v>
      </c>
      <c r="G17" s="430">
        <v>2199.1</v>
      </c>
      <c r="H17" s="429">
        <v>1583.8</v>
      </c>
      <c r="I17" s="428">
        <v>16973.2</v>
      </c>
      <c r="K17"/>
      <c r="L17"/>
    </row>
    <row r="18" spans="1:12" ht="20" customHeight="1" thickBot="1">
      <c r="A18" s="444">
        <v>2001</v>
      </c>
      <c r="B18" s="429">
        <v>13954.7</v>
      </c>
      <c r="C18" s="430">
        <v>1986.99</v>
      </c>
      <c r="D18" s="429">
        <v>3190.46</v>
      </c>
      <c r="E18" s="428">
        <v>19132.150000000001</v>
      </c>
      <c r="F18" s="1453">
        <v>13986.27</v>
      </c>
      <c r="G18" s="430">
        <v>1576.7</v>
      </c>
      <c r="H18" s="429">
        <v>2353.3000000000002</v>
      </c>
      <c r="I18" s="428">
        <v>17916.27</v>
      </c>
      <c r="K18"/>
      <c r="L18"/>
    </row>
    <row r="19" spans="1:12" ht="20" customHeight="1" thickBot="1">
      <c r="A19" s="444">
        <v>2002</v>
      </c>
      <c r="B19" s="429">
        <v>15296.16</v>
      </c>
      <c r="C19" s="430">
        <v>1958.4404729999999</v>
      </c>
      <c r="D19" s="429">
        <v>3432.3745709999994</v>
      </c>
      <c r="E19" s="428">
        <v>20686.975043999999</v>
      </c>
      <c r="F19" s="1453">
        <v>14592.75</v>
      </c>
      <c r="G19" s="430">
        <v>1422.34175</v>
      </c>
      <c r="H19" s="429">
        <v>2395.4617459999999</v>
      </c>
      <c r="I19" s="428">
        <v>18410.553496</v>
      </c>
      <c r="K19"/>
      <c r="L19"/>
    </row>
    <row r="20" spans="1:12" ht="20" customHeight="1" thickBot="1">
      <c r="A20" s="444">
        <v>2003</v>
      </c>
      <c r="B20" s="429">
        <v>16759.707467</v>
      </c>
      <c r="C20" s="430">
        <v>1882.6076640000001</v>
      </c>
      <c r="D20" s="429">
        <v>3406.1985699999996</v>
      </c>
      <c r="E20" s="428">
        <v>22048.513701</v>
      </c>
      <c r="F20" s="1453">
        <v>15335.619704000001</v>
      </c>
      <c r="G20" s="430">
        <v>1354.5729260000001</v>
      </c>
      <c r="H20" s="429">
        <v>2360.4405969999998</v>
      </c>
      <c r="I20" s="428">
        <v>19050.633227000002</v>
      </c>
      <c r="K20"/>
      <c r="L20"/>
    </row>
    <row r="21" spans="1:12" ht="20" customHeight="1" thickBot="1">
      <c r="A21" s="444">
        <v>2004</v>
      </c>
      <c r="B21" s="429">
        <v>17979.586842000001</v>
      </c>
      <c r="C21" s="430">
        <v>1358.7895999899999</v>
      </c>
      <c r="D21" s="429">
        <v>4022.0203419999989</v>
      </c>
      <c r="E21" s="428">
        <v>23360.39678399</v>
      </c>
      <c r="F21" s="1453">
        <v>16307.508545000001</v>
      </c>
      <c r="G21" s="430">
        <v>1040.45917962</v>
      </c>
      <c r="H21" s="429">
        <v>2754.9745040000003</v>
      </c>
      <c r="I21" s="428">
        <v>20102.942228620002</v>
      </c>
      <c r="K21"/>
      <c r="L21"/>
    </row>
    <row r="22" spans="1:12" ht="20" customHeight="1" thickBot="1">
      <c r="A22" s="444">
        <v>2005</v>
      </c>
      <c r="B22" s="429">
        <v>18442.676721830001</v>
      </c>
      <c r="C22" s="430">
        <v>1397.6693543900001</v>
      </c>
      <c r="D22" s="429">
        <v>4025.3035210000007</v>
      </c>
      <c r="E22" s="428">
        <v>23865.649597220003</v>
      </c>
      <c r="F22" s="1453">
        <v>17352.720037080002</v>
      </c>
      <c r="G22" s="430">
        <v>1144.4166189</v>
      </c>
      <c r="H22" s="429">
        <v>2812.7367870000003</v>
      </c>
      <c r="I22" s="428">
        <v>21309.873442980002</v>
      </c>
      <c r="K22"/>
      <c r="L22"/>
    </row>
    <row r="23" spans="1:12" ht="20" customHeight="1" thickBot="1">
      <c r="A23" s="444">
        <v>2006</v>
      </c>
      <c r="B23" s="429">
        <v>19234.85838514</v>
      </c>
      <c r="C23" s="430">
        <v>1384.0624223099999</v>
      </c>
      <c r="D23" s="429">
        <v>4199.0627370000002</v>
      </c>
      <c r="E23" s="428">
        <v>24817.983544449999</v>
      </c>
      <c r="F23" s="1453">
        <v>17563.915602790003</v>
      </c>
      <c r="G23" s="430">
        <v>1083.2765844199998</v>
      </c>
      <c r="H23" s="429">
        <v>2891.0596519999999</v>
      </c>
      <c r="I23" s="428">
        <v>21538.251839210003</v>
      </c>
      <c r="K23"/>
      <c r="L23"/>
    </row>
    <row r="24" spans="1:12" ht="20" customHeight="1" thickBot="1">
      <c r="A24" s="444">
        <v>2007</v>
      </c>
      <c r="B24" s="429">
        <v>19629.610287169999</v>
      </c>
      <c r="C24" s="430">
        <v>1410.6232075</v>
      </c>
      <c r="D24" s="429">
        <v>4207.0683449999997</v>
      </c>
      <c r="E24" s="428">
        <v>25247.301839669999</v>
      </c>
      <c r="F24" s="1453">
        <v>18423.621994609999</v>
      </c>
      <c r="G24" s="430">
        <v>1170.1273056000002</v>
      </c>
      <c r="H24" s="429">
        <v>3037.7777310000001</v>
      </c>
      <c r="I24" s="428">
        <v>22631.527031209996</v>
      </c>
      <c r="K24"/>
      <c r="L24"/>
    </row>
    <row r="25" spans="1:12" ht="20" customHeight="1" thickBot="1">
      <c r="A25" s="444">
        <v>2008</v>
      </c>
      <c r="B25" s="429">
        <v>19621.43996068</v>
      </c>
      <c r="C25" s="430">
        <v>1412.4505677400002</v>
      </c>
      <c r="D25" s="429">
        <v>4509.4953152600001</v>
      </c>
      <c r="E25" s="428">
        <v>25543.38584368</v>
      </c>
      <c r="F25" s="1453">
        <v>19431.457254779998</v>
      </c>
      <c r="G25" s="430">
        <v>1241.37670198</v>
      </c>
      <c r="H25" s="429">
        <v>3128.0701190199998</v>
      </c>
      <c r="I25" s="428">
        <v>23800.904075779996</v>
      </c>
      <c r="K25"/>
      <c r="L25"/>
    </row>
    <row r="26" spans="1:12" ht="20" customHeight="1" thickBot="1">
      <c r="A26" s="444">
        <v>2009</v>
      </c>
      <c r="B26" s="429">
        <v>20057.64279962</v>
      </c>
      <c r="C26" s="430">
        <v>1381.60592514</v>
      </c>
      <c r="D26" s="429">
        <v>4313.5737268599996</v>
      </c>
      <c r="E26" s="428">
        <v>25752.822451619999</v>
      </c>
      <c r="F26" s="1453">
        <v>20273.850593919997</v>
      </c>
      <c r="G26" s="430">
        <v>1229.2542896300001</v>
      </c>
      <c r="H26" s="429">
        <v>3158.8125223699999</v>
      </c>
      <c r="I26" s="428">
        <v>24661.917405919998</v>
      </c>
      <c r="K26"/>
      <c r="L26"/>
    </row>
    <row r="27" spans="1:12" ht="24.75" customHeight="1" thickBot="1">
      <c r="A27" s="447">
        <v>2010</v>
      </c>
      <c r="B27" s="432">
        <v>21955.717553830003</v>
      </c>
      <c r="C27" s="433">
        <v>1442.6310089400001</v>
      </c>
      <c r="D27" s="432">
        <v>4581.4113640599999</v>
      </c>
      <c r="E27" s="433">
        <v>27979.759926830004</v>
      </c>
      <c r="F27" s="1520">
        <v>20883.74693053</v>
      </c>
      <c r="G27" s="433">
        <v>1281.58085265</v>
      </c>
      <c r="H27" s="432">
        <v>3204.0921983499998</v>
      </c>
      <c r="I27" s="433">
        <v>25369.419981530002</v>
      </c>
      <c r="K27"/>
      <c r="L27"/>
    </row>
    <row r="28" spans="1:12" ht="17.25" customHeight="1">
      <c r="A28" s="1146" t="s">
        <v>2254</v>
      </c>
      <c r="B28" s="1147"/>
      <c r="C28" s="1147"/>
      <c r="D28" s="1147"/>
      <c r="E28" s="1147"/>
      <c r="F28" s="1147"/>
      <c r="G28" s="1147"/>
      <c r="H28" s="1147"/>
      <c r="I28" s="1147"/>
    </row>
    <row r="29" spans="1:12" ht="13.5" customHeight="1">
      <c r="A29" s="1159"/>
      <c r="B29" s="1024"/>
      <c r="C29" s="1024"/>
      <c r="D29" s="1024"/>
      <c r="E29" s="1024"/>
      <c r="F29" s="1024"/>
      <c r="G29" s="1024"/>
      <c r="H29" s="1024"/>
      <c r="I29" s="1024"/>
    </row>
    <row r="30" spans="1:12">
      <c r="A30" s="138" t="s">
        <v>2217</v>
      </c>
      <c r="B30" s="1152"/>
      <c r="C30" s="1152"/>
      <c r="D30" s="1152"/>
      <c r="E30" s="1152"/>
      <c r="F30" s="1152"/>
      <c r="G30" s="1152"/>
      <c r="H30" s="1152"/>
      <c r="I30" s="1152"/>
    </row>
    <row r="31" spans="1:12">
      <c r="A31" s="138" t="s">
        <v>2218</v>
      </c>
      <c r="B31" s="1152"/>
      <c r="C31" s="1152"/>
      <c r="D31" s="1152"/>
      <c r="E31" s="1152"/>
      <c r="F31" s="1152"/>
      <c r="G31" s="1152"/>
      <c r="H31" s="1152"/>
      <c r="I31" s="1152"/>
    </row>
    <row r="32" spans="1:12">
      <c r="A32" s="1159" t="s">
        <v>2209</v>
      </c>
      <c r="B32" s="1152"/>
      <c r="C32" s="1152"/>
      <c r="D32" s="1152"/>
      <c r="E32" s="1152"/>
      <c r="F32" s="1152"/>
      <c r="G32" s="1152"/>
      <c r="H32" s="1152"/>
      <c r="I32" s="1152"/>
    </row>
    <row r="33" spans="1:9">
      <c r="A33" s="1159" t="s">
        <v>2210</v>
      </c>
      <c r="B33" s="1152"/>
      <c r="C33" s="1152"/>
      <c r="D33" s="1152"/>
      <c r="E33" s="1152"/>
      <c r="F33" s="1152"/>
      <c r="G33" s="1152"/>
      <c r="H33" s="1152"/>
      <c r="I33" s="1152"/>
    </row>
    <row r="34" spans="1:9">
      <c r="A34" s="138" t="s">
        <v>2219</v>
      </c>
    </row>
    <row r="35" spans="1:9">
      <c r="A35" s="138" t="s">
        <v>2220</v>
      </c>
    </row>
    <row r="36" spans="1:9">
      <c r="A36" s="138" t="s">
        <v>2221</v>
      </c>
    </row>
    <row r="37" spans="1:9">
      <c r="A37" s="138" t="s">
        <v>2222</v>
      </c>
    </row>
    <row r="40" spans="1:9">
      <c r="A40" s="3" t="s">
        <v>677</v>
      </c>
    </row>
  </sheetData>
  <pageMargins left="0.47244094488188981" right="0.43307086614173229" top="0.77" bottom="0.47244094488188981" header="0.43307086614173229" footer="0.51181102362204722"/>
  <pageSetup paperSize="9" scale="89" orientation="landscape" horizontalDpi="1200" verticalDpi="1200"/>
  <headerFooter alignWithMargins="0"/>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70AE-6B03-6941-A7A5-DA37DEDD3DAC}">
  <sheetPr>
    <pageSetUpPr fitToPage="1"/>
  </sheetPr>
  <dimension ref="A2:P123"/>
  <sheetViews>
    <sheetView topLeftCell="A37" zoomScaleNormal="100" workbookViewId="0">
      <selection activeCell="A43" sqref="A43"/>
    </sheetView>
  </sheetViews>
  <sheetFormatPr baseColWidth="10" defaultColWidth="11.3984375" defaultRowHeight="13"/>
  <cols>
    <col min="1" max="1" width="29.796875" style="3" customWidth="1"/>
    <col min="2" max="2" width="0.19921875" style="3" customWidth="1"/>
    <col min="3" max="3" width="0.3984375" style="3" hidden="1" customWidth="1"/>
    <col min="4" max="4" width="9.59765625" style="3" hidden="1" customWidth="1"/>
    <col min="5" max="5" width="10" style="3" hidden="1" customWidth="1"/>
    <col min="6" max="15" width="10" style="3" customWidth="1"/>
    <col min="16" max="16" width="9.796875" style="3" customWidth="1"/>
    <col min="17" max="16384" width="11.3984375" style="3"/>
  </cols>
  <sheetData>
    <row r="2" spans="1:16" ht="19.5" customHeight="1">
      <c r="A2" s="734" t="s">
        <v>2223</v>
      </c>
    </row>
    <row r="3" spans="1:16" s="2" customFormat="1" ht="29.25" customHeight="1">
      <c r="A3" s="242"/>
      <c r="B3" s="242"/>
      <c r="C3" s="242"/>
      <c r="D3" s="242"/>
      <c r="E3" s="242"/>
      <c r="F3" s="242"/>
    </row>
    <row r="4" spans="1:16" s="2" customFormat="1" ht="21.75" customHeight="1">
      <c r="A4" s="372" t="s">
        <v>2224</v>
      </c>
      <c r="B4" s="306"/>
      <c r="C4" s="306"/>
      <c r="D4" s="306"/>
      <c r="E4" s="306"/>
      <c r="F4" s="306"/>
      <c r="G4" s="306"/>
      <c r="H4" s="306"/>
      <c r="I4" s="358"/>
      <c r="J4" s="358"/>
      <c r="K4" s="358"/>
    </row>
    <row r="5" spans="1:16" ht="78" customHeight="1">
      <c r="A5" s="1521" t="s">
        <v>2225</v>
      </c>
      <c r="B5" s="1522">
        <v>1996</v>
      </c>
      <c r="C5" s="1523">
        <v>1997</v>
      </c>
      <c r="D5" s="1522">
        <v>1998</v>
      </c>
      <c r="E5" s="1523">
        <v>1999</v>
      </c>
      <c r="F5" s="1522">
        <v>2000</v>
      </c>
      <c r="G5" s="1523">
        <v>2001</v>
      </c>
      <c r="H5" s="1522">
        <v>2002</v>
      </c>
      <c r="I5" s="1523">
        <v>2003</v>
      </c>
      <c r="J5" s="1522">
        <v>2004</v>
      </c>
      <c r="K5" s="1523">
        <v>2005</v>
      </c>
      <c r="L5" s="1522">
        <v>2006</v>
      </c>
      <c r="M5" s="1523">
        <v>2007</v>
      </c>
      <c r="N5" s="1522">
        <v>2008</v>
      </c>
      <c r="O5" s="1523">
        <v>2009</v>
      </c>
      <c r="P5" s="1522">
        <v>2010</v>
      </c>
    </row>
    <row r="6" spans="1:16" ht="22.75" customHeight="1" thickBot="1">
      <c r="A6" s="1448" t="s">
        <v>2226</v>
      </c>
      <c r="B6" s="332">
        <v>7.4080000000000007E-2</v>
      </c>
      <c r="C6" s="446">
        <v>7.4639999999999998E-2</v>
      </c>
      <c r="D6" s="332">
        <v>7.6329999999999995E-2</v>
      </c>
      <c r="E6" s="446">
        <v>7.7549999999999994E-2</v>
      </c>
      <c r="F6" s="332">
        <v>8.0320000000000003E-2</v>
      </c>
      <c r="G6" s="446">
        <v>8.1170000000000006E-2</v>
      </c>
      <c r="H6" s="332">
        <v>8.3539999999999989E-2</v>
      </c>
      <c r="I6" s="446">
        <v>8.2859999999999989E-2</v>
      </c>
      <c r="J6" s="332">
        <v>8.541E-2</v>
      </c>
      <c r="K6" s="446">
        <v>8.43E-2</v>
      </c>
      <c r="L6" s="332">
        <v>8.4580000000000002E-2</v>
      </c>
      <c r="M6" s="446">
        <v>8.5069999999999993E-2</v>
      </c>
      <c r="N6" s="332">
        <v>8.7420000000000012E-2</v>
      </c>
      <c r="O6" s="446" t="s">
        <v>35</v>
      </c>
      <c r="P6" s="332" t="s">
        <v>35</v>
      </c>
    </row>
    <row r="7" spans="1:16" ht="18" customHeight="1" thickBot="1">
      <c r="A7" s="444" t="s">
        <v>2227</v>
      </c>
      <c r="B7" s="335">
        <v>9.4800000000000009E-2</v>
      </c>
      <c r="C7" s="464">
        <v>9.820000000000001E-2</v>
      </c>
      <c r="D7" s="335">
        <v>9.9839999999999998E-2</v>
      </c>
      <c r="E7" s="464">
        <v>0.10119</v>
      </c>
      <c r="F7" s="335">
        <v>9.9459999999999993E-2</v>
      </c>
      <c r="G7" s="464">
        <v>0.10089000000000001</v>
      </c>
      <c r="H7" s="335">
        <v>0.10114000000000001</v>
      </c>
      <c r="I7" s="464">
        <v>0.10291</v>
      </c>
      <c r="J7" s="335">
        <v>0.10409</v>
      </c>
      <c r="K7" s="464">
        <v>0.10403000000000001</v>
      </c>
      <c r="L7" s="335">
        <v>0.10262</v>
      </c>
      <c r="M7" s="464">
        <v>0.10266</v>
      </c>
      <c r="N7" s="335">
        <v>0.1036</v>
      </c>
      <c r="O7" s="464">
        <v>0.11047999999999999</v>
      </c>
      <c r="P7" s="335" t="s">
        <v>35</v>
      </c>
    </row>
    <row r="8" spans="1:16" ht="18" customHeight="1" thickBot="1">
      <c r="A8" s="444" t="s">
        <v>2228</v>
      </c>
      <c r="B8" s="335">
        <v>7.9210000000000003E-2</v>
      </c>
      <c r="C8" s="464">
        <v>7.7759999999999996E-2</v>
      </c>
      <c r="D8" s="335">
        <v>7.8969999999999999E-2</v>
      </c>
      <c r="E8" s="464">
        <v>8.0869999999999997E-2</v>
      </c>
      <c r="F8" s="335">
        <v>8.1310000000000007E-2</v>
      </c>
      <c r="G8" s="464">
        <v>8.3040000000000003E-2</v>
      </c>
      <c r="H8" s="335">
        <v>8.4730000000000014E-2</v>
      </c>
      <c r="I8" s="464">
        <v>0.10035999999999999</v>
      </c>
      <c r="J8" s="335">
        <v>0.1016</v>
      </c>
      <c r="K8" s="464">
        <v>0.10058</v>
      </c>
      <c r="L8" s="335">
        <v>9.6020000000000008E-2</v>
      </c>
      <c r="M8" s="464">
        <v>9.6579999999999999E-2</v>
      </c>
      <c r="N8" s="335">
        <v>0.10073</v>
      </c>
      <c r="O8" s="464">
        <v>0.10876</v>
      </c>
      <c r="P8" s="335" t="s">
        <v>35</v>
      </c>
    </row>
    <row r="9" spans="1:16" ht="18" customHeight="1" thickBot="1">
      <c r="A9" s="444" t="s">
        <v>2229</v>
      </c>
      <c r="B9" s="335">
        <v>8.2110000000000002E-2</v>
      </c>
      <c r="C9" s="464">
        <v>8.1509999999999999E-2</v>
      </c>
      <c r="D9" s="335">
        <v>8.1560000000000007E-2</v>
      </c>
      <c r="E9" s="464">
        <v>8.9540000000000008E-2</v>
      </c>
      <c r="F9" s="335">
        <v>8.6989999999999998E-2</v>
      </c>
      <c r="G9" s="464">
        <v>9.0999999999999998E-2</v>
      </c>
      <c r="H9" s="335">
        <v>9.3329999999999996E-2</v>
      </c>
      <c r="I9" s="464">
        <v>9.5090000000000008E-2</v>
      </c>
      <c r="J9" s="335">
        <v>9.6750000000000003E-2</v>
      </c>
      <c r="K9" s="464">
        <v>9.7699999999999995E-2</v>
      </c>
      <c r="L9" s="335">
        <v>9.9239999999999995E-2</v>
      </c>
      <c r="M9" s="464">
        <v>9.987E-2</v>
      </c>
      <c r="N9" s="335">
        <v>0.10255</v>
      </c>
      <c r="O9" s="464">
        <v>0.11532000000000001</v>
      </c>
      <c r="P9" s="335" t="s">
        <v>35</v>
      </c>
    </row>
    <row r="10" spans="1:16" ht="18" customHeight="1" thickBot="1">
      <c r="A10" s="444" t="s">
        <v>2230</v>
      </c>
      <c r="B10" s="335">
        <v>8.0380000000000007E-2</v>
      </c>
      <c r="C10" s="464">
        <v>7.7199999999999991E-2</v>
      </c>
      <c r="D10" s="335">
        <v>7.3550000000000004E-2</v>
      </c>
      <c r="E10" s="464">
        <v>7.3789999999999994E-2</v>
      </c>
      <c r="F10" s="335">
        <v>7.2239999999999999E-2</v>
      </c>
      <c r="G10" s="464">
        <v>7.4299999999999991E-2</v>
      </c>
      <c r="H10" s="335">
        <v>7.8140000000000001E-2</v>
      </c>
      <c r="I10" s="464">
        <v>8.158E-2</v>
      </c>
      <c r="J10" s="335">
        <v>8.2159999999999997E-2</v>
      </c>
      <c r="K10" s="464">
        <v>8.4360000000000004E-2</v>
      </c>
      <c r="L10" s="335">
        <v>8.3510000000000015E-2</v>
      </c>
      <c r="M10" s="464">
        <v>8.0500000000000002E-2</v>
      </c>
      <c r="N10" s="335">
        <v>8.3559999999999995E-2</v>
      </c>
      <c r="O10" s="464">
        <v>9.1560000000000002E-2</v>
      </c>
      <c r="P10" s="335">
        <v>8.949E-2</v>
      </c>
    </row>
    <row r="11" spans="1:16" ht="18" customHeight="1" thickBot="1">
      <c r="A11" s="444" t="s">
        <v>2231</v>
      </c>
      <c r="B11" s="335">
        <v>0.10369999999999999</v>
      </c>
      <c r="C11" s="464">
        <v>0.10228999999999999</v>
      </c>
      <c r="D11" s="335">
        <v>0.10125999999999999</v>
      </c>
      <c r="E11" s="464">
        <v>0.10147</v>
      </c>
      <c r="F11" s="335">
        <v>0.10071999999999999</v>
      </c>
      <c r="G11" s="464">
        <v>0.10199999999999999</v>
      </c>
      <c r="H11" s="335">
        <v>0.10522000000000001</v>
      </c>
      <c r="I11" s="464">
        <v>0.10887000000000001</v>
      </c>
      <c r="J11" s="335">
        <v>0.11006000000000001</v>
      </c>
      <c r="K11" s="464">
        <v>0.11101000000000001</v>
      </c>
      <c r="L11" s="335">
        <v>0.11042999999999999</v>
      </c>
      <c r="M11" s="464">
        <v>0.11022999999999999</v>
      </c>
      <c r="N11" s="335">
        <v>0.11103999999999999</v>
      </c>
      <c r="O11" s="464">
        <v>0.11781999999999999</v>
      </c>
      <c r="P11" s="335" t="s">
        <v>35</v>
      </c>
    </row>
    <row r="12" spans="1:16" ht="18" customHeight="1" thickBot="1">
      <c r="A12" s="444" t="s">
        <v>2232</v>
      </c>
      <c r="B12" s="335">
        <v>0.10378</v>
      </c>
      <c r="C12" s="464">
        <v>0.10217000000000001</v>
      </c>
      <c r="D12" s="335">
        <v>0.10231</v>
      </c>
      <c r="E12" s="464">
        <v>0.10267</v>
      </c>
      <c r="F12" s="335">
        <v>0.10285999999999999</v>
      </c>
      <c r="G12" s="464">
        <v>0.10414999999999999</v>
      </c>
      <c r="H12" s="335">
        <v>0.10638</v>
      </c>
      <c r="I12" s="464">
        <v>0.10843</v>
      </c>
      <c r="J12" s="335">
        <v>0.10602</v>
      </c>
      <c r="K12" s="464">
        <v>0.10725</v>
      </c>
      <c r="L12" s="335">
        <v>0.10577</v>
      </c>
      <c r="M12" s="464">
        <v>0.10454000000000001</v>
      </c>
      <c r="N12" s="335">
        <v>0.1066</v>
      </c>
      <c r="O12" s="464">
        <v>0.11612</v>
      </c>
      <c r="P12" s="335" t="s">
        <v>35</v>
      </c>
    </row>
    <row r="13" spans="1:16" ht="18" customHeight="1" thickBot="1">
      <c r="A13" s="444" t="s">
        <v>2233</v>
      </c>
      <c r="B13" s="335">
        <v>7.3779999999999998E-2</v>
      </c>
      <c r="C13" s="464">
        <v>7.6550000000000007E-2</v>
      </c>
      <c r="D13" s="335">
        <v>7.7270000000000005E-2</v>
      </c>
      <c r="E13" s="464">
        <v>7.7890000000000001E-2</v>
      </c>
      <c r="F13" s="335">
        <v>8.0630000000000007E-2</v>
      </c>
      <c r="G13" s="464">
        <v>8.2129999999999995E-2</v>
      </c>
      <c r="H13" s="335">
        <v>8.3379999999999996E-2</v>
      </c>
      <c r="I13" s="464">
        <v>8.3460000000000006E-2</v>
      </c>
      <c r="J13" s="335">
        <v>8.6540000000000006E-2</v>
      </c>
      <c r="K13" s="464">
        <v>8.9399999999999993E-2</v>
      </c>
      <c r="L13" s="335">
        <v>9.017E-2</v>
      </c>
      <c r="M13" s="464">
        <v>8.6830000000000004E-2</v>
      </c>
      <c r="N13" s="335">
        <v>9.0450000000000003E-2</v>
      </c>
      <c r="O13" s="464">
        <v>9.4750000000000001E-2</v>
      </c>
      <c r="P13" s="335">
        <v>9.5739999999999992E-2</v>
      </c>
    </row>
    <row r="14" spans="1:16" ht="18" customHeight="1" thickBot="1">
      <c r="A14" s="444" t="s">
        <v>2234</v>
      </c>
      <c r="B14" s="335">
        <v>7.0489999999999997E-2</v>
      </c>
      <c r="C14" s="464">
        <v>6.9919999999999996E-2</v>
      </c>
      <c r="D14" s="335">
        <v>7.2840000000000002E-2</v>
      </c>
      <c r="E14" s="464">
        <v>7.5490000000000002E-2</v>
      </c>
      <c r="F14" s="335">
        <v>7.707E-2</v>
      </c>
      <c r="G14" s="464">
        <v>7.9289999999999999E-2</v>
      </c>
      <c r="H14" s="335">
        <v>7.9829999999999998E-2</v>
      </c>
      <c r="I14" s="464">
        <v>8.1280000000000005E-2</v>
      </c>
      <c r="J14" s="335">
        <v>8.0809999999999993E-2</v>
      </c>
      <c r="K14" s="464">
        <v>8.2170000000000007E-2</v>
      </c>
      <c r="L14" s="335">
        <v>8.1880000000000008E-2</v>
      </c>
      <c r="M14" s="464">
        <v>8.1890000000000004E-2</v>
      </c>
      <c r="N14" s="335">
        <v>8.5000000000000006E-2</v>
      </c>
      <c r="O14" s="464" t="s">
        <v>35</v>
      </c>
      <c r="P14" s="335" t="s">
        <v>35</v>
      </c>
    </row>
    <row r="15" spans="1:16" ht="18" customHeight="1" thickBot="1">
      <c r="A15" s="444" t="s">
        <v>2235</v>
      </c>
      <c r="B15" s="335">
        <v>8.2110000000000002E-2</v>
      </c>
      <c r="C15" s="464">
        <v>7.9490000000000005E-2</v>
      </c>
      <c r="D15" s="335">
        <v>8.0619999999999997E-2</v>
      </c>
      <c r="E15" s="464">
        <v>8.0879999999999994E-2</v>
      </c>
      <c r="F15" s="335">
        <v>7.9579999999999998E-2</v>
      </c>
      <c r="G15" s="464">
        <v>8.2970000000000002E-2</v>
      </c>
      <c r="H15" s="335">
        <v>8.8699999999999987E-2</v>
      </c>
      <c r="I15" s="464">
        <v>9.7729999999999997E-2</v>
      </c>
      <c r="J15" s="335">
        <v>9.9680000000000005E-2</v>
      </c>
      <c r="K15" s="464">
        <v>9.8290000000000002E-2</v>
      </c>
      <c r="L15" s="335">
        <v>9.7220000000000001E-2</v>
      </c>
      <c r="M15" s="464">
        <v>9.6809999999999993E-2</v>
      </c>
      <c r="N15" s="335">
        <v>9.8580000000000001E-2</v>
      </c>
      <c r="O15" s="464">
        <v>0.11961000000000001</v>
      </c>
      <c r="P15" s="335" t="s">
        <v>35</v>
      </c>
    </row>
    <row r="16" spans="1:16" ht="18" customHeight="1" thickBot="1">
      <c r="A16" s="444" t="s">
        <v>2236</v>
      </c>
      <c r="B16" s="335">
        <v>7.8270000000000006E-2</v>
      </c>
      <c r="C16" s="464">
        <v>8.3989999999999995E-2</v>
      </c>
      <c r="D16" s="335">
        <v>9.2520000000000005E-2</v>
      </c>
      <c r="E16" s="464">
        <v>9.3290000000000012E-2</v>
      </c>
      <c r="F16" s="335">
        <v>8.4209999999999993E-2</v>
      </c>
      <c r="G16" s="464">
        <v>8.8010000000000005E-2</v>
      </c>
      <c r="H16" s="335">
        <v>9.7909999999999997E-2</v>
      </c>
      <c r="I16" s="464">
        <v>0.10012</v>
      </c>
      <c r="J16" s="335">
        <v>9.6519999999999995E-2</v>
      </c>
      <c r="K16" s="464">
        <v>9.0920000000000001E-2</v>
      </c>
      <c r="L16" s="335">
        <v>8.6480000000000001E-2</v>
      </c>
      <c r="M16" s="464">
        <v>8.8800000000000004E-2</v>
      </c>
      <c r="N16" s="335">
        <v>8.6249999999999993E-2</v>
      </c>
      <c r="O16" s="464">
        <v>9.6030000000000004E-2</v>
      </c>
      <c r="P16" s="335" t="s">
        <v>35</v>
      </c>
    </row>
    <row r="17" spans="1:16" ht="18" customHeight="1" thickBot="1">
      <c r="A17" s="444" t="s">
        <v>2237</v>
      </c>
      <c r="B17" s="335">
        <v>7.4630000000000002E-2</v>
      </c>
      <c r="C17" s="464">
        <v>7.3340000000000002E-2</v>
      </c>
      <c r="D17" s="335">
        <v>7.3190000000000005E-2</v>
      </c>
      <c r="E17" s="464">
        <v>7.3160000000000003E-2</v>
      </c>
      <c r="F17" s="335">
        <v>7.2110000000000007E-2</v>
      </c>
      <c r="G17" s="464">
        <v>7.2389999999999996E-2</v>
      </c>
      <c r="H17" s="335">
        <v>7.2510000000000005E-2</v>
      </c>
      <c r="I17" s="464">
        <v>8.1739999999999993E-2</v>
      </c>
      <c r="J17" s="335">
        <v>8.2089999999999996E-2</v>
      </c>
      <c r="K17" s="464">
        <v>8.2859999999999989E-2</v>
      </c>
      <c r="L17" s="335">
        <v>8.3569999999999992E-2</v>
      </c>
      <c r="M17" s="464">
        <v>8.48E-2</v>
      </c>
      <c r="N17" s="335">
        <v>8.9570000000000011E-2</v>
      </c>
      <c r="O17" s="464">
        <v>9.5100000000000004E-2</v>
      </c>
      <c r="P17" s="335" t="s">
        <v>35</v>
      </c>
    </row>
    <row r="18" spans="1:16" ht="18" customHeight="1" thickBot="1">
      <c r="A18" s="444" t="s">
        <v>2238</v>
      </c>
      <c r="B18" s="335">
        <v>8.199999999999999E-2</v>
      </c>
      <c r="C18" s="464">
        <v>8.0259999999999998E-2</v>
      </c>
      <c r="D18" s="335">
        <v>8.115E-2</v>
      </c>
      <c r="E18" s="464">
        <v>8.1979999999999997E-2</v>
      </c>
      <c r="F18" s="335">
        <v>8.1799999999999998E-2</v>
      </c>
      <c r="G18" s="464">
        <v>8.8599999999999998E-2</v>
      </c>
      <c r="H18" s="335">
        <v>9.2280000000000001E-2</v>
      </c>
      <c r="I18" s="464">
        <v>9.3100000000000002E-2</v>
      </c>
      <c r="J18" s="335">
        <v>9.0879999999999989E-2</v>
      </c>
      <c r="K18" s="464">
        <v>9.0619999999999992E-2</v>
      </c>
      <c r="L18" s="335">
        <v>8.9480000000000004E-2</v>
      </c>
      <c r="M18" s="464">
        <v>8.9169999999999999E-2</v>
      </c>
      <c r="N18" s="335">
        <v>9.2280000000000001E-2</v>
      </c>
      <c r="O18" s="464">
        <v>0.10016</v>
      </c>
      <c r="P18" s="335" t="s">
        <v>35</v>
      </c>
    </row>
    <row r="19" spans="1:16" ht="18" customHeight="1" thickBot="1">
      <c r="A19" s="444" t="s">
        <v>2239</v>
      </c>
      <c r="B19" s="335">
        <v>6.8440000000000001E-2</v>
      </c>
      <c r="C19" s="464">
        <v>6.6049999999999998E-2</v>
      </c>
      <c r="D19" s="335">
        <v>6.6549999999999998E-2</v>
      </c>
      <c r="E19" s="464">
        <v>6.8909999999999999E-2</v>
      </c>
      <c r="F19" s="335">
        <v>7.0099999999999996E-2</v>
      </c>
      <c r="G19" s="464">
        <v>7.2359999999999994E-2</v>
      </c>
      <c r="H19" s="335">
        <v>7.5600000000000001E-2</v>
      </c>
      <c r="I19" s="464">
        <v>7.7640000000000001E-2</v>
      </c>
      <c r="J19" s="335">
        <v>7.9899999999999999E-2</v>
      </c>
      <c r="K19" s="464">
        <v>8.2409999999999997E-2</v>
      </c>
      <c r="L19" s="335">
        <v>8.4760000000000002E-2</v>
      </c>
      <c r="M19" s="464">
        <v>8.4199999999999997E-2</v>
      </c>
      <c r="N19" s="335">
        <v>8.7829999999999991E-2</v>
      </c>
      <c r="O19" s="464">
        <v>9.7810000000000008E-2</v>
      </c>
      <c r="P19" s="335" t="s">
        <v>35</v>
      </c>
    </row>
    <row r="20" spans="1:16" ht="18" customHeight="1" thickBot="1">
      <c r="A20" s="444" t="s">
        <v>2240</v>
      </c>
      <c r="B20" s="335">
        <v>0.13666</v>
      </c>
      <c r="C20" s="464">
        <v>0.13561000000000001</v>
      </c>
      <c r="D20" s="335">
        <v>0.13580999999999999</v>
      </c>
      <c r="E20" s="464">
        <v>0.13583999999999999</v>
      </c>
      <c r="F20" s="335">
        <v>0.13663999999999998</v>
      </c>
      <c r="G20" s="464">
        <v>0.14333000000000001</v>
      </c>
      <c r="H20" s="335">
        <v>0.15154999999999999</v>
      </c>
      <c r="I20" s="464">
        <v>0.15667</v>
      </c>
      <c r="J20" s="335">
        <v>0.15714</v>
      </c>
      <c r="K20" s="464">
        <v>0.15744999999999998</v>
      </c>
      <c r="L20" s="335">
        <v>0.15826999999999999</v>
      </c>
      <c r="M20" s="464">
        <v>0.16017000000000001</v>
      </c>
      <c r="N20" s="335">
        <v>0.16424</v>
      </c>
      <c r="O20" s="464">
        <v>0.17380999999999999</v>
      </c>
      <c r="P20" s="335" t="s">
        <v>35</v>
      </c>
    </row>
    <row r="21" spans="1:16" s="115" customFormat="1" ht="30" customHeight="1" thickBot="1">
      <c r="A21" s="1441" t="s">
        <v>2241</v>
      </c>
      <c r="B21" s="994">
        <v>9.9469999999999989E-2</v>
      </c>
      <c r="C21" s="993">
        <v>9.9510000000000001E-2</v>
      </c>
      <c r="D21" s="994">
        <v>0.10073</v>
      </c>
      <c r="E21" s="993">
        <v>0.10202</v>
      </c>
      <c r="F21" s="994">
        <v>0.10151</v>
      </c>
      <c r="G21" s="993">
        <v>0.10589999999999999</v>
      </c>
      <c r="H21" s="994">
        <v>0.10913</v>
      </c>
      <c r="I21" s="993">
        <v>0.11255000000000001</v>
      </c>
      <c r="J21" s="994">
        <v>0.113</v>
      </c>
      <c r="K21" s="993">
        <v>0.11221</v>
      </c>
      <c r="L21" s="994">
        <v>0.10758</v>
      </c>
      <c r="M21" s="993">
        <v>0.10596</v>
      </c>
      <c r="N21" s="994">
        <v>0.10740999999999999</v>
      </c>
      <c r="O21" s="993">
        <v>0.11394</v>
      </c>
      <c r="P21" s="1524">
        <v>0.11613</v>
      </c>
    </row>
    <row r="22" spans="1:16" ht="9.75" customHeight="1">
      <c r="A22" s="1525"/>
      <c r="B22" s="1526"/>
      <c r="C22" s="1526"/>
      <c r="D22" s="1526"/>
      <c r="E22" s="1526"/>
      <c r="F22" s="1526"/>
      <c r="G22" s="1527"/>
      <c r="H22" s="1527"/>
      <c r="I22" s="1527"/>
      <c r="J22" s="1527"/>
      <c r="K22" s="1527"/>
      <c r="L22" s="1527"/>
      <c r="M22" s="1527"/>
      <c r="N22" s="1527"/>
      <c r="O22" s="1527"/>
      <c r="P22" s="1527"/>
    </row>
    <row r="23" spans="1:16" s="52" customFormat="1" ht="26.25" customHeight="1" thickBot="1">
      <c r="A23" s="1528" t="s">
        <v>2242</v>
      </c>
      <c r="B23" s="1529">
        <v>3.5624658814363358E-2</v>
      </c>
      <c r="C23" s="1530">
        <v>3.6541719623972846E-2</v>
      </c>
      <c r="D23" s="1529">
        <v>3.7643432570707028E-2</v>
      </c>
      <c r="E23" s="1530">
        <v>3.8407716952479763E-2</v>
      </c>
      <c r="F23" s="1529">
        <v>3.871842657206593E-2</v>
      </c>
      <c r="G23" s="1530">
        <v>4.019167602662601E-2</v>
      </c>
      <c r="H23" s="1529">
        <v>4.1494101249786454E-2</v>
      </c>
      <c r="I23" s="1530">
        <v>4.3116092512608215E-2</v>
      </c>
      <c r="J23" s="1529">
        <v>4.4590486061892129E-2</v>
      </c>
      <c r="K23" s="1530">
        <v>4.6026031703889358E-2</v>
      </c>
      <c r="L23" s="1529">
        <v>4.4196971221844489E-2</v>
      </c>
      <c r="M23" s="1530">
        <v>4.346644776913719E-2</v>
      </c>
      <c r="N23" s="1529">
        <v>4.390062689592053E-2</v>
      </c>
      <c r="O23" s="1530">
        <v>4.628131528862129E-2</v>
      </c>
      <c r="P23" s="1529">
        <v>4.6348073252223607E-2</v>
      </c>
    </row>
    <row r="24" spans="1:16" ht="20" customHeight="1">
      <c r="A24" s="1531"/>
      <c r="B24" s="352"/>
      <c r="C24" s="352"/>
      <c r="D24" s="352"/>
      <c r="E24" s="352"/>
      <c r="F24" s="352"/>
    </row>
    <row r="25" spans="1:16" ht="20" customHeight="1">
      <c r="A25" s="1532"/>
      <c r="B25" s="352"/>
      <c r="C25" s="352"/>
      <c r="D25" s="352"/>
      <c r="E25" s="352"/>
      <c r="F25" s="352"/>
    </row>
    <row r="26" spans="1:16" ht="22.75" customHeight="1">
      <c r="A26" s="372" t="s">
        <v>2243</v>
      </c>
      <c r="B26" s="352"/>
      <c r="C26" s="352"/>
      <c r="D26" s="352"/>
      <c r="E26" s="352"/>
      <c r="F26" s="352"/>
    </row>
    <row r="27" spans="1:16" ht="78" customHeight="1">
      <c r="A27" s="1521" t="s">
        <v>2225</v>
      </c>
      <c r="B27" s="1522">
        <v>1996</v>
      </c>
      <c r="C27" s="1523">
        <v>1997</v>
      </c>
      <c r="D27" s="1522">
        <v>1998</v>
      </c>
      <c r="E27" s="1523">
        <v>1999</v>
      </c>
      <c r="F27" s="1522">
        <v>2000</v>
      </c>
      <c r="G27" s="1523">
        <v>2001</v>
      </c>
      <c r="H27" s="1522">
        <v>2002</v>
      </c>
      <c r="I27" s="1523">
        <v>2003</v>
      </c>
      <c r="J27" s="1522">
        <v>2004</v>
      </c>
      <c r="K27" s="1523">
        <v>2005</v>
      </c>
      <c r="L27" s="1522">
        <v>2006</v>
      </c>
      <c r="M27" s="1523">
        <v>2007</v>
      </c>
      <c r="N27" s="1522">
        <v>2008</v>
      </c>
      <c r="O27" s="1523">
        <v>2009</v>
      </c>
      <c r="P27" s="1522">
        <v>2010</v>
      </c>
    </row>
    <row r="28" spans="1:16" ht="23.5" customHeight="1" thickBot="1">
      <c r="A28" s="1448" t="s">
        <v>2226</v>
      </c>
      <c r="B28" s="131">
        <v>2192.1048443716359</v>
      </c>
      <c r="C28" s="130">
        <v>2560.8662900188324</v>
      </c>
      <c r="D28" s="131">
        <v>2317.1413775245987</v>
      </c>
      <c r="E28" s="130">
        <v>3150.6169207500006</v>
      </c>
      <c r="F28" s="131">
        <v>3827.6680403199994</v>
      </c>
      <c r="G28" s="130">
        <v>4030.01605522</v>
      </c>
      <c r="H28" s="131">
        <v>3987.8486357299998</v>
      </c>
      <c r="I28" s="130">
        <v>3600.0331112499994</v>
      </c>
      <c r="J28" s="131">
        <v>3579.0541350000003</v>
      </c>
      <c r="K28" s="130">
        <v>3710.0984822400001</v>
      </c>
      <c r="L28" s="131">
        <v>3967.1146524800006</v>
      </c>
      <c r="M28" s="130">
        <v>4024.30764572</v>
      </c>
      <c r="N28" s="131">
        <v>3731.3988487800002</v>
      </c>
      <c r="O28" s="130" t="s">
        <v>35</v>
      </c>
      <c r="P28" s="131" t="s">
        <v>35</v>
      </c>
    </row>
    <row r="29" spans="1:16" ht="18" customHeight="1" thickBot="1">
      <c r="A29" s="444" t="s">
        <v>2227</v>
      </c>
      <c r="B29" s="133">
        <v>2936.0318277556753</v>
      </c>
      <c r="C29" s="132">
        <v>3042.2975517890773</v>
      </c>
      <c r="D29" s="133">
        <v>3159.606421543242</v>
      </c>
      <c r="E29" s="132">
        <v>5116.9991889304592</v>
      </c>
      <c r="F29" s="133">
        <v>5298.6362805677045</v>
      </c>
      <c r="G29" s="132">
        <v>5345.2455555289125</v>
      </c>
      <c r="H29" s="133">
        <v>5414.1872584206103</v>
      </c>
      <c r="I29" s="132">
        <v>5684.3740141320495</v>
      </c>
      <c r="J29" s="133">
        <v>5945.4304649826408</v>
      </c>
      <c r="K29" s="132">
        <v>6051.1617062686219</v>
      </c>
      <c r="L29" s="133">
        <v>6165.7727456264683</v>
      </c>
      <c r="M29" s="132">
        <v>6205.1043134771526</v>
      </c>
      <c r="N29" s="133">
        <v>6401.2151105360063</v>
      </c>
      <c r="O29" s="132">
        <v>6566.8351203466236</v>
      </c>
      <c r="P29" s="133" t="s">
        <v>35</v>
      </c>
    </row>
    <row r="30" spans="1:16" ht="18" customHeight="1" thickBot="1">
      <c r="A30" s="444" t="s">
        <v>2228</v>
      </c>
      <c r="B30" s="133">
        <v>3568.3697636321085</v>
      </c>
      <c r="C30" s="132">
        <v>3815.1977401129943</v>
      </c>
      <c r="D30" s="133">
        <v>3954.2206110823408</v>
      </c>
      <c r="E30" s="132">
        <v>3834.1266744456802</v>
      </c>
      <c r="F30" s="133">
        <v>4156.5449203343214</v>
      </c>
      <c r="G30" s="132">
        <v>4349.5922283116843</v>
      </c>
      <c r="H30" s="133">
        <v>4502.9895595633243</v>
      </c>
      <c r="I30" s="132">
        <v>5392.3775194647924</v>
      </c>
      <c r="J30" s="133">
        <v>5548.2748534440416</v>
      </c>
      <c r="K30" s="132">
        <v>5631.4833417685013</v>
      </c>
      <c r="L30" s="133">
        <v>5570.5848092134056</v>
      </c>
      <c r="M30" s="132">
        <v>5623.1956970990077</v>
      </c>
      <c r="N30" s="133">
        <v>5759.0895639460205</v>
      </c>
      <c r="O30" s="132">
        <v>6041.8013670202672</v>
      </c>
      <c r="P30" s="133" t="s">
        <v>35</v>
      </c>
    </row>
    <row r="31" spans="1:16" ht="18" customHeight="1" thickBot="1">
      <c r="A31" s="444" t="s">
        <v>2229</v>
      </c>
      <c r="B31" s="133">
        <v>3827.5043295108821</v>
      </c>
      <c r="C31" s="132">
        <v>3887.7024482109227</v>
      </c>
      <c r="D31" s="133">
        <v>3948.4205075090626</v>
      </c>
      <c r="E31" s="132">
        <v>4515.186284620786</v>
      </c>
      <c r="F31" s="133">
        <v>4642.6583575556215</v>
      </c>
      <c r="G31" s="132">
        <v>4929.8698492805424</v>
      </c>
      <c r="H31" s="133">
        <v>5085.5633999079209</v>
      </c>
      <c r="I31" s="132">
        <v>5144.8938559028702</v>
      </c>
      <c r="J31" s="133">
        <v>5482.1713948859324</v>
      </c>
      <c r="K31" s="132">
        <v>5655.3033344017385</v>
      </c>
      <c r="L31" s="133">
        <v>6077.5118005313971</v>
      </c>
      <c r="M31" s="132">
        <v>6168.6737687883815</v>
      </c>
      <c r="N31" s="133">
        <v>6283.1855576259386</v>
      </c>
      <c r="O31" s="132">
        <v>6657.2720764224787</v>
      </c>
      <c r="P31" s="133" t="s">
        <v>35</v>
      </c>
    </row>
    <row r="32" spans="1:16" ht="18" customHeight="1" thickBot="1">
      <c r="A32" s="444" t="s">
        <v>2230</v>
      </c>
      <c r="B32" s="133">
        <v>2505.7940556985723</v>
      </c>
      <c r="C32" s="132">
        <v>2668.1732580037665</v>
      </c>
      <c r="D32" s="133">
        <v>2689.7980321077162</v>
      </c>
      <c r="E32" s="132">
        <v>3259.6741783650145</v>
      </c>
      <c r="F32" s="133">
        <v>3430.5305517873016</v>
      </c>
      <c r="G32" s="132">
        <v>3624.5639166860656</v>
      </c>
      <c r="H32" s="133">
        <v>3807.2554486222557</v>
      </c>
      <c r="I32" s="132">
        <v>4000.1212999949698</v>
      </c>
      <c r="J32" s="133">
        <v>4300.7038153622743</v>
      </c>
      <c r="K32" s="132">
        <v>4511.1315635867713</v>
      </c>
      <c r="L32" s="133">
        <v>4695.8098636689583</v>
      </c>
      <c r="M32" s="132">
        <v>4761.5908171188612</v>
      </c>
      <c r="N32" s="133">
        <v>4897.0534841559793</v>
      </c>
      <c r="O32" s="132">
        <v>4939.3909325133191</v>
      </c>
      <c r="P32" s="133">
        <v>4979.7522223298729</v>
      </c>
    </row>
    <row r="33" spans="1:16" ht="18" customHeight="1" thickBot="1">
      <c r="A33" s="444" t="s">
        <v>2231</v>
      </c>
      <c r="B33" s="133">
        <v>3398.5064357594197</v>
      </c>
      <c r="C33" s="132">
        <v>3536.7796610169494</v>
      </c>
      <c r="D33" s="133">
        <v>3603.3143448990163</v>
      </c>
      <c r="E33" s="132">
        <v>4500.2311086981563</v>
      </c>
      <c r="F33" s="133">
        <v>4726.9620350164387</v>
      </c>
      <c r="G33" s="132">
        <v>5014.840169554358</v>
      </c>
      <c r="H33" s="133">
        <v>5191.5577271181573</v>
      </c>
      <c r="I33" s="132">
        <v>5316.2185836965173</v>
      </c>
      <c r="J33" s="133">
        <v>5474.1239410771213</v>
      </c>
      <c r="K33" s="132">
        <v>5761.5400135742202</v>
      </c>
      <c r="L33" s="133">
        <v>5935.1161391603091</v>
      </c>
      <c r="M33" s="132">
        <v>6018.8544831884401</v>
      </c>
      <c r="N33" s="133">
        <v>5906.0206428895299</v>
      </c>
      <c r="O33" s="132">
        <v>6090.2433390064552</v>
      </c>
      <c r="P33" s="133" t="s">
        <v>35</v>
      </c>
    </row>
    <row r="34" spans="1:16" ht="18" customHeight="1" thickBot="1">
      <c r="A34" s="444" t="s">
        <v>2232</v>
      </c>
      <c r="B34" s="133">
        <v>1781.705125204774</v>
      </c>
      <c r="C34" s="132">
        <v>2246.1958568738232</v>
      </c>
      <c r="D34" s="133">
        <v>2430.2433972035215</v>
      </c>
      <c r="E34" s="132">
        <v>4832.1431527977438</v>
      </c>
      <c r="F34" s="133">
        <v>4940.8779416756997</v>
      </c>
      <c r="G34" s="132">
        <v>5145.396333565539</v>
      </c>
      <c r="H34" s="133">
        <v>5197.3174028205885</v>
      </c>
      <c r="I34" s="132">
        <v>5503.9803768031061</v>
      </c>
      <c r="J34" s="133">
        <v>5558.3968633338773</v>
      </c>
      <c r="K34" s="132">
        <v>5862.1510755225227</v>
      </c>
      <c r="L34" s="133">
        <v>6057.9943501731977</v>
      </c>
      <c r="M34" s="132">
        <v>6093.3583422433931</v>
      </c>
      <c r="N34" s="133">
        <v>6144.7140669892151</v>
      </c>
      <c r="O34" s="132">
        <v>6458.1457326150276</v>
      </c>
      <c r="P34" s="133" t="s">
        <v>35</v>
      </c>
    </row>
    <row r="35" spans="1:16" ht="18" customHeight="1" thickBot="1">
      <c r="A35" s="444" t="s">
        <v>2233</v>
      </c>
      <c r="B35" s="133">
        <v>2018.5218815820267</v>
      </c>
      <c r="C35" s="132">
        <v>2325.9510357815443</v>
      </c>
      <c r="D35" s="133">
        <v>2388.1926462972551</v>
      </c>
      <c r="E35" s="132">
        <v>3528.5266036080652</v>
      </c>
      <c r="F35" s="133">
        <v>3820.9668874989015</v>
      </c>
      <c r="G35" s="132">
        <v>4098.4635311998427</v>
      </c>
      <c r="H35" s="133">
        <v>3958.1865814665871</v>
      </c>
      <c r="I35" s="132">
        <v>4025.023036308618</v>
      </c>
      <c r="J35" s="133">
        <v>4160.5949965545124</v>
      </c>
      <c r="K35" s="132">
        <v>4384.889785245653</v>
      </c>
      <c r="L35" s="133">
        <v>4630.479841359147</v>
      </c>
      <c r="M35" s="132">
        <v>4533.6696141764942</v>
      </c>
      <c r="N35" s="133">
        <v>4742.5559112723849</v>
      </c>
      <c r="O35" s="132">
        <v>4802.5099429943702</v>
      </c>
      <c r="P35" s="133">
        <v>4911.2000642504181</v>
      </c>
    </row>
    <row r="36" spans="1:16" ht="18" customHeight="1" thickBot="1">
      <c r="A36" s="444" t="s">
        <v>2234</v>
      </c>
      <c r="B36" s="133">
        <v>3216.2443248303298</v>
      </c>
      <c r="C36" s="132">
        <v>3420.7721280602636</v>
      </c>
      <c r="D36" s="133">
        <v>3221.9575349559814</v>
      </c>
      <c r="E36" s="132">
        <v>3426.3828269447154</v>
      </c>
      <c r="F36" s="133">
        <v>3654.081376035751</v>
      </c>
      <c r="G36" s="132">
        <v>3815.910403792534</v>
      </c>
      <c r="H36" s="133">
        <v>3791.244541995572</v>
      </c>
      <c r="I36" s="132">
        <v>3972.4756098654302</v>
      </c>
      <c r="J36" s="133">
        <v>4116.008700392159</v>
      </c>
      <c r="K36" s="132">
        <v>4340.8625337170124</v>
      </c>
      <c r="L36" s="133">
        <v>4433.0132649528023</v>
      </c>
      <c r="M36" s="132">
        <v>4498.9701953031599</v>
      </c>
      <c r="N36" s="133">
        <v>4461.7754151420277</v>
      </c>
      <c r="O36" s="132" t="s">
        <v>35</v>
      </c>
      <c r="P36" s="133" t="s">
        <v>35</v>
      </c>
    </row>
    <row r="37" spans="1:16" ht="18" customHeight="1" thickBot="1">
      <c r="A37" s="444" t="s">
        <v>2235</v>
      </c>
      <c r="B37" s="133">
        <v>2722.7727591855837</v>
      </c>
      <c r="C37" s="132">
        <v>2839.2843691148778</v>
      </c>
      <c r="D37" s="133">
        <v>2997.2035214914554</v>
      </c>
      <c r="E37" s="132">
        <v>4077.5826348176147</v>
      </c>
      <c r="F37" s="133">
        <v>4332.0970438718368</v>
      </c>
      <c r="G37" s="132">
        <v>4699.3559610839911</v>
      </c>
      <c r="H37" s="133">
        <v>5017.6091448799771</v>
      </c>
      <c r="I37" s="132">
        <v>5504.6343761581884</v>
      </c>
      <c r="J37" s="133">
        <v>5802.0896877155974</v>
      </c>
      <c r="K37" s="132">
        <v>6013.1016521921474</v>
      </c>
      <c r="L37" s="133">
        <v>6138.7962888198908</v>
      </c>
      <c r="M37" s="132">
        <v>6452.85001583336</v>
      </c>
      <c r="N37" s="133">
        <v>6575.1824507158408</v>
      </c>
      <c r="O37" s="132">
        <v>7523.2689692545364</v>
      </c>
      <c r="P37" s="133" t="s">
        <v>35</v>
      </c>
    </row>
    <row r="38" spans="1:16" ht="18" customHeight="1" thickBot="1">
      <c r="A38" s="444" t="s">
        <v>2236</v>
      </c>
      <c r="B38" s="133">
        <v>3547.2918324362277</v>
      </c>
      <c r="C38" s="132">
        <v>4376.3841807909603</v>
      </c>
      <c r="D38" s="133">
        <v>4571.9316416364582</v>
      </c>
      <c r="E38" s="132">
        <v>5204.6970295123101</v>
      </c>
      <c r="F38" s="133">
        <v>5633.2978483365123</v>
      </c>
      <c r="G38" s="132">
        <v>6005.5485916882089</v>
      </c>
      <c r="H38" s="133">
        <v>6426.4555764768293</v>
      </c>
      <c r="I38" s="132">
        <v>6814.7550298838032</v>
      </c>
      <c r="J38" s="133">
        <v>7151.1894653299332</v>
      </c>
      <c r="K38" s="132">
        <v>7495.3175985310809</v>
      </c>
      <c r="L38" s="133">
        <v>7658.1755132704702</v>
      </c>
      <c r="M38" s="132">
        <v>7992.2184683785954</v>
      </c>
      <c r="N38" s="133">
        <v>8108.8472014179888</v>
      </c>
      <c r="O38" s="132">
        <v>8193.8016401144541</v>
      </c>
      <c r="P38" s="133" t="s">
        <v>35</v>
      </c>
    </row>
    <row r="39" spans="1:16" ht="18" customHeight="1" thickBot="1">
      <c r="A39" s="444" t="s">
        <v>2237</v>
      </c>
      <c r="B39" s="133">
        <v>3455.5408378188627</v>
      </c>
      <c r="C39" s="132">
        <v>3684.6892655367233</v>
      </c>
      <c r="D39" s="133">
        <v>3848.3687208700157</v>
      </c>
      <c r="E39" s="132">
        <v>2715.4671588779997</v>
      </c>
      <c r="F39" s="133">
        <v>2846.2701859878989</v>
      </c>
      <c r="G39" s="132">
        <v>3008.3235168947003</v>
      </c>
      <c r="H39" s="133">
        <v>3090.6788211786643</v>
      </c>
      <c r="I39" s="132">
        <v>3594.9615908324354</v>
      </c>
      <c r="J39" s="133">
        <v>3736.6560417990931</v>
      </c>
      <c r="K39" s="132">
        <v>3953.5506385748422</v>
      </c>
      <c r="L39" s="133">
        <v>4309.0884143107114</v>
      </c>
      <c r="M39" s="132">
        <v>4474.9422344338755</v>
      </c>
      <c r="N39" s="133">
        <v>4607.1048161674817</v>
      </c>
      <c r="O39" s="132">
        <v>4696.2640111361652</v>
      </c>
      <c r="P39" s="133" t="s">
        <v>35</v>
      </c>
    </row>
    <row r="40" spans="1:16" ht="18" customHeight="1" thickBot="1">
      <c r="A40" s="444" t="s">
        <v>2238</v>
      </c>
      <c r="B40" s="133">
        <v>3177.8080973554879</v>
      </c>
      <c r="C40" s="132">
        <v>3333.7664783427495</v>
      </c>
      <c r="D40" s="133">
        <v>3385.8104609010875</v>
      </c>
      <c r="E40" s="132">
        <v>3986.806888725398</v>
      </c>
      <c r="F40" s="133">
        <v>4233.0095814475944</v>
      </c>
      <c r="G40" s="132">
        <v>4601.2065857442158</v>
      </c>
      <c r="H40" s="133">
        <v>4785.2260668083709</v>
      </c>
      <c r="I40" s="132">
        <v>5032.6974230629321</v>
      </c>
      <c r="J40" s="133">
        <v>5180.7031481496451</v>
      </c>
      <c r="K40" s="132">
        <v>5164.4542895419354</v>
      </c>
      <c r="L40" s="133">
        <v>5424.9150008204442</v>
      </c>
      <c r="M40" s="132">
        <v>5615.3254559154011</v>
      </c>
      <c r="N40" s="133">
        <v>5650.1599604077483</v>
      </c>
      <c r="O40" s="132">
        <v>5697.6813315177405</v>
      </c>
      <c r="P40" s="133" t="s">
        <v>35</v>
      </c>
    </row>
    <row r="41" spans="1:16" ht="18" customHeight="1" thickBot="1">
      <c r="A41" s="444" t="s">
        <v>2239</v>
      </c>
      <c r="B41" s="133">
        <v>1461.8165223496374</v>
      </c>
      <c r="C41" s="132">
        <v>1538.5499058380415</v>
      </c>
      <c r="D41" s="133">
        <v>1602.2786121180736</v>
      </c>
      <c r="E41" s="132">
        <v>3128.236005399538</v>
      </c>
      <c r="F41" s="133">
        <v>3383.516819592403</v>
      </c>
      <c r="G41" s="132">
        <v>3671.0088640967701</v>
      </c>
      <c r="H41" s="133">
        <v>3867.7426702057196</v>
      </c>
      <c r="I41" s="132">
        <v>4118.5289495360348</v>
      </c>
      <c r="J41" s="133">
        <v>4454.6383316702932</v>
      </c>
      <c r="K41" s="132">
        <v>4765.915558539119</v>
      </c>
      <c r="L41" s="133">
        <v>5106.9931161792038</v>
      </c>
      <c r="M41" s="132">
        <v>4991.500033166858</v>
      </c>
      <c r="N41" s="133">
        <v>5086.5600461119493</v>
      </c>
      <c r="O41" s="132">
        <v>5339.093465185927</v>
      </c>
      <c r="P41" s="133" t="s">
        <v>35</v>
      </c>
    </row>
    <row r="42" spans="1:16" ht="22.5" customHeight="1" thickBot="1">
      <c r="A42" s="444" t="s">
        <v>2240</v>
      </c>
      <c r="B42" s="663">
        <v>4835.5253919962552</v>
      </c>
      <c r="C42" s="1083">
        <v>5880.1318267419965</v>
      </c>
      <c r="D42" s="663">
        <v>6142.3096841015022</v>
      </c>
      <c r="E42" s="132">
        <v>8477.1639866804471</v>
      </c>
      <c r="F42" s="133">
        <v>8874.8718178342388</v>
      </c>
      <c r="G42" s="132">
        <v>9466.3438010687278</v>
      </c>
      <c r="H42" s="133">
        <v>9878.669170652367</v>
      </c>
      <c r="I42" s="132">
        <v>10638.024596665809</v>
      </c>
      <c r="J42" s="133">
        <v>11111.876520200134</v>
      </c>
      <c r="K42" s="132">
        <v>11676.937521268479</v>
      </c>
      <c r="L42" s="133">
        <v>12016.919841807561</v>
      </c>
      <c r="M42" s="132">
        <v>12169.083090051085</v>
      </c>
      <c r="N42" s="133">
        <v>11969.368541334918</v>
      </c>
      <c r="O42" s="132">
        <v>12186.590724734218</v>
      </c>
      <c r="P42" s="133" t="s">
        <v>35</v>
      </c>
    </row>
    <row r="43" spans="1:16" s="236" customFormat="1" ht="21.75" customHeight="1" thickBot="1">
      <c r="A43" s="1441" t="s">
        <v>2241</v>
      </c>
      <c r="B43" s="270">
        <v>5298</v>
      </c>
      <c r="C43" s="322">
        <v>5390</v>
      </c>
      <c r="D43" s="270">
        <v>5600</v>
      </c>
      <c r="E43" s="134">
        <v>5753.71</v>
      </c>
      <c r="F43" s="843">
        <v>5963.4530000000004</v>
      </c>
      <c r="G43" s="134">
        <v>6306.2219999999998</v>
      </c>
      <c r="H43" s="843">
        <v>6505.18</v>
      </c>
      <c r="I43" s="134">
        <v>6712.7879999999996</v>
      </c>
      <c r="J43" s="843">
        <v>6902.6109999999999</v>
      </c>
      <c r="K43" s="134">
        <v>6997.7449999999999</v>
      </c>
      <c r="L43" s="843">
        <v>7051.5510000000004</v>
      </c>
      <c r="M43" s="134">
        <v>7312.1559999999999</v>
      </c>
      <c r="N43" s="843">
        <v>7643.2830000000013</v>
      </c>
      <c r="O43" s="134">
        <v>7875.6149999999998</v>
      </c>
      <c r="P43" s="755">
        <v>8109.8419999999996</v>
      </c>
    </row>
    <row r="44" spans="1:16" ht="9.75" customHeight="1">
      <c r="A44" s="1525"/>
      <c r="B44" s="1526"/>
      <c r="C44" s="1526"/>
      <c r="D44" s="1526"/>
      <c r="E44" s="1533"/>
      <c r="F44" s="1533"/>
      <c r="G44" s="1534"/>
      <c r="H44" s="1534"/>
      <c r="I44" s="1534"/>
      <c r="J44" s="1534"/>
      <c r="K44" s="1534"/>
      <c r="L44" s="1534"/>
      <c r="M44" s="1534"/>
      <c r="N44" s="1534"/>
      <c r="O44" s="1534"/>
      <c r="P44" s="1534"/>
    </row>
    <row r="45" spans="1:16" s="52" customFormat="1" ht="26.25" customHeight="1" thickBot="1">
      <c r="A45" s="1535" t="s">
        <v>2242</v>
      </c>
      <c r="B45" s="1536">
        <v>1855.3107485800188</v>
      </c>
      <c r="C45" s="1537">
        <v>1939.0233128827574</v>
      </c>
      <c r="D45" s="1536">
        <v>2053.2393946360617</v>
      </c>
      <c r="E45" s="1537">
        <v>2128.4240170100579</v>
      </c>
      <c r="F45" s="274">
        <v>2249.3257570804471</v>
      </c>
      <c r="G45" s="1538">
        <v>2368.8798186562203</v>
      </c>
      <c r="H45" s="274">
        <v>2453.378303724407</v>
      </c>
      <c r="I45" s="1538">
        <v>2559.9512260364686</v>
      </c>
      <c r="J45" s="274">
        <v>2725.9429772763169</v>
      </c>
      <c r="K45" s="1538">
        <v>2870.7950047573486</v>
      </c>
      <c r="L45" s="274">
        <v>2899.0829518125847</v>
      </c>
      <c r="M45" s="1538">
        <v>3004.9921877854235</v>
      </c>
      <c r="N45" s="274">
        <v>3137.0665548927504</v>
      </c>
      <c r="O45" s="1538">
        <v>3215.8599114526196</v>
      </c>
      <c r="P45" s="274">
        <v>3280.0789709587111</v>
      </c>
    </row>
    <row r="46" spans="1:16" ht="20" customHeight="1">
      <c r="A46" s="1467" t="s">
        <v>2254</v>
      </c>
      <c r="B46" s="324"/>
      <c r="C46" s="324"/>
      <c r="D46" s="324"/>
      <c r="E46" s="324"/>
      <c r="F46" s="324"/>
      <c r="G46" s="324"/>
    </row>
    <row r="47" spans="1:16" ht="16.5" customHeight="1">
      <c r="A47" s="1467"/>
      <c r="B47" s="324"/>
      <c r="C47" s="324"/>
      <c r="D47" s="324"/>
      <c r="E47" s="324"/>
      <c r="F47" s="324"/>
      <c r="G47" s="324"/>
    </row>
    <row r="48" spans="1:16" ht="16.5" customHeight="1">
      <c r="A48" s="1532" t="s">
        <v>2244</v>
      </c>
      <c r="B48" s="352"/>
      <c r="C48" s="352"/>
      <c r="D48" s="352"/>
      <c r="E48" s="352"/>
      <c r="F48" s="352"/>
      <c r="G48" s="96"/>
      <c r="H48" s="96"/>
      <c r="I48" s="96"/>
      <c r="J48" s="96"/>
      <c r="K48" s="96"/>
      <c r="L48" s="96"/>
      <c r="M48" s="96"/>
      <c r="N48" s="96"/>
      <c r="O48" s="96"/>
    </row>
    <row r="49" spans="1:11" ht="17.25" customHeight="1">
      <c r="A49" s="1532" t="s">
        <v>2245</v>
      </c>
      <c r="B49" s="352"/>
      <c r="C49" s="352"/>
      <c r="D49" s="352"/>
      <c r="E49" s="352"/>
      <c r="F49" s="352"/>
    </row>
    <row r="50" spans="1:11" ht="16.5" customHeight="1">
      <c r="A50" s="1532" t="s">
        <v>2246</v>
      </c>
      <c r="B50" s="352"/>
      <c r="C50" s="352"/>
      <c r="D50" s="352"/>
      <c r="E50" s="352"/>
      <c r="F50" s="352"/>
    </row>
    <row r="51" spans="1:11" ht="16.5" customHeight="1">
      <c r="A51" s="1532" t="s">
        <v>2247</v>
      </c>
      <c r="B51" s="352"/>
      <c r="C51" s="352"/>
      <c r="D51" s="352"/>
      <c r="E51" s="352"/>
      <c r="F51" s="352"/>
    </row>
    <row r="52" spans="1:11" ht="13.5" customHeight="1">
      <c r="A52" s="1532"/>
      <c r="B52" s="352"/>
      <c r="C52" s="352"/>
      <c r="D52" s="352"/>
      <c r="E52" s="352"/>
      <c r="F52" s="352"/>
    </row>
    <row r="53" spans="1:11" ht="12.75" customHeight="1">
      <c r="A53" s="1532" t="s">
        <v>2248</v>
      </c>
      <c r="B53" s="352"/>
      <c r="C53" s="352"/>
      <c r="D53" s="352"/>
      <c r="E53" s="352"/>
      <c r="F53" s="352"/>
    </row>
    <row r="54" spans="1:11" ht="12.75" customHeight="1">
      <c r="A54" s="1532" t="s">
        <v>2249</v>
      </c>
      <c r="B54" s="352"/>
      <c r="C54" s="352"/>
      <c r="D54" s="352"/>
      <c r="E54" s="352"/>
      <c r="F54" s="352"/>
    </row>
    <row r="55" spans="1:11" ht="15.75" customHeight="1">
      <c r="A55" s="1532" t="s">
        <v>2250</v>
      </c>
      <c r="B55" s="352"/>
      <c r="C55" s="352"/>
      <c r="D55" s="352"/>
      <c r="E55" s="352"/>
      <c r="F55" s="352"/>
    </row>
    <row r="56" spans="1:11" ht="9.5" customHeight="1">
      <c r="A56" s="818"/>
      <c r="B56" s="324"/>
      <c r="C56" s="324"/>
      <c r="D56" s="324"/>
      <c r="E56" s="324"/>
      <c r="F56" s="324"/>
      <c r="G56" s="324"/>
    </row>
    <row r="57" spans="1:11" ht="14.25" customHeight="1">
      <c r="A57" s="1532" t="s">
        <v>2251</v>
      </c>
      <c r="B57" s="324"/>
      <c r="C57" s="324"/>
      <c r="D57" s="324"/>
      <c r="E57" s="324"/>
      <c r="F57" s="324"/>
      <c r="G57" s="324"/>
    </row>
    <row r="58" spans="1:11" ht="14.25" customHeight="1">
      <c r="A58" s="1532" t="s">
        <v>2252</v>
      </c>
      <c r="B58" s="324"/>
      <c r="C58" s="324"/>
      <c r="D58" s="324"/>
      <c r="E58" s="324"/>
      <c r="F58" s="324"/>
      <c r="G58" s="324"/>
    </row>
    <row r="59" spans="1:11" ht="14.25" customHeight="1">
      <c r="A59" s="838"/>
      <c r="B59" s="324"/>
      <c r="C59" s="324"/>
      <c r="D59" s="324"/>
      <c r="E59" s="324"/>
      <c r="F59" s="324"/>
      <c r="G59" s="324"/>
    </row>
    <row r="60" spans="1:11" ht="18.75" customHeight="1">
      <c r="A60" s="244" t="s">
        <v>677</v>
      </c>
      <c r="B60" s="324"/>
      <c r="C60" s="324"/>
      <c r="D60" s="324"/>
      <c r="E60" s="324"/>
      <c r="F60" s="324"/>
      <c r="G60" s="324"/>
    </row>
    <row r="61" spans="1:11" ht="31" customHeight="1">
      <c r="A61" s="324"/>
      <c r="B61" s="324"/>
      <c r="C61" s="324"/>
      <c r="D61" s="324"/>
      <c r="E61" s="324"/>
      <c r="F61" s="324"/>
      <c r="G61" s="324"/>
      <c r="K61" s="2"/>
    </row>
    <row r="62" spans="1:11" ht="31" customHeight="1">
      <c r="A62" s="324"/>
      <c r="B62" s="324"/>
      <c r="C62" s="324"/>
      <c r="D62" s="324"/>
      <c r="E62" s="324"/>
      <c r="F62" s="324"/>
      <c r="G62" s="324"/>
    </row>
    <row r="63" spans="1:11" ht="31" customHeight="1">
      <c r="A63" s="324"/>
      <c r="B63" s="324"/>
      <c r="C63" s="324"/>
      <c r="D63" s="324"/>
      <c r="E63" s="324"/>
      <c r="F63" s="324"/>
      <c r="G63" s="324"/>
    </row>
    <row r="64" spans="1:11" ht="31" customHeight="1">
      <c r="A64" s="324"/>
      <c r="B64" s="324"/>
      <c r="C64" s="324"/>
      <c r="D64" s="324"/>
      <c r="E64" s="324"/>
      <c r="F64" s="324"/>
      <c r="G64" s="324"/>
    </row>
    <row r="65" spans="1:7" ht="31" customHeight="1">
      <c r="A65" s="324"/>
      <c r="B65" s="324"/>
      <c r="C65" s="324"/>
      <c r="D65" s="324"/>
      <c r="E65" s="324"/>
      <c r="F65" s="324"/>
      <c r="G65" s="324"/>
    </row>
    <row r="66" spans="1:7" ht="31" customHeight="1">
      <c r="A66" s="324"/>
      <c r="B66" s="324"/>
      <c r="C66" s="324"/>
      <c r="D66" s="324"/>
      <c r="E66" s="324"/>
      <c r="F66" s="324"/>
      <c r="G66" s="324"/>
    </row>
    <row r="67" spans="1:7" ht="31" customHeight="1">
      <c r="A67" s="324"/>
      <c r="B67" s="324"/>
      <c r="C67" s="324"/>
      <c r="D67" s="324"/>
      <c r="E67" s="324"/>
      <c r="F67" s="324"/>
      <c r="G67" s="324"/>
    </row>
    <row r="68" spans="1:7">
      <c r="A68" s="324"/>
      <c r="B68" s="324"/>
      <c r="C68" s="324"/>
      <c r="D68" s="324"/>
      <c r="E68" s="324"/>
      <c r="F68" s="324"/>
      <c r="G68" s="324"/>
    </row>
    <row r="69" spans="1:7">
      <c r="A69" s="324"/>
      <c r="B69" s="324"/>
      <c r="C69" s="324"/>
      <c r="D69" s="324"/>
      <c r="E69" s="324"/>
      <c r="F69" s="324"/>
      <c r="G69" s="324"/>
    </row>
    <row r="70" spans="1:7">
      <c r="A70" s="324"/>
      <c r="B70" s="324"/>
      <c r="C70" s="324"/>
      <c r="D70" s="324"/>
      <c r="E70" s="324"/>
      <c r="F70" s="324"/>
      <c r="G70" s="324"/>
    </row>
    <row r="71" spans="1:7">
      <c r="A71" s="324"/>
      <c r="B71" s="324"/>
      <c r="C71" s="324"/>
      <c r="D71" s="324"/>
      <c r="E71" s="324"/>
      <c r="F71" s="324"/>
      <c r="G71" s="324"/>
    </row>
    <row r="72" spans="1:7">
      <c r="A72" s="324"/>
      <c r="B72" s="324"/>
      <c r="C72" s="324"/>
      <c r="D72" s="324"/>
      <c r="E72" s="324"/>
      <c r="F72" s="324"/>
      <c r="G72" s="324"/>
    </row>
    <row r="73" spans="1:7">
      <c r="A73" s="324"/>
      <c r="B73" s="324"/>
      <c r="C73" s="324"/>
      <c r="D73" s="324"/>
      <c r="E73" s="324"/>
      <c r="F73" s="324"/>
      <c r="G73" s="324"/>
    </row>
    <row r="74" spans="1:7">
      <c r="A74" s="324"/>
      <c r="B74" s="324"/>
      <c r="C74" s="324"/>
      <c r="D74" s="324"/>
      <c r="E74" s="324"/>
      <c r="F74" s="324"/>
      <c r="G74" s="324"/>
    </row>
    <row r="75" spans="1:7">
      <c r="A75" s="324"/>
      <c r="B75" s="324"/>
      <c r="C75" s="324"/>
      <c r="D75" s="324"/>
      <c r="E75" s="324"/>
      <c r="F75" s="324"/>
      <c r="G75" s="324"/>
    </row>
    <row r="76" spans="1:7">
      <c r="A76" s="324"/>
      <c r="B76" s="324"/>
      <c r="C76" s="324"/>
      <c r="D76" s="324"/>
      <c r="E76" s="324"/>
      <c r="F76" s="324"/>
      <c r="G76" s="324"/>
    </row>
    <row r="77" spans="1:7">
      <c r="A77" s="324"/>
      <c r="B77" s="324"/>
      <c r="C77" s="324"/>
      <c r="D77" s="324"/>
      <c r="E77" s="324"/>
      <c r="F77" s="324"/>
      <c r="G77" s="324"/>
    </row>
    <row r="78" spans="1:7">
      <c r="A78" s="324"/>
      <c r="B78" s="324"/>
      <c r="C78" s="324"/>
      <c r="D78" s="324"/>
      <c r="E78" s="324"/>
      <c r="F78" s="324"/>
      <c r="G78" s="324"/>
    </row>
    <row r="79" spans="1:7">
      <c r="A79" s="324"/>
      <c r="B79" s="324"/>
      <c r="C79" s="324"/>
      <c r="D79" s="324"/>
      <c r="E79" s="324"/>
      <c r="F79" s="324"/>
      <c r="G79" s="324"/>
    </row>
    <row r="80" spans="1:7">
      <c r="A80" s="324"/>
      <c r="B80" s="324"/>
      <c r="C80" s="324"/>
      <c r="D80" s="324"/>
      <c r="E80" s="324"/>
      <c r="F80" s="324"/>
      <c r="G80" s="324"/>
    </row>
    <row r="81" spans="1:7">
      <c r="A81" s="324"/>
      <c r="B81" s="324"/>
      <c r="C81" s="324"/>
      <c r="D81" s="324"/>
      <c r="E81" s="324"/>
      <c r="F81" s="324"/>
      <c r="G81" s="324"/>
    </row>
    <row r="82" spans="1:7">
      <c r="A82" s="324"/>
      <c r="B82" s="324"/>
      <c r="C82" s="324"/>
      <c r="D82" s="324"/>
      <c r="E82" s="324"/>
      <c r="F82" s="324"/>
      <c r="G82" s="324"/>
    </row>
    <row r="83" spans="1:7">
      <c r="A83" s="324"/>
      <c r="B83" s="324"/>
      <c r="C83" s="324"/>
      <c r="D83" s="324"/>
      <c r="E83" s="324"/>
      <c r="F83" s="324"/>
      <c r="G83" s="324"/>
    </row>
    <row r="84" spans="1:7">
      <c r="A84" s="324"/>
      <c r="B84" s="324"/>
      <c r="C84" s="324"/>
      <c r="D84" s="324"/>
      <c r="E84" s="324"/>
      <c r="F84" s="324"/>
      <c r="G84" s="324"/>
    </row>
    <row r="85" spans="1:7">
      <c r="A85" s="324"/>
      <c r="B85" s="324"/>
      <c r="C85" s="324"/>
      <c r="D85" s="324"/>
      <c r="E85" s="324"/>
      <c r="F85" s="324"/>
      <c r="G85" s="324"/>
    </row>
    <row r="86" spans="1:7">
      <c r="A86" s="324"/>
      <c r="B86" s="324"/>
      <c r="C86" s="324"/>
      <c r="D86" s="324"/>
      <c r="E86" s="324"/>
      <c r="F86" s="324"/>
      <c r="G86" s="324"/>
    </row>
    <row r="87" spans="1:7">
      <c r="A87" s="324"/>
      <c r="B87" s="324"/>
      <c r="C87" s="324"/>
      <c r="D87" s="324"/>
      <c r="E87" s="324"/>
      <c r="F87" s="324"/>
      <c r="G87" s="324"/>
    </row>
    <row r="88" spans="1:7">
      <c r="A88" s="324"/>
      <c r="B88" s="324"/>
      <c r="C88" s="324"/>
      <c r="D88" s="324"/>
      <c r="E88" s="324"/>
      <c r="F88" s="324"/>
      <c r="G88" s="324"/>
    </row>
    <row r="89" spans="1:7">
      <c r="A89" s="324"/>
      <c r="B89" s="324"/>
      <c r="C89" s="324"/>
      <c r="D89" s="324"/>
      <c r="E89" s="324"/>
      <c r="F89" s="324"/>
      <c r="G89" s="324"/>
    </row>
    <row r="90" spans="1:7">
      <c r="A90" s="324"/>
      <c r="B90" s="324"/>
      <c r="C90" s="324"/>
      <c r="D90" s="324"/>
      <c r="E90" s="324"/>
      <c r="F90" s="324"/>
      <c r="G90" s="324"/>
    </row>
    <row r="91" spans="1:7">
      <c r="A91" s="324"/>
      <c r="B91" s="324"/>
      <c r="C91" s="324"/>
      <c r="D91" s="324"/>
      <c r="E91" s="324"/>
      <c r="F91" s="324"/>
      <c r="G91" s="324"/>
    </row>
    <row r="92" spans="1:7">
      <c r="A92" s="324"/>
      <c r="B92" s="324"/>
      <c r="C92" s="324"/>
      <c r="D92" s="324"/>
      <c r="E92" s="324"/>
      <c r="F92" s="324"/>
      <c r="G92" s="324"/>
    </row>
    <row r="93" spans="1:7">
      <c r="A93" s="324"/>
      <c r="B93" s="324"/>
      <c r="C93" s="324"/>
      <c r="D93" s="324"/>
      <c r="E93" s="324"/>
      <c r="F93" s="324"/>
      <c r="G93" s="324"/>
    </row>
    <row r="94" spans="1:7">
      <c r="A94" s="324"/>
      <c r="B94" s="324"/>
      <c r="C94" s="324"/>
      <c r="D94" s="324"/>
      <c r="E94" s="324"/>
      <c r="F94" s="324"/>
      <c r="G94" s="324"/>
    </row>
    <row r="95" spans="1:7">
      <c r="A95" s="324"/>
      <c r="B95" s="324"/>
      <c r="C95" s="324"/>
      <c r="D95" s="324"/>
      <c r="E95" s="324"/>
      <c r="F95" s="324"/>
      <c r="G95" s="324"/>
    </row>
    <row r="96" spans="1:7">
      <c r="A96" s="324"/>
      <c r="B96" s="324"/>
      <c r="C96" s="324"/>
      <c r="D96" s="324"/>
      <c r="E96" s="324"/>
      <c r="F96" s="324"/>
      <c r="G96" s="324"/>
    </row>
    <row r="97" spans="1:7">
      <c r="A97" s="324"/>
      <c r="B97" s="324"/>
      <c r="C97" s="324"/>
      <c r="D97" s="324"/>
      <c r="E97" s="324"/>
      <c r="F97" s="324"/>
      <c r="G97" s="324"/>
    </row>
    <row r="98" spans="1:7">
      <c r="A98" s="324"/>
      <c r="B98" s="324"/>
      <c r="C98" s="324"/>
      <c r="D98" s="324"/>
      <c r="E98" s="324"/>
      <c r="F98" s="324"/>
      <c r="G98" s="324"/>
    </row>
    <row r="99" spans="1:7">
      <c r="A99" s="324"/>
      <c r="B99" s="324"/>
      <c r="C99" s="324"/>
      <c r="D99" s="324"/>
      <c r="E99" s="324"/>
      <c r="F99" s="324"/>
      <c r="G99" s="324"/>
    </row>
    <row r="100" spans="1:7">
      <c r="A100" s="324"/>
      <c r="B100" s="324"/>
      <c r="C100" s="324"/>
      <c r="D100" s="324"/>
      <c r="E100" s="324"/>
      <c r="F100" s="324"/>
      <c r="G100" s="324"/>
    </row>
    <row r="101" spans="1:7">
      <c r="A101" s="324"/>
      <c r="B101" s="324"/>
      <c r="C101" s="324"/>
      <c r="D101" s="324"/>
      <c r="E101" s="324"/>
      <c r="F101" s="324"/>
      <c r="G101" s="324"/>
    </row>
    <row r="102" spans="1:7">
      <c r="A102" s="324"/>
      <c r="B102" s="324"/>
      <c r="C102" s="324"/>
      <c r="D102" s="324"/>
      <c r="E102" s="324"/>
      <c r="F102" s="324"/>
      <c r="G102" s="324"/>
    </row>
    <row r="103" spans="1:7">
      <c r="A103" s="324"/>
      <c r="B103" s="324"/>
      <c r="C103" s="324"/>
      <c r="D103" s="324"/>
      <c r="E103" s="324"/>
      <c r="F103" s="324"/>
      <c r="G103" s="324"/>
    </row>
    <row r="104" spans="1:7">
      <c r="A104" s="324"/>
      <c r="B104" s="324"/>
      <c r="C104" s="324"/>
      <c r="D104" s="324"/>
      <c r="E104" s="324"/>
      <c r="F104" s="324"/>
      <c r="G104" s="324"/>
    </row>
    <row r="105" spans="1:7">
      <c r="A105" s="324"/>
      <c r="B105" s="324"/>
      <c r="C105" s="324"/>
      <c r="D105" s="324"/>
      <c r="E105" s="324"/>
      <c r="F105" s="324"/>
      <c r="G105" s="324"/>
    </row>
    <row r="106" spans="1:7">
      <c r="A106" s="324"/>
      <c r="B106" s="324"/>
      <c r="C106" s="324"/>
      <c r="D106" s="324"/>
      <c r="E106" s="324"/>
      <c r="F106" s="324"/>
      <c r="G106" s="324"/>
    </row>
    <row r="107" spans="1:7">
      <c r="A107" s="324"/>
      <c r="B107" s="324"/>
      <c r="C107" s="324"/>
      <c r="D107" s="324"/>
      <c r="E107" s="324"/>
      <c r="F107" s="324"/>
      <c r="G107" s="324"/>
    </row>
    <row r="108" spans="1:7">
      <c r="A108" s="324"/>
      <c r="B108" s="324"/>
      <c r="C108" s="324"/>
      <c r="D108" s="324"/>
      <c r="E108" s="324"/>
      <c r="F108" s="324"/>
      <c r="G108" s="324"/>
    </row>
    <row r="109" spans="1:7">
      <c r="A109" s="324"/>
      <c r="B109" s="324"/>
      <c r="C109" s="324"/>
      <c r="D109" s="324"/>
      <c r="E109" s="324"/>
      <c r="F109" s="324"/>
      <c r="G109" s="324"/>
    </row>
    <row r="110" spans="1:7">
      <c r="A110" s="324"/>
      <c r="B110" s="324"/>
      <c r="C110" s="324"/>
      <c r="D110" s="324"/>
      <c r="E110" s="324"/>
      <c r="F110" s="324"/>
      <c r="G110" s="324"/>
    </row>
    <row r="111" spans="1:7">
      <c r="A111" s="324"/>
      <c r="B111" s="324"/>
      <c r="C111" s="324"/>
      <c r="D111" s="324"/>
      <c r="E111" s="324"/>
      <c r="F111" s="324"/>
      <c r="G111" s="324"/>
    </row>
    <row r="112" spans="1:7">
      <c r="A112" s="324"/>
      <c r="B112" s="324"/>
      <c r="C112" s="324"/>
      <c r="D112" s="324"/>
      <c r="E112" s="324"/>
      <c r="F112" s="324"/>
      <c r="G112" s="324"/>
    </row>
    <row r="113" spans="1:7">
      <c r="A113" s="324"/>
      <c r="B113" s="324"/>
      <c r="C113" s="324"/>
      <c r="D113" s="324"/>
      <c r="E113" s="324"/>
      <c r="F113" s="324"/>
      <c r="G113" s="324"/>
    </row>
    <row r="114" spans="1:7">
      <c r="A114" s="324"/>
      <c r="B114" s="324"/>
      <c r="C114" s="324"/>
      <c r="D114" s="324"/>
      <c r="E114" s="324"/>
      <c r="F114" s="324"/>
      <c r="G114" s="324"/>
    </row>
    <row r="115" spans="1:7">
      <c r="A115" s="324"/>
      <c r="B115" s="324"/>
      <c r="C115" s="324"/>
      <c r="D115" s="324"/>
      <c r="E115" s="324"/>
      <c r="F115" s="324"/>
      <c r="G115" s="324"/>
    </row>
    <row r="116" spans="1:7">
      <c r="A116" s="324"/>
      <c r="B116" s="324"/>
      <c r="C116" s="324"/>
      <c r="D116" s="324"/>
      <c r="E116" s="324"/>
      <c r="F116" s="324"/>
      <c r="G116" s="324"/>
    </row>
    <row r="117" spans="1:7">
      <c r="A117" s="324"/>
      <c r="B117" s="324"/>
      <c r="C117" s="324"/>
      <c r="D117" s="324"/>
      <c r="E117" s="324"/>
      <c r="F117" s="324"/>
      <c r="G117" s="324"/>
    </row>
    <row r="118" spans="1:7">
      <c r="A118" s="324"/>
      <c r="B118" s="324"/>
      <c r="C118" s="324"/>
      <c r="D118" s="324"/>
      <c r="E118" s="324"/>
      <c r="F118" s="324"/>
      <c r="G118" s="324"/>
    </row>
    <row r="119" spans="1:7">
      <c r="A119" s="324"/>
      <c r="B119" s="324"/>
      <c r="C119" s="324"/>
      <c r="D119" s="324"/>
      <c r="E119" s="324"/>
      <c r="F119" s="324"/>
      <c r="G119" s="324"/>
    </row>
    <row r="120" spans="1:7">
      <c r="A120" s="324"/>
      <c r="B120" s="324"/>
      <c r="C120" s="324"/>
      <c r="D120" s="324"/>
      <c r="E120" s="324"/>
      <c r="F120" s="324"/>
      <c r="G120" s="324"/>
    </row>
    <row r="121" spans="1:7">
      <c r="A121" s="324"/>
      <c r="B121" s="324"/>
      <c r="C121" s="324"/>
      <c r="D121" s="324"/>
      <c r="E121" s="324"/>
      <c r="F121" s="324"/>
      <c r="G121" s="324"/>
    </row>
    <row r="122" spans="1:7">
      <c r="A122" s="324"/>
      <c r="B122" s="324"/>
      <c r="C122" s="324"/>
      <c r="D122" s="324"/>
      <c r="E122" s="324"/>
      <c r="F122" s="324"/>
      <c r="G122" s="324"/>
    </row>
    <row r="123" spans="1:7">
      <c r="A123" s="324"/>
      <c r="B123" s="324"/>
      <c r="C123" s="324"/>
      <c r="D123" s="324"/>
      <c r="E123" s="324"/>
      <c r="F123" s="324"/>
      <c r="G123" s="324"/>
    </row>
  </sheetData>
  <pageMargins left="0.47244094488188981" right="0.51181102362204722" top="0.74803149606299213" bottom="0.47244094488188981" header="0.47244094488188981" footer="0.51181102362204722"/>
  <pageSetup paperSize="9" scale="65" orientation="portrait" horizontalDpi="1200" verticalDpi="1200"/>
  <headerFooter alignWithMargins="0"/>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FC5F6-C1AC-B146-B7D2-A1B88C6381D3}">
  <sheetPr>
    <pageSetUpPr fitToPage="1"/>
  </sheetPr>
  <dimension ref="A1:G35"/>
  <sheetViews>
    <sheetView zoomScaleNormal="100" workbookViewId="0">
      <selection activeCell="A15" sqref="A15"/>
    </sheetView>
  </sheetViews>
  <sheetFormatPr baseColWidth="10" defaultColWidth="10.796875" defaultRowHeight="13"/>
  <cols>
    <col min="1" max="1" width="36.3984375" style="3" customWidth="1"/>
    <col min="2" max="3" width="12.796875" style="8" customWidth="1"/>
    <col min="4" max="4" width="14.3984375" style="8" customWidth="1"/>
    <col min="5" max="5" width="12.796875" style="8" customWidth="1"/>
    <col min="6" max="6" width="14.3984375" style="8" customWidth="1"/>
    <col min="7" max="7" width="13.3984375" style="3" customWidth="1"/>
    <col min="8" max="16384" width="10.796875" style="3"/>
  </cols>
  <sheetData>
    <row r="1" spans="1:7" ht="14" customHeight="1">
      <c r="A1" s="246"/>
    </row>
    <row r="2" spans="1:7" ht="28" customHeight="1">
      <c r="A2" s="47" t="s">
        <v>1606</v>
      </c>
      <c r="G2" s="358">
        <v>2010</v>
      </c>
    </row>
    <row r="3" spans="1:7" s="49" customFormat="1" ht="25" customHeight="1">
      <c r="A3" s="945" t="s">
        <v>1607</v>
      </c>
      <c r="B3" s="103" t="s">
        <v>237</v>
      </c>
      <c r="C3" s="104" t="s">
        <v>238</v>
      </c>
      <c r="D3" s="103" t="s">
        <v>206</v>
      </c>
      <c r="E3" s="74" t="s">
        <v>1608</v>
      </c>
      <c r="F3" s="651" t="s">
        <v>190</v>
      </c>
      <c r="G3" s="277" t="s">
        <v>585</v>
      </c>
    </row>
    <row r="4" spans="1:7" s="49" customFormat="1" ht="15" customHeight="1">
      <c r="A4" s="946"/>
      <c r="B4" s="105"/>
      <c r="C4" s="106"/>
      <c r="D4" s="105"/>
      <c r="E4" s="106"/>
      <c r="F4" s="76"/>
      <c r="G4" s="75" t="s">
        <v>586</v>
      </c>
    </row>
    <row r="5" spans="1:7" s="49" customFormat="1" ht="15" customHeight="1">
      <c r="A5" s="946"/>
      <c r="B5" s="105"/>
      <c r="C5" s="106"/>
      <c r="D5" s="105"/>
      <c r="E5" s="106"/>
      <c r="F5" s="76"/>
      <c r="G5" s="75" t="s">
        <v>210</v>
      </c>
    </row>
    <row r="6" spans="1:7" s="49" customFormat="1" ht="24" customHeight="1">
      <c r="A6" s="947"/>
      <c r="B6" s="948"/>
      <c r="C6" s="949"/>
      <c r="D6" s="948"/>
      <c r="E6" s="949"/>
      <c r="F6" s="359"/>
      <c r="G6" s="79"/>
    </row>
    <row r="7" spans="1:7" ht="28.25" customHeight="1" thickBot="1">
      <c r="A7" s="950" t="s">
        <v>1609</v>
      </c>
      <c r="B7" s="131">
        <v>3056460.47</v>
      </c>
      <c r="C7" s="130">
        <v>3218553.79</v>
      </c>
      <c r="D7" s="131">
        <v>6275014.2599999998</v>
      </c>
      <c r="E7" s="130">
        <v>1504647.58</v>
      </c>
      <c r="F7" s="266">
        <v>7779661.79</v>
      </c>
      <c r="G7" s="788">
        <v>9.1855810049194034E-3</v>
      </c>
    </row>
    <row r="8" spans="1:7" ht="24" customHeight="1" thickBot="1">
      <c r="A8" s="951" t="s">
        <v>1610</v>
      </c>
      <c r="B8" s="133">
        <v>2200969</v>
      </c>
      <c r="C8" s="132">
        <v>2904377</v>
      </c>
      <c r="D8" s="133">
        <v>5105346</v>
      </c>
      <c r="E8" s="132">
        <v>1391748</v>
      </c>
      <c r="F8" s="267">
        <v>6497094</v>
      </c>
      <c r="G8" s="788">
        <v>5.2639046472165796E-3</v>
      </c>
    </row>
    <row r="9" spans="1:7" ht="23.25" customHeight="1" thickBot="1">
      <c r="A9" s="951" t="s">
        <v>1611</v>
      </c>
      <c r="B9" s="429">
        <v>72.010000000000005</v>
      </c>
      <c r="C9" s="430">
        <v>90.24</v>
      </c>
      <c r="D9" s="429">
        <v>81.359910726322397</v>
      </c>
      <c r="E9" s="430">
        <v>92.5</v>
      </c>
      <c r="F9" s="891">
        <v>83.51</v>
      </c>
      <c r="G9" s="788">
        <v>-3.936068702290056E-3</v>
      </c>
    </row>
    <row r="10" spans="1:7" ht="24" customHeight="1" thickBot="1">
      <c r="A10" s="951" t="s">
        <v>1612</v>
      </c>
      <c r="B10" s="133">
        <v>483343</v>
      </c>
      <c r="C10" s="132">
        <v>651127</v>
      </c>
      <c r="D10" s="133">
        <v>1134470</v>
      </c>
      <c r="E10" s="132">
        <v>76983</v>
      </c>
      <c r="F10" s="267">
        <v>1211453</v>
      </c>
      <c r="G10" s="788">
        <v>-6.0404053565639312E-2</v>
      </c>
    </row>
    <row r="11" spans="1:7" ht="20" customHeight="1" thickBot="1">
      <c r="A11" s="951" t="s">
        <v>1613</v>
      </c>
      <c r="B11" s="133" t="s">
        <v>35</v>
      </c>
      <c r="C11" s="132">
        <v>91430</v>
      </c>
      <c r="D11" s="133">
        <v>91430</v>
      </c>
      <c r="E11" s="132">
        <v>546</v>
      </c>
      <c r="F11" s="267">
        <v>91976</v>
      </c>
      <c r="G11" s="788">
        <v>-2.5853395045383778E-2</v>
      </c>
    </row>
    <row r="12" spans="1:7" ht="24" customHeight="1" thickBot="1">
      <c r="A12" s="951" t="s">
        <v>1614</v>
      </c>
      <c r="B12" s="429">
        <v>15.81</v>
      </c>
      <c r="C12" s="430">
        <v>20.23</v>
      </c>
      <c r="D12" s="429">
        <v>18.079162102175047</v>
      </c>
      <c r="E12" s="430">
        <v>5.12</v>
      </c>
      <c r="F12" s="891">
        <v>15.57</v>
      </c>
      <c r="G12" s="788">
        <v>-6.9336521219366412E-2</v>
      </c>
    </row>
    <row r="13" spans="1:7" ht="24" customHeight="1" thickBot="1">
      <c r="A13" s="951" t="s">
        <v>1615</v>
      </c>
      <c r="B13" s="133">
        <v>4561149</v>
      </c>
      <c r="C13" s="132">
        <v>5976805</v>
      </c>
      <c r="D13" s="133">
        <v>10537954</v>
      </c>
      <c r="E13" s="132">
        <v>440249</v>
      </c>
      <c r="F13" s="267">
        <v>10978202</v>
      </c>
      <c r="G13" s="788">
        <v>-8.2617475322504824E-2</v>
      </c>
    </row>
    <row r="14" spans="1:7" ht="20" customHeight="1" thickBot="1">
      <c r="A14" s="951" t="s">
        <v>1613</v>
      </c>
      <c r="B14" s="897" t="s">
        <v>35</v>
      </c>
      <c r="C14" s="132">
        <v>510798</v>
      </c>
      <c r="D14" s="133">
        <v>510798</v>
      </c>
      <c r="E14" s="132">
        <v>2956</v>
      </c>
      <c r="F14" s="267">
        <v>513754</v>
      </c>
      <c r="G14" s="788">
        <v>-3.3041036383723972E-2</v>
      </c>
    </row>
    <row r="15" spans="1:7" ht="24.5" customHeight="1" thickBot="1">
      <c r="A15" s="951" t="s">
        <v>1616</v>
      </c>
      <c r="B15" s="429">
        <v>149.22999999999999</v>
      </c>
      <c r="C15" s="430">
        <v>185.7</v>
      </c>
      <c r="D15" s="429">
        <v>167.93514027807166</v>
      </c>
      <c r="E15" s="430">
        <v>29.26</v>
      </c>
      <c r="F15" s="891">
        <v>141.11000000000001</v>
      </c>
      <c r="G15" s="788">
        <v>-9.1020355578459125E-2</v>
      </c>
    </row>
    <row r="16" spans="1:7" ht="30" customHeight="1" thickBot="1">
      <c r="A16" s="952" t="s">
        <v>1617</v>
      </c>
      <c r="B16" s="953">
        <v>9.44</v>
      </c>
      <c r="C16" s="954">
        <v>9.18</v>
      </c>
      <c r="D16" s="953">
        <v>9.2888785071443056</v>
      </c>
      <c r="E16" s="954">
        <v>5.72</v>
      </c>
      <c r="F16" s="432">
        <v>9.06</v>
      </c>
      <c r="G16" s="955">
        <v>-2.3706896551724019E-2</v>
      </c>
    </row>
    <row r="17" spans="1:7" ht="20" customHeight="1">
      <c r="A17" s="95" t="s">
        <v>678</v>
      </c>
      <c r="B17" s="117"/>
      <c r="C17" s="117"/>
      <c r="D17" s="117"/>
      <c r="E17" s="117"/>
      <c r="F17" s="117"/>
      <c r="G17" s="95"/>
    </row>
    <row r="18" spans="1:7" ht="13.5" customHeight="1">
      <c r="A18" s="96"/>
      <c r="B18" s="119"/>
      <c r="C18" s="119"/>
      <c r="D18" s="119"/>
      <c r="E18" s="119"/>
      <c r="F18" s="119"/>
      <c r="G18" s="96"/>
    </row>
    <row r="19" spans="1:7" ht="13.5" customHeight="1">
      <c r="A19" s="96" t="s">
        <v>1618</v>
      </c>
      <c r="B19" s="119"/>
      <c r="C19" s="119"/>
      <c r="D19" s="119"/>
      <c r="E19" s="119"/>
      <c r="F19" s="119"/>
      <c r="G19" s="96"/>
    </row>
    <row r="20" spans="1:7" ht="12.75" customHeight="1">
      <c r="A20" s="96" t="s">
        <v>1619</v>
      </c>
      <c r="B20" s="119"/>
      <c r="C20" s="119"/>
      <c r="D20" s="119"/>
      <c r="E20" s="119"/>
      <c r="F20" s="119"/>
      <c r="G20" s="96"/>
    </row>
    <row r="21" spans="1:7" ht="12.75" customHeight="1">
      <c r="A21" s="96" t="s">
        <v>1620</v>
      </c>
      <c r="B21" s="119"/>
      <c r="C21" s="119"/>
      <c r="D21" s="119"/>
      <c r="E21" s="119"/>
      <c r="F21" s="119"/>
      <c r="G21" s="96"/>
    </row>
    <row r="22" spans="1:7" ht="12.75" customHeight="1">
      <c r="A22" s="956" t="s">
        <v>1621</v>
      </c>
    </row>
    <row r="23" spans="1:7" ht="12.75" customHeight="1">
      <c r="A23" s="956" t="s">
        <v>1622</v>
      </c>
    </row>
    <row r="24" spans="1:7" ht="12.75" customHeight="1">
      <c r="A24" s="956" t="s">
        <v>1623</v>
      </c>
    </row>
    <row r="25" spans="1:7" ht="12.75" customHeight="1">
      <c r="A25" s="956" t="s">
        <v>1624</v>
      </c>
    </row>
    <row r="26" spans="1:7" ht="12.75" customHeight="1">
      <c r="A26" s="956" t="s">
        <v>1625</v>
      </c>
    </row>
    <row r="27" spans="1:7" ht="12.75" customHeight="1">
      <c r="A27" s="956" t="s">
        <v>1626</v>
      </c>
    </row>
    <row r="28" spans="1:7" ht="12.75" customHeight="1">
      <c r="A28" s="956" t="s">
        <v>1627</v>
      </c>
    </row>
    <row r="29" spans="1:7" ht="12.75" customHeight="1">
      <c r="A29" s="956" t="s">
        <v>1628</v>
      </c>
    </row>
    <row r="30" spans="1:7" ht="12.75" customHeight="1">
      <c r="A30" s="956" t="s">
        <v>1629</v>
      </c>
    </row>
    <row r="32" spans="1:7">
      <c r="A32" s="3" t="s">
        <v>1630</v>
      </c>
    </row>
    <row r="35" spans="1:1">
      <c r="A35" s="324" t="s">
        <v>677</v>
      </c>
    </row>
  </sheetData>
  <pageMargins left="0.57999999999999996" right="0.65" top="0.85" bottom="0.47244094488188981" header="0.49" footer="0.51181102362204722"/>
  <pageSetup paperSize="9" scale="77" orientation="portrait" horizontalDpi="1200" verticalDpi="1200"/>
  <headerFooter alignWithMargins="0"/>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E4767-18C9-5245-811D-8FA6ACEFC04C}">
  <sheetPr>
    <pageSetUpPr fitToPage="1"/>
  </sheetPr>
  <dimension ref="A1:B10"/>
  <sheetViews>
    <sheetView zoomScale="115" zoomScaleNormal="115" workbookViewId="0">
      <selection activeCell="B8" sqref="B8"/>
    </sheetView>
  </sheetViews>
  <sheetFormatPr baseColWidth="10" defaultColWidth="11.59765625" defaultRowHeight="13"/>
  <cols>
    <col min="1" max="1" width="5.59765625" style="1115" customWidth="1"/>
    <col min="2" max="16384" width="11.59765625" style="1115"/>
  </cols>
  <sheetData>
    <row r="1" spans="1:2" ht="16">
      <c r="A1" s="1114" t="s">
        <v>1846</v>
      </c>
    </row>
    <row r="2" spans="1:2" ht="16">
      <c r="A2" s="1114"/>
    </row>
    <row r="3" spans="1:2" s="1118" customFormat="1">
      <c r="A3" s="1116" t="s">
        <v>38</v>
      </c>
      <c r="B3" s="1117" t="s">
        <v>1847</v>
      </c>
    </row>
    <row r="4" spans="1:2" s="1118" customFormat="1">
      <c r="A4" s="1116" t="s">
        <v>39</v>
      </c>
      <c r="B4" s="1117" t="s">
        <v>1848</v>
      </c>
    </row>
    <row r="5" spans="1:2">
      <c r="A5" s="1116" t="s">
        <v>40</v>
      </c>
      <c r="B5" s="1117" t="s">
        <v>1849</v>
      </c>
    </row>
    <row r="6" spans="1:2">
      <c r="A6" s="1116" t="s">
        <v>1850</v>
      </c>
      <c r="B6" s="1117" t="s">
        <v>1851</v>
      </c>
    </row>
    <row r="7" spans="1:2" s="1118" customFormat="1">
      <c r="A7" s="1116" t="s">
        <v>1852</v>
      </c>
      <c r="B7" s="1117" t="s">
        <v>1853</v>
      </c>
    </row>
    <row r="8" spans="1:2" ht="18.75" customHeight="1"/>
    <row r="10" spans="1:2">
      <c r="A10" s="1119" t="s">
        <v>677</v>
      </c>
    </row>
  </sheetData>
  <pageMargins left="0.46" right="0.35" top="0.88" bottom="0.984251969" header="0.4921259845" footer="0.4921259845"/>
  <pageSetup paperSize="9" orientation="portrait"/>
  <headerFooter alignWithMargins="0"/>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588CB-07E6-2F49-BCC5-92B2FE08AAC1}">
  <dimension ref="A1:K30"/>
  <sheetViews>
    <sheetView zoomScaleNormal="100" workbookViewId="0">
      <selection activeCell="A25" sqref="A25"/>
    </sheetView>
  </sheetViews>
  <sheetFormatPr baseColWidth="10" defaultColWidth="11.3984375" defaultRowHeight="13"/>
  <cols>
    <col min="1" max="1" width="21.796875" style="3" customWidth="1"/>
    <col min="2" max="3" width="13.3984375" style="3" customWidth="1"/>
    <col min="4" max="4" width="13.59765625" style="3" customWidth="1"/>
    <col min="5" max="6" width="13.3984375" style="3" customWidth="1"/>
    <col min="7" max="7" width="13.59765625" style="3" customWidth="1"/>
    <col min="8" max="16384" width="11.3984375" style="3"/>
  </cols>
  <sheetData>
    <row r="1" spans="1:11" s="2" customFormat="1" ht="14" customHeight="1"/>
    <row r="2" spans="1:11" s="2" customFormat="1" ht="25.75" customHeight="1">
      <c r="A2" s="47" t="s">
        <v>1854</v>
      </c>
      <c r="G2" s="102"/>
    </row>
    <row r="3" spans="1:11" ht="24" customHeight="1">
      <c r="A3" s="72" t="s">
        <v>1855</v>
      </c>
      <c r="B3" s="73" t="s">
        <v>758</v>
      </c>
      <c r="C3" s="74" t="s">
        <v>1203</v>
      </c>
      <c r="D3" s="73" t="s">
        <v>758</v>
      </c>
      <c r="E3" s="74" t="s">
        <v>1203</v>
      </c>
      <c r="F3" s="73" t="s">
        <v>190</v>
      </c>
      <c r="G3" s="277" t="s">
        <v>585</v>
      </c>
    </row>
    <row r="4" spans="1:11" ht="15" customHeight="1">
      <c r="A4" s="328" t="s">
        <v>1856</v>
      </c>
      <c r="B4" s="76" t="s">
        <v>1857</v>
      </c>
      <c r="C4" s="77" t="s">
        <v>1361</v>
      </c>
      <c r="D4" s="76" t="s">
        <v>1858</v>
      </c>
      <c r="E4" s="77" t="s">
        <v>1361</v>
      </c>
      <c r="F4" s="76"/>
      <c r="G4" s="75" t="s">
        <v>586</v>
      </c>
    </row>
    <row r="5" spans="1:11" ht="15" customHeight="1">
      <c r="A5" s="328"/>
      <c r="B5" s="76"/>
      <c r="C5" s="77" t="s">
        <v>506</v>
      </c>
      <c r="D5" s="76"/>
      <c r="E5" s="77" t="s">
        <v>506</v>
      </c>
      <c r="F5" s="76"/>
      <c r="G5" s="75" t="s">
        <v>210</v>
      </c>
    </row>
    <row r="6" spans="1:11" ht="14.25" customHeight="1">
      <c r="A6" s="329"/>
      <c r="B6" s="82"/>
      <c r="C6" s="81"/>
      <c r="D6" s="82"/>
      <c r="E6" s="81"/>
      <c r="F6" s="82"/>
      <c r="G6" s="79"/>
    </row>
    <row r="7" spans="1:11" ht="21.5" customHeight="1" thickBot="1">
      <c r="A7" s="427">
        <v>1996</v>
      </c>
      <c r="B7" s="111">
        <v>82</v>
      </c>
      <c r="C7" s="443">
        <v>0.56551724137931036</v>
      </c>
      <c r="D7" s="123">
        <v>63</v>
      </c>
      <c r="E7" s="443">
        <v>0.43448275862068964</v>
      </c>
      <c r="F7" s="123">
        <v>145</v>
      </c>
      <c r="G7" s="309" t="s">
        <v>35</v>
      </c>
      <c r="I7" s="9"/>
      <c r="J7" s="9"/>
      <c r="K7" s="9"/>
    </row>
    <row r="8" spans="1:11" ht="18.5" customHeight="1" thickBot="1">
      <c r="A8" s="333">
        <v>1997</v>
      </c>
      <c r="B8" s="318">
        <v>60</v>
      </c>
      <c r="C8" s="464">
        <v>0.46511627906976744</v>
      </c>
      <c r="D8" s="133">
        <v>69</v>
      </c>
      <c r="E8" s="464">
        <v>0.53488372093023251</v>
      </c>
      <c r="F8" s="133">
        <v>129</v>
      </c>
      <c r="G8" s="452">
        <v>-0.1103448275862069</v>
      </c>
    </row>
    <row r="9" spans="1:11" ht="18.5" customHeight="1" thickBot="1">
      <c r="A9" s="333">
        <v>1998</v>
      </c>
      <c r="B9" s="318">
        <v>62</v>
      </c>
      <c r="C9" s="464">
        <v>0.52542372881355937</v>
      </c>
      <c r="D9" s="133">
        <v>56</v>
      </c>
      <c r="E9" s="464">
        <v>0.47457627118644069</v>
      </c>
      <c r="F9" s="133">
        <v>118</v>
      </c>
      <c r="G9" s="452">
        <v>-8.5271317829457363E-2</v>
      </c>
    </row>
    <row r="10" spans="1:11" ht="20" customHeight="1" thickBot="1">
      <c r="A10" s="333">
        <v>1999</v>
      </c>
      <c r="B10" s="318">
        <v>59</v>
      </c>
      <c r="C10" s="464">
        <v>0.54128440366972475</v>
      </c>
      <c r="D10" s="133">
        <v>50</v>
      </c>
      <c r="E10" s="464">
        <v>0.45871559633027525</v>
      </c>
      <c r="F10" s="133">
        <v>109</v>
      </c>
      <c r="G10" s="452">
        <v>-7.6271186440677971E-2</v>
      </c>
    </row>
    <row r="11" spans="1:11" ht="19.5" customHeight="1" thickBot="1">
      <c r="A11" s="333">
        <v>2000</v>
      </c>
      <c r="B11" s="318">
        <v>59</v>
      </c>
      <c r="C11" s="464">
        <v>0.58415841584158412</v>
      </c>
      <c r="D11" s="133">
        <v>42</v>
      </c>
      <c r="E11" s="464">
        <v>0.41584158415841582</v>
      </c>
      <c r="F11" s="133">
        <v>101</v>
      </c>
      <c r="G11" s="452">
        <v>-7.3394495412844041E-2</v>
      </c>
    </row>
    <row r="12" spans="1:11" ht="20" customHeight="1" thickBot="1">
      <c r="A12" s="333">
        <v>2001</v>
      </c>
      <c r="B12" s="318">
        <v>64</v>
      </c>
      <c r="C12" s="464">
        <v>0.64646464646464652</v>
      </c>
      <c r="D12" s="133">
        <v>35</v>
      </c>
      <c r="E12" s="464">
        <v>0.35353535353535354</v>
      </c>
      <c r="F12" s="133">
        <v>99</v>
      </c>
      <c r="G12" s="452">
        <v>-1.9801980198019802E-2</v>
      </c>
    </row>
    <row r="13" spans="1:11" ht="20" customHeight="1" thickBot="1">
      <c r="A13" s="333">
        <v>2002</v>
      </c>
      <c r="B13" s="318">
        <v>68</v>
      </c>
      <c r="C13" s="464">
        <v>0.73118279569892475</v>
      </c>
      <c r="D13" s="133">
        <v>25</v>
      </c>
      <c r="E13" s="464">
        <v>0.26881720430107525</v>
      </c>
      <c r="F13" s="133">
        <v>93</v>
      </c>
      <c r="G13" s="452">
        <v>-6.0606060606060608E-2</v>
      </c>
    </row>
    <row r="14" spans="1:11" ht="20" customHeight="1" thickBot="1">
      <c r="A14" s="333">
        <v>2003</v>
      </c>
      <c r="B14" s="318">
        <v>70</v>
      </c>
      <c r="C14" s="464">
        <v>0.75268817204301075</v>
      </c>
      <c r="D14" s="133">
        <v>23</v>
      </c>
      <c r="E14" s="464">
        <v>0.24731182795698925</v>
      </c>
      <c r="F14" s="133">
        <v>93</v>
      </c>
      <c r="G14" s="452">
        <v>0</v>
      </c>
    </row>
    <row r="15" spans="1:11" ht="20" customHeight="1" thickBot="1">
      <c r="A15" s="333">
        <v>2004</v>
      </c>
      <c r="B15" s="318">
        <v>72</v>
      </c>
      <c r="C15" s="464">
        <v>0.77419354838709675</v>
      </c>
      <c r="D15" s="133">
        <v>21</v>
      </c>
      <c r="E15" s="464">
        <v>0.22580645161290322</v>
      </c>
      <c r="F15" s="133">
        <v>93</v>
      </c>
      <c r="G15" s="452">
        <v>0</v>
      </c>
    </row>
    <row r="16" spans="1:11" ht="20" customHeight="1" thickBot="1">
      <c r="A16" s="333">
        <v>2005</v>
      </c>
      <c r="B16" s="318">
        <v>65</v>
      </c>
      <c r="C16" s="464">
        <v>0.76470588235294112</v>
      </c>
      <c r="D16" s="133">
        <v>20</v>
      </c>
      <c r="E16" s="464">
        <v>0.23529411764705882</v>
      </c>
      <c r="F16" s="133">
        <v>85</v>
      </c>
      <c r="G16" s="452">
        <v>-8.6021505376344093E-2</v>
      </c>
    </row>
    <row r="17" spans="1:7" ht="20" customHeight="1" thickBot="1">
      <c r="A17" s="333">
        <v>2006</v>
      </c>
      <c r="B17" s="318">
        <v>66</v>
      </c>
      <c r="C17" s="464">
        <v>0.75862068965517238</v>
      </c>
      <c r="D17" s="133">
        <v>21</v>
      </c>
      <c r="E17" s="464">
        <v>0.2413793103448276</v>
      </c>
      <c r="F17" s="133">
        <v>87</v>
      </c>
      <c r="G17" s="452">
        <v>2.3529411764705882E-2</v>
      </c>
    </row>
    <row r="18" spans="1:7" ht="20" customHeight="1" thickBot="1">
      <c r="A18" s="333">
        <v>2007</v>
      </c>
      <c r="B18" s="318">
        <v>66</v>
      </c>
      <c r="C18" s="464">
        <v>0.75862068965517238</v>
      </c>
      <c r="D18" s="133">
        <v>21</v>
      </c>
      <c r="E18" s="464">
        <v>0.2413793103448276</v>
      </c>
      <c r="F18" s="133">
        <v>87</v>
      </c>
      <c r="G18" s="452">
        <v>0</v>
      </c>
    </row>
    <row r="19" spans="1:7" ht="20" customHeight="1" thickBot="1">
      <c r="A19" s="333">
        <v>2008</v>
      </c>
      <c r="B19" s="318">
        <v>63</v>
      </c>
      <c r="C19" s="464">
        <v>0.73255813953488369</v>
      </c>
      <c r="D19" s="133">
        <v>23</v>
      </c>
      <c r="E19" s="464">
        <v>0.26744186046511625</v>
      </c>
      <c r="F19" s="133">
        <v>86</v>
      </c>
      <c r="G19" s="452">
        <v>-1.1494252873563204E-2</v>
      </c>
    </row>
    <row r="20" spans="1:7" ht="20" customHeight="1" thickBot="1">
      <c r="A20" s="333">
        <v>2009</v>
      </c>
      <c r="B20" s="318">
        <v>59</v>
      </c>
      <c r="C20" s="464">
        <v>0.71951219512195119</v>
      </c>
      <c r="D20" s="133">
        <v>23</v>
      </c>
      <c r="E20" s="464">
        <v>0.28048780487804881</v>
      </c>
      <c r="F20" s="133">
        <v>82</v>
      </c>
      <c r="G20" s="452">
        <v>-4.6511627906976716E-2</v>
      </c>
    </row>
    <row r="21" spans="1:7" ht="24.75" customHeight="1" thickBot="1">
      <c r="A21" s="647">
        <v>2010</v>
      </c>
      <c r="B21" s="320">
        <v>55</v>
      </c>
      <c r="C21" s="465">
        <v>0.67901234567901236</v>
      </c>
      <c r="D21" s="270">
        <v>26</v>
      </c>
      <c r="E21" s="465">
        <v>0.32098765432098764</v>
      </c>
      <c r="F21" s="270">
        <v>81</v>
      </c>
      <c r="G21" s="314">
        <v>-1.2195121951219523E-2</v>
      </c>
    </row>
    <row r="22" spans="1:7" ht="16.75" customHeight="1">
      <c r="A22" s="95" t="s">
        <v>1921</v>
      </c>
      <c r="B22" s="95"/>
      <c r="C22" s="95"/>
      <c r="D22" s="95"/>
      <c r="E22" s="95"/>
      <c r="F22" s="95"/>
      <c r="G22" s="95"/>
    </row>
    <row r="23" spans="1:7">
      <c r="A23" s="96"/>
      <c r="B23" s="96"/>
      <c r="C23" s="96"/>
      <c r="D23" s="96"/>
      <c r="E23" s="96"/>
      <c r="F23" s="96"/>
      <c r="G23" s="96"/>
    </row>
    <row r="24" spans="1:7">
      <c r="A24" s="96" t="s">
        <v>1859</v>
      </c>
      <c r="B24" s="96"/>
      <c r="C24" s="96"/>
      <c r="D24" s="96"/>
      <c r="E24" s="96"/>
      <c r="F24" s="96"/>
      <c r="G24" s="96"/>
    </row>
    <row r="25" spans="1:7">
      <c r="A25" s="96"/>
      <c r="B25" s="96"/>
      <c r="C25" s="96"/>
      <c r="D25" s="96"/>
      <c r="E25" s="96"/>
      <c r="F25" s="96"/>
      <c r="G25" s="96"/>
    </row>
    <row r="26" spans="1:7">
      <c r="A26" s="3" t="s">
        <v>1860</v>
      </c>
    </row>
    <row r="27" spans="1:7">
      <c r="A27" s="3" t="s">
        <v>1861</v>
      </c>
    </row>
    <row r="30" spans="1:7">
      <c r="A30" s="96" t="s">
        <v>677</v>
      </c>
    </row>
  </sheetData>
  <pageMargins left="0.55118110236220474" right="0.55118110236220474" top="0.82677165354330717" bottom="0.47244094488188981" header="0.47244094488188981" footer="0.51181102362204722"/>
  <pageSetup paperSize="9" scale="80" orientation="portrait" horizontalDpi="1200" verticalDpi="1200"/>
  <headerFooter alignWithMargins="0"/>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35D0B-F420-AB4E-93A0-563CBF584797}">
  <dimension ref="A1:K31"/>
  <sheetViews>
    <sheetView zoomScaleNormal="100" workbookViewId="0">
      <selection activeCell="A25" sqref="A25"/>
    </sheetView>
  </sheetViews>
  <sheetFormatPr baseColWidth="10" defaultColWidth="11.3984375" defaultRowHeight="13"/>
  <cols>
    <col min="1" max="1" width="21.796875" style="3" customWidth="1"/>
    <col min="2" max="2" width="15.59765625" style="3" customWidth="1"/>
    <col min="3" max="3" width="13.3984375" style="3" customWidth="1"/>
    <col min="4" max="4" width="15.19921875" style="3" customWidth="1"/>
    <col min="5" max="5" width="13.59765625" style="3" customWidth="1"/>
    <col min="6" max="6" width="15.3984375" style="3" customWidth="1"/>
    <col min="7" max="7" width="13.796875" style="3" customWidth="1"/>
    <col min="8" max="16384" width="11.3984375" style="3"/>
  </cols>
  <sheetData>
    <row r="1" spans="1:11" s="2" customFormat="1" ht="14" customHeight="1"/>
    <row r="2" spans="1:11" s="2" customFormat="1" ht="24" customHeight="1">
      <c r="A2" s="129" t="s">
        <v>1862</v>
      </c>
      <c r="B2" s="306"/>
      <c r="C2" s="306"/>
      <c r="D2" s="306"/>
      <c r="E2" s="306"/>
      <c r="F2" s="306"/>
      <c r="G2" s="102"/>
    </row>
    <row r="3" spans="1:11" ht="24" customHeight="1">
      <c r="A3" s="72" t="s">
        <v>1855</v>
      </c>
      <c r="B3" s="1120" t="s">
        <v>1863</v>
      </c>
      <c r="C3" s="1121"/>
      <c r="D3" s="1122"/>
      <c r="E3" s="1121"/>
      <c r="F3" s="1123" t="s">
        <v>1864</v>
      </c>
      <c r="G3" s="1124"/>
    </row>
    <row r="4" spans="1:11" ht="16.75" customHeight="1">
      <c r="A4" s="328" t="s">
        <v>1856</v>
      </c>
      <c r="B4" s="76" t="s">
        <v>1865</v>
      </c>
      <c r="C4" s="75" t="s">
        <v>585</v>
      </c>
      <c r="D4" s="76" t="s">
        <v>1866</v>
      </c>
      <c r="E4" s="75" t="s">
        <v>585</v>
      </c>
      <c r="F4" s="76" t="s">
        <v>1867</v>
      </c>
      <c r="G4" s="75" t="s">
        <v>585</v>
      </c>
    </row>
    <row r="5" spans="1:11" ht="15" customHeight="1">
      <c r="A5" s="328"/>
      <c r="B5" s="76" t="s">
        <v>1868</v>
      </c>
      <c r="C5" s="75" t="s">
        <v>586</v>
      </c>
      <c r="D5" s="76" t="s">
        <v>1358</v>
      </c>
      <c r="E5" s="75" t="s">
        <v>586</v>
      </c>
      <c r="F5" s="76" t="s">
        <v>1869</v>
      </c>
      <c r="G5" s="75" t="s">
        <v>586</v>
      </c>
    </row>
    <row r="6" spans="1:11" ht="24" customHeight="1">
      <c r="A6" s="329"/>
      <c r="B6" s="82"/>
      <c r="C6" s="79" t="s">
        <v>210</v>
      </c>
      <c r="D6" s="82"/>
      <c r="E6" s="79" t="s">
        <v>1870</v>
      </c>
      <c r="F6" s="82"/>
      <c r="G6" s="79" t="s">
        <v>1870</v>
      </c>
    </row>
    <row r="7" spans="1:11" ht="22.75" customHeight="1" thickBot="1">
      <c r="A7" s="427">
        <v>1996</v>
      </c>
      <c r="B7" s="123">
        <v>913.21658500000001</v>
      </c>
      <c r="C7" s="309" t="s">
        <v>35</v>
      </c>
      <c r="D7" s="123">
        <v>2674.048675</v>
      </c>
      <c r="E7" s="1125" t="s">
        <v>35</v>
      </c>
      <c r="F7" s="123">
        <v>530</v>
      </c>
      <c r="G7" s="309" t="s">
        <v>35</v>
      </c>
      <c r="I7" s="9"/>
      <c r="J7" s="9"/>
      <c r="K7" s="9"/>
    </row>
    <row r="8" spans="1:11" ht="17.5" customHeight="1" thickBot="1">
      <c r="A8" s="333">
        <v>1997</v>
      </c>
      <c r="B8" s="133">
        <v>951.20448216581099</v>
      </c>
      <c r="C8" s="452">
        <v>4.1597905458332182E-2</v>
      </c>
      <c r="D8" s="133">
        <v>2894.7924399622598</v>
      </c>
      <c r="E8" s="452">
        <v>8.2550391481658339E-2</v>
      </c>
      <c r="F8" s="133">
        <v>532</v>
      </c>
      <c r="G8" s="452">
        <v>3.7735849056603774E-3</v>
      </c>
    </row>
    <row r="9" spans="1:11" ht="19.25" customHeight="1" thickBot="1">
      <c r="A9" s="333">
        <v>1998</v>
      </c>
      <c r="B9" s="133">
        <v>1005.42211</v>
      </c>
      <c r="C9" s="452">
        <v>5.6998919633704945E-2</v>
      </c>
      <c r="D9" s="133">
        <v>3172.9022279999999</v>
      </c>
      <c r="E9" s="452">
        <v>9.6072445194504488E-2</v>
      </c>
      <c r="F9" s="133">
        <v>609.28660000000002</v>
      </c>
      <c r="G9" s="452">
        <v>0.14527556390977447</v>
      </c>
    </row>
    <row r="10" spans="1:11" ht="20" customHeight="1" thickBot="1">
      <c r="A10" s="333">
        <v>1999</v>
      </c>
      <c r="B10" s="133">
        <v>1043.283537</v>
      </c>
      <c r="C10" s="452">
        <v>3.7657245273828376E-2</v>
      </c>
      <c r="D10" s="133">
        <v>3340.3853559999998</v>
      </c>
      <c r="E10" s="452">
        <v>5.2785467677512014E-2</v>
      </c>
      <c r="F10" s="133">
        <v>659.60795700000006</v>
      </c>
      <c r="G10" s="452">
        <v>8.2590618273896119E-2</v>
      </c>
    </row>
    <row r="11" spans="1:11" ht="20.25" customHeight="1" thickBot="1">
      <c r="A11" s="333">
        <v>2000</v>
      </c>
      <c r="B11" s="133">
        <v>1090.4996369999999</v>
      </c>
      <c r="C11" s="452">
        <v>4.5257207964549594E-2</v>
      </c>
      <c r="D11" s="133">
        <v>3554.1311930000002</v>
      </c>
      <c r="E11" s="452">
        <v>6.3988376854805129E-2</v>
      </c>
      <c r="F11" s="133">
        <v>732.09943699999997</v>
      </c>
      <c r="G11" s="452">
        <v>0.10990085736640061</v>
      </c>
    </row>
    <row r="12" spans="1:11" ht="20" customHeight="1" thickBot="1">
      <c r="A12" s="333">
        <v>2001</v>
      </c>
      <c r="B12" s="133">
        <v>1148.4065562125586</v>
      </c>
      <c r="C12" s="452">
        <v>5.3101273258432738E-2</v>
      </c>
      <c r="D12" s="133">
        <v>3804.1073437743612</v>
      </c>
      <c r="E12" s="452">
        <v>7.0333968331472624E-2</v>
      </c>
      <c r="F12" s="133">
        <v>844.73803099999998</v>
      </c>
      <c r="G12" s="452">
        <v>0.15385696028065654</v>
      </c>
    </row>
    <row r="13" spans="1:11" ht="20" customHeight="1" thickBot="1">
      <c r="A13" s="333">
        <v>2002</v>
      </c>
      <c r="B13" s="133">
        <v>1176.9857406315903</v>
      </c>
      <c r="C13" s="452">
        <v>2.4885946761994921E-2</v>
      </c>
      <c r="D13" s="133">
        <v>3992.1493332093432</v>
      </c>
      <c r="E13" s="452">
        <v>4.9431304756087785E-2</v>
      </c>
      <c r="F13" s="133">
        <v>928.34341900000004</v>
      </c>
      <c r="G13" s="452">
        <v>9.8971971110414073E-2</v>
      </c>
    </row>
    <row r="14" spans="1:11" ht="20" customHeight="1" thickBot="1">
      <c r="A14" s="333">
        <v>2003</v>
      </c>
      <c r="B14" s="133">
        <v>1165.5985248499421</v>
      </c>
      <c r="C14" s="452">
        <v>-9.6748969749944191E-3</v>
      </c>
      <c r="D14" s="133">
        <v>4231.4747261964076</v>
      </c>
      <c r="E14" s="452">
        <v>5.9949008168656705E-2</v>
      </c>
      <c r="F14" s="133">
        <v>1008.669965</v>
      </c>
      <c r="G14" s="452">
        <v>8.652675761576116E-2</v>
      </c>
    </row>
    <row r="15" spans="1:11" ht="20" customHeight="1" thickBot="1">
      <c r="A15" s="333">
        <v>2004</v>
      </c>
      <c r="B15" s="133">
        <v>1233.4256947047143</v>
      </c>
      <c r="C15" s="452">
        <v>5.8190850802169757E-2</v>
      </c>
      <c r="D15" s="133">
        <v>4554.5751523643485</v>
      </c>
      <c r="E15" s="452">
        <v>7.6356458935622609E-2</v>
      </c>
      <c r="F15" s="133">
        <v>1102.909758</v>
      </c>
      <c r="G15" s="452">
        <v>9.3429760248685462E-2</v>
      </c>
    </row>
    <row r="16" spans="1:11" ht="20" customHeight="1" thickBot="1">
      <c r="A16" s="333">
        <v>2005</v>
      </c>
      <c r="B16" s="133">
        <v>1249.2878390447622</v>
      </c>
      <c r="C16" s="452">
        <v>1.286023504143507E-2</v>
      </c>
      <c r="D16" s="133">
        <v>4844.6728040822618</v>
      </c>
      <c r="E16" s="452">
        <v>6.3693679874251119E-2</v>
      </c>
      <c r="F16" s="133">
        <v>1201.552809</v>
      </c>
      <c r="G16" s="452">
        <v>8.9438914004059442E-2</v>
      </c>
    </row>
    <row r="17" spans="1:7" ht="20" customHeight="1" thickBot="1">
      <c r="A17" s="333">
        <v>2006</v>
      </c>
      <c r="B17" s="133">
        <v>1280.5357003449858</v>
      </c>
      <c r="C17" s="452">
        <v>2.5012539403342388E-2</v>
      </c>
      <c r="D17" s="133">
        <v>4994.7882609152675</v>
      </c>
      <c r="E17" s="452">
        <v>3.0985674967876901E-2</v>
      </c>
      <c r="F17" s="133">
        <v>1236.2073047456083</v>
      </c>
      <c r="G17" s="452">
        <v>2.884142543385149E-2</v>
      </c>
    </row>
    <row r="18" spans="1:7" ht="20" customHeight="1" thickBot="1">
      <c r="A18" s="333">
        <v>2007</v>
      </c>
      <c r="B18" s="133">
        <v>1328.2484532036312</v>
      </c>
      <c r="C18" s="452">
        <v>3.7259994270984614E-2</v>
      </c>
      <c r="D18" s="133">
        <v>5286.2111265764588</v>
      </c>
      <c r="E18" s="452">
        <v>5.8345389321426341E-2</v>
      </c>
      <c r="F18" s="133">
        <v>1323.229456</v>
      </c>
      <c r="G18" s="452">
        <v>7.0394464520899647E-2</v>
      </c>
    </row>
    <row r="19" spans="1:7" ht="20" customHeight="1" thickBot="1">
      <c r="A19" s="333">
        <v>2008</v>
      </c>
      <c r="B19" s="133">
        <v>1413.6658153593723</v>
      </c>
      <c r="C19" s="452">
        <v>6.4308271505772119E-2</v>
      </c>
      <c r="D19" s="133">
        <v>5584.9685713290592</v>
      </c>
      <c r="E19" s="452">
        <v>5.6516366372617144E-2</v>
      </c>
      <c r="F19" s="133">
        <v>1444.5191400000001</v>
      </c>
      <c r="G19" s="452">
        <v>9.1661868204360841E-2</v>
      </c>
    </row>
    <row r="20" spans="1:7" ht="20" customHeight="1" thickBot="1">
      <c r="A20" s="333">
        <v>2009</v>
      </c>
      <c r="B20" s="133">
        <v>1466.6020914374751</v>
      </c>
      <c r="C20" s="452">
        <v>3.744610324657649E-2</v>
      </c>
      <c r="D20" s="133">
        <v>5832.6763857591932</v>
      </c>
      <c r="E20" s="452">
        <v>4.4352588786580549E-2</v>
      </c>
      <c r="F20" s="133">
        <v>1561.012176</v>
      </c>
      <c r="G20" s="452">
        <v>8.0644854591542359E-2</v>
      </c>
    </row>
    <row r="21" spans="1:7" ht="24" customHeight="1" thickBot="1">
      <c r="A21" s="647">
        <v>2010</v>
      </c>
      <c r="B21" s="270">
        <v>1484.1461971649883</v>
      </c>
      <c r="C21" s="314">
        <v>1.1962416956815769E-2</v>
      </c>
      <c r="D21" s="270">
        <v>5995.9585199097392</v>
      </c>
      <c r="E21" s="314">
        <v>2.7994375712187436E-2</v>
      </c>
      <c r="F21" s="270">
        <v>1545.7138600000001</v>
      </c>
      <c r="G21" s="314">
        <v>-9.8002541140972399E-3</v>
      </c>
    </row>
    <row r="22" spans="1:7" ht="15.5" customHeight="1">
      <c r="A22" s="95" t="s">
        <v>1921</v>
      </c>
      <c r="B22" s="95"/>
      <c r="C22" s="95"/>
      <c r="D22" s="95"/>
      <c r="E22" s="95"/>
      <c r="F22" s="95"/>
      <c r="G22" s="95"/>
    </row>
    <row r="23" spans="1:7">
      <c r="A23" s="96"/>
      <c r="B23" s="96"/>
      <c r="C23" s="96"/>
      <c r="D23" s="96"/>
      <c r="E23" s="96"/>
      <c r="F23" s="96"/>
      <c r="G23" s="96"/>
    </row>
    <row r="24" spans="1:7">
      <c r="A24" s="96" t="s">
        <v>1859</v>
      </c>
      <c r="B24" s="96"/>
      <c r="C24" s="96"/>
      <c r="D24" s="96"/>
      <c r="E24" s="96"/>
      <c r="F24" s="96"/>
      <c r="G24" s="96"/>
    </row>
    <row r="25" spans="1:7">
      <c r="A25" s="96"/>
      <c r="B25" s="96"/>
      <c r="C25" s="96"/>
      <c r="D25" s="96"/>
      <c r="E25" s="96"/>
      <c r="F25" s="96"/>
      <c r="G25" s="96"/>
    </row>
    <row r="26" spans="1:7">
      <c r="A26" s="96" t="s">
        <v>1871</v>
      </c>
    </row>
    <row r="27" spans="1:7">
      <c r="A27" s="526" t="s">
        <v>1872</v>
      </c>
    </row>
    <row r="28" spans="1:7">
      <c r="A28" s="526" t="s">
        <v>1873</v>
      </c>
    </row>
    <row r="31" spans="1:7">
      <c r="A31" s="96" t="s">
        <v>677</v>
      </c>
    </row>
  </sheetData>
  <pageMargins left="0.52" right="0.6692913385826772" top="0.9055118110236221" bottom="0.47244094488188981" header="0.51181102362204722" footer="0.51181102362204722"/>
  <pageSetup paperSize="9" scale="80" orientation="portrait" horizontalDpi="1200" verticalDpi="1200"/>
  <headerFooter alignWithMargins="0"/>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2E01B-6BFA-0F49-B9FB-167EDD976C5D}">
  <dimension ref="A1:J35"/>
  <sheetViews>
    <sheetView zoomScaleNormal="100" workbookViewId="0">
      <selection activeCell="A3" sqref="A3"/>
    </sheetView>
  </sheetViews>
  <sheetFormatPr baseColWidth="10" defaultColWidth="11.3984375" defaultRowHeight="13"/>
  <cols>
    <col min="1" max="1" width="14.796875" style="3" customWidth="1"/>
    <col min="2" max="2" width="16.59765625" style="128" customWidth="1"/>
    <col min="3" max="3" width="16.19921875" style="121" customWidth="1"/>
    <col min="4" max="4" width="16.19921875" style="128" customWidth="1"/>
    <col min="5" max="5" width="16.19921875" style="121" customWidth="1"/>
    <col min="6" max="6" width="16.19921875" style="128" customWidth="1"/>
    <col min="7" max="7" width="16.19921875" style="121" customWidth="1"/>
    <col min="8" max="8" width="7.59765625" style="3" customWidth="1"/>
    <col min="9" max="9" width="6.3984375" style="3" customWidth="1"/>
    <col min="10" max="10" width="8.59765625" style="3" customWidth="1"/>
    <col min="11" max="16384" width="11.3984375" style="3"/>
  </cols>
  <sheetData>
    <row r="1" spans="1:10" s="2" customFormat="1" ht="18.75" customHeight="1">
      <c r="A1" s="303"/>
      <c r="B1" s="304"/>
      <c r="C1" s="1126"/>
      <c r="D1" s="1127"/>
      <c r="E1" s="1126"/>
      <c r="F1" s="1127"/>
      <c r="G1" s="1126"/>
    </row>
    <row r="2" spans="1:10" s="2" customFormat="1" ht="40.5" customHeight="1">
      <c r="A2" s="1834" t="s">
        <v>1874</v>
      </c>
      <c r="B2" s="1811"/>
      <c r="C2" s="1811"/>
      <c r="D2" s="1811"/>
      <c r="E2" s="1811"/>
      <c r="F2" s="1811"/>
      <c r="G2" s="102">
        <v>2010</v>
      </c>
    </row>
    <row r="3" spans="1:10" ht="27" customHeight="1">
      <c r="A3" s="72" t="s">
        <v>504</v>
      </c>
      <c r="B3" s="103" t="s">
        <v>505</v>
      </c>
      <c r="C3" s="74" t="s">
        <v>1875</v>
      </c>
      <c r="D3" s="103" t="s">
        <v>507</v>
      </c>
      <c r="E3" s="74" t="s">
        <v>1875</v>
      </c>
      <c r="F3" s="103" t="s">
        <v>500</v>
      </c>
      <c r="G3" s="74" t="s">
        <v>1875</v>
      </c>
    </row>
    <row r="4" spans="1:10" ht="15" customHeight="1">
      <c r="A4" s="75"/>
      <c r="B4" s="105"/>
      <c r="C4" s="77" t="s">
        <v>1876</v>
      </c>
      <c r="D4" s="105"/>
      <c r="E4" s="77" t="s">
        <v>1876</v>
      </c>
      <c r="F4" s="105" t="s">
        <v>501</v>
      </c>
      <c r="G4" s="77" t="s">
        <v>1876</v>
      </c>
    </row>
    <row r="5" spans="1:10" ht="15" customHeight="1">
      <c r="A5" s="75"/>
      <c r="B5" s="105"/>
      <c r="C5" s="77" t="s">
        <v>210</v>
      </c>
      <c r="D5" s="105"/>
      <c r="E5" s="77" t="s">
        <v>210</v>
      </c>
      <c r="F5" s="105"/>
      <c r="G5" s="77" t="s">
        <v>210</v>
      </c>
    </row>
    <row r="6" spans="1:10" ht="23" customHeight="1">
      <c r="A6" s="79"/>
      <c r="B6" s="110"/>
      <c r="C6" s="81"/>
      <c r="D6" s="110"/>
      <c r="E6" s="81"/>
      <c r="F6" s="110"/>
      <c r="G6" s="81"/>
    </row>
    <row r="7" spans="1:10" ht="30" customHeight="1" thickBot="1">
      <c r="A7" s="84" t="s">
        <v>1877</v>
      </c>
      <c r="B7" s="123">
        <v>0</v>
      </c>
      <c r="C7" s="443" t="s">
        <v>35</v>
      </c>
      <c r="D7" s="123">
        <v>0</v>
      </c>
      <c r="E7" s="443" t="s">
        <v>35</v>
      </c>
      <c r="F7" s="123">
        <v>0</v>
      </c>
      <c r="G7" s="443" t="s">
        <v>35</v>
      </c>
      <c r="H7" s="1128"/>
      <c r="I7" s="1128"/>
      <c r="J7" s="1128"/>
    </row>
    <row r="8" spans="1:10" ht="20" customHeight="1" thickBot="1">
      <c r="A8" s="89" t="s">
        <v>1878</v>
      </c>
      <c r="B8" s="1129">
        <v>-202.67973733429528</v>
      </c>
      <c r="C8" s="1130">
        <v>-3.458998801458705</v>
      </c>
      <c r="D8" s="103">
        <v>-157.02087083042039</v>
      </c>
      <c r="E8" s="1130">
        <v>-4.055543709394783</v>
      </c>
      <c r="F8" s="103">
        <v>-179.77520772810044</v>
      </c>
      <c r="G8" s="1130">
        <v>-3.7261319065964926</v>
      </c>
      <c r="H8" s="1128"/>
      <c r="I8" s="1128"/>
      <c r="J8" s="1128"/>
    </row>
    <row r="9" spans="1:10" ht="20" customHeight="1" thickBot="1">
      <c r="A9" s="89" t="s">
        <v>1879</v>
      </c>
      <c r="B9" s="1131">
        <v>-198.5364422411198</v>
      </c>
      <c r="C9" s="1132">
        <v>-5.5928312967143938</v>
      </c>
      <c r="D9" s="1131">
        <v>-108.963902548481</v>
      </c>
      <c r="E9" s="1132">
        <v>-2.7313188120238578</v>
      </c>
      <c r="F9" s="1131">
        <v>-154.08225833303084</v>
      </c>
      <c r="G9" s="1132">
        <v>-4.2566967505845241</v>
      </c>
      <c r="H9" s="1128"/>
      <c r="I9" s="1128"/>
      <c r="J9" s="1128"/>
    </row>
    <row r="10" spans="1:10" ht="20" customHeight="1" thickBot="1">
      <c r="A10" s="89" t="s">
        <v>1880</v>
      </c>
      <c r="B10" s="1131">
        <v>-186.16813725077958</v>
      </c>
      <c r="C10" s="1132">
        <v>-4.2051646905396751</v>
      </c>
      <c r="D10" s="1131">
        <v>-77.954297237379734</v>
      </c>
      <c r="E10" s="1132">
        <v>-0.99612092895173987</v>
      </c>
      <c r="F10" s="1131">
        <v>-132.11753502447451</v>
      </c>
      <c r="G10" s="1132">
        <v>-2.5676093603075287</v>
      </c>
      <c r="H10" s="1128"/>
      <c r="I10" s="1128"/>
      <c r="J10" s="1128"/>
    </row>
    <row r="11" spans="1:10" ht="20" customHeight="1" thickBot="1">
      <c r="A11" s="89" t="s">
        <v>1881</v>
      </c>
      <c r="B11" s="1131">
        <v>-167.63754734206231</v>
      </c>
      <c r="C11" s="1132">
        <v>-2.1547068406401593</v>
      </c>
      <c r="D11" s="1131">
        <v>-87.26113716771502</v>
      </c>
      <c r="E11" s="1132">
        <v>-3.7657902918255104E-2</v>
      </c>
      <c r="F11" s="1131">
        <v>-127.60573423227373</v>
      </c>
      <c r="G11" s="1132">
        <v>-1.1710441565425356</v>
      </c>
      <c r="H11" s="1128"/>
      <c r="I11" s="1128"/>
      <c r="J11" s="1128"/>
    </row>
    <row r="12" spans="1:10" ht="20" customHeight="1" thickBot="1">
      <c r="A12" s="89" t="s">
        <v>1882</v>
      </c>
      <c r="B12" s="1131">
        <v>-146.61796391206815</v>
      </c>
      <c r="C12" s="1132">
        <v>-1.7517678923607036</v>
      </c>
      <c r="D12" s="1131">
        <v>-93.069971145993691</v>
      </c>
      <c r="E12" s="1132">
        <v>-1.7691787961167904</v>
      </c>
      <c r="F12" s="1131">
        <v>-120.04357728070745</v>
      </c>
      <c r="G12" s="1132">
        <v>-1.6962425079233867</v>
      </c>
      <c r="H12" s="1128"/>
      <c r="I12" s="1128"/>
      <c r="J12" s="1128"/>
    </row>
    <row r="13" spans="1:10" ht="20" customHeight="1" thickBot="1">
      <c r="A13" s="89" t="s">
        <v>1883</v>
      </c>
      <c r="B13" s="1131">
        <v>-117.88710685440546</v>
      </c>
      <c r="C13" s="1132">
        <v>-2.3447979324309927</v>
      </c>
      <c r="D13" s="1131">
        <v>-68.293737277998389</v>
      </c>
      <c r="E13" s="1132">
        <v>-1.7134618238012251</v>
      </c>
      <c r="F13" s="1131">
        <v>-93.414356548118093</v>
      </c>
      <c r="G13" s="1132">
        <v>-2.0669957516110031</v>
      </c>
      <c r="H13" s="1128"/>
      <c r="I13" s="1128"/>
      <c r="J13" s="1128"/>
    </row>
    <row r="14" spans="1:10" ht="20" customHeight="1" thickBot="1">
      <c r="A14" s="89" t="s">
        <v>1884</v>
      </c>
      <c r="B14" s="1131">
        <v>-73.351485863173735</v>
      </c>
      <c r="C14" s="1132">
        <v>-3.3687656742065428</v>
      </c>
      <c r="D14" s="1131">
        <v>-28.791255081529272</v>
      </c>
      <c r="E14" s="1132">
        <v>-1.6360598482174851</v>
      </c>
      <c r="F14" s="1131">
        <v>-51.375082895725278</v>
      </c>
      <c r="G14" s="1132">
        <v>-2.5350240955455661</v>
      </c>
      <c r="H14" s="1128"/>
      <c r="I14" s="1128"/>
      <c r="J14" s="1128"/>
    </row>
    <row r="15" spans="1:10" ht="20" customHeight="1" thickBot="1">
      <c r="A15" s="89" t="s">
        <v>1885</v>
      </c>
      <c r="B15" s="1131">
        <v>-11.435519975380998</v>
      </c>
      <c r="C15" s="1132">
        <v>-0.87440014806486488</v>
      </c>
      <c r="D15" s="1131">
        <v>11.714276705468535</v>
      </c>
      <c r="E15" s="1132">
        <v>0.2248208921141952</v>
      </c>
      <c r="F15" s="1131">
        <v>0.15068169245354937</v>
      </c>
      <c r="G15" s="1132">
        <v>-0.339745711201209</v>
      </c>
      <c r="H15" s="1128"/>
      <c r="I15" s="1128"/>
      <c r="J15" s="1128"/>
    </row>
    <row r="16" spans="1:10" ht="20" customHeight="1" thickBot="1">
      <c r="A16" s="89" t="s">
        <v>1886</v>
      </c>
      <c r="B16" s="1131">
        <v>68.761848159103181</v>
      </c>
      <c r="C16" s="1132">
        <v>-2.0205065885905071</v>
      </c>
      <c r="D16" s="1131">
        <v>66.787388378460605</v>
      </c>
      <c r="E16" s="1132">
        <v>-4.3333084435343778</v>
      </c>
      <c r="F16" s="1131">
        <v>67.761090371571242</v>
      </c>
      <c r="G16" s="1132">
        <v>-3.1927104186884776</v>
      </c>
      <c r="H16" s="1128"/>
      <c r="I16" s="1128"/>
      <c r="J16" s="1128"/>
    </row>
    <row r="17" spans="1:10" ht="20" customHeight="1" thickBot="1">
      <c r="A17" s="89" t="s">
        <v>1887</v>
      </c>
      <c r="B17" s="1131">
        <v>163.25432198737849</v>
      </c>
      <c r="C17" s="1132">
        <v>1.601845756487279</v>
      </c>
      <c r="D17" s="1131">
        <v>143.85193670047511</v>
      </c>
      <c r="E17" s="1132">
        <v>-3.0207042032718334</v>
      </c>
      <c r="F17" s="1131">
        <v>153.13897378375623</v>
      </c>
      <c r="G17" s="1132">
        <v>-0.77108921131613783</v>
      </c>
      <c r="H17" s="1128"/>
      <c r="I17" s="1128"/>
      <c r="J17" s="1128"/>
    </row>
    <row r="18" spans="1:10" ht="20" customHeight="1" thickBot="1">
      <c r="A18" s="89" t="s">
        <v>1888</v>
      </c>
      <c r="B18" s="1131">
        <v>270.81792016602162</v>
      </c>
      <c r="C18" s="1132">
        <v>1.9272576928018452</v>
      </c>
      <c r="D18" s="1131">
        <v>245.01594449299779</v>
      </c>
      <c r="E18" s="1132">
        <v>1.7557952273999433</v>
      </c>
      <c r="F18" s="1131">
        <v>256.76560565379907</v>
      </c>
      <c r="G18" s="1132">
        <v>1.871808869485136</v>
      </c>
      <c r="H18" s="1128"/>
      <c r="I18" s="1128"/>
      <c r="J18" s="1128"/>
    </row>
    <row r="19" spans="1:10" ht="20" customHeight="1" thickBot="1">
      <c r="A19" s="89" t="s">
        <v>1889</v>
      </c>
      <c r="B19" s="1131">
        <v>405.43453788938893</v>
      </c>
      <c r="C19" s="1132">
        <v>8.4813247343458897</v>
      </c>
      <c r="D19" s="1131">
        <v>373.64628242471338</v>
      </c>
      <c r="E19" s="1132">
        <v>2.9767591629465642</v>
      </c>
      <c r="F19" s="1131">
        <v>387.15084953780485</v>
      </c>
      <c r="G19" s="1132">
        <v>5.4490607285688384</v>
      </c>
      <c r="H19" s="1128"/>
      <c r="I19" s="1128"/>
      <c r="J19" s="1128"/>
    </row>
    <row r="20" spans="1:10" ht="20" customHeight="1" thickBot="1">
      <c r="A20" s="89" t="s">
        <v>1890</v>
      </c>
      <c r="B20" s="123">
        <v>518.2089746611083</v>
      </c>
      <c r="C20" s="1133">
        <v>6.1277594663806667</v>
      </c>
      <c r="D20" s="123">
        <v>553.61672750772971</v>
      </c>
      <c r="E20" s="1133">
        <v>6.4048500602930289</v>
      </c>
      <c r="F20" s="123">
        <v>540.27703297228106</v>
      </c>
      <c r="G20" s="1133">
        <v>6.1457377773518829</v>
      </c>
      <c r="H20" s="1128"/>
      <c r="I20" s="1128"/>
      <c r="J20" s="1128"/>
    </row>
    <row r="21" spans="1:10" ht="20" customHeight="1" thickBot="1">
      <c r="A21" s="89" t="s">
        <v>1891</v>
      </c>
      <c r="B21" s="133">
        <v>684.15844610994407</v>
      </c>
      <c r="C21" s="1134">
        <v>6.316657149215871</v>
      </c>
      <c r="D21" s="131">
        <v>813.61661973680191</v>
      </c>
      <c r="E21" s="1134">
        <v>10.483722893644767</v>
      </c>
      <c r="F21" s="131">
        <v>771.49865734907416</v>
      </c>
      <c r="G21" s="1134">
        <v>9.1473173850350804</v>
      </c>
      <c r="H21" s="1128"/>
      <c r="I21" s="1128"/>
      <c r="J21" s="1128"/>
    </row>
    <row r="22" spans="1:10" ht="23.5" customHeight="1" thickBot="1">
      <c r="A22" s="90" t="s">
        <v>1892</v>
      </c>
      <c r="B22" s="268">
        <v>954.63183722796055</v>
      </c>
      <c r="C22" s="1135">
        <v>9.0739334323885714</v>
      </c>
      <c r="D22" s="1023">
        <v>1243.5423867170352</v>
      </c>
      <c r="E22" s="1135">
        <v>-1.1620471255007487</v>
      </c>
      <c r="F22" s="1023">
        <v>1168.4404328641331</v>
      </c>
      <c r="G22" s="1135">
        <v>0.675398835670876</v>
      </c>
      <c r="H22" s="1128"/>
      <c r="I22" s="1128"/>
      <c r="J22" s="1128"/>
    </row>
    <row r="23" spans="1:10" ht="18.5" customHeight="1">
      <c r="A23" s="95" t="s">
        <v>1921</v>
      </c>
      <c r="B23" s="126"/>
      <c r="C23" s="118"/>
      <c r="D23" s="126"/>
      <c r="E23" s="118"/>
      <c r="F23" s="126"/>
      <c r="G23" s="118"/>
    </row>
    <row r="24" spans="1:10" ht="11.25" customHeight="1">
      <c r="A24" s="96"/>
      <c r="B24" s="127"/>
      <c r="C24" s="120"/>
      <c r="D24" s="127"/>
      <c r="E24" s="120"/>
      <c r="F24" s="127"/>
      <c r="G24" s="120"/>
    </row>
    <row r="25" spans="1:10" ht="15.75" customHeight="1">
      <c r="A25" s="96" t="s">
        <v>1859</v>
      </c>
      <c r="B25" s="127"/>
      <c r="C25" s="120"/>
      <c r="D25" s="127"/>
      <c r="E25" s="120"/>
      <c r="F25" s="127"/>
      <c r="G25" s="120"/>
    </row>
    <row r="26" spans="1:10">
      <c r="A26" s="1019"/>
      <c r="B26" s="127"/>
      <c r="C26" s="120"/>
      <c r="D26" s="127"/>
      <c r="E26" s="120"/>
      <c r="F26" s="127"/>
      <c r="G26" s="120"/>
    </row>
    <row r="27" spans="1:10">
      <c r="A27" s="1019" t="s">
        <v>1893</v>
      </c>
      <c r="B27" s="127"/>
      <c r="C27" s="120"/>
      <c r="D27" s="127"/>
      <c r="E27" s="120"/>
      <c r="F27" s="127"/>
      <c r="G27" s="120"/>
    </row>
    <row r="28" spans="1:10">
      <c r="A28" s="1019" t="s">
        <v>1894</v>
      </c>
      <c r="B28" s="127"/>
      <c r="C28" s="120"/>
      <c r="D28" s="127"/>
      <c r="E28" s="120"/>
      <c r="F28" s="127"/>
      <c r="G28" s="120"/>
    </row>
    <row r="29" spans="1:10">
      <c r="A29" s="1019" t="s">
        <v>1895</v>
      </c>
      <c r="B29" s="127"/>
      <c r="C29" s="120"/>
      <c r="D29" s="127"/>
      <c r="E29" s="120"/>
      <c r="F29" s="127"/>
      <c r="G29" s="120"/>
    </row>
    <row r="30" spans="1:10">
      <c r="A30" s="1019" t="s">
        <v>1896</v>
      </c>
      <c r="B30" s="127"/>
      <c r="C30" s="120"/>
      <c r="D30" s="127"/>
      <c r="E30" s="120"/>
      <c r="F30" s="127"/>
      <c r="G30" s="120"/>
    </row>
    <row r="31" spans="1:10">
      <c r="A31" s="1019" t="s">
        <v>1897</v>
      </c>
      <c r="B31" s="127"/>
      <c r="C31" s="120"/>
      <c r="D31" s="127"/>
      <c r="E31" s="120"/>
      <c r="F31" s="127"/>
      <c r="G31" s="120"/>
    </row>
    <row r="32" spans="1:10">
      <c r="A32" s="1019" t="s">
        <v>1898</v>
      </c>
      <c r="B32" s="127"/>
      <c r="C32" s="120"/>
      <c r="D32" s="127"/>
      <c r="E32" s="120"/>
      <c r="F32" s="127"/>
      <c r="G32" s="120"/>
    </row>
    <row r="33" spans="1:7">
      <c r="A33" s="1019"/>
      <c r="B33" s="127"/>
      <c r="C33" s="120"/>
      <c r="D33" s="127"/>
      <c r="E33" s="120"/>
      <c r="F33" s="127"/>
      <c r="G33" s="120"/>
    </row>
    <row r="34" spans="1:7">
      <c r="A34" s="1019"/>
      <c r="B34" s="127"/>
      <c r="C34" s="120"/>
      <c r="D34" s="127"/>
      <c r="E34" s="120"/>
      <c r="F34" s="127"/>
      <c r="G34" s="120"/>
    </row>
    <row r="35" spans="1:7">
      <c r="A35" s="96" t="s">
        <v>677</v>
      </c>
    </row>
  </sheetData>
  <mergeCells count="1">
    <mergeCell ref="A2:F2"/>
  </mergeCells>
  <pageMargins left="0.49" right="0.55118110236220474" top="0.74803149606299213" bottom="0.86614173228346458" header="0.39370078740157483" footer="0.51181102362204722"/>
  <pageSetup paperSize="9" scale="80" orientation="portrait" horizontalDpi="1200" verticalDpi="1200"/>
  <headerFooter alignWithMargins="0"/>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74A72-C280-9C44-AB12-BA5688C803B2}">
  <sheetPr>
    <pageSetUpPr fitToPage="1"/>
  </sheetPr>
  <dimension ref="A1:H55"/>
  <sheetViews>
    <sheetView topLeftCell="A2" zoomScaleNormal="100" workbookViewId="0">
      <selection activeCell="A3" sqref="A3"/>
    </sheetView>
  </sheetViews>
  <sheetFormatPr baseColWidth="10" defaultColWidth="11.3984375" defaultRowHeight="13"/>
  <cols>
    <col min="1" max="5" width="14.796875" style="3" customWidth="1"/>
    <col min="6" max="6" width="15.59765625" style="3" customWidth="1"/>
    <col min="7" max="7" width="15" style="52" customWidth="1"/>
    <col min="8" max="8" width="12.19921875" style="3" customWidth="1"/>
    <col min="9" max="16384" width="11.3984375" style="3"/>
  </cols>
  <sheetData>
    <row r="1" spans="1:8" s="2" customFormat="1" ht="14" customHeight="1">
      <c r="G1" s="97"/>
    </row>
    <row r="2" spans="1:8" s="2" customFormat="1" ht="46.25" customHeight="1">
      <c r="A2" s="1807" t="s">
        <v>1899</v>
      </c>
      <c r="B2" s="1808"/>
      <c r="C2" s="1808"/>
      <c r="D2" s="1808"/>
      <c r="E2" s="1808"/>
      <c r="F2" s="1808"/>
      <c r="G2" s="71">
        <v>2010</v>
      </c>
    </row>
    <row r="3" spans="1:8" ht="27" customHeight="1">
      <c r="A3" s="72" t="s">
        <v>203</v>
      </c>
      <c r="B3" s="73" t="s">
        <v>204</v>
      </c>
      <c r="C3" s="74" t="s">
        <v>237</v>
      </c>
      <c r="D3" s="73" t="s">
        <v>238</v>
      </c>
      <c r="E3" s="74" t="s">
        <v>190</v>
      </c>
      <c r="F3" s="73" t="s">
        <v>190</v>
      </c>
      <c r="G3" s="1136" t="s">
        <v>1494</v>
      </c>
    </row>
    <row r="4" spans="1:8" ht="15" customHeight="1">
      <c r="A4" s="75"/>
      <c r="B4" s="76"/>
      <c r="C4" s="75"/>
      <c r="D4" s="78"/>
      <c r="E4" s="77" t="s">
        <v>206</v>
      </c>
      <c r="F4" s="76" t="s">
        <v>1900</v>
      </c>
      <c r="G4" s="1137" t="s">
        <v>204</v>
      </c>
    </row>
    <row r="5" spans="1:8" ht="15" customHeight="1">
      <c r="A5" s="75"/>
      <c r="B5" s="76"/>
      <c r="C5" s="75"/>
      <c r="D5" s="78"/>
      <c r="E5" s="77"/>
      <c r="F5" s="76" t="s">
        <v>206</v>
      </c>
      <c r="G5" s="1137" t="s">
        <v>1359</v>
      </c>
    </row>
    <row r="6" spans="1:8" ht="24" customHeight="1">
      <c r="A6" s="79"/>
      <c r="B6" s="80"/>
      <c r="C6" s="79"/>
      <c r="D6" s="80"/>
      <c r="E6" s="81"/>
      <c r="F6" s="82"/>
      <c r="G6" s="742"/>
      <c r="H6" s="83"/>
    </row>
    <row r="7" spans="1:8" ht="30" customHeight="1" thickBot="1">
      <c r="A7" s="84" t="s">
        <v>211</v>
      </c>
      <c r="B7" s="85">
        <v>247617</v>
      </c>
      <c r="C7" s="86">
        <v>538592</v>
      </c>
      <c r="D7" s="85">
        <v>565079</v>
      </c>
      <c r="E7" s="86">
        <v>1103671</v>
      </c>
      <c r="F7" s="85">
        <v>1351288</v>
      </c>
      <c r="G7" s="1138">
        <v>127293</v>
      </c>
      <c r="H7" s="88"/>
    </row>
    <row r="8" spans="1:8" ht="20" customHeight="1" thickBot="1">
      <c r="A8" s="89" t="s">
        <v>212</v>
      </c>
      <c r="B8" s="85">
        <v>177415</v>
      </c>
      <c r="C8" s="86">
        <v>381521</v>
      </c>
      <c r="D8" s="85">
        <v>413280</v>
      </c>
      <c r="E8" s="86">
        <v>794800</v>
      </c>
      <c r="F8" s="85">
        <v>972215</v>
      </c>
      <c r="G8" s="1138">
        <v>90589</v>
      </c>
      <c r="H8" s="88"/>
    </row>
    <row r="9" spans="1:8" ht="20" customHeight="1" thickBot="1">
      <c r="A9" s="89" t="s">
        <v>213</v>
      </c>
      <c r="B9" s="85">
        <v>75598</v>
      </c>
      <c r="C9" s="86">
        <v>146404</v>
      </c>
      <c r="D9" s="85">
        <v>153424</v>
      </c>
      <c r="E9" s="86">
        <v>299827</v>
      </c>
      <c r="F9" s="85">
        <v>375425</v>
      </c>
      <c r="G9" s="1138">
        <v>38745</v>
      </c>
      <c r="H9" s="88"/>
    </row>
    <row r="10" spans="1:8" ht="20" customHeight="1" thickBot="1">
      <c r="A10" s="89" t="s">
        <v>214</v>
      </c>
      <c r="B10" s="85">
        <v>7094</v>
      </c>
      <c r="C10" s="86">
        <v>14062</v>
      </c>
      <c r="D10" s="85">
        <v>14136</v>
      </c>
      <c r="E10" s="86">
        <v>28200</v>
      </c>
      <c r="F10" s="85">
        <v>35294</v>
      </c>
      <c r="G10" s="1138">
        <v>3657</v>
      </c>
      <c r="H10" s="88"/>
    </row>
    <row r="11" spans="1:8" ht="20" customHeight="1" thickBot="1">
      <c r="A11" s="89" t="s">
        <v>215</v>
      </c>
      <c r="B11" s="85">
        <v>29087</v>
      </c>
      <c r="C11" s="86">
        <v>59015</v>
      </c>
      <c r="D11" s="85">
        <v>57509</v>
      </c>
      <c r="E11" s="86">
        <v>116525</v>
      </c>
      <c r="F11" s="85">
        <v>145612</v>
      </c>
      <c r="G11" s="1138">
        <v>14860</v>
      </c>
      <c r="H11" s="88"/>
    </row>
    <row r="12" spans="1:8" ht="20" customHeight="1" thickBot="1">
      <c r="A12" s="89" t="s">
        <v>216</v>
      </c>
      <c r="B12" s="85">
        <v>7296</v>
      </c>
      <c r="C12" s="86">
        <v>14213</v>
      </c>
      <c r="D12" s="85">
        <v>14205</v>
      </c>
      <c r="E12" s="86">
        <v>28418</v>
      </c>
      <c r="F12" s="85">
        <v>35714</v>
      </c>
      <c r="G12" s="1138">
        <v>3684</v>
      </c>
      <c r="H12" s="88"/>
    </row>
    <row r="13" spans="1:8" ht="20" customHeight="1" thickBot="1">
      <c r="A13" s="89" t="s">
        <v>217</v>
      </c>
      <c r="B13" s="85">
        <v>7558</v>
      </c>
      <c r="C13" s="86">
        <v>16536</v>
      </c>
      <c r="D13" s="85">
        <v>16344</v>
      </c>
      <c r="E13" s="86">
        <v>32881</v>
      </c>
      <c r="F13" s="85">
        <v>40438</v>
      </c>
      <c r="G13" s="1138">
        <v>3888</v>
      </c>
      <c r="H13" s="88"/>
    </row>
    <row r="14" spans="1:8" ht="20" customHeight="1" thickBot="1">
      <c r="A14" s="89" t="s">
        <v>218</v>
      </c>
      <c r="B14" s="85">
        <v>7327</v>
      </c>
      <c r="C14" s="86">
        <v>15476</v>
      </c>
      <c r="D14" s="85">
        <v>15793</v>
      </c>
      <c r="E14" s="86">
        <v>31271</v>
      </c>
      <c r="F14" s="85">
        <v>38598</v>
      </c>
      <c r="G14" s="1138">
        <v>3789</v>
      </c>
      <c r="H14" s="88"/>
    </row>
    <row r="15" spans="1:8" ht="20" customHeight="1" thickBot="1">
      <c r="A15" s="89" t="s">
        <v>219</v>
      </c>
      <c r="B15" s="85">
        <v>21456</v>
      </c>
      <c r="C15" s="86">
        <v>45016</v>
      </c>
      <c r="D15" s="85">
        <v>44932</v>
      </c>
      <c r="E15" s="86">
        <v>89946</v>
      </c>
      <c r="F15" s="85">
        <v>111402</v>
      </c>
      <c r="G15" s="1138">
        <v>10925</v>
      </c>
      <c r="H15" s="88"/>
    </row>
    <row r="16" spans="1:8" ht="20" customHeight="1" thickBot="1">
      <c r="A16" s="89" t="s">
        <v>220</v>
      </c>
      <c r="B16" s="85">
        <v>61904</v>
      </c>
      <c r="C16" s="86">
        <v>107213</v>
      </c>
      <c r="D16" s="85">
        <v>109161</v>
      </c>
      <c r="E16" s="86">
        <v>216375</v>
      </c>
      <c r="F16" s="85">
        <v>278279</v>
      </c>
      <c r="G16" s="1138">
        <v>31686</v>
      </c>
      <c r="H16" s="88"/>
    </row>
    <row r="17" spans="1:8" ht="20" customHeight="1" thickBot="1">
      <c r="A17" s="89" t="s">
        <v>221</v>
      </c>
      <c r="B17" s="85">
        <v>47377</v>
      </c>
      <c r="C17" s="86">
        <v>101655</v>
      </c>
      <c r="D17" s="85">
        <v>106275</v>
      </c>
      <c r="E17" s="86">
        <v>207931</v>
      </c>
      <c r="F17" s="85">
        <v>255308</v>
      </c>
      <c r="G17" s="1138">
        <v>24403</v>
      </c>
      <c r="H17" s="88"/>
    </row>
    <row r="18" spans="1:8" ht="20" customHeight="1" thickBot="1">
      <c r="A18" s="89" t="s">
        <v>222</v>
      </c>
      <c r="B18" s="85">
        <v>28135</v>
      </c>
      <c r="C18" s="86">
        <v>72318</v>
      </c>
      <c r="D18" s="85">
        <v>81437</v>
      </c>
      <c r="E18" s="86">
        <v>153755</v>
      </c>
      <c r="F18" s="85">
        <v>181890</v>
      </c>
      <c r="G18" s="1138">
        <v>14430</v>
      </c>
      <c r="H18" s="88"/>
    </row>
    <row r="19" spans="1:8" ht="20" customHeight="1" thickBot="1">
      <c r="A19" s="89" t="s">
        <v>223</v>
      </c>
      <c r="B19" s="85">
        <v>49415</v>
      </c>
      <c r="C19" s="86">
        <v>108457</v>
      </c>
      <c r="D19" s="85">
        <v>115434</v>
      </c>
      <c r="E19" s="86">
        <v>223888</v>
      </c>
      <c r="F19" s="85">
        <v>273304</v>
      </c>
      <c r="G19" s="1138">
        <v>25267</v>
      </c>
      <c r="H19" s="88"/>
    </row>
    <row r="20" spans="1:8" ht="20" customHeight="1" thickBot="1">
      <c r="A20" s="89" t="s">
        <v>224</v>
      </c>
      <c r="B20" s="85">
        <v>13672</v>
      </c>
      <c r="C20" s="86">
        <v>30916</v>
      </c>
      <c r="D20" s="85">
        <v>32439</v>
      </c>
      <c r="E20" s="86">
        <v>63359</v>
      </c>
      <c r="F20" s="85">
        <v>77030</v>
      </c>
      <c r="G20" s="1138">
        <v>7074</v>
      </c>
      <c r="H20" s="88"/>
    </row>
    <row r="21" spans="1:8" ht="20" customHeight="1" thickBot="1">
      <c r="A21" s="89" t="s">
        <v>225</v>
      </c>
      <c r="B21" s="85">
        <v>10531</v>
      </c>
      <c r="C21" s="86">
        <v>21176</v>
      </c>
      <c r="D21" s="85">
        <v>21718</v>
      </c>
      <c r="E21" s="86">
        <v>42894</v>
      </c>
      <c r="F21" s="85">
        <v>53425</v>
      </c>
      <c r="G21" s="1138">
        <v>5553</v>
      </c>
      <c r="H21" s="88"/>
    </row>
    <row r="22" spans="1:8" ht="20" customHeight="1" thickBot="1">
      <c r="A22" s="89" t="s">
        <v>226</v>
      </c>
      <c r="B22" s="85">
        <v>3478</v>
      </c>
      <c r="C22" s="86">
        <v>6227</v>
      </c>
      <c r="D22" s="85">
        <v>5947</v>
      </c>
      <c r="E22" s="86">
        <v>12174</v>
      </c>
      <c r="F22" s="85">
        <v>15652</v>
      </c>
      <c r="G22" s="1138">
        <v>1776</v>
      </c>
      <c r="H22" s="88"/>
    </row>
    <row r="23" spans="1:8" ht="20" customHeight="1" thickBot="1">
      <c r="A23" s="89" t="s">
        <v>227</v>
      </c>
      <c r="B23" s="85">
        <v>96504</v>
      </c>
      <c r="C23" s="86">
        <v>186568</v>
      </c>
      <c r="D23" s="85">
        <v>193070</v>
      </c>
      <c r="E23" s="86">
        <v>379638</v>
      </c>
      <c r="F23" s="85">
        <v>476142</v>
      </c>
      <c r="G23" s="1138">
        <v>49184</v>
      </c>
      <c r="H23" s="88"/>
    </row>
    <row r="24" spans="1:8" ht="20" customHeight="1" thickBot="1">
      <c r="A24" s="89" t="s">
        <v>228</v>
      </c>
      <c r="B24" s="85">
        <v>34507</v>
      </c>
      <c r="C24" s="86">
        <v>80257</v>
      </c>
      <c r="D24" s="85">
        <v>81496</v>
      </c>
      <c r="E24" s="86">
        <v>161752</v>
      </c>
      <c r="F24" s="85">
        <v>196259</v>
      </c>
      <c r="G24" s="1138">
        <v>17672</v>
      </c>
      <c r="H24" s="88"/>
    </row>
    <row r="25" spans="1:8" ht="20" customHeight="1" thickBot="1">
      <c r="A25" s="89" t="s">
        <v>229</v>
      </c>
      <c r="B25" s="85">
        <v>118801</v>
      </c>
      <c r="C25" s="86">
        <v>243058</v>
      </c>
      <c r="D25" s="85">
        <v>247543</v>
      </c>
      <c r="E25" s="86">
        <v>490598</v>
      </c>
      <c r="F25" s="85">
        <v>609399</v>
      </c>
      <c r="G25" s="1138">
        <v>61190</v>
      </c>
      <c r="H25" s="88"/>
    </row>
    <row r="26" spans="1:8" ht="20" customHeight="1" thickBot="1">
      <c r="A26" s="89" t="s">
        <v>230</v>
      </c>
      <c r="B26" s="85">
        <v>50218</v>
      </c>
      <c r="C26" s="86">
        <v>98182</v>
      </c>
      <c r="D26" s="85">
        <v>99334</v>
      </c>
      <c r="E26" s="86">
        <v>197516</v>
      </c>
      <c r="F26" s="85">
        <v>247735</v>
      </c>
      <c r="G26" s="1138">
        <v>25791</v>
      </c>
      <c r="H26" s="88"/>
    </row>
    <row r="27" spans="1:8" ht="20" customHeight="1" thickBot="1">
      <c r="A27" s="89" t="s">
        <v>231</v>
      </c>
      <c r="B27" s="85">
        <v>58506</v>
      </c>
      <c r="C27" s="86">
        <v>129187</v>
      </c>
      <c r="D27" s="85">
        <v>142527</v>
      </c>
      <c r="E27" s="86">
        <v>271713</v>
      </c>
      <c r="F27" s="85">
        <v>330220</v>
      </c>
      <c r="G27" s="1138">
        <v>29939</v>
      </c>
      <c r="H27" s="88"/>
    </row>
    <row r="28" spans="1:8" ht="20" customHeight="1" thickBot="1">
      <c r="A28" s="89" t="s">
        <v>232</v>
      </c>
      <c r="B28" s="85">
        <v>145666</v>
      </c>
      <c r="C28" s="86">
        <v>260112</v>
      </c>
      <c r="D28" s="85">
        <v>283680</v>
      </c>
      <c r="E28" s="86">
        <v>543792</v>
      </c>
      <c r="F28" s="85">
        <v>689457</v>
      </c>
      <c r="G28" s="1138">
        <v>74627</v>
      </c>
      <c r="H28" s="88"/>
    </row>
    <row r="29" spans="1:8" ht="20" customHeight="1" thickBot="1">
      <c r="A29" s="89" t="s">
        <v>233</v>
      </c>
      <c r="B29" s="85">
        <v>60381</v>
      </c>
      <c r="C29" s="86">
        <v>123804</v>
      </c>
      <c r="D29" s="85">
        <v>128407</v>
      </c>
      <c r="E29" s="86">
        <v>252210</v>
      </c>
      <c r="F29" s="85">
        <v>312591</v>
      </c>
      <c r="G29" s="1138">
        <v>30997</v>
      </c>
      <c r="H29" s="88"/>
    </row>
    <row r="30" spans="1:8" ht="20" customHeight="1" thickBot="1">
      <c r="A30" s="89" t="s">
        <v>234</v>
      </c>
      <c r="B30" s="85">
        <v>35566</v>
      </c>
      <c r="C30" s="86">
        <v>65051</v>
      </c>
      <c r="D30" s="85">
        <v>71143</v>
      </c>
      <c r="E30" s="86">
        <v>136194</v>
      </c>
      <c r="F30" s="85">
        <v>171760</v>
      </c>
      <c r="G30" s="1138">
        <v>18323</v>
      </c>
      <c r="H30" s="88"/>
    </row>
    <row r="31" spans="1:8" ht="20" customHeight="1" thickBot="1">
      <c r="A31" s="89" t="s">
        <v>235</v>
      </c>
      <c r="B31" s="85">
        <v>88173</v>
      </c>
      <c r="C31" s="86">
        <v>156935</v>
      </c>
      <c r="D31" s="85">
        <v>174825</v>
      </c>
      <c r="E31" s="86">
        <v>331759</v>
      </c>
      <c r="F31" s="85">
        <v>419932</v>
      </c>
      <c r="G31" s="1138">
        <v>45121</v>
      </c>
      <c r="H31" s="88"/>
    </row>
    <row r="32" spans="1:8" ht="20" customHeight="1" thickBot="1">
      <c r="A32" s="90" t="s">
        <v>236</v>
      </c>
      <c r="B32" s="85">
        <v>14960</v>
      </c>
      <c r="C32" s="86">
        <v>26948</v>
      </c>
      <c r="D32" s="85">
        <v>28481</v>
      </c>
      <c r="E32" s="86">
        <v>55431</v>
      </c>
      <c r="F32" s="85">
        <v>70390</v>
      </c>
      <c r="G32" s="1138">
        <v>7739</v>
      </c>
      <c r="H32" s="88"/>
    </row>
    <row r="33" spans="1:8" ht="30" customHeight="1" thickBot="1">
      <c r="A33" s="91" t="s">
        <v>0</v>
      </c>
      <c r="B33" s="92">
        <v>1498242</v>
      </c>
      <c r="C33" s="93">
        <v>3048899</v>
      </c>
      <c r="D33" s="92">
        <v>3217619</v>
      </c>
      <c r="E33" s="93">
        <v>6266518</v>
      </c>
      <c r="F33" s="92">
        <v>7764759</v>
      </c>
      <c r="G33" s="98">
        <v>768202</v>
      </c>
      <c r="H33" s="88"/>
    </row>
    <row r="34" spans="1:8" ht="20" customHeight="1">
      <c r="A34" s="95" t="s">
        <v>1921</v>
      </c>
      <c r="B34" s="95"/>
      <c r="C34" s="95"/>
      <c r="D34" s="95"/>
      <c r="E34" s="95"/>
      <c r="F34" s="95"/>
      <c r="H34" s="83"/>
    </row>
    <row r="35" spans="1:8" ht="11.25" customHeight="1">
      <c r="A35" s="96"/>
      <c r="B35" s="96"/>
      <c r="C35" s="96"/>
      <c r="D35" s="96"/>
      <c r="E35" s="96"/>
      <c r="F35" s="96"/>
      <c r="H35" s="83"/>
    </row>
    <row r="36" spans="1:8" ht="14.25" customHeight="1">
      <c r="A36" s="96" t="s">
        <v>1859</v>
      </c>
      <c r="B36" s="96"/>
      <c r="C36" s="96"/>
      <c r="D36" s="96"/>
      <c r="E36" s="96"/>
      <c r="F36" s="96"/>
      <c r="H36" s="83"/>
    </row>
    <row r="37" spans="1:8" ht="13.5" customHeight="1">
      <c r="A37" s="96"/>
      <c r="B37" s="96"/>
      <c r="C37" s="96"/>
      <c r="D37" s="96"/>
      <c r="E37" s="96"/>
      <c r="F37" s="96"/>
      <c r="H37" s="83"/>
    </row>
    <row r="38" spans="1:8" ht="12" customHeight="1">
      <c r="A38" s="96" t="s">
        <v>1901</v>
      </c>
    </row>
    <row r="39" spans="1:8" ht="12.75" customHeight="1">
      <c r="A39" s="1139" t="s">
        <v>1902</v>
      </c>
      <c r="G39" s="3"/>
    </row>
    <row r="40" spans="1:8" ht="12" customHeight="1">
      <c r="A40" s="966" t="s">
        <v>1903</v>
      </c>
      <c r="G40" s="3"/>
    </row>
    <row r="41" spans="1:8" ht="12" customHeight="1">
      <c r="A41" s="96" t="s">
        <v>1904</v>
      </c>
      <c r="G41" s="3"/>
    </row>
    <row r="42" spans="1:8" ht="12" customHeight="1">
      <c r="A42" s="3" t="s">
        <v>1905</v>
      </c>
      <c r="G42" s="3"/>
    </row>
    <row r="43" spans="1:8" ht="12" customHeight="1">
      <c r="A43" s="3" t="s">
        <v>1906</v>
      </c>
      <c r="G43" s="3"/>
    </row>
    <row r="44" spans="1:8" ht="12" customHeight="1">
      <c r="A44" s="3" t="s">
        <v>1907</v>
      </c>
      <c r="G44" s="3"/>
    </row>
    <row r="45" spans="1:8" ht="12" customHeight="1">
      <c r="A45" s="3" t="s">
        <v>1908</v>
      </c>
      <c r="G45" s="3"/>
    </row>
    <row r="46" spans="1:8" ht="12" customHeight="1">
      <c r="A46" s="1140" t="s">
        <v>1909</v>
      </c>
      <c r="G46" s="3"/>
    </row>
    <row r="47" spans="1:8" ht="12" customHeight="1">
      <c r="A47" s="3" t="s">
        <v>1910</v>
      </c>
      <c r="G47" s="3"/>
    </row>
    <row r="48" spans="1:8" ht="12" customHeight="1">
      <c r="A48" s="1140" t="s">
        <v>1911</v>
      </c>
      <c r="G48" s="3"/>
    </row>
    <row r="49" spans="1:7" ht="12" customHeight="1">
      <c r="A49" s="1140" t="s">
        <v>1912</v>
      </c>
      <c r="G49" s="3"/>
    </row>
    <row r="50" spans="1:7" ht="12" customHeight="1">
      <c r="A50" s="1140" t="s">
        <v>1913</v>
      </c>
      <c r="G50" s="3"/>
    </row>
    <row r="51" spans="1:7" ht="12" customHeight="1">
      <c r="A51" s="1139" t="s">
        <v>1914</v>
      </c>
      <c r="G51" s="3"/>
    </row>
    <row r="52" spans="1:7" ht="12" customHeight="1">
      <c r="A52" s="1141" t="s">
        <v>1915</v>
      </c>
      <c r="G52" s="3"/>
    </row>
    <row r="53" spans="1:7" ht="12" customHeight="1"/>
    <row r="54" spans="1:7" ht="12" customHeight="1"/>
    <row r="55" spans="1:7" ht="12" customHeight="1">
      <c r="A55" s="96" t="s">
        <v>677</v>
      </c>
    </row>
  </sheetData>
  <mergeCells count="1">
    <mergeCell ref="A2:F2"/>
  </mergeCells>
  <pageMargins left="0.51181102362204722" right="0.28999999999999998" top="0.43307086614173229" bottom="0.47244094488188981" header="0.31496062992125984" footer="0.51181102362204722"/>
  <pageSetup paperSize="9" scale="83" orientation="portrait"/>
  <headerFooter alignWithMargins="0"/>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CB0C3-0FD3-E14C-BC8E-8DC3564CB52E}">
  <sheetPr>
    <pageSetUpPr fitToPage="1"/>
  </sheetPr>
  <dimension ref="A1:H42"/>
  <sheetViews>
    <sheetView topLeftCell="A19" zoomScaleNormal="100" workbookViewId="0">
      <selection activeCell="A37" sqref="A37"/>
    </sheetView>
  </sheetViews>
  <sheetFormatPr baseColWidth="10" defaultColWidth="11.3984375" defaultRowHeight="13"/>
  <cols>
    <col min="1" max="3" width="14.796875" style="3" customWidth="1"/>
    <col min="4" max="4" width="15.796875" style="3" customWidth="1"/>
    <col min="5" max="5" width="15.59765625" style="3" customWidth="1"/>
    <col min="6" max="6" width="16.19921875" style="3" customWidth="1"/>
    <col min="7" max="7" width="13.59765625" style="3" customWidth="1"/>
    <col min="8" max="8" width="15.19921875" style="3" hidden="1" customWidth="1"/>
    <col min="9" max="9" width="8.796875" style="3" customWidth="1"/>
    <col min="10" max="16384" width="11.3984375" style="3"/>
  </cols>
  <sheetData>
    <row r="1" spans="1:8" s="2" customFormat="1" ht="14" customHeight="1"/>
    <row r="2" spans="1:8" s="2" customFormat="1" ht="45" customHeight="1">
      <c r="A2" s="1807" t="s">
        <v>1916</v>
      </c>
      <c r="B2" s="1811"/>
      <c r="C2" s="1811"/>
      <c r="D2" s="1811"/>
      <c r="E2" s="1811"/>
      <c r="F2" s="71">
        <v>2010</v>
      </c>
    </row>
    <row r="3" spans="1:8" ht="27" customHeight="1">
      <c r="A3" s="72" t="s">
        <v>203</v>
      </c>
      <c r="B3" s="73" t="s">
        <v>204</v>
      </c>
      <c r="C3" s="74" t="s">
        <v>237</v>
      </c>
      <c r="D3" s="73" t="s">
        <v>238</v>
      </c>
      <c r="E3" s="74" t="s">
        <v>190</v>
      </c>
      <c r="F3" s="73" t="s">
        <v>190</v>
      </c>
    </row>
    <row r="4" spans="1:8" ht="15" customHeight="1">
      <c r="A4" s="75"/>
      <c r="B4" s="76"/>
      <c r="C4" s="75"/>
      <c r="D4" s="78"/>
      <c r="E4" s="77" t="s">
        <v>1917</v>
      </c>
      <c r="F4" s="76" t="s">
        <v>1900</v>
      </c>
    </row>
    <row r="5" spans="1:8" ht="15" customHeight="1">
      <c r="A5" s="75"/>
      <c r="B5" s="76"/>
      <c r="C5" s="75"/>
      <c r="D5" s="78"/>
      <c r="E5" s="77" t="s">
        <v>1918</v>
      </c>
      <c r="F5" s="76" t="s">
        <v>206</v>
      </c>
    </row>
    <row r="6" spans="1:8" ht="24" customHeight="1">
      <c r="A6" s="79"/>
      <c r="B6" s="80"/>
      <c r="C6" s="79"/>
      <c r="D6" s="80"/>
      <c r="E6" s="81"/>
      <c r="F6" s="82"/>
    </row>
    <row r="7" spans="1:8" ht="30" customHeight="1" thickBot="1">
      <c r="A7" s="84" t="s">
        <v>211</v>
      </c>
      <c r="B7" s="111">
        <v>222579383</v>
      </c>
      <c r="C7" s="112">
        <v>1375579266</v>
      </c>
      <c r="D7" s="111">
        <v>1984715619</v>
      </c>
      <c r="E7" s="112">
        <v>3360294885</v>
      </c>
      <c r="F7" s="111">
        <v>3582874268</v>
      </c>
      <c r="H7" s="8">
        <v>2156035045</v>
      </c>
    </row>
    <row r="8" spans="1:8" ht="20" customHeight="1" thickBot="1">
      <c r="A8" s="89" t="s">
        <v>212</v>
      </c>
      <c r="B8" s="318">
        <v>134844008</v>
      </c>
      <c r="C8" s="319">
        <v>1093791006</v>
      </c>
      <c r="D8" s="318">
        <v>1577770360</v>
      </c>
      <c r="E8" s="319">
        <v>2671561366</v>
      </c>
      <c r="F8" s="318">
        <v>2806405374</v>
      </c>
      <c r="H8" s="8">
        <v>1563935884</v>
      </c>
    </row>
    <row r="9" spans="1:8" ht="20" customHeight="1" thickBot="1">
      <c r="A9" s="89" t="s">
        <v>213</v>
      </c>
      <c r="B9" s="318">
        <v>52826700</v>
      </c>
      <c r="C9" s="319">
        <v>329063318</v>
      </c>
      <c r="D9" s="318">
        <v>475843200</v>
      </c>
      <c r="E9" s="319">
        <v>804906518</v>
      </c>
      <c r="F9" s="318">
        <v>857733218</v>
      </c>
      <c r="H9" s="8">
        <v>464604355</v>
      </c>
    </row>
    <row r="10" spans="1:8" ht="20" customHeight="1" thickBot="1">
      <c r="A10" s="89" t="s">
        <v>214</v>
      </c>
      <c r="B10" s="318">
        <v>4580336</v>
      </c>
      <c r="C10" s="319">
        <v>30676632</v>
      </c>
      <c r="D10" s="318">
        <v>41620544</v>
      </c>
      <c r="E10" s="319">
        <v>72297176</v>
      </c>
      <c r="F10" s="318">
        <v>76877512</v>
      </c>
      <c r="H10" s="8">
        <v>45901795</v>
      </c>
    </row>
    <row r="11" spans="1:8" ht="20" customHeight="1" thickBot="1">
      <c r="A11" s="89" t="s">
        <v>215</v>
      </c>
      <c r="B11" s="318">
        <v>23962636</v>
      </c>
      <c r="C11" s="319">
        <v>128133085</v>
      </c>
      <c r="D11" s="318">
        <v>171358629</v>
      </c>
      <c r="E11" s="319">
        <v>299491714</v>
      </c>
      <c r="F11" s="318">
        <v>323454350</v>
      </c>
      <c r="H11" s="8">
        <v>171549320</v>
      </c>
    </row>
    <row r="12" spans="1:8" ht="20" customHeight="1" thickBot="1">
      <c r="A12" s="89" t="s">
        <v>216</v>
      </c>
      <c r="B12" s="318">
        <v>5007286</v>
      </c>
      <c r="C12" s="319">
        <v>27566684</v>
      </c>
      <c r="D12" s="318">
        <v>40099659</v>
      </c>
      <c r="E12" s="319">
        <v>67666343</v>
      </c>
      <c r="F12" s="318">
        <v>72673629</v>
      </c>
      <c r="H12" s="8">
        <v>41764939</v>
      </c>
    </row>
    <row r="13" spans="1:8" ht="20" customHeight="1" thickBot="1">
      <c r="A13" s="89" t="s">
        <v>217</v>
      </c>
      <c r="B13" s="318">
        <v>4894827</v>
      </c>
      <c r="C13" s="319">
        <v>32475599</v>
      </c>
      <c r="D13" s="318">
        <v>44373610</v>
      </c>
      <c r="E13" s="319">
        <v>76849209</v>
      </c>
      <c r="F13" s="318">
        <v>81744036</v>
      </c>
      <c r="H13" s="8">
        <v>44323506</v>
      </c>
    </row>
    <row r="14" spans="1:8" ht="20" customHeight="1" thickBot="1">
      <c r="A14" s="89" t="s">
        <v>218</v>
      </c>
      <c r="B14" s="318">
        <v>5526402</v>
      </c>
      <c r="C14" s="319">
        <v>35817459</v>
      </c>
      <c r="D14" s="318">
        <v>49485702</v>
      </c>
      <c r="E14" s="319">
        <v>85303161</v>
      </c>
      <c r="F14" s="318">
        <v>90829563</v>
      </c>
      <c r="H14" s="8">
        <v>55927154</v>
      </c>
    </row>
    <row r="15" spans="1:8" ht="20" customHeight="1" thickBot="1">
      <c r="A15" s="89" t="s">
        <v>219</v>
      </c>
      <c r="B15" s="318">
        <v>16141767</v>
      </c>
      <c r="C15" s="319">
        <v>95185399</v>
      </c>
      <c r="D15" s="318">
        <v>135972787</v>
      </c>
      <c r="E15" s="319">
        <v>231158186</v>
      </c>
      <c r="F15" s="318">
        <v>247299953</v>
      </c>
      <c r="H15" s="8">
        <v>128772453</v>
      </c>
    </row>
    <row r="16" spans="1:8" ht="20" customHeight="1" thickBot="1">
      <c r="A16" s="89" t="s">
        <v>220</v>
      </c>
      <c r="B16" s="318">
        <v>48619252</v>
      </c>
      <c r="C16" s="319">
        <v>266194188</v>
      </c>
      <c r="D16" s="318">
        <v>370831469</v>
      </c>
      <c r="E16" s="319">
        <v>637025657</v>
      </c>
      <c r="F16" s="318">
        <v>685644909</v>
      </c>
      <c r="H16" s="8">
        <v>391250033</v>
      </c>
    </row>
    <row r="17" spans="1:8" ht="20" customHeight="1" thickBot="1">
      <c r="A17" s="89" t="s">
        <v>221</v>
      </c>
      <c r="B17" s="318">
        <v>38946111</v>
      </c>
      <c r="C17" s="319">
        <v>254541760</v>
      </c>
      <c r="D17" s="318">
        <v>352934734</v>
      </c>
      <c r="E17" s="319">
        <v>607476494</v>
      </c>
      <c r="F17" s="318">
        <v>646422605</v>
      </c>
      <c r="H17" s="8">
        <v>393696828</v>
      </c>
    </row>
    <row r="18" spans="1:8" ht="20" customHeight="1" thickBot="1">
      <c r="A18" s="89" t="s">
        <v>222</v>
      </c>
      <c r="B18" s="318">
        <v>32032835</v>
      </c>
      <c r="C18" s="319">
        <v>252765960</v>
      </c>
      <c r="D18" s="318">
        <v>390709411</v>
      </c>
      <c r="E18" s="319">
        <v>643475371</v>
      </c>
      <c r="F18" s="318">
        <v>675508206</v>
      </c>
      <c r="H18" s="8">
        <v>473520714</v>
      </c>
    </row>
    <row r="19" spans="1:8" ht="20" customHeight="1" thickBot="1">
      <c r="A19" s="89" t="s">
        <v>223</v>
      </c>
      <c r="B19" s="318">
        <v>47883280</v>
      </c>
      <c r="C19" s="319">
        <v>303569228</v>
      </c>
      <c r="D19" s="318">
        <v>438076476</v>
      </c>
      <c r="E19" s="319">
        <v>741645704</v>
      </c>
      <c r="F19" s="318">
        <v>789528984</v>
      </c>
      <c r="H19" s="8">
        <v>469771093</v>
      </c>
    </row>
    <row r="20" spans="1:8" ht="20" customHeight="1" thickBot="1">
      <c r="A20" s="89" t="s">
        <v>224</v>
      </c>
      <c r="B20" s="318">
        <v>10165562</v>
      </c>
      <c r="C20" s="319">
        <v>75711947</v>
      </c>
      <c r="D20" s="318">
        <v>112451567</v>
      </c>
      <c r="E20" s="319">
        <v>188163514</v>
      </c>
      <c r="F20" s="318">
        <v>198329076</v>
      </c>
      <c r="H20" s="8">
        <v>127694959</v>
      </c>
    </row>
    <row r="21" spans="1:8" ht="20" customHeight="1" thickBot="1">
      <c r="A21" s="89" t="s">
        <v>225</v>
      </c>
      <c r="B21" s="318">
        <v>7595561</v>
      </c>
      <c r="C21" s="319">
        <v>44517166</v>
      </c>
      <c r="D21" s="318">
        <v>61793668</v>
      </c>
      <c r="E21" s="319">
        <v>106310834</v>
      </c>
      <c r="F21" s="318">
        <v>113906395</v>
      </c>
      <c r="H21" s="8">
        <v>69489100</v>
      </c>
    </row>
    <row r="22" spans="1:8" ht="20" customHeight="1" thickBot="1">
      <c r="A22" s="89" t="s">
        <v>226</v>
      </c>
      <c r="B22" s="318">
        <v>2109032</v>
      </c>
      <c r="C22" s="319">
        <v>11689965</v>
      </c>
      <c r="D22" s="318">
        <v>14059709</v>
      </c>
      <c r="E22" s="319">
        <v>25749674</v>
      </c>
      <c r="F22" s="318">
        <v>27858706</v>
      </c>
      <c r="H22" s="8">
        <v>16712649</v>
      </c>
    </row>
    <row r="23" spans="1:8" ht="20" customHeight="1" thickBot="1">
      <c r="A23" s="89" t="s">
        <v>227</v>
      </c>
      <c r="B23" s="318">
        <v>72567896</v>
      </c>
      <c r="C23" s="319">
        <v>411902775</v>
      </c>
      <c r="D23" s="318">
        <v>579661433</v>
      </c>
      <c r="E23" s="319">
        <v>991564208</v>
      </c>
      <c r="F23" s="318">
        <v>1064132104</v>
      </c>
      <c r="H23" s="8">
        <v>615853738</v>
      </c>
    </row>
    <row r="24" spans="1:8" ht="20" customHeight="1" thickBot="1">
      <c r="A24" s="89" t="s">
        <v>228</v>
      </c>
      <c r="B24" s="318">
        <v>28020518</v>
      </c>
      <c r="C24" s="319">
        <v>175639583</v>
      </c>
      <c r="D24" s="318">
        <v>251434784</v>
      </c>
      <c r="E24" s="319">
        <v>427074367</v>
      </c>
      <c r="F24" s="318">
        <v>455094885</v>
      </c>
      <c r="H24" s="8">
        <v>264690646</v>
      </c>
    </row>
    <row r="25" spans="1:8" ht="20" customHeight="1" thickBot="1">
      <c r="A25" s="89" t="s">
        <v>229</v>
      </c>
      <c r="B25" s="318">
        <v>99811685</v>
      </c>
      <c r="C25" s="319">
        <v>577594590</v>
      </c>
      <c r="D25" s="318">
        <v>797457863</v>
      </c>
      <c r="E25" s="319">
        <v>1375052453</v>
      </c>
      <c r="F25" s="318">
        <v>1474864138</v>
      </c>
      <c r="H25" s="8">
        <v>819222625</v>
      </c>
    </row>
    <row r="26" spans="1:8" ht="20" customHeight="1" thickBot="1">
      <c r="A26" s="89" t="s">
        <v>230</v>
      </c>
      <c r="B26" s="318">
        <v>38713864</v>
      </c>
      <c r="C26" s="319">
        <v>219913863</v>
      </c>
      <c r="D26" s="318">
        <v>301112375</v>
      </c>
      <c r="E26" s="319">
        <v>521026238</v>
      </c>
      <c r="F26" s="318">
        <v>559740102</v>
      </c>
      <c r="H26" s="8">
        <v>344655658</v>
      </c>
    </row>
    <row r="27" spans="1:8" ht="20" customHeight="1" thickBot="1">
      <c r="A27" s="89" t="s">
        <v>231</v>
      </c>
      <c r="B27" s="318">
        <v>50394993</v>
      </c>
      <c r="C27" s="319">
        <v>400064940</v>
      </c>
      <c r="D27" s="318">
        <v>558762094</v>
      </c>
      <c r="E27" s="319">
        <v>958827034</v>
      </c>
      <c r="F27" s="318">
        <v>1009222027</v>
      </c>
      <c r="H27" s="8">
        <v>627641817</v>
      </c>
    </row>
    <row r="28" spans="1:8" ht="20" customHeight="1" thickBot="1">
      <c r="A28" s="89" t="s">
        <v>232</v>
      </c>
      <c r="B28" s="318">
        <v>145490170</v>
      </c>
      <c r="C28" s="319">
        <v>765290659</v>
      </c>
      <c r="D28" s="318">
        <v>1157729362</v>
      </c>
      <c r="E28" s="319">
        <v>1923020021</v>
      </c>
      <c r="F28" s="318">
        <v>2068510191</v>
      </c>
      <c r="H28" s="8">
        <v>1280335377</v>
      </c>
    </row>
    <row r="29" spans="1:8" ht="20" customHeight="1" thickBot="1">
      <c r="A29" s="89" t="s">
        <v>233</v>
      </c>
      <c r="B29" s="318">
        <v>46465774</v>
      </c>
      <c r="C29" s="319">
        <v>306505642</v>
      </c>
      <c r="D29" s="318">
        <v>415680045</v>
      </c>
      <c r="E29" s="319">
        <v>722185687</v>
      </c>
      <c r="F29" s="318">
        <v>768651461</v>
      </c>
      <c r="H29" s="8">
        <v>410743307</v>
      </c>
    </row>
    <row r="30" spans="1:8" ht="20" customHeight="1" thickBot="1">
      <c r="A30" s="89" t="s">
        <v>234</v>
      </c>
      <c r="B30" s="318">
        <v>29121502</v>
      </c>
      <c r="C30" s="319">
        <v>176698260</v>
      </c>
      <c r="D30" s="318">
        <v>268366243</v>
      </c>
      <c r="E30" s="319">
        <v>445064503</v>
      </c>
      <c r="F30" s="318">
        <v>474186005</v>
      </c>
      <c r="H30" s="8">
        <v>318756043</v>
      </c>
    </row>
    <row r="31" spans="1:8" ht="20" customHeight="1" thickBot="1">
      <c r="A31" s="89" t="s">
        <v>235</v>
      </c>
      <c r="B31" s="318">
        <v>105857929</v>
      </c>
      <c r="C31" s="319">
        <v>520807126</v>
      </c>
      <c r="D31" s="318">
        <v>821945085</v>
      </c>
      <c r="E31" s="319">
        <v>1342752211</v>
      </c>
      <c r="F31" s="318">
        <v>1448610140</v>
      </c>
      <c r="H31" s="8">
        <v>966736347</v>
      </c>
    </row>
    <row r="32" spans="1:8" ht="20" customHeight="1" thickBot="1">
      <c r="A32" s="90" t="s">
        <v>236</v>
      </c>
      <c r="B32" s="318">
        <v>12398000</v>
      </c>
      <c r="C32" s="319">
        <v>78567606</v>
      </c>
      <c r="D32" s="318">
        <v>109817441</v>
      </c>
      <c r="E32" s="319">
        <v>188385047</v>
      </c>
      <c r="F32" s="318">
        <v>200783047</v>
      </c>
      <c r="H32" s="8">
        <v>146808815</v>
      </c>
    </row>
    <row r="33" spans="1:8" ht="30" customHeight="1" thickBot="1">
      <c r="A33" s="91" t="s">
        <v>0</v>
      </c>
      <c r="B33" s="320">
        <v>1286557309</v>
      </c>
      <c r="C33" s="321">
        <v>7990263706</v>
      </c>
      <c r="D33" s="320">
        <v>11524063869</v>
      </c>
      <c r="E33" s="321">
        <v>19514327575</v>
      </c>
      <c r="F33" s="320">
        <v>20800884884</v>
      </c>
      <c r="H33" s="8">
        <v>12410394200</v>
      </c>
    </row>
    <row r="34" spans="1:8" ht="20" customHeight="1">
      <c r="A34" s="95" t="s">
        <v>1921</v>
      </c>
      <c r="B34" s="95"/>
      <c r="C34" s="95"/>
      <c r="D34" s="95"/>
      <c r="E34" s="95"/>
      <c r="F34" s="95"/>
    </row>
    <row r="35" spans="1:8" ht="12.75" customHeight="1">
      <c r="A35" s="96"/>
      <c r="B35" s="96"/>
      <c r="C35" s="96"/>
      <c r="D35" s="96"/>
      <c r="E35" s="96"/>
      <c r="F35" s="96"/>
    </row>
    <row r="36" spans="1:8" ht="14.25" customHeight="1">
      <c r="A36" s="96" t="s">
        <v>1859</v>
      </c>
      <c r="B36" s="96"/>
      <c r="C36" s="96"/>
      <c r="D36" s="96"/>
      <c r="E36" s="96"/>
      <c r="F36" s="96"/>
    </row>
    <row r="37" spans="1:8" ht="10.5" customHeight="1">
      <c r="A37" s="96"/>
      <c r="B37" s="96"/>
      <c r="C37" s="96"/>
      <c r="D37" s="96"/>
      <c r="E37" s="96"/>
      <c r="F37" s="96"/>
    </row>
    <row r="38" spans="1:8" ht="15" customHeight="1">
      <c r="A38" s="96" t="s">
        <v>1919</v>
      </c>
      <c r="B38" s="96"/>
      <c r="C38" s="96"/>
      <c r="D38" s="96"/>
      <c r="E38" s="96"/>
      <c r="F38" s="96"/>
    </row>
    <row r="39" spans="1:8" ht="15" customHeight="1">
      <c r="A39" s="99" t="s">
        <v>1920</v>
      </c>
    </row>
    <row r="40" spans="1:8" ht="12" customHeight="1"/>
    <row r="41" spans="1:8" ht="12" customHeight="1"/>
    <row r="42" spans="1:8" ht="12" customHeight="1">
      <c r="A42" s="96" t="s">
        <v>677</v>
      </c>
    </row>
  </sheetData>
  <mergeCells count="1">
    <mergeCell ref="A2:E2"/>
  </mergeCells>
  <pageMargins left="0.59055118110236227" right="0.41" top="0.74803149606299213" bottom="0.47244094488188981" header="0.35433070866141736" footer="0.51181102362204722"/>
  <pageSetup paperSize="9" scale="89" orientation="portrait" horizontalDpi="4294967292" verticalDpi="4294967292"/>
  <headerFooter alignWithMargins="0"/>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E202C-EF74-254B-AE9F-5523CCDF091A}">
  <sheetPr>
    <pageSetUpPr fitToPage="1"/>
  </sheetPr>
  <dimension ref="A1:C22"/>
  <sheetViews>
    <sheetView zoomScale="115" zoomScaleNormal="115" workbookViewId="0">
      <selection activeCell="B16" sqref="B16"/>
    </sheetView>
  </sheetViews>
  <sheetFormatPr baseColWidth="10" defaultColWidth="11.59765625" defaultRowHeight="13"/>
  <cols>
    <col min="1" max="1" width="5.59765625" style="673" customWidth="1"/>
    <col min="2" max="16384" width="11.59765625" style="673"/>
  </cols>
  <sheetData>
    <row r="1" spans="1:3" ht="16">
      <c r="A1" s="674" t="s">
        <v>198</v>
      </c>
    </row>
    <row r="3" spans="1:3">
      <c r="A3" s="1595">
        <v>11.01</v>
      </c>
      <c r="B3" s="677" t="s">
        <v>653</v>
      </c>
      <c r="C3" s="1596"/>
    </row>
    <row r="4" spans="1:3">
      <c r="A4" s="1595">
        <v>11.02</v>
      </c>
      <c r="B4" s="677" t="s">
        <v>654</v>
      </c>
      <c r="C4" s="1596"/>
    </row>
    <row r="5" spans="1:3">
      <c r="A5" s="1595">
        <v>11.03</v>
      </c>
      <c r="B5" s="677" t="s">
        <v>199</v>
      </c>
      <c r="C5" s="1596"/>
    </row>
    <row r="6" spans="1:3">
      <c r="A6" s="1595">
        <v>11.04</v>
      </c>
      <c r="B6" s="1597" t="s">
        <v>2259</v>
      </c>
      <c r="C6" s="1596"/>
    </row>
    <row r="7" spans="1:3">
      <c r="A7" s="1595">
        <v>11.05</v>
      </c>
      <c r="B7" s="677" t="s">
        <v>655</v>
      </c>
      <c r="C7" s="1596"/>
    </row>
    <row r="8" spans="1:3">
      <c r="A8" s="1595">
        <v>11.06</v>
      </c>
      <c r="B8" s="677" t="s">
        <v>200</v>
      </c>
      <c r="C8" s="1596"/>
    </row>
    <row r="9" spans="1:3">
      <c r="A9" s="1595">
        <v>11.07</v>
      </c>
      <c r="B9" s="677" t="s">
        <v>656</v>
      </c>
      <c r="C9" s="1596"/>
    </row>
    <row r="10" spans="1:3">
      <c r="A10" s="1595">
        <v>11.08</v>
      </c>
      <c r="B10" s="677" t="s">
        <v>201</v>
      </c>
      <c r="C10" s="1596"/>
    </row>
    <row r="11" spans="1:3">
      <c r="A11" s="1595">
        <v>11.09</v>
      </c>
      <c r="B11" s="677" t="s">
        <v>657</v>
      </c>
      <c r="C11" s="1596"/>
    </row>
    <row r="12" spans="1:3">
      <c r="A12" s="1595">
        <v>11.1</v>
      </c>
      <c r="B12" s="677" t="s">
        <v>2382</v>
      </c>
      <c r="C12" s="1596"/>
    </row>
    <row r="13" spans="1:3">
      <c r="A13" s="1595">
        <v>11.11</v>
      </c>
      <c r="B13" s="1598" t="s">
        <v>658</v>
      </c>
      <c r="C13" s="1596"/>
    </row>
    <row r="14" spans="1:3">
      <c r="A14" s="1595">
        <v>11.12</v>
      </c>
      <c r="B14" s="677" t="s">
        <v>2383</v>
      </c>
      <c r="C14" s="1596"/>
    </row>
    <row r="15" spans="1:3">
      <c r="A15" s="1595">
        <v>11.13</v>
      </c>
      <c r="B15" s="677" t="s">
        <v>2384</v>
      </c>
      <c r="C15" s="1596"/>
    </row>
    <row r="16" spans="1:3">
      <c r="A16" s="1595">
        <v>11.14</v>
      </c>
      <c r="B16" s="1598" t="s">
        <v>659</v>
      </c>
      <c r="C16" s="1596"/>
    </row>
    <row r="17" spans="1:3">
      <c r="A17" s="1595">
        <v>11.15</v>
      </c>
      <c r="B17" s="1598" t="s">
        <v>660</v>
      </c>
      <c r="C17" s="1596"/>
    </row>
    <row r="18" spans="1:3">
      <c r="A18" s="1595">
        <v>11.16</v>
      </c>
      <c r="B18" s="1598" t="s">
        <v>661</v>
      </c>
      <c r="C18" s="1596"/>
    </row>
    <row r="19" spans="1:3">
      <c r="A19" s="1595">
        <v>11.17</v>
      </c>
      <c r="B19" s="1598" t="s">
        <v>662</v>
      </c>
      <c r="C19" s="1596"/>
    </row>
    <row r="20" spans="1:3">
      <c r="A20" s="1595"/>
      <c r="B20" s="676"/>
    </row>
    <row r="22" spans="1:3">
      <c r="A22" s="904" t="s">
        <v>677</v>
      </c>
    </row>
  </sheetData>
  <pageMargins left="0.46" right="0.46" top="0.63" bottom="0.984251969" header="0.38" footer="0.4921259845"/>
  <pageSetup paperSize="9" orientation="portrait"/>
  <headerFooter alignWithMargins="0"/>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EE143-151D-6C4C-A647-64850536DB96}">
  <sheetPr>
    <pageSetUpPr fitToPage="1"/>
  </sheetPr>
  <dimension ref="A1:K30"/>
  <sheetViews>
    <sheetView zoomScaleNormal="100" workbookViewId="0">
      <selection activeCell="A3" sqref="A3"/>
    </sheetView>
  </sheetViews>
  <sheetFormatPr baseColWidth="10" defaultColWidth="11.3984375" defaultRowHeight="13"/>
  <cols>
    <col min="1" max="1" width="20.796875" style="3" customWidth="1"/>
    <col min="2" max="5" width="14" style="3" customWidth="1"/>
    <col min="6" max="6" width="14.796875" style="3" customWidth="1"/>
    <col min="7" max="7" width="13.796875" style="3" customWidth="1"/>
    <col min="8" max="16384" width="11.3984375" style="3"/>
  </cols>
  <sheetData>
    <row r="1" spans="1:11" s="2" customFormat="1" ht="14" customHeight="1"/>
    <row r="2" spans="1:11" s="2" customFormat="1" ht="28" customHeight="1">
      <c r="A2" s="71" t="s">
        <v>1650</v>
      </c>
      <c r="G2" s="129"/>
    </row>
    <row r="3" spans="1:11" ht="24" customHeight="1">
      <c r="A3" s="72" t="s">
        <v>742</v>
      </c>
      <c r="B3" s="73" t="s">
        <v>237</v>
      </c>
      <c r="C3" s="74" t="s">
        <v>238</v>
      </c>
      <c r="D3" s="73" t="s">
        <v>206</v>
      </c>
      <c r="E3" s="74" t="s">
        <v>204</v>
      </c>
      <c r="F3" s="73" t="s">
        <v>190</v>
      </c>
      <c r="G3" s="277" t="s">
        <v>585</v>
      </c>
    </row>
    <row r="4" spans="1:11" ht="15" customHeight="1">
      <c r="A4" s="328"/>
      <c r="B4" s="76"/>
      <c r="C4" s="77"/>
      <c r="D4" s="76"/>
      <c r="E4" s="106"/>
      <c r="F4" s="76"/>
      <c r="G4" s="75" t="s">
        <v>586</v>
      </c>
    </row>
    <row r="5" spans="1:11" ht="15" customHeight="1">
      <c r="A5" s="328"/>
      <c r="B5" s="76"/>
      <c r="C5" s="77"/>
      <c r="D5" s="76"/>
      <c r="E5" s="106"/>
      <c r="F5" s="76"/>
      <c r="G5" s="75" t="s">
        <v>210</v>
      </c>
    </row>
    <row r="6" spans="1:11" ht="24" customHeight="1">
      <c r="A6" s="329"/>
      <c r="B6" s="82"/>
      <c r="C6" s="81"/>
      <c r="D6" s="82"/>
      <c r="E6" s="109"/>
      <c r="F6" s="82"/>
      <c r="G6" s="79"/>
    </row>
    <row r="7" spans="1:11" ht="1.5" customHeight="1" thickBot="1">
      <c r="A7" s="427">
        <v>1996</v>
      </c>
      <c r="B7" s="123">
        <v>2792349</v>
      </c>
      <c r="C7" s="124">
        <v>2968829</v>
      </c>
      <c r="D7" s="123">
        <v>5761178</v>
      </c>
      <c r="E7" s="124">
        <v>1471489</v>
      </c>
      <c r="F7" s="123">
        <v>7232667</v>
      </c>
      <c r="G7" s="309">
        <v>1.8350297937143788E-2</v>
      </c>
    </row>
    <row r="8" spans="1:11" ht="0.75" hidden="1" customHeight="1" thickBot="1">
      <c r="A8" s="333">
        <v>1997</v>
      </c>
      <c r="B8" s="133">
        <v>2750986</v>
      </c>
      <c r="C8" s="132">
        <v>2929423</v>
      </c>
      <c r="D8" s="133">
        <v>5680409</v>
      </c>
      <c r="E8" s="132">
        <v>1556062</v>
      </c>
      <c r="F8" s="133">
        <v>7236471</v>
      </c>
      <c r="G8" s="452">
        <v>5.2594706765844463E-4</v>
      </c>
      <c r="I8" s="9"/>
      <c r="J8" s="9"/>
      <c r="K8" s="9"/>
    </row>
    <row r="9" spans="1:11" ht="19.5" hidden="1" customHeight="1" thickBot="1">
      <c r="A9" s="333">
        <v>1998</v>
      </c>
      <c r="B9" s="133">
        <v>2746839</v>
      </c>
      <c r="C9" s="132">
        <v>2927739</v>
      </c>
      <c r="D9" s="133">
        <v>5674578</v>
      </c>
      <c r="E9" s="132">
        <v>1572038</v>
      </c>
      <c r="F9" s="133">
        <v>7246616</v>
      </c>
      <c r="G9" s="452">
        <v>1.401926436242196E-3</v>
      </c>
    </row>
    <row r="10" spans="1:11" ht="0.5" customHeight="1" thickBot="1">
      <c r="A10" s="333">
        <v>1999</v>
      </c>
      <c r="B10" s="133">
        <v>2760031</v>
      </c>
      <c r="C10" s="132">
        <v>2940891</v>
      </c>
      <c r="D10" s="133">
        <v>5700922</v>
      </c>
      <c r="E10" s="132">
        <v>1569600</v>
      </c>
      <c r="F10" s="133">
        <v>7270522</v>
      </c>
      <c r="G10" s="452">
        <v>3.298919109278041E-3</v>
      </c>
    </row>
    <row r="11" spans="1:11" ht="20" customHeight="1" thickBot="1">
      <c r="A11" s="333">
        <v>2000</v>
      </c>
      <c r="B11" s="133">
        <v>2758998</v>
      </c>
      <c r="C11" s="132">
        <v>2947662</v>
      </c>
      <c r="D11" s="133">
        <v>5706660</v>
      </c>
      <c r="E11" s="132">
        <v>1558453</v>
      </c>
      <c r="F11" s="133">
        <v>7265113</v>
      </c>
      <c r="G11" s="452">
        <v>-7.4396308820742166E-4</v>
      </c>
    </row>
    <row r="12" spans="1:11" ht="20" customHeight="1" thickBot="1">
      <c r="A12" s="333">
        <v>2001</v>
      </c>
      <c r="B12" s="133">
        <v>2778660</v>
      </c>
      <c r="C12" s="132">
        <v>2968477</v>
      </c>
      <c r="D12" s="133">
        <v>5747137</v>
      </c>
      <c r="E12" s="132">
        <v>1553913</v>
      </c>
      <c r="F12" s="133">
        <v>7301050</v>
      </c>
      <c r="G12" s="452">
        <v>4.9465163170896312E-3</v>
      </c>
    </row>
    <row r="13" spans="1:11" ht="20" customHeight="1" thickBot="1">
      <c r="A13" s="333">
        <v>2002</v>
      </c>
      <c r="B13" s="133">
        <v>2803463</v>
      </c>
      <c r="C13" s="132">
        <v>2992002</v>
      </c>
      <c r="D13" s="133">
        <v>5795465</v>
      </c>
      <c r="E13" s="132">
        <v>1549167</v>
      </c>
      <c r="F13" s="133">
        <v>7344632</v>
      </c>
      <c r="G13" s="452">
        <v>5.9692783914642418E-3</v>
      </c>
    </row>
    <row r="14" spans="1:11" ht="20" customHeight="1" thickBot="1">
      <c r="A14" s="333">
        <v>2003</v>
      </c>
      <c r="B14" s="133">
        <v>2880411</v>
      </c>
      <c r="C14" s="132">
        <v>2950352</v>
      </c>
      <c r="D14" s="133">
        <v>5830763</v>
      </c>
      <c r="E14" s="132">
        <v>1541742</v>
      </c>
      <c r="F14" s="133">
        <v>7372505</v>
      </c>
      <c r="G14" s="452">
        <v>3.7950165508632699E-3</v>
      </c>
    </row>
    <row r="15" spans="1:11" ht="20" customHeight="1" thickBot="1">
      <c r="A15" s="333">
        <v>2004</v>
      </c>
      <c r="B15" s="133">
        <v>2832331</v>
      </c>
      <c r="C15" s="132">
        <v>3021580</v>
      </c>
      <c r="D15" s="133">
        <v>5853911</v>
      </c>
      <c r="E15" s="132">
        <v>1529663</v>
      </c>
      <c r="F15" s="133">
        <v>7383574</v>
      </c>
      <c r="G15" s="452">
        <v>1.5013892835610148E-3</v>
      </c>
    </row>
    <row r="16" spans="1:11" ht="20" customHeight="1" thickBot="1">
      <c r="A16" s="333">
        <v>2005</v>
      </c>
      <c r="B16" s="133">
        <v>2861206</v>
      </c>
      <c r="C16" s="132">
        <v>3049366</v>
      </c>
      <c r="D16" s="133">
        <v>5910572</v>
      </c>
      <c r="E16" s="132">
        <v>1525293</v>
      </c>
      <c r="F16" s="133">
        <v>7435865</v>
      </c>
      <c r="G16" s="452">
        <v>7.0820716363104719E-3</v>
      </c>
    </row>
    <row r="17" spans="1:7" ht="20" customHeight="1" thickBot="1">
      <c r="A17" s="333">
        <v>2006</v>
      </c>
      <c r="B17" s="133">
        <v>2886537.34</v>
      </c>
      <c r="C17" s="132">
        <v>3073653.46</v>
      </c>
      <c r="D17" s="133">
        <v>5960190.7999999998</v>
      </c>
      <c r="E17" s="132">
        <v>1518236.03</v>
      </c>
      <c r="F17" s="133">
        <v>7478426.8300000001</v>
      </c>
      <c r="G17" s="452">
        <v>5.7238572782050134E-3</v>
      </c>
    </row>
    <row r="18" spans="1:7" ht="20" customHeight="1" thickBot="1">
      <c r="A18" s="333">
        <v>2007</v>
      </c>
      <c r="B18" s="133">
        <v>2922195.75</v>
      </c>
      <c r="C18" s="132">
        <v>3104949.1</v>
      </c>
      <c r="D18" s="133">
        <v>6027144.8499999996</v>
      </c>
      <c r="E18" s="132">
        <v>1510442.56</v>
      </c>
      <c r="F18" s="133">
        <v>7537587.4100000001</v>
      </c>
      <c r="G18" s="452">
        <v>7.9108322304732859E-3</v>
      </c>
    </row>
    <row r="19" spans="1:7" ht="20" customHeight="1" thickBot="1">
      <c r="A19" s="333">
        <v>2008</v>
      </c>
      <c r="B19" s="133">
        <v>2966175.79</v>
      </c>
      <c r="C19" s="132">
        <v>3141735.96</v>
      </c>
      <c r="D19" s="133">
        <v>6107911.75</v>
      </c>
      <c r="E19" s="132">
        <v>1507651.61</v>
      </c>
      <c r="F19" s="133">
        <v>7615563.3600000003</v>
      </c>
      <c r="G19" s="452">
        <v>1.0344948026280942E-2</v>
      </c>
    </row>
    <row r="20" spans="1:7" ht="20" customHeight="1" thickBot="1">
      <c r="A20" s="333">
        <v>2009</v>
      </c>
      <c r="B20" s="133">
        <v>3018366.51</v>
      </c>
      <c r="C20" s="132">
        <v>3183510.14</v>
      </c>
      <c r="D20" s="133">
        <v>6201876.6500000004</v>
      </c>
      <c r="E20" s="132">
        <v>1506974.9</v>
      </c>
      <c r="F20" s="133">
        <v>7708851.5500000007</v>
      </c>
      <c r="G20" s="452">
        <v>1.2249676824959144E-2</v>
      </c>
    </row>
    <row r="21" spans="1:7" ht="30" customHeight="1" thickBot="1">
      <c r="A21" s="431">
        <v>2010</v>
      </c>
      <c r="B21" s="435">
        <v>3056460.47</v>
      </c>
      <c r="C21" s="436">
        <v>3218553.79</v>
      </c>
      <c r="D21" s="435">
        <v>6275014.2599999998</v>
      </c>
      <c r="E21" s="436">
        <v>1504647.58</v>
      </c>
      <c r="F21" s="435">
        <v>7779661.8399999999</v>
      </c>
      <c r="G21" s="314">
        <v>9.1855822544668619E-3</v>
      </c>
    </row>
    <row r="22" spans="1:7" ht="20" customHeight="1">
      <c r="A22" s="95" t="s">
        <v>678</v>
      </c>
      <c r="B22" s="135"/>
      <c r="C22" s="135"/>
      <c r="D22" s="135"/>
      <c r="E22" s="135"/>
      <c r="F22" s="135"/>
      <c r="G22" s="731"/>
    </row>
    <row r="23" spans="1:7" ht="20" customHeight="1">
      <c r="A23" s="96"/>
      <c r="B23" s="136"/>
      <c r="C23" s="136"/>
      <c r="D23" s="136"/>
      <c r="E23" s="136"/>
      <c r="F23" s="136"/>
      <c r="G23" s="732"/>
    </row>
    <row r="24" spans="1:7" ht="12.75" customHeight="1">
      <c r="A24" s="964" t="s">
        <v>1651</v>
      </c>
      <c r="B24" s="136"/>
      <c r="C24" s="136"/>
      <c r="D24" s="136"/>
      <c r="E24" s="136"/>
      <c r="F24" s="136"/>
      <c r="G24" s="732"/>
    </row>
    <row r="25" spans="1:7" ht="12.75" customHeight="1">
      <c r="A25" s="99" t="s">
        <v>743</v>
      </c>
    </row>
    <row r="27" spans="1:7">
      <c r="A27" s="3" t="s">
        <v>1652</v>
      </c>
    </row>
    <row r="30" spans="1:7">
      <c r="A30" s="3" t="s">
        <v>677</v>
      </c>
    </row>
  </sheetData>
  <pageMargins left="0.5" right="0.49" top="1.03" bottom="0.49" header="0.56000000000000005" footer="0.4921259845"/>
  <pageSetup paperSize="9" scale="89" orientation="portrait" horizontalDpi="1200" verticalDpi="1200"/>
  <headerFooter alignWithMargins="0"/>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D8D6D-8156-6245-AE7A-61A523F370EA}">
  <sheetPr>
    <pageSetUpPr fitToPage="1"/>
  </sheetPr>
  <dimension ref="A1:K31"/>
  <sheetViews>
    <sheetView zoomScaleNormal="100" workbookViewId="0">
      <selection activeCell="G21" sqref="G21"/>
    </sheetView>
  </sheetViews>
  <sheetFormatPr baseColWidth="10" defaultColWidth="11.3984375" defaultRowHeight="13"/>
  <cols>
    <col min="1" max="1" width="20.796875" style="3" customWidth="1"/>
    <col min="2" max="3" width="14" style="3" customWidth="1"/>
    <col min="4" max="4" width="15.3984375" style="3" customWidth="1"/>
    <col min="5" max="5" width="14" style="3" customWidth="1"/>
    <col min="6" max="6" width="14.796875" style="3" customWidth="1"/>
    <col min="7" max="7" width="13.796875" style="3" customWidth="1"/>
    <col min="8" max="8" width="8.796875" style="3" customWidth="1"/>
    <col min="9" max="16384" width="11.3984375" style="3"/>
  </cols>
  <sheetData>
    <row r="1" spans="1:11" s="2" customFormat="1" ht="14" customHeight="1"/>
    <row r="2" spans="1:11" s="2" customFormat="1" ht="28" customHeight="1">
      <c r="A2" s="71" t="s">
        <v>1653</v>
      </c>
      <c r="G2" s="358"/>
    </row>
    <row r="3" spans="1:11" ht="24" customHeight="1">
      <c r="A3" s="72" t="s">
        <v>742</v>
      </c>
      <c r="B3" s="73" t="s">
        <v>237</v>
      </c>
      <c r="C3" s="74" t="s">
        <v>238</v>
      </c>
      <c r="D3" s="73" t="s">
        <v>206</v>
      </c>
      <c r="E3" s="74" t="s">
        <v>1654</v>
      </c>
      <c r="F3" s="73" t="s">
        <v>190</v>
      </c>
      <c r="G3" s="277" t="s">
        <v>585</v>
      </c>
    </row>
    <row r="4" spans="1:11" ht="15" customHeight="1">
      <c r="A4" s="328"/>
      <c r="B4" s="76"/>
      <c r="C4" s="77"/>
      <c r="D4" s="76"/>
      <c r="E4" s="106"/>
      <c r="F4" s="76"/>
      <c r="G4" s="75" t="s">
        <v>586</v>
      </c>
    </row>
    <row r="5" spans="1:11" ht="15" customHeight="1">
      <c r="A5" s="328"/>
      <c r="B5" s="76"/>
      <c r="C5" s="77"/>
      <c r="D5" s="76"/>
      <c r="E5" s="106"/>
      <c r="F5" s="76"/>
      <c r="G5" s="75" t="s">
        <v>210</v>
      </c>
    </row>
    <row r="6" spans="1:11" ht="24" customHeight="1">
      <c r="A6" s="329"/>
      <c r="B6" s="82"/>
      <c r="C6" s="81"/>
      <c r="D6" s="82"/>
      <c r="E6" s="109"/>
      <c r="F6" s="82"/>
      <c r="G6" s="79"/>
    </row>
    <row r="7" spans="1:11" ht="1.75" customHeight="1" thickBot="1">
      <c r="A7" s="427">
        <v>1996</v>
      </c>
      <c r="B7" s="123">
        <v>2760146</v>
      </c>
      <c r="C7" s="124">
        <v>2938608</v>
      </c>
      <c r="D7" s="123">
        <v>5698754</v>
      </c>
      <c r="E7" s="124">
        <v>1496000</v>
      </c>
      <c r="F7" s="123">
        <v>7194754</v>
      </c>
      <c r="G7" s="309">
        <v>4.3855246833913626E-3</v>
      </c>
    </row>
    <row r="8" spans="1:11" ht="0.75" hidden="1" customHeight="1" thickBot="1">
      <c r="A8" s="333">
        <v>1997</v>
      </c>
      <c r="B8" s="133">
        <v>2725064</v>
      </c>
      <c r="C8" s="132">
        <v>2902973</v>
      </c>
      <c r="D8" s="133">
        <v>5628037</v>
      </c>
      <c r="E8" s="132">
        <v>1586768</v>
      </c>
      <c r="F8" s="133">
        <v>7214805</v>
      </c>
      <c r="G8" s="452">
        <v>2.7868916713483186E-3</v>
      </c>
      <c r="I8" s="9"/>
      <c r="J8" s="9"/>
      <c r="K8" s="9"/>
    </row>
    <row r="9" spans="1:11" ht="19.5" hidden="1" customHeight="1" thickBot="1">
      <c r="A9" s="333">
        <v>1998</v>
      </c>
      <c r="B9" s="133">
        <v>2736949</v>
      </c>
      <c r="C9" s="132">
        <v>2915969</v>
      </c>
      <c r="D9" s="133">
        <v>5652918</v>
      </c>
      <c r="E9" s="132">
        <v>1595685</v>
      </c>
      <c r="F9" s="133">
        <v>7248603</v>
      </c>
      <c r="G9" s="452">
        <v>4.6845340934370365E-3</v>
      </c>
    </row>
    <row r="10" spans="1:11" ht="19.75" hidden="1" customHeight="1" thickBot="1">
      <c r="A10" s="333">
        <v>1999</v>
      </c>
      <c r="B10" s="133">
        <v>2741177</v>
      </c>
      <c r="C10" s="132">
        <v>2926032</v>
      </c>
      <c r="D10" s="133">
        <v>5667209</v>
      </c>
      <c r="E10" s="132">
        <v>1599325</v>
      </c>
      <c r="F10" s="133">
        <v>7266534</v>
      </c>
      <c r="G10" s="452">
        <v>2.4737180391863093E-3</v>
      </c>
    </row>
    <row r="11" spans="1:11" ht="20" customHeight="1" thickBot="1">
      <c r="A11" s="333">
        <v>2000</v>
      </c>
      <c r="B11" s="133">
        <v>2746615</v>
      </c>
      <c r="C11" s="132">
        <v>2936748</v>
      </c>
      <c r="D11" s="133">
        <v>5683363</v>
      </c>
      <c r="E11" s="132">
        <v>1584748</v>
      </c>
      <c r="F11" s="133">
        <v>7268111</v>
      </c>
      <c r="G11" s="452">
        <v>2.1702231077429761E-4</v>
      </c>
    </row>
    <row r="12" spans="1:11" ht="20" customHeight="1" thickBot="1">
      <c r="A12" s="333">
        <v>2001</v>
      </c>
      <c r="B12" s="133">
        <v>2775829</v>
      </c>
      <c r="C12" s="132">
        <v>2962533</v>
      </c>
      <c r="D12" s="133">
        <v>5738362</v>
      </c>
      <c r="E12" s="132">
        <v>1582925</v>
      </c>
      <c r="F12" s="133">
        <v>7321287</v>
      </c>
      <c r="G12" s="452">
        <v>7.3163439578729601E-3</v>
      </c>
    </row>
    <row r="13" spans="1:11" ht="20" customHeight="1" thickBot="1">
      <c r="A13" s="333">
        <v>2002</v>
      </c>
      <c r="B13" s="133">
        <v>2798041</v>
      </c>
      <c r="C13" s="132">
        <v>2982916</v>
      </c>
      <c r="D13" s="133">
        <v>5780957</v>
      </c>
      <c r="E13" s="132">
        <v>1578408</v>
      </c>
      <c r="F13" s="133">
        <v>7359365</v>
      </c>
      <c r="G13" s="452">
        <v>5.2009981305199482E-3</v>
      </c>
    </row>
    <row r="14" spans="1:11" ht="19.5" customHeight="1" thickBot="1">
      <c r="A14" s="333">
        <v>2003</v>
      </c>
      <c r="B14" s="133">
        <v>2818135</v>
      </c>
      <c r="C14" s="132">
        <v>3002978</v>
      </c>
      <c r="D14" s="133">
        <v>5821113</v>
      </c>
      <c r="E14" s="132">
        <v>1572075</v>
      </c>
      <c r="F14" s="133">
        <v>7393188</v>
      </c>
      <c r="G14" s="452">
        <v>4.5959128267180661E-3</v>
      </c>
    </row>
    <row r="15" spans="1:11" ht="19.5" customHeight="1" thickBot="1">
      <c r="A15" s="333">
        <v>2004</v>
      </c>
      <c r="B15" s="133">
        <v>2834642</v>
      </c>
      <c r="C15" s="132">
        <v>3021025</v>
      </c>
      <c r="D15" s="133">
        <v>5855667</v>
      </c>
      <c r="E15" s="132">
        <v>1564307</v>
      </c>
      <c r="F15" s="133">
        <v>7419974</v>
      </c>
      <c r="G15" s="452">
        <v>3.623064907858423E-3</v>
      </c>
    </row>
    <row r="16" spans="1:11" ht="19.5" customHeight="1" thickBot="1">
      <c r="A16" s="333">
        <v>2005</v>
      </c>
      <c r="B16" s="133">
        <v>2858735</v>
      </c>
      <c r="C16" s="132">
        <v>3042765</v>
      </c>
      <c r="D16" s="133">
        <v>5901500</v>
      </c>
      <c r="E16" s="132">
        <v>1556975</v>
      </c>
      <c r="F16" s="133">
        <v>7458475</v>
      </c>
      <c r="G16" s="452">
        <v>5.1888321980642083E-3</v>
      </c>
    </row>
    <row r="17" spans="1:7" ht="19.5" customHeight="1" thickBot="1">
      <c r="A17" s="333">
        <v>2006</v>
      </c>
      <c r="B17" s="133">
        <v>2887156</v>
      </c>
      <c r="C17" s="132">
        <v>3068025</v>
      </c>
      <c r="D17" s="133">
        <v>5955181</v>
      </c>
      <c r="E17" s="132">
        <v>1552364</v>
      </c>
      <c r="F17" s="133">
        <v>7507545</v>
      </c>
      <c r="G17" s="452">
        <v>6.5790929110842722E-3</v>
      </c>
    </row>
    <row r="18" spans="1:7" ht="19.5" customHeight="1" thickBot="1">
      <c r="A18" s="333">
        <v>2007</v>
      </c>
      <c r="B18" s="133">
        <v>2927022</v>
      </c>
      <c r="C18" s="132">
        <v>3102846</v>
      </c>
      <c r="D18" s="133">
        <v>6029868</v>
      </c>
      <c r="E18" s="132">
        <v>1547264</v>
      </c>
      <c r="F18" s="133">
        <v>7577132</v>
      </c>
      <c r="G18" s="452">
        <v>9.2689421109031223E-3</v>
      </c>
    </row>
    <row r="19" spans="1:7" ht="19.5" customHeight="1" thickBot="1">
      <c r="A19" s="333">
        <v>2008</v>
      </c>
      <c r="B19" s="133">
        <v>2977802</v>
      </c>
      <c r="C19" s="132">
        <v>3143748</v>
      </c>
      <c r="D19" s="133">
        <v>6121550</v>
      </c>
      <c r="E19" s="132">
        <v>1548061</v>
      </c>
      <c r="F19" s="133">
        <v>7669611</v>
      </c>
      <c r="G19" s="452">
        <v>1.2205013717591306E-2</v>
      </c>
    </row>
    <row r="20" spans="1:7" ht="19.5" customHeight="1" thickBot="1">
      <c r="A20" s="333">
        <v>2009</v>
      </c>
      <c r="B20" s="133">
        <v>3021437</v>
      </c>
      <c r="C20" s="132">
        <v>3181817</v>
      </c>
      <c r="D20" s="133">
        <v>6203254</v>
      </c>
      <c r="E20" s="132">
        <v>1545668</v>
      </c>
      <c r="F20" s="133">
        <v>7748922</v>
      </c>
      <c r="G20" s="452">
        <v>1.0340941672269954E-2</v>
      </c>
    </row>
    <row r="21" spans="1:7" ht="23.25" customHeight="1" thickBot="1">
      <c r="A21" s="431">
        <v>2010</v>
      </c>
      <c r="B21" s="435">
        <v>3060091</v>
      </c>
      <c r="C21" s="436">
        <v>3216359</v>
      </c>
      <c r="D21" s="435">
        <v>6276450</v>
      </c>
      <c r="E21" s="436">
        <v>1546183</v>
      </c>
      <c r="F21" s="435">
        <v>7822633</v>
      </c>
      <c r="G21" s="314">
        <v>9.5124199211193972E-3</v>
      </c>
    </row>
    <row r="22" spans="1:7" ht="20" customHeight="1">
      <c r="A22" s="95" t="s">
        <v>678</v>
      </c>
      <c r="B22" s="135"/>
      <c r="C22" s="135"/>
      <c r="D22" s="135"/>
      <c r="E22" s="135"/>
      <c r="F22" s="135"/>
      <c r="G22" s="731"/>
    </row>
    <row r="23" spans="1:7" ht="13.5" customHeight="1">
      <c r="A23" s="96"/>
      <c r="B23" s="136"/>
      <c r="C23" s="136"/>
      <c r="D23" s="136"/>
      <c r="E23" s="136"/>
      <c r="F23" s="136"/>
      <c r="G23" s="732"/>
    </row>
    <row r="24" spans="1:7" ht="12.75" customHeight="1">
      <c r="A24" s="3" t="s">
        <v>1655</v>
      </c>
    </row>
    <row r="25" spans="1:7" ht="12.75" customHeight="1">
      <c r="A25" s="99" t="s">
        <v>1656</v>
      </c>
    </row>
    <row r="26" spans="1:7" ht="12.75" customHeight="1">
      <c r="A26" s="352" t="s">
        <v>1657</v>
      </c>
    </row>
    <row r="27" spans="1:7">
      <c r="A27" s="686"/>
    </row>
    <row r="28" spans="1:7">
      <c r="A28" s="3" t="s">
        <v>1658</v>
      </c>
    </row>
    <row r="31" spans="1:7">
      <c r="A31" s="3" t="s">
        <v>677</v>
      </c>
    </row>
  </sheetData>
  <pageMargins left="0.37" right="0.31" top="0.94488188976377963" bottom="0.47244094488188981" header="0.51181102362204722" footer="0.51181102362204722"/>
  <pageSetup paperSize="9" scale="84" orientation="portrait" horizontalDpi="1200" verticalDpi="1200"/>
  <headerFooter alignWithMargins="0"/>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47719-780E-684B-B3AA-8CFA1D86192F}">
  <sheetPr>
    <pageSetUpPr fitToPage="1"/>
  </sheetPr>
  <dimension ref="A1:F46"/>
  <sheetViews>
    <sheetView topLeftCell="A22" zoomScaleNormal="100" workbookViewId="0">
      <selection activeCell="A41" sqref="A41"/>
    </sheetView>
  </sheetViews>
  <sheetFormatPr baseColWidth="10" defaultColWidth="11.3984375" defaultRowHeight="13"/>
  <cols>
    <col min="1" max="1" width="16.3984375" style="3" customWidth="1"/>
    <col min="2" max="5" width="17.3984375" style="3" customWidth="1"/>
    <col min="6" max="6" width="17.3984375" style="414" customWidth="1"/>
    <col min="7" max="8" width="11.3984375" style="3"/>
    <col min="9" max="9" width="14.59765625" style="3" customWidth="1"/>
    <col min="10" max="16384" width="11.3984375" style="3"/>
  </cols>
  <sheetData>
    <row r="1" spans="1:6" s="2" customFormat="1" ht="14" customHeight="1">
      <c r="F1" s="453"/>
    </row>
    <row r="2" spans="1:6" s="2" customFormat="1" ht="28" customHeight="1">
      <c r="A2" s="71" t="s">
        <v>1659</v>
      </c>
      <c r="F2" s="358">
        <v>2010</v>
      </c>
    </row>
    <row r="3" spans="1:6" ht="27" customHeight="1">
      <c r="A3" s="72" t="s">
        <v>203</v>
      </c>
      <c r="B3" s="73" t="s">
        <v>237</v>
      </c>
      <c r="C3" s="74" t="s">
        <v>238</v>
      </c>
      <c r="D3" s="73" t="s">
        <v>204</v>
      </c>
      <c r="E3" s="74" t="s">
        <v>190</v>
      </c>
      <c r="F3" s="769" t="s">
        <v>1660</v>
      </c>
    </row>
    <row r="4" spans="1:6" ht="12" customHeight="1">
      <c r="A4" s="75"/>
      <c r="B4" s="78"/>
      <c r="C4" s="75"/>
      <c r="D4" s="78"/>
      <c r="E4" s="75"/>
      <c r="F4" s="770" t="s">
        <v>1661</v>
      </c>
    </row>
    <row r="5" spans="1:6" ht="30.75" customHeight="1">
      <c r="A5" s="79"/>
      <c r="B5" s="80"/>
      <c r="C5" s="79"/>
      <c r="D5" s="80"/>
      <c r="E5" s="79"/>
      <c r="F5" s="771" t="s">
        <v>210</v>
      </c>
    </row>
    <row r="6" spans="1:6" ht="30" customHeight="1" thickBot="1">
      <c r="A6" s="84" t="s">
        <v>211</v>
      </c>
      <c r="B6" s="85">
        <v>540682</v>
      </c>
      <c r="C6" s="86">
        <v>565902</v>
      </c>
      <c r="D6" s="85">
        <v>256943</v>
      </c>
      <c r="E6" s="86">
        <v>1363527</v>
      </c>
      <c r="F6" s="87">
        <v>1.1771488866281876E-2</v>
      </c>
    </row>
    <row r="7" spans="1:6" ht="20" customHeight="1" thickBot="1">
      <c r="A7" s="89" t="s">
        <v>212</v>
      </c>
      <c r="B7" s="318">
        <v>383869</v>
      </c>
      <c r="C7" s="319">
        <v>413134</v>
      </c>
      <c r="D7" s="318">
        <v>183049</v>
      </c>
      <c r="E7" s="319">
        <v>980052</v>
      </c>
      <c r="F7" s="301">
        <v>4.0919699444090796E-3</v>
      </c>
    </row>
    <row r="8" spans="1:6" ht="20" customHeight="1" thickBot="1">
      <c r="A8" s="89" t="s">
        <v>213</v>
      </c>
      <c r="B8" s="318">
        <v>147134</v>
      </c>
      <c r="C8" s="319">
        <v>153116</v>
      </c>
      <c r="D8" s="318">
        <v>77545</v>
      </c>
      <c r="E8" s="319">
        <v>377795</v>
      </c>
      <c r="F8" s="301">
        <v>8.7283659879420217E-3</v>
      </c>
    </row>
    <row r="9" spans="1:6" ht="20" customHeight="1" thickBot="1">
      <c r="A9" s="89" t="s">
        <v>214</v>
      </c>
      <c r="B9" s="318">
        <v>14154</v>
      </c>
      <c r="C9" s="319">
        <v>14102</v>
      </c>
      <c r="D9" s="318">
        <v>7285</v>
      </c>
      <c r="E9" s="319">
        <v>35541</v>
      </c>
      <c r="F9" s="301">
        <v>5.0671395996970681E-4</v>
      </c>
    </row>
    <row r="10" spans="1:6" ht="20" customHeight="1" thickBot="1">
      <c r="A10" s="89" t="s">
        <v>215</v>
      </c>
      <c r="B10" s="318">
        <v>59506</v>
      </c>
      <c r="C10" s="319">
        <v>57541</v>
      </c>
      <c r="D10" s="318">
        <v>29934</v>
      </c>
      <c r="E10" s="319">
        <v>146981</v>
      </c>
      <c r="F10" s="301">
        <v>1.0595434543454241E-2</v>
      </c>
    </row>
    <row r="11" spans="1:6" ht="20" customHeight="1" thickBot="1">
      <c r="A11" s="89" t="s">
        <v>216</v>
      </c>
      <c r="B11" s="318">
        <v>14412</v>
      </c>
      <c r="C11" s="319">
        <v>14208</v>
      </c>
      <c r="D11" s="318">
        <v>7473</v>
      </c>
      <c r="E11" s="319">
        <v>36093</v>
      </c>
      <c r="F11" s="301">
        <v>1.1801973536667454E-2</v>
      </c>
    </row>
    <row r="12" spans="1:6" ht="20" customHeight="1" thickBot="1">
      <c r="A12" s="89" t="s">
        <v>217</v>
      </c>
      <c r="B12" s="318">
        <v>16694</v>
      </c>
      <c r="C12" s="319">
        <v>16317</v>
      </c>
      <c r="D12" s="318">
        <v>7762</v>
      </c>
      <c r="E12" s="319">
        <v>40773</v>
      </c>
      <c r="F12" s="301">
        <v>4.5332479243145318E-3</v>
      </c>
    </row>
    <row r="13" spans="1:6" ht="20" customHeight="1" thickBot="1">
      <c r="A13" s="89" t="s">
        <v>218</v>
      </c>
      <c r="B13" s="318">
        <v>15682</v>
      </c>
      <c r="C13" s="319">
        <v>15779</v>
      </c>
      <c r="D13" s="318">
        <v>7540</v>
      </c>
      <c r="E13" s="319">
        <v>39001</v>
      </c>
      <c r="F13" s="301">
        <v>7.4393614548085019E-3</v>
      </c>
    </row>
    <row r="14" spans="1:6" ht="20" customHeight="1" thickBot="1">
      <c r="A14" s="89" t="s">
        <v>219</v>
      </c>
      <c r="B14" s="318">
        <v>45492</v>
      </c>
      <c r="C14" s="319">
        <v>45112</v>
      </c>
      <c r="D14" s="318">
        <v>22181</v>
      </c>
      <c r="E14" s="319">
        <v>112785</v>
      </c>
      <c r="F14" s="301">
        <v>1.4509049041125488E-2</v>
      </c>
    </row>
    <row r="15" spans="1:6" ht="20" customHeight="1" thickBot="1">
      <c r="A15" s="89" t="s">
        <v>220</v>
      </c>
      <c r="B15" s="318">
        <v>106033</v>
      </c>
      <c r="C15" s="319">
        <v>108852</v>
      </c>
      <c r="D15" s="318">
        <v>63627</v>
      </c>
      <c r="E15" s="319">
        <v>278512</v>
      </c>
      <c r="F15" s="301">
        <v>1.7317393003641657E-2</v>
      </c>
    </row>
    <row r="16" spans="1:6" ht="20" customHeight="1" thickBot="1">
      <c r="A16" s="89" t="s">
        <v>221</v>
      </c>
      <c r="B16" s="318">
        <v>102158</v>
      </c>
      <c r="C16" s="319">
        <v>106135</v>
      </c>
      <c r="D16" s="318">
        <v>48725</v>
      </c>
      <c r="E16" s="319">
        <v>257018</v>
      </c>
      <c r="F16" s="301">
        <v>4.9697552659464517E-3</v>
      </c>
    </row>
    <row r="17" spans="1:6" ht="20" customHeight="1" thickBot="1">
      <c r="A17" s="89" t="s">
        <v>222</v>
      </c>
      <c r="B17" s="318">
        <v>70078</v>
      </c>
      <c r="C17" s="319">
        <v>79767</v>
      </c>
      <c r="D17" s="318">
        <v>28630</v>
      </c>
      <c r="E17" s="319">
        <v>178475</v>
      </c>
      <c r="F17" s="301">
        <v>6.9849974892375322E-3</v>
      </c>
    </row>
    <row r="18" spans="1:6" ht="20" customHeight="1" thickBot="1">
      <c r="A18" s="89" t="s">
        <v>223</v>
      </c>
      <c r="B18" s="318">
        <v>107611</v>
      </c>
      <c r="C18" s="319">
        <v>114858</v>
      </c>
      <c r="D18" s="318">
        <v>50931</v>
      </c>
      <c r="E18" s="319">
        <v>273400</v>
      </c>
      <c r="F18" s="301">
        <v>4.1466039350499528E-3</v>
      </c>
    </row>
    <row r="19" spans="1:6" ht="20" customHeight="1" thickBot="1">
      <c r="A19" s="89" t="s">
        <v>224</v>
      </c>
      <c r="B19" s="318">
        <v>30121</v>
      </c>
      <c r="C19" s="319">
        <v>31964</v>
      </c>
      <c r="D19" s="318">
        <v>14014</v>
      </c>
      <c r="E19" s="319">
        <v>76099</v>
      </c>
      <c r="F19" s="301">
        <v>7.9604757741926768E-3</v>
      </c>
    </row>
    <row r="20" spans="1:6" ht="20" customHeight="1" thickBot="1">
      <c r="A20" s="89" t="s">
        <v>225</v>
      </c>
      <c r="B20" s="318">
        <v>21218</v>
      </c>
      <c r="C20" s="319">
        <v>21583</v>
      </c>
      <c r="D20" s="318">
        <v>10859</v>
      </c>
      <c r="E20" s="319">
        <v>53660</v>
      </c>
      <c r="F20" s="301">
        <v>-2.5836911466755597E-3</v>
      </c>
    </row>
    <row r="21" spans="1:6" ht="20" customHeight="1" thickBot="1">
      <c r="A21" s="89" t="s">
        <v>226</v>
      </c>
      <c r="B21" s="318">
        <v>6285</v>
      </c>
      <c r="C21" s="319">
        <v>5923</v>
      </c>
      <c r="D21" s="318">
        <v>3559</v>
      </c>
      <c r="E21" s="319">
        <v>15767</v>
      </c>
      <c r="F21" s="301">
        <v>3.94778732887624E-3</v>
      </c>
    </row>
    <row r="22" spans="1:6" ht="20" customHeight="1" thickBot="1">
      <c r="A22" s="89" t="s">
        <v>227</v>
      </c>
      <c r="B22" s="318">
        <v>187081</v>
      </c>
      <c r="C22" s="319">
        <v>192513</v>
      </c>
      <c r="D22" s="318">
        <v>99411</v>
      </c>
      <c r="E22" s="319">
        <v>479005</v>
      </c>
      <c r="F22" s="301">
        <v>5.0398339918129587E-3</v>
      </c>
    </row>
    <row r="23" spans="1:6" ht="20" customHeight="1" thickBot="1">
      <c r="A23" s="89" t="s">
        <v>228</v>
      </c>
      <c r="B23" s="318">
        <v>81270</v>
      </c>
      <c r="C23" s="319">
        <v>82299</v>
      </c>
      <c r="D23" s="318">
        <v>35368</v>
      </c>
      <c r="E23" s="319">
        <v>198937</v>
      </c>
      <c r="F23" s="301">
        <v>5.8448485951634321E-3</v>
      </c>
    </row>
    <row r="24" spans="1:6" ht="20" customHeight="1" thickBot="1">
      <c r="A24" s="89" t="s">
        <v>229</v>
      </c>
      <c r="B24" s="318">
        <v>242315</v>
      </c>
      <c r="C24" s="319">
        <v>247162</v>
      </c>
      <c r="D24" s="318">
        <v>122154</v>
      </c>
      <c r="E24" s="319">
        <v>611631</v>
      </c>
      <c r="F24" s="301">
        <v>1.2317337786685867E-2</v>
      </c>
    </row>
    <row r="25" spans="1:6" ht="20" customHeight="1" thickBot="1">
      <c r="A25" s="89" t="s">
        <v>230</v>
      </c>
      <c r="B25" s="318">
        <v>97715</v>
      </c>
      <c r="C25" s="319">
        <v>98638</v>
      </c>
      <c r="D25" s="318">
        <v>51560</v>
      </c>
      <c r="E25" s="319">
        <v>247913</v>
      </c>
      <c r="F25" s="301">
        <v>1.0730549859141236E-2</v>
      </c>
    </row>
    <row r="26" spans="1:6" ht="20" customHeight="1" thickBot="1">
      <c r="A26" s="89" t="s">
        <v>231</v>
      </c>
      <c r="B26" s="318">
        <v>129640</v>
      </c>
      <c r="C26" s="319">
        <v>142247</v>
      </c>
      <c r="D26" s="318">
        <v>60654</v>
      </c>
      <c r="E26" s="319">
        <v>332541</v>
      </c>
      <c r="F26" s="301">
        <v>9.2812072246519772E-3</v>
      </c>
    </row>
    <row r="27" spans="1:6" ht="20" customHeight="1" thickBot="1">
      <c r="A27" s="89" t="s">
        <v>232</v>
      </c>
      <c r="B27" s="318">
        <v>263112</v>
      </c>
      <c r="C27" s="319">
        <v>285065</v>
      </c>
      <c r="D27" s="318">
        <v>151281</v>
      </c>
      <c r="E27" s="319">
        <v>699458</v>
      </c>
      <c r="F27" s="301">
        <v>1.5977735751490973E-2</v>
      </c>
    </row>
    <row r="28" spans="1:6" ht="20" customHeight="1" thickBot="1">
      <c r="A28" s="89" t="s">
        <v>233</v>
      </c>
      <c r="B28" s="318">
        <v>125163</v>
      </c>
      <c r="C28" s="319">
        <v>129308</v>
      </c>
      <c r="D28" s="318">
        <v>62760</v>
      </c>
      <c r="E28" s="319">
        <v>317231</v>
      </c>
      <c r="F28" s="301">
        <v>1.2143255962351329E-2</v>
      </c>
    </row>
    <row r="29" spans="1:6" ht="20" customHeight="1" thickBot="1">
      <c r="A29" s="89" t="s">
        <v>234</v>
      </c>
      <c r="B29" s="318">
        <v>65272</v>
      </c>
      <c r="C29" s="319">
        <v>71018</v>
      </c>
      <c r="D29" s="318">
        <v>36605</v>
      </c>
      <c r="E29" s="319">
        <v>172895</v>
      </c>
      <c r="F29" s="301">
        <v>1.9936134823907992E-3</v>
      </c>
    </row>
    <row r="30" spans="1:6" ht="20" customHeight="1" thickBot="1">
      <c r="A30" s="89" t="s">
        <v>235</v>
      </c>
      <c r="B30" s="318">
        <v>157623</v>
      </c>
      <c r="C30" s="319">
        <v>174361</v>
      </c>
      <c r="D30" s="318">
        <v>90364</v>
      </c>
      <c r="E30" s="319">
        <v>422348</v>
      </c>
      <c r="F30" s="301">
        <v>1.434280554114542E-2</v>
      </c>
    </row>
    <row r="31" spans="1:6" ht="22" customHeight="1" thickBot="1">
      <c r="A31" s="90" t="s">
        <v>236</v>
      </c>
      <c r="B31" s="385">
        <v>26977</v>
      </c>
      <c r="C31" s="384">
        <v>28370</v>
      </c>
      <c r="D31" s="385">
        <v>15368</v>
      </c>
      <c r="E31" s="384">
        <v>70715</v>
      </c>
      <c r="F31" s="682">
        <v>3.4908967063531637E-3</v>
      </c>
    </row>
    <row r="32" spans="1:6" ht="21.75" customHeight="1" thickBot="1">
      <c r="A32" s="90" t="s">
        <v>1662</v>
      </c>
      <c r="B32" s="385">
        <v>3057297</v>
      </c>
      <c r="C32" s="384">
        <v>3215274</v>
      </c>
      <c r="D32" s="385">
        <v>1545582</v>
      </c>
      <c r="E32" s="384">
        <v>7818153</v>
      </c>
      <c r="F32" s="682">
        <v>9.5751512492956437E-3</v>
      </c>
    </row>
    <row r="33" spans="1:6" ht="18.75" customHeight="1" thickBot="1">
      <c r="A33" s="289" t="s">
        <v>664</v>
      </c>
      <c r="B33" s="385">
        <v>2794</v>
      </c>
      <c r="C33" s="384">
        <v>1085</v>
      </c>
      <c r="D33" s="385">
        <v>601</v>
      </c>
      <c r="E33" s="384">
        <v>4480</v>
      </c>
      <c r="F33" s="682">
        <v>-8.9245781662939616E-2</v>
      </c>
    </row>
    <row r="34" spans="1:6" ht="22" customHeight="1" thickBot="1">
      <c r="A34" s="90" t="s">
        <v>1663</v>
      </c>
      <c r="B34" s="385">
        <v>1</v>
      </c>
      <c r="C34" s="384">
        <v>0</v>
      </c>
      <c r="D34" s="385">
        <v>0</v>
      </c>
      <c r="E34" s="384">
        <v>1</v>
      </c>
      <c r="F34" s="682">
        <v>-0.66666666666666674</v>
      </c>
    </row>
    <row r="35" spans="1:6" s="248" customFormat="1" ht="30" customHeight="1" thickBot="1">
      <c r="A35" s="965" t="s">
        <v>1344</v>
      </c>
      <c r="B35" s="843">
        <v>3060091</v>
      </c>
      <c r="C35" s="134">
        <v>3216359</v>
      </c>
      <c r="D35" s="843">
        <v>1546183</v>
      </c>
      <c r="E35" s="402">
        <v>7822633</v>
      </c>
      <c r="F35" s="772">
        <v>9.5124199211193972E-3</v>
      </c>
    </row>
    <row r="36" spans="1:6" ht="17.5" customHeight="1">
      <c r="A36" s="96" t="s">
        <v>678</v>
      </c>
    </row>
    <row r="38" spans="1:6">
      <c r="A38" s="96" t="s">
        <v>1664</v>
      </c>
    </row>
    <row r="39" spans="1:6">
      <c r="A39" s="966" t="s">
        <v>1665</v>
      </c>
    </row>
    <row r="40" spans="1:6">
      <c r="A40" s="96" t="s">
        <v>1666</v>
      </c>
    </row>
    <row r="41" spans="1:6">
      <c r="A41" s="96" t="s">
        <v>1667</v>
      </c>
    </row>
    <row r="43" spans="1:6">
      <c r="A43" s="3" t="s">
        <v>1668</v>
      </c>
    </row>
    <row r="46" spans="1:6">
      <c r="A46" s="324" t="s">
        <v>677</v>
      </c>
    </row>
  </sheetData>
  <pageMargins left="0.62" right="0.52" top="0.74803149606299213" bottom="0.47244094488188981" header="0.43307086614173229" footer="0.31496062992125984"/>
  <pageSetup paperSize="9" scale="89" orientation="portrait" horizontalDpi="1200" verticalDpi="1200"/>
  <headerFooter alignWithMargins="0"/>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06B3C-40CA-5248-A164-55312546F3B4}">
  <sheetPr>
    <pageSetUpPr fitToPage="1"/>
  </sheetPr>
  <dimension ref="A1:J48"/>
  <sheetViews>
    <sheetView topLeftCell="A19" zoomScaleNormal="100" workbookViewId="0">
      <selection activeCell="A29" sqref="A29"/>
    </sheetView>
  </sheetViews>
  <sheetFormatPr baseColWidth="10" defaultColWidth="11.3984375" defaultRowHeight="13"/>
  <cols>
    <col min="1" max="1" width="18.19921875" style="3" customWidth="1"/>
    <col min="2" max="6" width="22.59765625" style="3" customWidth="1"/>
    <col min="7" max="16384" width="11.3984375" style="3"/>
  </cols>
  <sheetData>
    <row r="1" spans="1:10" s="2" customFormat="1" ht="14" customHeight="1"/>
    <row r="2" spans="1:10" s="2" customFormat="1" ht="28" customHeight="1">
      <c r="A2" s="71" t="s">
        <v>2260</v>
      </c>
      <c r="C2" s="482"/>
      <c r="D2" s="482"/>
    </row>
    <row r="3" spans="1:10" ht="24" customHeight="1">
      <c r="A3" s="72" t="s">
        <v>680</v>
      </c>
      <c r="B3" s="1400" t="s">
        <v>2261</v>
      </c>
      <c r="C3" s="1416" t="s">
        <v>2261</v>
      </c>
      <c r="D3" s="1400" t="s">
        <v>275</v>
      </c>
      <c r="E3" s="1539" t="s">
        <v>275</v>
      </c>
      <c r="F3" s="1400" t="s">
        <v>1462</v>
      </c>
    </row>
    <row r="4" spans="1:10" ht="18" customHeight="1">
      <c r="A4" s="328"/>
      <c r="B4" s="1406" t="s">
        <v>275</v>
      </c>
      <c r="C4" s="1416" t="s">
        <v>275</v>
      </c>
      <c r="D4" s="1406" t="s">
        <v>2262</v>
      </c>
      <c r="E4" s="1540" t="s">
        <v>2263</v>
      </c>
      <c r="F4" s="1406" t="s">
        <v>2264</v>
      </c>
    </row>
    <row r="5" spans="1:10" ht="18.75" customHeight="1">
      <c r="A5" s="328"/>
      <c r="B5" s="1406" t="s">
        <v>2265</v>
      </c>
      <c r="C5" s="1416" t="s">
        <v>2266</v>
      </c>
      <c r="D5" s="1406" t="s">
        <v>2267</v>
      </c>
      <c r="E5" s="1540" t="s">
        <v>2267</v>
      </c>
      <c r="F5" s="1406" t="s">
        <v>2268</v>
      </c>
    </row>
    <row r="6" spans="1:10" ht="24" customHeight="1">
      <c r="A6" s="329"/>
      <c r="B6" s="82"/>
      <c r="C6" s="81"/>
      <c r="D6" s="82"/>
      <c r="E6" s="1541"/>
      <c r="F6" s="82"/>
    </row>
    <row r="7" spans="1:10" ht="22.25" customHeight="1" thickBot="1">
      <c r="A7" s="427">
        <v>1996</v>
      </c>
      <c r="B7" s="123">
        <v>7232667</v>
      </c>
      <c r="C7" s="124">
        <v>7170504.333333333</v>
      </c>
      <c r="D7" s="123" t="s">
        <v>35</v>
      </c>
      <c r="E7" s="1542">
        <v>7194754</v>
      </c>
      <c r="F7" s="123">
        <v>7105446</v>
      </c>
    </row>
    <row r="8" spans="1:10" ht="20.5" customHeight="1" thickBot="1">
      <c r="A8" s="333">
        <v>1997</v>
      </c>
      <c r="B8" s="133">
        <v>7236471</v>
      </c>
      <c r="C8" s="132">
        <v>7182491.833333334</v>
      </c>
      <c r="D8" s="133" t="s">
        <v>35</v>
      </c>
      <c r="E8" s="1543">
        <v>7214805</v>
      </c>
      <c r="F8" s="133">
        <v>7113565</v>
      </c>
      <c r="H8" s="9"/>
      <c r="I8" s="9"/>
      <c r="J8" s="9"/>
    </row>
    <row r="9" spans="1:10" ht="19.75" customHeight="1" thickBot="1">
      <c r="A9" s="333">
        <v>1998</v>
      </c>
      <c r="B9" s="133">
        <v>7246616</v>
      </c>
      <c r="C9" s="132">
        <v>7211591.916666666</v>
      </c>
      <c r="D9" s="133" t="s">
        <v>35</v>
      </c>
      <c r="E9" s="1543">
        <v>7248603</v>
      </c>
      <c r="F9" s="133">
        <v>7131888</v>
      </c>
    </row>
    <row r="10" spans="1:10" ht="20" customHeight="1" thickBot="1">
      <c r="A10" s="333">
        <v>1999</v>
      </c>
      <c r="B10" s="133">
        <v>7270522</v>
      </c>
      <c r="C10" s="132">
        <v>7248704.333333334</v>
      </c>
      <c r="D10" s="133" t="s">
        <v>35</v>
      </c>
      <c r="E10" s="1543">
        <v>7266534</v>
      </c>
      <c r="F10" s="133">
        <v>7166738</v>
      </c>
    </row>
    <row r="11" spans="1:10" ht="20" customHeight="1" thickBot="1">
      <c r="A11" s="333">
        <v>2000</v>
      </c>
      <c r="B11" s="133">
        <v>7265113</v>
      </c>
      <c r="C11" s="132">
        <v>7262246.833333333</v>
      </c>
      <c r="D11" s="133" t="s">
        <v>35</v>
      </c>
      <c r="E11" s="1543">
        <v>7268111</v>
      </c>
      <c r="F11" s="133">
        <v>7209042</v>
      </c>
    </row>
    <row r="12" spans="1:10" ht="20" customHeight="1" thickBot="1">
      <c r="A12" s="333">
        <v>2001</v>
      </c>
      <c r="B12" s="133">
        <v>7301050</v>
      </c>
      <c r="C12" s="132">
        <v>7296058.5199999996</v>
      </c>
      <c r="D12" s="133" t="s">
        <v>35</v>
      </c>
      <c r="E12" s="1543">
        <v>7321287</v>
      </c>
      <c r="F12" s="133">
        <v>7260339</v>
      </c>
    </row>
    <row r="13" spans="1:10" ht="20" customHeight="1" thickBot="1">
      <c r="A13" s="333">
        <v>2002</v>
      </c>
      <c r="B13" s="133">
        <v>7344632</v>
      </c>
      <c r="C13" s="132">
        <v>7341111.2499999991</v>
      </c>
      <c r="D13" s="133" t="s">
        <v>35</v>
      </c>
      <c r="E13" s="1543">
        <v>7359365</v>
      </c>
      <c r="F13" s="133">
        <v>7347770</v>
      </c>
    </row>
    <row r="14" spans="1:10" ht="20" customHeight="1" thickBot="1">
      <c r="A14" s="333">
        <v>2003</v>
      </c>
      <c r="B14" s="133">
        <v>7372505</v>
      </c>
      <c r="C14" s="132">
        <v>7377771.6699999999</v>
      </c>
      <c r="D14" s="133" t="s">
        <v>35</v>
      </c>
      <c r="E14" s="1543">
        <v>7393188</v>
      </c>
      <c r="F14" s="133">
        <v>7405051</v>
      </c>
    </row>
    <row r="15" spans="1:10" ht="20" customHeight="1" thickBot="1">
      <c r="A15" s="333">
        <v>2004</v>
      </c>
      <c r="B15" s="133">
        <v>7383574</v>
      </c>
      <c r="C15" s="132">
        <v>7411732</v>
      </c>
      <c r="D15" s="133" t="s">
        <v>35</v>
      </c>
      <c r="E15" s="1543">
        <v>7419974</v>
      </c>
      <c r="F15" s="133">
        <v>7454112</v>
      </c>
    </row>
    <row r="16" spans="1:10" ht="20" customHeight="1" thickBot="1">
      <c r="A16" s="333">
        <v>2005</v>
      </c>
      <c r="B16" s="133">
        <v>7435865</v>
      </c>
      <c r="C16" s="132">
        <v>7444739</v>
      </c>
      <c r="D16" s="133">
        <v>7426709</v>
      </c>
      <c r="E16" s="1543">
        <v>7458475</v>
      </c>
      <c r="F16" s="133">
        <v>7501255</v>
      </c>
    </row>
    <row r="17" spans="1:6" ht="20" customHeight="1" thickBot="1">
      <c r="A17" s="333">
        <v>2006</v>
      </c>
      <c r="B17" s="133">
        <v>7478426.8300000001</v>
      </c>
      <c r="C17" s="132">
        <v>7488730</v>
      </c>
      <c r="D17" s="133">
        <v>7470156</v>
      </c>
      <c r="E17" s="1543">
        <v>7507545</v>
      </c>
      <c r="F17" s="133">
        <v>7557609</v>
      </c>
    </row>
    <row r="18" spans="1:6" ht="20" customHeight="1" thickBot="1">
      <c r="A18" s="333">
        <v>2007</v>
      </c>
      <c r="B18" s="133">
        <v>7537587.4100000001</v>
      </c>
      <c r="C18" s="132">
        <v>7517067</v>
      </c>
      <c r="D18" s="133">
        <v>7548213</v>
      </c>
      <c r="E18" s="1543">
        <v>7577132</v>
      </c>
      <c r="F18" s="133">
        <v>7618599</v>
      </c>
    </row>
    <row r="19" spans="1:6" ht="20" customHeight="1" thickBot="1">
      <c r="A19" s="333">
        <v>2008</v>
      </c>
      <c r="B19" s="133">
        <v>7615563.3600000003</v>
      </c>
      <c r="C19" s="132">
        <v>7602868</v>
      </c>
      <c r="D19" s="133">
        <v>7611232</v>
      </c>
      <c r="E19" s="1543">
        <v>7669611</v>
      </c>
      <c r="F19" s="133">
        <v>7711056</v>
      </c>
    </row>
    <row r="20" spans="1:6" ht="20" customHeight="1" thickBot="1">
      <c r="A20" s="333">
        <v>2009</v>
      </c>
      <c r="B20" s="133">
        <v>7708851.5500000007</v>
      </c>
      <c r="C20" s="132">
        <v>7692449</v>
      </c>
      <c r="D20" s="133">
        <v>7717311</v>
      </c>
      <c r="E20" s="1543">
        <v>7748922</v>
      </c>
      <c r="F20" s="133">
        <v>7801278</v>
      </c>
    </row>
    <row r="21" spans="1:6" ht="30" customHeight="1" thickBot="1">
      <c r="A21" s="431">
        <v>2010</v>
      </c>
      <c r="B21" s="435">
        <v>7779661.8399999999</v>
      </c>
      <c r="C21" s="436">
        <v>7764759</v>
      </c>
      <c r="D21" s="435">
        <v>7783558.0800000001</v>
      </c>
      <c r="E21" s="1544">
        <v>7822633</v>
      </c>
      <c r="F21" s="435">
        <v>7877571</v>
      </c>
    </row>
    <row r="22" spans="1:6" ht="20" customHeight="1">
      <c r="A22" s="95" t="s">
        <v>2369</v>
      </c>
      <c r="B22" s="135"/>
      <c r="C22" s="135"/>
      <c r="D22" s="135"/>
      <c r="E22" s="135"/>
      <c r="F22" s="135"/>
    </row>
    <row r="23" spans="1:6" ht="12.75" customHeight="1">
      <c r="A23" s="96"/>
      <c r="B23" s="136"/>
      <c r="C23" s="136"/>
      <c r="D23" s="136"/>
      <c r="E23" s="136"/>
      <c r="F23" s="136"/>
    </row>
    <row r="24" spans="1:6" ht="12.75" customHeight="1">
      <c r="A24" s="964" t="s">
        <v>2269</v>
      </c>
      <c r="B24" s="136"/>
      <c r="C24" s="136"/>
      <c r="D24" s="136"/>
      <c r="E24" s="136"/>
      <c r="F24" s="136"/>
    </row>
    <row r="25" spans="1:6" ht="12" customHeight="1">
      <c r="A25" s="1139" t="s">
        <v>2270</v>
      </c>
    </row>
    <row r="26" spans="1:6" ht="12" customHeight="1">
      <c r="A26" s="966" t="s">
        <v>1903</v>
      </c>
    </row>
    <row r="27" spans="1:6" ht="12" customHeight="1">
      <c r="A27" s="96" t="s">
        <v>2271</v>
      </c>
    </row>
    <row r="28" spans="1:6" ht="12" customHeight="1">
      <c r="A28" s="3" t="s">
        <v>2272</v>
      </c>
    </row>
    <row r="29" spans="1:6" ht="12" customHeight="1">
      <c r="A29" s="3" t="s">
        <v>1906</v>
      </c>
    </row>
    <row r="30" spans="1:6" ht="12" customHeight="1">
      <c r="A30" s="3" t="s">
        <v>2273</v>
      </c>
    </row>
    <row r="31" spans="1:6" ht="12" customHeight="1">
      <c r="A31" s="3" t="s">
        <v>1908</v>
      </c>
    </row>
    <row r="32" spans="1:6" ht="12" customHeight="1">
      <c r="A32" s="1140" t="s">
        <v>1909</v>
      </c>
    </row>
    <row r="33" spans="1:1" ht="12" customHeight="1">
      <c r="A33" s="3" t="s">
        <v>1910</v>
      </c>
    </row>
    <row r="34" spans="1:1" ht="12" customHeight="1">
      <c r="A34" s="1140" t="s">
        <v>1911</v>
      </c>
    </row>
    <row r="35" spans="1:1" ht="12" customHeight="1">
      <c r="A35" s="1140" t="s">
        <v>1912</v>
      </c>
    </row>
    <row r="36" spans="1:1" ht="12" customHeight="1">
      <c r="A36" s="1140" t="s">
        <v>1913</v>
      </c>
    </row>
    <row r="37" spans="1:1" ht="13.75" customHeight="1">
      <c r="A37" s="1139" t="s">
        <v>2274</v>
      </c>
    </row>
    <row r="38" spans="1:1" ht="13.25" customHeight="1">
      <c r="A38" s="1141" t="s">
        <v>2275</v>
      </c>
    </row>
    <row r="39" spans="1:1" ht="14.5" customHeight="1">
      <c r="A39" s="50" t="s">
        <v>2276</v>
      </c>
    </row>
    <row r="40" spans="1:1" ht="13.75" customHeight="1">
      <c r="A40" s="50" t="s">
        <v>2277</v>
      </c>
    </row>
    <row r="41" spans="1:1" ht="13.25" customHeight="1">
      <c r="A41" s="50" t="s">
        <v>2278</v>
      </c>
    </row>
    <row r="42" spans="1:1" ht="13.75" customHeight="1">
      <c r="A42" s="964" t="s">
        <v>2279</v>
      </c>
    </row>
    <row r="43" spans="1:1" ht="15" customHeight="1">
      <c r="A43" s="96" t="s">
        <v>2280</v>
      </c>
    </row>
    <row r="45" spans="1:1">
      <c r="A45" s="3" t="s">
        <v>2281</v>
      </c>
    </row>
    <row r="48" spans="1:1">
      <c r="A48" s="3" t="s">
        <v>677</v>
      </c>
    </row>
  </sheetData>
  <pageMargins left="0.44" right="0.28000000000000003" top="0.70866141732283472" bottom="0.47244094488188981" header="0.55118110236220474" footer="0.51181102362204722"/>
  <pageSetup paperSize="9" scale="68" orientation="portrait" horizontalDpi="1200" verticalDpi="1200"/>
  <headerFooter alignWithMargins="0"/>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15432-3D01-2F46-92E5-7FFF5FBDF898}">
  <sheetPr>
    <pageSetUpPr fitToPage="1"/>
  </sheetPr>
  <dimension ref="A1:G29"/>
  <sheetViews>
    <sheetView zoomScaleNormal="100" workbookViewId="0">
      <selection activeCell="A3" sqref="A3"/>
    </sheetView>
  </sheetViews>
  <sheetFormatPr baseColWidth="10" defaultColWidth="11.3984375" defaultRowHeight="13"/>
  <cols>
    <col min="1" max="1" width="18.19921875" style="3" customWidth="1"/>
    <col min="2" max="7" width="14.59765625" style="3" customWidth="1"/>
    <col min="8" max="16384" width="11.3984375" style="3"/>
  </cols>
  <sheetData>
    <row r="1" spans="1:7" s="2" customFormat="1" ht="14" customHeight="1"/>
    <row r="2" spans="1:7" s="2" customFormat="1" ht="28" customHeight="1">
      <c r="A2" s="71" t="s">
        <v>1346</v>
      </c>
      <c r="G2" s="358"/>
    </row>
    <row r="3" spans="1:7" ht="24" customHeight="1">
      <c r="A3" s="72" t="s">
        <v>680</v>
      </c>
      <c r="B3" s="73" t="s">
        <v>681</v>
      </c>
      <c r="C3" s="74" t="s">
        <v>682</v>
      </c>
      <c r="D3" s="73" t="s">
        <v>683</v>
      </c>
      <c r="E3" s="104" t="s">
        <v>684</v>
      </c>
      <c r="F3" s="73" t="s">
        <v>190</v>
      </c>
      <c r="G3" s="277" t="s">
        <v>585</v>
      </c>
    </row>
    <row r="4" spans="1:7" ht="15" customHeight="1">
      <c r="A4" s="328"/>
      <c r="B4" s="76" t="s">
        <v>685</v>
      </c>
      <c r="C4" s="77" t="s">
        <v>686</v>
      </c>
      <c r="D4" s="76" t="s">
        <v>687</v>
      </c>
      <c r="E4" s="106" t="s">
        <v>688</v>
      </c>
      <c r="F4" s="76"/>
      <c r="G4" s="75" t="s">
        <v>586</v>
      </c>
    </row>
    <row r="5" spans="1:7" ht="15" customHeight="1">
      <c r="A5" s="328"/>
      <c r="B5" s="76" t="s">
        <v>689</v>
      </c>
      <c r="C5" s="77" t="s">
        <v>690</v>
      </c>
      <c r="D5" s="76"/>
      <c r="E5" s="106" t="s">
        <v>699</v>
      </c>
      <c r="F5" s="76"/>
      <c r="G5" s="75" t="s">
        <v>210</v>
      </c>
    </row>
    <row r="6" spans="1:7" ht="24" customHeight="1">
      <c r="A6" s="329"/>
      <c r="B6" s="82"/>
      <c r="C6" s="81"/>
      <c r="D6" s="82"/>
      <c r="E6" s="109" t="s">
        <v>692</v>
      </c>
      <c r="F6" s="82"/>
      <c r="G6" s="79"/>
    </row>
    <row r="7" spans="1:7" ht="1.5" customHeight="1" thickBot="1">
      <c r="A7" s="427">
        <v>1996</v>
      </c>
      <c r="B7" s="123">
        <v>4739640</v>
      </c>
      <c r="C7" s="124">
        <v>2305688</v>
      </c>
      <c r="D7" s="123">
        <v>27828</v>
      </c>
      <c r="E7" s="124">
        <v>121598</v>
      </c>
      <c r="F7" s="111">
        <v>7194754</v>
      </c>
      <c r="G7" s="309">
        <v>3.9681470970374319E-3</v>
      </c>
    </row>
    <row r="8" spans="1:7" ht="0.75" hidden="1" customHeight="1" thickBot="1">
      <c r="A8" s="333">
        <v>1997</v>
      </c>
      <c r="B8" s="133">
        <v>4083854</v>
      </c>
      <c r="C8" s="132">
        <v>2736364</v>
      </c>
      <c r="D8" s="133">
        <v>11494</v>
      </c>
      <c r="E8" s="132">
        <v>383093</v>
      </c>
      <c r="F8" s="133">
        <v>7214805</v>
      </c>
      <c r="G8" s="452">
        <v>2.7868916713483186E-3</v>
      </c>
    </row>
    <row r="9" spans="1:7" ht="19.5" hidden="1" customHeight="1" thickBot="1">
      <c r="A9" s="333">
        <v>1998</v>
      </c>
      <c r="B9" s="133">
        <v>4016267</v>
      </c>
      <c r="C9" s="132">
        <v>2726468</v>
      </c>
      <c r="D9" s="133">
        <v>11828</v>
      </c>
      <c r="E9" s="132">
        <v>494040</v>
      </c>
      <c r="F9" s="133">
        <v>7248603</v>
      </c>
      <c r="G9" s="452">
        <v>4.6845340934370365E-3</v>
      </c>
    </row>
    <row r="10" spans="1:7" ht="19.75" hidden="1" customHeight="1" thickBot="1">
      <c r="A10" s="333">
        <v>1999</v>
      </c>
      <c r="B10" s="133">
        <v>3998744</v>
      </c>
      <c r="C10" s="132">
        <v>2715642</v>
      </c>
      <c r="D10" s="133">
        <v>10258</v>
      </c>
      <c r="E10" s="132">
        <v>541890</v>
      </c>
      <c r="F10" s="133">
        <v>7266534</v>
      </c>
      <c r="G10" s="452">
        <v>2.4737180391863093E-3</v>
      </c>
    </row>
    <row r="11" spans="1:7" ht="20" customHeight="1" thickBot="1">
      <c r="A11" s="333">
        <v>2000</v>
      </c>
      <c r="B11" s="133">
        <v>3921920</v>
      </c>
      <c r="C11" s="132">
        <v>2758539</v>
      </c>
      <c r="D11" s="133">
        <v>9811</v>
      </c>
      <c r="E11" s="132">
        <v>577841</v>
      </c>
      <c r="F11" s="133">
        <v>7268111</v>
      </c>
      <c r="G11" s="452">
        <v>2.1702231077429761E-4</v>
      </c>
    </row>
    <row r="12" spans="1:7" ht="20" customHeight="1" thickBot="1">
      <c r="A12" s="333">
        <v>2001</v>
      </c>
      <c r="B12" s="133">
        <v>3882191</v>
      </c>
      <c r="C12" s="132">
        <v>2833816</v>
      </c>
      <c r="D12" s="133">
        <v>9341</v>
      </c>
      <c r="E12" s="132">
        <v>595939</v>
      </c>
      <c r="F12" s="133">
        <v>7321287</v>
      </c>
      <c r="G12" s="452">
        <v>7.3163439578729601E-3</v>
      </c>
    </row>
    <row r="13" spans="1:7" ht="20" customHeight="1" thickBot="1">
      <c r="A13" s="333">
        <v>2002</v>
      </c>
      <c r="B13" s="133">
        <v>3812675</v>
      </c>
      <c r="C13" s="132">
        <v>2980820</v>
      </c>
      <c r="D13" s="133">
        <v>8835</v>
      </c>
      <c r="E13" s="132">
        <v>557035</v>
      </c>
      <c r="F13" s="133">
        <v>7359365</v>
      </c>
      <c r="G13" s="452">
        <v>5.2009981305199482E-3</v>
      </c>
    </row>
    <row r="14" spans="1:7" ht="20" customHeight="1" thickBot="1">
      <c r="A14" s="333">
        <v>2003</v>
      </c>
      <c r="B14" s="133">
        <v>3674270</v>
      </c>
      <c r="C14" s="132">
        <v>3107097</v>
      </c>
      <c r="D14" s="133">
        <v>8317</v>
      </c>
      <c r="E14" s="132">
        <v>603504</v>
      </c>
      <c r="F14" s="133">
        <v>7393188</v>
      </c>
      <c r="G14" s="452">
        <v>4.5959128267180661E-3</v>
      </c>
    </row>
    <row r="15" spans="1:7" ht="20" customHeight="1" thickBot="1">
      <c r="A15" s="333">
        <v>2004</v>
      </c>
      <c r="B15" s="133">
        <v>3639287</v>
      </c>
      <c r="C15" s="132">
        <v>3024823</v>
      </c>
      <c r="D15" s="133">
        <v>8098</v>
      </c>
      <c r="E15" s="132">
        <v>747766</v>
      </c>
      <c r="F15" s="133">
        <v>7419974</v>
      </c>
      <c r="G15" s="452">
        <v>3.623064907858423E-3</v>
      </c>
    </row>
    <row r="16" spans="1:7" ht="20" customHeight="1" thickBot="1">
      <c r="A16" s="333">
        <v>2005</v>
      </c>
      <c r="B16" s="133">
        <v>3605578</v>
      </c>
      <c r="C16" s="132">
        <v>2939073</v>
      </c>
      <c r="D16" s="133">
        <v>7711</v>
      </c>
      <c r="E16" s="132">
        <v>906113</v>
      </c>
      <c r="F16" s="133">
        <v>7458475</v>
      </c>
      <c r="G16" s="452">
        <v>5.1888321980643063E-3</v>
      </c>
    </row>
    <row r="17" spans="1:7" ht="20" customHeight="1" thickBot="1">
      <c r="A17" s="333">
        <v>2006</v>
      </c>
      <c r="B17" s="133">
        <v>3356090</v>
      </c>
      <c r="C17" s="132">
        <v>2787429</v>
      </c>
      <c r="D17" s="133">
        <v>7220</v>
      </c>
      <c r="E17" s="132">
        <v>1356806</v>
      </c>
      <c r="F17" s="133">
        <v>7507545</v>
      </c>
      <c r="G17" s="452">
        <v>6.5790929110843702E-3</v>
      </c>
    </row>
    <row r="18" spans="1:7" ht="20" customHeight="1" thickBot="1">
      <c r="A18" s="333">
        <v>2007</v>
      </c>
      <c r="B18" s="133">
        <v>3149431</v>
      </c>
      <c r="C18" s="132">
        <v>2579751</v>
      </c>
      <c r="D18" s="133">
        <v>6903</v>
      </c>
      <c r="E18" s="132">
        <v>1841047</v>
      </c>
      <c r="F18" s="133">
        <v>7577132</v>
      </c>
      <c r="G18" s="452">
        <v>9.268942110903098E-3</v>
      </c>
    </row>
    <row r="19" spans="1:7" ht="20" customHeight="1" thickBot="1">
      <c r="A19" s="333">
        <v>2008</v>
      </c>
      <c r="B19" s="133">
        <v>2968164</v>
      </c>
      <c r="C19" s="132">
        <v>2394419</v>
      </c>
      <c r="D19" s="133">
        <v>6557</v>
      </c>
      <c r="E19" s="132">
        <v>2300471</v>
      </c>
      <c r="F19" s="133">
        <v>7669611</v>
      </c>
      <c r="G19" s="452">
        <v>1.22050137175913E-2</v>
      </c>
    </row>
    <row r="20" spans="1:7" ht="20" customHeight="1" thickBot="1">
      <c r="A20" s="333">
        <v>2009</v>
      </c>
      <c r="B20" s="133">
        <v>2724152.39</v>
      </c>
      <c r="C20" s="132">
        <v>2160200.0299999998</v>
      </c>
      <c r="D20" s="133">
        <v>6148</v>
      </c>
      <c r="E20" s="132">
        <v>2858421.51</v>
      </c>
      <c r="F20" s="133">
        <v>7748921.9299999997</v>
      </c>
      <c r="G20" s="452">
        <v>1.0340932545340267E-2</v>
      </c>
    </row>
    <row r="21" spans="1:7" ht="27.5" customHeight="1" thickBot="1">
      <c r="A21" s="431">
        <v>2010</v>
      </c>
      <c r="B21" s="435">
        <v>2395489</v>
      </c>
      <c r="C21" s="436">
        <v>1750104</v>
      </c>
      <c r="D21" s="435">
        <v>5668</v>
      </c>
      <c r="E21" s="436">
        <v>3671372</v>
      </c>
      <c r="F21" s="435">
        <v>7822633</v>
      </c>
      <c r="G21" s="314">
        <v>9.5124290405646534E-3</v>
      </c>
    </row>
    <row r="22" spans="1:7" ht="19.5" customHeight="1">
      <c r="A22" s="95" t="s">
        <v>678</v>
      </c>
      <c r="B22" s="95"/>
      <c r="C22" s="95"/>
      <c r="D22" s="95"/>
      <c r="E22" s="95"/>
      <c r="F22" s="95"/>
      <c r="G22" s="95"/>
    </row>
    <row r="24" spans="1:7">
      <c r="A24" s="96" t="s">
        <v>1347</v>
      </c>
    </row>
    <row r="26" spans="1:7">
      <c r="A26" s="3" t="s">
        <v>1348</v>
      </c>
    </row>
    <row r="29" spans="1:7">
      <c r="A29" s="3" t="s">
        <v>677</v>
      </c>
    </row>
  </sheetData>
  <pageMargins left="0.56000000000000005" right="0.54" top="0.96" bottom="0.49" header="0.57999999999999996" footer="0.4921259845"/>
  <pageSetup paperSize="9" scale="86" orientation="portrait" horizontalDpi="4294967292" verticalDpi="4294967292"/>
  <headerFooter alignWithMargins="0"/>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E9C9E-07DD-C349-9B8D-EF3E58517492}">
  <sheetPr>
    <pageSetUpPr fitToPage="1"/>
  </sheetPr>
  <dimension ref="A1:G22"/>
  <sheetViews>
    <sheetView zoomScaleNormal="100" workbookViewId="0">
      <selection activeCell="B14" sqref="B14"/>
    </sheetView>
  </sheetViews>
  <sheetFormatPr baseColWidth="10" defaultColWidth="11.3984375" defaultRowHeight="13"/>
  <cols>
    <col min="1" max="1" width="36.3984375" style="3" customWidth="1"/>
    <col min="2" max="6" width="14.3984375" style="3" customWidth="1"/>
    <col min="7" max="7" width="15" style="3" customWidth="1"/>
    <col min="8" max="16384" width="11.3984375" style="3"/>
  </cols>
  <sheetData>
    <row r="1" spans="1:7" ht="14" customHeight="1">
      <c r="A1" s="246"/>
      <c r="B1" s="96"/>
      <c r="C1" s="96"/>
      <c r="D1" s="96"/>
      <c r="E1" s="96"/>
      <c r="F1" s="96"/>
      <c r="G1" s="96"/>
    </row>
    <row r="2" spans="1:7" ht="30" customHeight="1">
      <c r="A2" s="1807" t="s">
        <v>1349</v>
      </c>
      <c r="B2" s="1811"/>
      <c r="C2" s="1811"/>
      <c r="D2" s="1811"/>
      <c r="E2" s="1811"/>
      <c r="F2" s="1811"/>
      <c r="G2" s="129">
        <v>2010</v>
      </c>
    </row>
    <row r="3" spans="1:7" ht="24" customHeight="1">
      <c r="A3" s="72" t="s">
        <v>584</v>
      </c>
      <c r="B3" s="73" t="s">
        <v>237</v>
      </c>
      <c r="C3" s="74" t="s">
        <v>238</v>
      </c>
      <c r="D3" s="73" t="s">
        <v>204</v>
      </c>
      <c r="E3" s="74" t="s">
        <v>190</v>
      </c>
      <c r="F3" s="73" t="s">
        <v>546</v>
      </c>
      <c r="G3" s="277" t="s">
        <v>585</v>
      </c>
    </row>
    <row r="4" spans="1:7" ht="19.75" customHeight="1">
      <c r="A4" s="328"/>
      <c r="B4" s="76"/>
      <c r="C4" s="77"/>
      <c r="D4" s="76"/>
      <c r="E4" s="106"/>
      <c r="F4" s="76" t="s">
        <v>547</v>
      </c>
      <c r="G4" s="75" t="s">
        <v>586</v>
      </c>
    </row>
    <row r="5" spans="1:7" ht="18.5" customHeight="1">
      <c r="A5" s="75"/>
      <c r="B5" s="76"/>
      <c r="C5" s="77"/>
      <c r="D5" s="76"/>
      <c r="E5" s="77"/>
      <c r="F5" s="76" t="s">
        <v>548</v>
      </c>
      <c r="G5" s="75" t="s">
        <v>210</v>
      </c>
    </row>
    <row r="6" spans="1:7" ht="24" customHeight="1">
      <c r="A6" s="264"/>
      <c r="B6" s="359"/>
      <c r="C6" s="360"/>
      <c r="D6" s="359"/>
      <c r="E6" s="360"/>
      <c r="F6" s="359"/>
      <c r="G6" s="79"/>
    </row>
    <row r="7" spans="1:7" ht="37.5" customHeight="1" thickBot="1">
      <c r="A7" s="800" t="s">
        <v>587</v>
      </c>
      <c r="B7" s="111">
        <v>739680</v>
      </c>
      <c r="C7" s="112">
        <v>956766</v>
      </c>
      <c r="D7" s="111">
        <v>699043</v>
      </c>
      <c r="E7" s="112">
        <v>2395489</v>
      </c>
      <c r="F7" s="362">
        <v>0.30622541029343958</v>
      </c>
      <c r="G7" s="309">
        <v>-0.12064794583683335</v>
      </c>
    </row>
    <row r="8" spans="1:7" ht="34.5" customHeight="1" thickBot="1">
      <c r="A8" s="800" t="s">
        <v>588</v>
      </c>
      <c r="B8" s="111">
        <v>880589</v>
      </c>
      <c r="C8" s="112">
        <v>789947</v>
      </c>
      <c r="D8" s="111">
        <v>79568</v>
      </c>
      <c r="E8" s="112">
        <v>1750104</v>
      </c>
      <c r="F8" s="362">
        <v>0.22372313772102054</v>
      </c>
      <c r="G8" s="309">
        <v>-0.18984169257696004</v>
      </c>
    </row>
    <row r="9" spans="1:7" ht="31.5" customHeight="1" thickBot="1">
      <c r="A9" s="800" t="s">
        <v>589</v>
      </c>
      <c r="B9" s="111">
        <v>3694</v>
      </c>
      <c r="C9" s="112">
        <v>1936</v>
      </c>
      <c r="D9" s="111">
        <v>38</v>
      </c>
      <c r="E9" s="112">
        <v>5668</v>
      </c>
      <c r="F9" s="362">
        <v>7.2456422281346963E-4</v>
      </c>
      <c r="G9" s="309">
        <v>-7.8074170461938847E-2</v>
      </c>
    </row>
    <row r="10" spans="1:7" ht="33" customHeight="1" thickBot="1">
      <c r="A10" s="800" t="s">
        <v>1350</v>
      </c>
      <c r="B10" s="111">
        <v>1436128</v>
      </c>
      <c r="C10" s="112">
        <v>1467710</v>
      </c>
      <c r="D10" s="111">
        <v>767534</v>
      </c>
      <c r="E10" s="112">
        <v>3671372</v>
      </c>
      <c r="F10" s="362">
        <v>0.46932688776272646</v>
      </c>
      <c r="G10" s="309">
        <v>0.28440539198153469</v>
      </c>
    </row>
    <row r="11" spans="1:7" ht="39.5" customHeight="1" thickBot="1">
      <c r="A11" s="801" t="s">
        <v>1351</v>
      </c>
      <c r="B11" s="775" t="s">
        <v>35</v>
      </c>
      <c r="C11" s="802" t="s">
        <v>35</v>
      </c>
      <c r="D11" s="775" t="s">
        <v>35</v>
      </c>
      <c r="E11" s="803">
        <v>1838161</v>
      </c>
      <c r="F11" s="804">
        <v>0.23497983351641322</v>
      </c>
      <c r="G11" s="805" t="s">
        <v>35</v>
      </c>
    </row>
    <row r="12" spans="1:7" ht="33" customHeight="1" thickBot="1">
      <c r="A12" s="365" t="s">
        <v>190</v>
      </c>
      <c r="B12" s="366">
        <v>3060091</v>
      </c>
      <c r="C12" s="367">
        <v>3216359</v>
      </c>
      <c r="D12" s="366">
        <v>1546183</v>
      </c>
      <c r="E12" s="367">
        <v>7822633</v>
      </c>
      <c r="F12" s="806">
        <v>1</v>
      </c>
      <c r="G12" s="783">
        <v>9.5124290405646534E-3</v>
      </c>
    </row>
    <row r="13" spans="1:7" ht="19.5" customHeight="1">
      <c r="A13" s="95" t="s">
        <v>678</v>
      </c>
      <c r="B13" s="95"/>
      <c r="C13" s="95"/>
      <c r="D13" s="95"/>
      <c r="E13" s="95"/>
      <c r="F13" s="95"/>
      <c r="G13" s="95"/>
    </row>
    <row r="15" spans="1:7">
      <c r="A15" s="3" t="s">
        <v>1352</v>
      </c>
    </row>
    <row r="16" spans="1:7">
      <c r="A16" s="3" t="s">
        <v>1353</v>
      </c>
    </row>
    <row r="17" spans="1:1">
      <c r="A17" s="3" t="s">
        <v>1354</v>
      </c>
    </row>
    <row r="19" spans="1:1">
      <c r="A19" s="3" t="s">
        <v>1355</v>
      </c>
    </row>
    <row r="22" spans="1:1">
      <c r="A22" s="3" t="s">
        <v>677</v>
      </c>
    </row>
  </sheetData>
  <mergeCells count="1">
    <mergeCell ref="A2:F2"/>
  </mergeCells>
  <pageMargins left="0.43" right="0.35" top="0.78740157480314965" bottom="0.47244094488188981" header="0.43307086614173229" footer="0.51181102362204722"/>
  <pageSetup paperSize="9" scale="78" orientation="portrait" horizontalDpi="1200" verticalDpi="1200"/>
  <headerFooter alignWithMargins="0"/>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90153-7CC6-8B44-8EEE-D2C2C45FFCC6}">
  <sheetPr>
    <pageSetUpPr fitToPage="1"/>
  </sheetPr>
  <dimension ref="A1:F27"/>
  <sheetViews>
    <sheetView topLeftCell="A3" zoomScaleNormal="100" workbookViewId="0">
      <selection activeCell="A3" sqref="A3"/>
    </sheetView>
  </sheetViews>
  <sheetFormatPr baseColWidth="10" defaultColWidth="11.3984375" defaultRowHeight="13"/>
  <cols>
    <col min="1" max="1" width="18.19921875" style="3" customWidth="1"/>
    <col min="2" max="6" width="14.59765625" style="3" customWidth="1"/>
    <col min="7" max="7" width="17.59765625" style="3" customWidth="1"/>
    <col min="8" max="16384" width="11.3984375" style="3"/>
  </cols>
  <sheetData>
    <row r="1" spans="1:6" s="2" customFormat="1" ht="14" customHeight="1"/>
    <row r="2" spans="1:6" s="2" customFormat="1" ht="39.75" customHeight="1">
      <c r="A2" s="1807" t="s">
        <v>1356</v>
      </c>
      <c r="B2" s="1811"/>
      <c r="C2" s="1811"/>
      <c r="D2" s="1811"/>
      <c r="E2" s="1811"/>
      <c r="F2" s="47"/>
    </row>
    <row r="3" spans="1:6" ht="24" customHeight="1">
      <c r="A3" s="72" t="s">
        <v>680</v>
      </c>
      <c r="B3" s="73" t="s">
        <v>681</v>
      </c>
      <c r="C3" s="74" t="s">
        <v>682</v>
      </c>
      <c r="D3" s="73" t="s">
        <v>683</v>
      </c>
      <c r="E3" s="104" t="s">
        <v>684</v>
      </c>
      <c r="F3" s="73" t="s">
        <v>190</v>
      </c>
    </row>
    <row r="4" spans="1:6" ht="15" customHeight="1">
      <c r="A4" s="328"/>
      <c r="B4" s="76" t="s">
        <v>685</v>
      </c>
      <c r="C4" s="77" t="s">
        <v>686</v>
      </c>
      <c r="D4" s="76" t="s">
        <v>687</v>
      </c>
      <c r="E4" s="106" t="s">
        <v>688</v>
      </c>
      <c r="F4" s="76"/>
    </row>
    <row r="5" spans="1:6" ht="15" customHeight="1">
      <c r="A5" s="328"/>
      <c r="B5" s="76" t="s">
        <v>689</v>
      </c>
      <c r="C5" s="77" t="s">
        <v>690</v>
      </c>
      <c r="D5" s="76"/>
      <c r="E5" s="106" t="s">
        <v>699</v>
      </c>
      <c r="F5" s="76"/>
    </row>
    <row r="6" spans="1:6" ht="24" customHeight="1">
      <c r="A6" s="329"/>
      <c r="B6" s="82"/>
      <c r="C6" s="81"/>
      <c r="D6" s="82"/>
      <c r="E6" s="109" t="s">
        <v>692</v>
      </c>
      <c r="F6" s="82"/>
    </row>
    <row r="7" spans="1:6" ht="1.5" customHeight="1" thickBot="1">
      <c r="A7" s="427">
        <v>1996</v>
      </c>
      <c r="B7" s="462">
        <v>0.65876331560467527</v>
      </c>
      <c r="C7" s="443">
        <v>0.32046794094697328</v>
      </c>
      <c r="D7" s="462">
        <v>3.8678181352691143E-3</v>
      </c>
      <c r="E7" s="443">
        <v>1.6900925313082283E-2</v>
      </c>
      <c r="F7" s="362">
        <v>1</v>
      </c>
    </row>
    <row r="8" spans="1:6" ht="19.5" hidden="1" customHeight="1" thickBot="1">
      <c r="A8" s="333">
        <v>1997</v>
      </c>
      <c r="B8" s="335">
        <v>0.56603802874783171</v>
      </c>
      <c r="C8" s="464">
        <v>0.37927068021935451</v>
      </c>
      <c r="D8" s="335">
        <v>1.5931130501794573E-3</v>
      </c>
      <c r="E8" s="464">
        <v>5.3098177982634318E-2</v>
      </c>
      <c r="F8" s="335">
        <v>1</v>
      </c>
    </row>
    <row r="9" spans="1:6" ht="19.5" hidden="1" customHeight="1" thickBot="1">
      <c r="A9" s="333">
        <v>1998</v>
      </c>
      <c r="B9" s="335">
        <v>0.55407462651768902</v>
      </c>
      <c r="C9" s="464">
        <v>0.37613702943863803</v>
      </c>
      <c r="D9" s="335">
        <v>1.6317626996539885E-3</v>
      </c>
      <c r="E9" s="464">
        <v>6.8156581344018974E-2</v>
      </c>
      <c r="F9" s="335">
        <v>1</v>
      </c>
    </row>
    <row r="10" spans="1:6" ht="0.5" customHeight="1" thickBot="1">
      <c r="A10" s="333">
        <v>1999</v>
      </c>
      <c r="B10" s="335">
        <v>0.55029591824658086</v>
      </c>
      <c r="C10" s="464">
        <v>0.37371902477852575</v>
      </c>
      <c r="D10" s="335">
        <v>1.4116771489681326E-3</v>
      </c>
      <c r="E10" s="464">
        <v>7.4573379825925268E-2</v>
      </c>
      <c r="F10" s="335">
        <v>1</v>
      </c>
    </row>
    <row r="11" spans="1:6" ht="20" customHeight="1" thickBot="1">
      <c r="A11" s="333">
        <v>2000</v>
      </c>
      <c r="B11" s="335">
        <v>0.53960650848618019</v>
      </c>
      <c r="C11" s="464">
        <v>0.37954002078394233</v>
      </c>
      <c r="D11" s="335">
        <v>1.3498693126728527E-3</v>
      </c>
      <c r="E11" s="464">
        <v>7.9503601417204556E-2</v>
      </c>
      <c r="F11" s="335">
        <v>1</v>
      </c>
    </row>
    <row r="12" spans="1:6" ht="20" customHeight="1" thickBot="1">
      <c r="A12" s="333">
        <v>2001</v>
      </c>
      <c r="B12" s="335">
        <v>0.53026073148068087</v>
      </c>
      <c r="C12" s="464">
        <v>0.38706527964277321</v>
      </c>
      <c r="D12" s="335">
        <v>1.2758685733806091E-3</v>
      </c>
      <c r="E12" s="464">
        <v>8.1398120303165275E-2</v>
      </c>
      <c r="F12" s="335">
        <v>1</v>
      </c>
    </row>
    <row r="13" spans="1:6" ht="20" customHeight="1" thickBot="1">
      <c r="A13" s="333">
        <v>2002</v>
      </c>
      <c r="B13" s="335">
        <v>0.51807119228357335</v>
      </c>
      <c r="C13" s="464">
        <v>0.40503766289618737</v>
      </c>
      <c r="D13" s="335">
        <v>1.2005111854079802E-3</v>
      </c>
      <c r="E13" s="464">
        <v>7.5690633634831264E-2</v>
      </c>
      <c r="F13" s="335">
        <v>1</v>
      </c>
    </row>
    <row r="14" spans="1:6" ht="20" customHeight="1" thickBot="1">
      <c r="A14" s="333">
        <v>2003</v>
      </c>
      <c r="B14" s="335">
        <v>0.49698046363760801</v>
      </c>
      <c r="C14" s="464">
        <v>0.42026484379945434</v>
      </c>
      <c r="D14" s="335">
        <v>1.1249544851287428E-3</v>
      </c>
      <c r="E14" s="464">
        <v>8.1629738077808919E-2</v>
      </c>
      <c r="F14" s="335">
        <v>1</v>
      </c>
    </row>
    <row r="15" spans="1:6" ht="20" customHeight="1" thickBot="1">
      <c r="A15" s="333">
        <v>2004</v>
      </c>
      <c r="B15" s="335">
        <v>0.49047166472550979</v>
      </c>
      <c r="C15" s="464">
        <v>0.40765951470988981</v>
      </c>
      <c r="D15" s="335">
        <v>1.0913784873100634E-3</v>
      </c>
      <c r="E15" s="464">
        <v>0.10077744207729029</v>
      </c>
      <c r="F15" s="335">
        <v>1</v>
      </c>
    </row>
    <row r="16" spans="1:6" ht="20" customHeight="1" thickBot="1">
      <c r="A16" s="333">
        <v>2005</v>
      </c>
      <c r="B16" s="335">
        <v>0.48342027022950401</v>
      </c>
      <c r="C16" s="464">
        <v>0.39405816872752136</v>
      </c>
      <c r="D16" s="335">
        <v>1.0338574574561153E-3</v>
      </c>
      <c r="E16" s="464">
        <v>0.12148770358551848</v>
      </c>
      <c r="F16" s="335">
        <v>1</v>
      </c>
    </row>
    <row r="17" spans="1:6" ht="20" customHeight="1" thickBot="1">
      <c r="A17" s="333">
        <v>2006</v>
      </c>
      <c r="B17" s="335">
        <v>0.44702895553739602</v>
      </c>
      <c r="C17" s="464">
        <v>0.37128368860925909</v>
      </c>
      <c r="D17" s="335">
        <v>9.6169919727420879E-4</v>
      </c>
      <c r="E17" s="464">
        <v>0.18072565665607065</v>
      </c>
      <c r="F17" s="335">
        <v>1</v>
      </c>
    </row>
    <row r="18" spans="1:6" ht="20" customHeight="1" thickBot="1">
      <c r="A18" s="333">
        <v>2007</v>
      </c>
      <c r="B18" s="335">
        <v>0.41564948320815842</v>
      </c>
      <c r="C18" s="464">
        <v>0.34046536341190836</v>
      </c>
      <c r="D18" s="335">
        <v>9.1103071716316941E-4</v>
      </c>
      <c r="E18" s="464">
        <v>0.24297412266277002</v>
      </c>
      <c r="F18" s="335">
        <v>1</v>
      </c>
    </row>
    <row r="19" spans="1:6" ht="20" customHeight="1" thickBot="1">
      <c r="A19" s="333">
        <v>2008</v>
      </c>
      <c r="B19" s="335">
        <v>0.38700320003191818</v>
      </c>
      <c r="C19" s="464">
        <v>0.31219562504539017</v>
      </c>
      <c r="D19" s="335">
        <v>8.5493253829953047E-4</v>
      </c>
      <c r="E19" s="464">
        <v>0.2999462423843921</v>
      </c>
      <c r="F19" s="335">
        <v>1</v>
      </c>
    </row>
    <row r="20" spans="1:6" ht="20" customHeight="1" thickBot="1">
      <c r="A20" s="333">
        <v>2009</v>
      </c>
      <c r="B20" s="335">
        <v>0.35155243717883222</v>
      </c>
      <c r="C20" s="464">
        <v>0.27877426686114515</v>
      </c>
      <c r="D20" s="335">
        <v>7.9340068922335882E-4</v>
      </c>
      <c r="E20" s="464">
        <v>0.36887989527079929</v>
      </c>
      <c r="F20" s="335">
        <v>1</v>
      </c>
    </row>
    <row r="21" spans="1:6" ht="30" customHeight="1" thickBot="1">
      <c r="A21" s="431">
        <v>2010</v>
      </c>
      <c r="B21" s="466">
        <v>0.30622541029343958</v>
      </c>
      <c r="C21" s="807">
        <v>0.22372313772102054</v>
      </c>
      <c r="D21" s="466">
        <v>7.2456422281346963E-4</v>
      </c>
      <c r="E21" s="807">
        <v>0.46932688776272646</v>
      </c>
      <c r="F21" s="466">
        <v>1</v>
      </c>
    </row>
    <row r="22" spans="1:6" ht="19.5" customHeight="1">
      <c r="A22" s="95" t="s">
        <v>678</v>
      </c>
      <c r="B22" s="95"/>
      <c r="C22" s="95"/>
      <c r="D22" s="95"/>
      <c r="E22" s="95"/>
      <c r="F22" s="95"/>
    </row>
    <row r="24" spans="1:6">
      <c r="A24" s="3" t="s">
        <v>1357</v>
      </c>
    </row>
    <row r="27" spans="1:6">
      <c r="A27" s="3" t="s">
        <v>677</v>
      </c>
    </row>
  </sheetData>
  <mergeCells count="1">
    <mergeCell ref="A2:E2"/>
  </mergeCells>
  <pageMargins left="0.65" right="0.72" top="1.05" bottom="0.49" header="0.6" footer="0.4921259845"/>
  <pageSetup paperSize="9" scale="80" orientation="portrait" horizontalDpi="4294967292" verticalDpi="4294967292"/>
  <headerFooter alignWithMargins="0"/>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CDFD0-70C0-534A-8A47-F0687E67F5CC}">
  <sheetPr>
    <pageSetUpPr fitToPage="1"/>
  </sheetPr>
  <dimension ref="A1:P50"/>
  <sheetViews>
    <sheetView topLeftCell="A23" zoomScaleNormal="100" workbookViewId="0">
      <selection activeCell="A40" sqref="A40"/>
    </sheetView>
  </sheetViews>
  <sheetFormatPr baseColWidth="10" defaultColWidth="11.3984375" defaultRowHeight="13"/>
  <cols>
    <col min="1" max="1" width="14.796875" style="3" customWidth="1"/>
    <col min="2" max="2" width="14.796875" style="248" customWidth="1"/>
    <col min="3" max="4" width="12.3984375" style="3" customWidth="1"/>
    <col min="5" max="7" width="12.59765625" style="3" customWidth="1"/>
    <col min="8" max="8" width="14.59765625" style="872" customWidth="1"/>
    <col min="9" max="9" width="16.3984375" style="872" customWidth="1"/>
    <col min="10" max="10" width="16" style="248" customWidth="1"/>
    <col min="11" max="11" width="14.3984375" style="3" customWidth="1"/>
    <col min="12" max="12" width="13.59765625" style="3" customWidth="1"/>
    <col min="13" max="14" width="13.3984375" style="3" customWidth="1"/>
    <col min="15" max="15" width="15.19921875" style="3" customWidth="1"/>
    <col min="16" max="16" width="13.3984375" style="3" customWidth="1"/>
    <col min="17" max="16384" width="11.3984375" style="3"/>
  </cols>
  <sheetData>
    <row r="1" spans="1:16" s="2" customFormat="1" ht="14" customHeight="1">
      <c r="A1" s="242"/>
      <c r="B1" s="243"/>
      <c r="C1" s="242"/>
      <c r="D1" s="242"/>
      <c r="E1" s="242"/>
      <c r="F1" s="242"/>
      <c r="G1" s="242"/>
      <c r="H1" s="967"/>
      <c r="I1" s="967"/>
      <c r="J1" s="17"/>
    </row>
    <row r="2" spans="1:16" s="2" customFormat="1" ht="28" customHeight="1">
      <c r="A2" s="71" t="s">
        <v>1687</v>
      </c>
      <c r="B2" s="243"/>
      <c r="C2" s="242"/>
      <c r="D2" s="242"/>
      <c r="E2" s="242"/>
      <c r="F2" s="242"/>
      <c r="G2" s="242"/>
      <c r="H2" s="967"/>
      <c r="I2" s="967"/>
      <c r="J2" s="968"/>
      <c r="K2" s="371"/>
      <c r="P2" s="371">
        <v>2010</v>
      </c>
    </row>
    <row r="3" spans="1:16" ht="57.75" customHeight="1">
      <c r="A3" s="969" t="s">
        <v>203</v>
      </c>
      <c r="B3" s="970" t="s">
        <v>1669</v>
      </c>
      <c r="C3" s="971"/>
      <c r="D3" s="971"/>
      <c r="E3" s="971"/>
      <c r="F3" s="971"/>
      <c r="G3" s="971"/>
      <c r="H3" s="972"/>
      <c r="I3" s="971"/>
      <c r="J3" s="973" t="s">
        <v>1670</v>
      </c>
      <c r="K3" s="974" t="s">
        <v>1671</v>
      </c>
      <c r="L3" s="975"/>
      <c r="M3" s="971"/>
      <c r="N3" s="971"/>
      <c r="O3" s="971"/>
      <c r="P3" s="976"/>
    </row>
    <row r="4" spans="1:16" ht="84.75" customHeight="1">
      <c r="A4" s="78"/>
      <c r="B4" s="973" t="s">
        <v>1672</v>
      </c>
      <c r="C4" s="377" t="s">
        <v>1673</v>
      </c>
      <c r="D4" s="376" t="s">
        <v>1674</v>
      </c>
      <c r="E4" s="377" t="s">
        <v>1675</v>
      </c>
      <c r="F4" s="376" t="s">
        <v>1676</v>
      </c>
      <c r="G4" s="377" t="s">
        <v>1677</v>
      </c>
      <c r="H4" s="376" t="s">
        <v>1686</v>
      </c>
      <c r="I4" s="977" t="s">
        <v>1678</v>
      </c>
      <c r="J4" s="973"/>
      <c r="K4" s="377" t="s">
        <v>1679</v>
      </c>
      <c r="L4" s="376" t="s">
        <v>1680</v>
      </c>
      <c r="M4" s="978" t="s">
        <v>609</v>
      </c>
      <c r="N4" s="979" t="s">
        <v>1681</v>
      </c>
      <c r="O4" s="980" t="s">
        <v>1682</v>
      </c>
      <c r="P4" s="981" t="s">
        <v>190</v>
      </c>
    </row>
    <row r="5" spans="1:16" ht="24" customHeight="1">
      <c r="A5" s="80"/>
      <c r="B5" s="982"/>
      <c r="C5" s="80"/>
      <c r="D5" s="79"/>
      <c r="E5" s="82"/>
      <c r="F5" s="81"/>
      <c r="G5" s="82"/>
      <c r="H5" s="982"/>
      <c r="I5" s="983"/>
      <c r="J5" s="201"/>
      <c r="K5" s="80"/>
      <c r="L5" s="81"/>
      <c r="M5" s="199"/>
      <c r="N5" s="81"/>
      <c r="O5" s="983"/>
      <c r="P5" s="201"/>
    </row>
    <row r="6" spans="1:16" ht="30" customHeight="1" thickBot="1">
      <c r="A6" s="984" t="s">
        <v>211</v>
      </c>
      <c r="B6" s="985">
        <v>0.29921537252971631</v>
      </c>
      <c r="C6" s="332">
        <v>0.1076596941738196</v>
      </c>
      <c r="D6" s="446">
        <v>1.994195161951598E-2</v>
      </c>
      <c r="E6" s="332">
        <v>6.6421323299982654E-2</v>
      </c>
      <c r="F6" s="446">
        <v>1.0405548186661307E-2</v>
      </c>
      <c r="G6" s="332">
        <v>8.3765512586012073E-2</v>
      </c>
      <c r="H6" s="788" t="s">
        <v>35</v>
      </c>
      <c r="I6" s="986">
        <v>0.28819402986599163</v>
      </c>
      <c r="J6" s="985">
        <v>1.302700222399204E-3</v>
      </c>
      <c r="K6" s="332">
        <v>0.14533113033932576</v>
      </c>
      <c r="L6" s="446">
        <v>0.26595679416012258</v>
      </c>
      <c r="M6" s="986">
        <v>0.41128791546026339</v>
      </c>
      <c r="N6" s="987">
        <v>6.1562580587158924E-2</v>
      </c>
      <c r="O6" s="988">
        <v>0.25400106190537369</v>
      </c>
      <c r="P6" s="985">
        <v>1</v>
      </c>
    </row>
    <row r="7" spans="1:16" ht="20" customHeight="1" thickBot="1">
      <c r="A7" s="698" t="s">
        <v>212</v>
      </c>
      <c r="B7" s="985">
        <v>0.19492693057603444</v>
      </c>
      <c r="C7" s="332">
        <v>0.1196620564289447</v>
      </c>
      <c r="D7" s="446">
        <v>1.6862118836993647E-2</v>
      </c>
      <c r="E7" s="332">
        <v>4.9209689201824391E-2</v>
      </c>
      <c r="F7" s="446">
        <v>7.4476763825533183E-3</v>
      </c>
      <c r="G7" s="332">
        <v>4.6968787990890402E-2</v>
      </c>
      <c r="H7" s="788" t="s">
        <v>35</v>
      </c>
      <c r="I7" s="986">
        <v>0.24015032884120646</v>
      </c>
      <c r="J7" s="985">
        <v>1.2672639486808995E-3</v>
      </c>
      <c r="K7" s="332">
        <v>0.19782437729739377</v>
      </c>
      <c r="L7" s="446">
        <v>0.36583123721901323</v>
      </c>
      <c r="M7" s="986">
        <v>0.56365558944689276</v>
      </c>
      <c r="N7" s="987">
        <v>3.7479024180687236E-2</v>
      </c>
      <c r="O7" s="988">
        <v>0.2513830631689965</v>
      </c>
      <c r="P7" s="985">
        <v>1</v>
      </c>
    </row>
    <row r="8" spans="1:16" ht="20" customHeight="1" thickBot="1">
      <c r="A8" s="698" t="s">
        <v>213</v>
      </c>
      <c r="B8" s="985">
        <v>0.25996117852645723</v>
      </c>
      <c r="C8" s="332">
        <v>5.8015241937036999E-2</v>
      </c>
      <c r="D8" s="446">
        <v>1.2332272351426643E-2</v>
      </c>
      <c r="E8" s="332">
        <v>4.7845867899952682E-2</v>
      </c>
      <c r="F8" s="446">
        <v>6.5397189336491553E-3</v>
      </c>
      <c r="G8" s="332">
        <v>4.3280817317848434E-2</v>
      </c>
      <c r="H8" s="788" t="s">
        <v>35</v>
      </c>
      <c r="I8" s="986">
        <v>0.16801391843991392</v>
      </c>
      <c r="J8" s="985">
        <v>8.8337362643101276E-4</v>
      </c>
      <c r="K8" s="332">
        <v>0.25074279987130255</v>
      </c>
      <c r="L8" s="446">
        <v>0.32039882932205721</v>
      </c>
      <c r="M8" s="986">
        <v>0.57114139635898264</v>
      </c>
      <c r="N8" s="987">
        <v>8.1551970179637417E-2</v>
      </c>
      <c r="O8" s="988">
        <v>0.41920642127941238</v>
      </c>
      <c r="P8" s="985">
        <v>1</v>
      </c>
    </row>
    <row r="9" spans="1:16" ht="20" customHeight="1" thickBot="1">
      <c r="A9" s="698" t="s">
        <v>214</v>
      </c>
      <c r="B9" s="985">
        <v>0.24647033130797957</v>
      </c>
      <c r="C9" s="332">
        <v>0.10004755853262876</v>
      </c>
      <c r="D9" s="446">
        <v>1.6194244853058953E-2</v>
      </c>
      <c r="E9" s="332">
        <v>7.4122866128375584E-2</v>
      </c>
      <c r="F9" s="446">
        <v>9.7636115131163465E-3</v>
      </c>
      <c r="G9" s="332">
        <v>4.1005122068076438E-2</v>
      </c>
      <c r="H9" s="788" t="s">
        <v>35</v>
      </c>
      <c r="I9" s="986">
        <v>0.24113340309525605</v>
      </c>
      <c r="J9" s="985">
        <v>1.3759516116627071E-3</v>
      </c>
      <c r="K9" s="332">
        <v>0.19741624511978187</v>
      </c>
      <c r="L9" s="446">
        <v>0.31360653852205855</v>
      </c>
      <c r="M9" s="986">
        <v>0.51102278364184039</v>
      </c>
      <c r="N9" s="987">
        <v>4.4035038078578836E-2</v>
      </c>
      <c r="O9" s="988">
        <v>0.37135028835006467</v>
      </c>
      <c r="P9" s="985">
        <v>1</v>
      </c>
    </row>
    <row r="10" spans="1:16" ht="20" customHeight="1" thickBot="1">
      <c r="A10" s="698" t="s">
        <v>215</v>
      </c>
      <c r="B10" s="985">
        <v>0.28509933381065966</v>
      </c>
      <c r="C10" s="332">
        <v>9.1320357688468703E-2</v>
      </c>
      <c r="D10" s="446">
        <v>1.7142768168179938E-2</v>
      </c>
      <c r="E10" s="332">
        <v>7.0184166459985903E-2</v>
      </c>
      <c r="F10" s="446">
        <v>8.8769351029826284E-3</v>
      </c>
      <c r="G10" s="332">
        <v>6.3149606043228529E-2</v>
      </c>
      <c r="H10" s="788" t="s">
        <v>35</v>
      </c>
      <c r="I10" s="986">
        <v>0.25067383346284566</v>
      </c>
      <c r="J10" s="985">
        <v>1.1628305890491509E-3</v>
      </c>
      <c r="K10" s="332">
        <v>0.17172985337400959</v>
      </c>
      <c r="L10" s="446">
        <v>0.29133372100056482</v>
      </c>
      <c r="M10" s="986">
        <v>0.46306331771685166</v>
      </c>
      <c r="N10" s="987">
        <v>1.69402652249575E-2</v>
      </c>
      <c r="O10" s="988">
        <v>0.38026938623471063</v>
      </c>
      <c r="P10" s="985">
        <v>1</v>
      </c>
    </row>
    <row r="11" spans="1:16" ht="20" customHeight="1" thickBot="1">
      <c r="A11" s="698" t="s">
        <v>216</v>
      </c>
      <c r="B11" s="985">
        <v>0.21693963332961849</v>
      </c>
      <c r="C11" s="332">
        <v>7.9978986928860435E-2</v>
      </c>
      <c r="D11" s="446">
        <v>1.2689147428632303E-2</v>
      </c>
      <c r="E11" s="332">
        <v>4.7573088409798327E-2</v>
      </c>
      <c r="F11" s="446">
        <v>6.2895528309120634E-3</v>
      </c>
      <c r="G11" s="332">
        <v>3.8210776943936861E-2</v>
      </c>
      <c r="H11" s="788" t="s">
        <v>35</v>
      </c>
      <c r="I11" s="986">
        <v>0.18474155254213998</v>
      </c>
      <c r="J11" s="985">
        <v>1.3842833722684932E-3</v>
      </c>
      <c r="K11" s="332">
        <v>0.27070064363920032</v>
      </c>
      <c r="L11" s="446">
        <v>0.32623563937420574</v>
      </c>
      <c r="M11" s="986">
        <v>0.59693488120745919</v>
      </c>
      <c r="N11" s="987">
        <v>3.0177377515453151E-3</v>
      </c>
      <c r="O11" s="988">
        <v>0.51178077717523474</v>
      </c>
      <c r="P11" s="985">
        <v>1</v>
      </c>
    </row>
    <row r="12" spans="1:16" ht="20" customHeight="1" thickBot="1">
      <c r="A12" s="698" t="s">
        <v>217</v>
      </c>
      <c r="B12" s="985">
        <v>0.28164671700739979</v>
      </c>
      <c r="C12" s="332">
        <v>8.0656144545495842E-2</v>
      </c>
      <c r="D12" s="446">
        <v>1.821981447573506E-2</v>
      </c>
      <c r="E12" s="332">
        <v>6.031384773693689E-2</v>
      </c>
      <c r="F12" s="446">
        <v>8.7344702873658909E-3</v>
      </c>
      <c r="G12" s="332">
        <v>4.0937608764735268E-2</v>
      </c>
      <c r="H12" s="788" t="s">
        <v>35</v>
      </c>
      <c r="I12" s="986">
        <v>0.20886188581026896</v>
      </c>
      <c r="J12" s="985">
        <v>1.6848508693612582E-3</v>
      </c>
      <c r="K12" s="332">
        <v>0.22623428113130464</v>
      </c>
      <c r="L12" s="446">
        <v>0.28157287048106178</v>
      </c>
      <c r="M12" s="986">
        <v>0.50780654631297029</v>
      </c>
      <c r="N12" s="987">
        <v>6.4733743928090445E-3</v>
      </c>
      <c r="O12" s="988">
        <v>0.40726056625758522</v>
      </c>
      <c r="P12" s="985">
        <v>1</v>
      </c>
    </row>
    <row r="13" spans="1:16" ht="20" customHeight="1" thickBot="1">
      <c r="A13" s="698" t="s">
        <v>218</v>
      </c>
      <c r="B13" s="985">
        <v>0.36777263434249396</v>
      </c>
      <c r="C13" s="332">
        <v>0.10073072996922317</v>
      </c>
      <c r="D13" s="446">
        <v>2.5198518104959385E-2</v>
      </c>
      <c r="E13" s="332">
        <v>9.7136125472800414E-2</v>
      </c>
      <c r="F13" s="446">
        <v>1.8544696056502739E-2</v>
      </c>
      <c r="G13" s="332">
        <v>5.8926940690139845E-2</v>
      </c>
      <c r="H13" s="788" t="s">
        <v>35</v>
      </c>
      <c r="I13" s="986">
        <v>0.30053701029362556</v>
      </c>
      <c r="J13" s="985">
        <v>1.9470641729051545E-3</v>
      </c>
      <c r="K13" s="332">
        <v>0.13732706953950669</v>
      </c>
      <c r="L13" s="446">
        <v>0.19241844977787162</v>
      </c>
      <c r="M13" s="986">
        <v>0.32974456440606253</v>
      </c>
      <c r="N13" s="987">
        <v>1.8557109903608062E-4</v>
      </c>
      <c r="O13" s="988">
        <v>0.24479151580394132</v>
      </c>
      <c r="P13" s="985">
        <v>1</v>
      </c>
    </row>
    <row r="14" spans="1:16" ht="20" customHeight="1" thickBot="1">
      <c r="A14" s="698" t="s">
        <v>219</v>
      </c>
      <c r="B14" s="985">
        <v>0.30591415924617255</v>
      </c>
      <c r="C14" s="332">
        <v>9.6209402112598361E-2</v>
      </c>
      <c r="D14" s="446">
        <v>2.0541181139786119E-2</v>
      </c>
      <c r="E14" s="332">
        <v>7.238397961728367E-2</v>
      </c>
      <c r="F14" s="446">
        <v>1.1014245665417107E-2</v>
      </c>
      <c r="G14" s="332">
        <v>6.8759221633248407E-2</v>
      </c>
      <c r="H14" s="788" t="s">
        <v>35</v>
      </c>
      <c r="I14" s="986">
        <v>0.26890803016833364</v>
      </c>
      <c r="J14" s="985">
        <v>1.4958369489001366E-3</v>
      </c>
      <c r="K14" s="332">
        <v>0.16004259392389877</v>
      </c>
      <c r="L14" s="446">
        <v>0.26363993339826952</v>
      </c>
      <c r="M14" s="986">
        <v>0.42368263805928325</v>
      </c>
      <c r="N14" s="987">
        <v>6.183383320067027E-2</v>
      </c>
      <c r="O14" s="988">
        <v>0.28934246072929687</v>
      </c>
      <c r="P14" s="985">
        <v>1</v>
      </c>
    </row>
    <row r="15" spans="1:16" ht="20" customHeight="1" thickBot="1">
      <c r="A15" s="698" t="s">
        <v>220</v>
      </c>
      <c r="B15" s="985">
        <v>0.26369570199192388</v>
      </c>
      <c r="C15" s="332">
        <v>0.16715389452644439</v>
      </c>
      <c r="D15" s="446">
        <v>2.1749272683433466E-2</v>
      </c>
      <c r="E15" s="332">
        <v>6.7944310252506829E-2</v>
      </c>
      <c r="F15" s="446">
        <v>1.5545907183256134E-2</v>
      </c>
      <c r="G15" s="332">
        <v>4.3523291966357326E-2</v>
      </c>
      <c r="H15" s="788" t="s">
        <v>35</v>
      </c>
      <c r="I15" s="986">
        <v>0.31591667661199818</v>
      </c>
      <c r="J15" s="985">
        <v>5.5563119610494132E-4</v>
      </c>
      <c r="K15" s="332">
        <v>0.13424077712913668</v>
      </c>
      <c r="L15" s="446">
        <v>0.28559153991271641</v>
      </c>
      <c r="M15" s="986">
        <v>0.41983208358336732</v>
      </c>
      <c r="N15" s="987">
        <v>2.9934980877882344E-3</v>
      </c>
      <c r="O15" s="988">
        <v>0.28839098730714224</v>
      </c>
      <c r="P15" s="985">
        <v>1</v>
      </c>
    </row>
    <row r="16" spans="1:16" ht="20" customHeight="1" thickBot="1">
      <c r="A16" s="698" t="s">
        <v>221</v>
      </c>
      <c r="B16" s="985">
        <v>0.28547177377134814</v>
      </c>
      <c r="C16" s="332">
        <v>0.13423600731635568</v>
      </c>
      <c r="D16" s="446">
        <v>1.9369827281691579E-2</v>
      </c>
      <c r="E16" s="332">
        <v>6.080699487479236E-2</v>
      </c>
      <c r="F16" s="446">
        <v>1.0053133326352956E-2</v>
      </c>
      <c r="G16" s="332">
        <v>4.9858685717726586E-2</v>
      </c>
      <c r="H16" s="788" t="s">
        <v>35</v>
      </c>
      <c r="I16" s="986">
        <v>0.27432464851691918</v>
      </c>
      <c r="J16" s="985">
        <v>9.2729707142498246E-4</v>
      </c>
      <c r="K16" s="332">
        <v>0.15308753201097372</v>
      </c>
      <c r="L16" s="446">
        <v>0.2861890842243861</v>
      </c>
      <c r="M16" s="986">
        <v>0.43927656829320949</v>
      </c>
      <c r="N16" s="987">
        <v>1.3629665682126667E-2</v>
      </c>
      <c r="O16" s="988">
        <v>0.31275469267355727</v>
      </c>
      <c r="P16" s="985">
        <v>1</v>
      </c>
    </row>
    <row r="17" spans="1:16" ht="20" customHeight="1" thickBot="1">
      <c r="A17" s="698" t="s">
        <v>222</v>
      </c>
      <c r="B17" s="985">
        <v>0.3436277252373014</v>
      </c>
      <c r="C17" s="332">
        <v>9.7964725929713642E-2</v>
      </c>
      <c r="D17" s="446">
        <v>1.664313672316806E-2</v>
      </c>
      <c r="E17" s="332">
        <v>7.1847987085980308E-2</v>
      </c>
      <c r="F17" s="446">
        <v>6.9041442780347594E-3</v>
      </c>
      <c r="G17" s="332">
        <v>6.7529284007539117E-2</v>
      </c>
      <c r="H17" s="788" t="s">
        <v>35</v>
      </c>
      <c r="I17" s="986">
        <v>0.2608892780244359</v>
      </c>
      <c r="J17" s="985">
        <v>5.8272655959105003E-4</v>
      </c>
      <c r="K17" s="332">
        <v>0.14849391157300951</v>
      </c>
      <c r="L17" s="446">
        <v>0.24640649180030483</v>
      </c>
      <c r="M17" s="986">
        <v>0.39490033677599323</v>
      </c>
      <c r="N17" s="987">
        <v>0.14101996061567634</v>
      </c>
      <c r="O17" s="988">
        <v>0.19393586105241498</v>
      </c>
      <c r="P17" s="985">
        <v>1</v>
      </c>
    </row>
    <row r="18" spans="1:16" ht="20" customHeight="1" thickBot="1">
      <c r="A18" s="698" t="s">
        <v>223</v>
      </c>
      <c r="B18" s="985">
        <v>0.2747565377819598</v>
      </c>
      <c r="C18" s="332">
        <v>0.11928880805803506</v>
      </c>
      <c r="D18" s="446">
        <v>1.9129111819427339E-2</v>
      </c>
      <c r="E18" s="332">
        <v>6.9273596223429462E-2</v>
      </c>
      <c r="F18" s="446">
        <v>9.43174101184595E-3</v>
      </c>
      <c r="G18" s="332">
        <v>6.4578800329929784E-2</v>
      </c>
      <c r="H18" s="788" t="s">
        <v>35</v>
      </c>
      <c r="I18" s="986">
        <v>0.28170205744266763</v>
      </c>
      <c r="J18" s="985">
        <v>1.0716664615254925E-3</v>
      </c>
      <c r="K18" s="332">
        <v>0.1599098993059502</v>
      </c>
      <c r="L18" s="446">
        <v>0.28255997352669965</v>
      </c>
      <c r="M18" s="986">
        <v>0.44246969347424636</v>
      </c>
      <c r="N18" s="987">
        <v>2.5822588083472504E-2</v>
      </c>
      <c r="O18" s="988">
        <v>0.30668408236765649</v>
      </c>
      <c r="P18" s="985">
        <v>1</v>
      </c>
    </row>
    <row r="19" spans="1:16" ht="20" customHeight="1" thickBot="1">
      <c r="A19" s="698" t="s">
        <v>224</v>
      </c>
      <c r="B19" s="985">
        <v>0.25115359951714211</v>
      </c>
      <c r="C19" s="332">
        <v>9.8614682140537077E-2</v>
      </c>
      <c r="D19" s="446">
        <v>1.7844679625115184E-2</v>
      </c>
      <c r="E19" s="332">
        <v>5.6806663903245493E-2</v>
      </c>
      <c r="F19" s="446">
        <v>1.3907931695184984E-2</v>
      </c>
      <c r="G19" s="332">
        <v>6.3315519251029129E-2</v>
      </c>
      <c r="H19" s="788" t="s">
        <v>35</v>
      </c>
      <c r="I19" s="986">
        <v>0.25048947661511189</v>
      </c>
      <c r="J19" s="985">
        <v>1.0950620111071499E-3</v>
      </c>
      <c r="K19" s="332">
        <v>0.2041701249691209</v>
      </c>
      <c r="L19" s="446">
        <v>0.29309173688751811</v>
      </c>
      <c r="M19" s="986">
        <v>0.49726218393370114</v>
      </c>
      <c r="N19" s="987">
        <v>3.1933940706257026E-4</v>
      </c>
      <c r="O19" s="988">
        <v>0.4133490313693397</v>
      </c>
      <c r="P19" s="985">
        <v>1</v>
      </c>
    </row>
    <row r="20" spans="1:16" ht="20" customHeight="1" thickBot="1">
      <c r="A20" s="698" t="s">
        <v>225</v>
      </c>
      <c r="B20" s="985">
        <v>0.299770760874357</v>
      </c>
      <c r="C20" s="332">
        <v>7.6613896809910181E-2</v>
      </c>
      <c r="D20" s="446">
        <v>2.0544976577237112E-2</v>
      </c>
      <c r="E20" s="332">
        <v>6.1104988271216805E-2</v>
      </c>
      <c r="F20" s="446">
        <v>1.0499523191899599E-2</v>
      </c>
      <c r="G20" s="332">
        <v>5.1212670334183308E-2</v>
      </c>
      <c r="H20" s="788" t="s">
        <v>35</v>
      </c>
      <c r="I20" s="986">
        <v>0.21997605518444699</v>
      </c>
      <c r="J20" s="985">
        <v>1.0923661979020444E-3</v>
      </c>
      <c r="K20" s="332">
        <v>0.17404655781675257</v>
      </c>
      <c r="L20" s="446">
        <v>0.30511495599676103</v>
      </c>
      <c r="M20" s="986">
        <v>0.47916104976670032</v>
      </c>
      <c r="N20" s="987">
        <v>6.3330788809975155E-2</v>
      </c>
      <c r="O20" s="988">
        <v>0.32586341710151723</v>
      </c>
      <c r="P20" s="985">
        <v>1</v>
      </c>
    </row>
    <row r="21" spans="1:16" ht="20" customHeight="1" thickBot="1">
      <c r="A21" s="698" t="s">
        <v>226</v>
      </c>
      <c r="B21" s="985">
        <v>0.2843940946835179</v>
      </c>
      <c r="C21" s="332">
        <v>6.8030930123250483E-2</v>
      </c>
      <c r="D21" s="446">
        <v>1.6449988249425528E-2</v>
      </c>
      <c r="E21" s="332">
        <v>5.806660617296848E-2</v>
      </c>
      <c r="F21" s="446">
        <v>7.5211836745352001E-3</v>
      </c>
      <c r="G21" s="332">
        <v>3.7018389649049507E-2</v>
      </c>
      <c r="H21" s="788" t="s">
        <v>35</v>
      </c>
      <c r="I21" s="986">
        <v>0.18708709786922922</v>
      </c>
      <c r="J21" s="985">
        <v>1.1424169626070609E-3</v>
      </c>
      <c r="K21" s="332">
        <v>0.1817813870900355</v>
      </c>
      <c r="L21" s="446">
        <v>0.3455933713703781</v>
      </c>
      <c r="M21" s="986">
        <v>0.52737557447252981</v>
      </c>
      <c r="N21" s="987">
        <v>5.3726237727177778E-3</v>
      </c>
      <c r="O21" s="988">
        <v>0.46656716758930439</v>
      </c>
      <c r="P21" s="985">
        <v>1</v>
      </c>
    </row>
    <row r="22" spans="1:16" ht="20" customHeight="1" thickBot="1">
      <c r="A22" s="698" t="s">
        <v>227</v>
      </c>
      <c r="B22" s="985">
        <v>0.25101277392832511</v>
      </c>
      <c r="C22" s="332">
        <v>6.3092606630252471E-2</v>
      </c>
      <c r="D22" s="446">
        <v>1.4591812811595113E-2</v>
      </c>
      <c r="E22" s="332">
        <v>5.0268812851303753E-2</v>
      </c>
      <c r="F22" s="446">
        <v>6.6040757239984914E-3</v>
      </c>
      <c r="G22" s="332">
        <v>4.6532341906630824E-2</v>
      </c>
      <c r="H22" s="788" t="s">
        <v>35</v>
      </c>
      <c r="I22" s="986">
        <v>0.18108964992378065</v>
      </c>
      <c r="J22" s="985">
        <v>9.4854591155637397E-4</v>
      </c>
      <c r="K22" s="332">
        <v>0.22712436084626497</v>
      </c>
      <c r="L22" s="446">
        <v>0.33982466939007266</v>
      </c>
      <c r="M22" s="986">
        <v>0.56694900399136205</v>
      </c>
      <c r="N22" s="987">
        <v>9.8283129800484897E-2</v>
      </c>
      <c r="O22" s="988">
        <v>0.37929695536498598</v>
      </c>
      <c r="P22" s="985">
        <v>1</v>
      </c>
    </row>
    <row r="23" spans="1:16" ht="20" customHeight="1" thickBot="1">
      <c r="A23" s="698" t="s">
        <v>228</v>
      </c>
      <c r="B23" s="985">
        <v>0.40296281945403783</v>
      </c>
      <c r="C23" s="332">
        <v>5.8407771447046085E-2</v>
      </c>
      <c r="D23" s="446">
        <v>1.7512471822519585E-2</v>
      </c>
      <c r="E23" s="332">
        <v>6.6126650351210098E-2</v>
      </c>
      <c r="F23" s="446">
        <v>1.0101474406811396E-2</v>
      </c>
      <c r="G23" s="332">
        <v>5.5162860977934033E-2</v>
      </c>
      <c r="H23" s="788" t="s">
        <v>35</v>
      </c>
      <c r="I23" s="986">
        <v>0.20731122900552118</v>
      </c>
      <c r="J23" s="985">
        <v>6.6277814609069178E-4</v>
      </c>
      <c r="K23" s="332">
        <v>0.18850911011452384</v>
      </c>
      <c r="L23" s="446">
        <v>0.20055375478134091</v>
      </c>
      <c r="M23" s="986">
        <v>0.38906292659556185</v>
      </c>
      <c r="N23" s="987">
        <v>5.3287560384722293E-3</v>
      </c>
      <c r="O23" s="988">
        <v>0.32202737800658754</v>
      </c>
      <c r="P23" s="985">
        <v>1</v>
      </c>
    </row>
    <row r="24" spans="1:16" ht="20" customHeight="1" thickBot="1">
      <c r="A24" s="698" t="s">
        <v>229</v>
      </c>
      <c r="B24" s="985">
        <v>0.29139819019234042</v>
      </c>
      <c r="C24" s="332">
        <v>8.2636796758089437E-2</v>
      </c>
      <c r="D24" s="446">
        <v>1.7855774282368647E-2</v>
      </c>
      <c r="E24" s="332">
        <v>6.1414023511558571E-2</v>
      </c>
      <c r="F24" s="446">
        <v>9.3081969591927907E-3</v>
      </c>
      <c r="G24" s="332">
        <v>5.4341672743294357E-2</v>
      </c>
      <c r="H24" s="788" t="s">
        <v>35</v>
      </c>
      <c r="I24" s="986">
        <v>0.22555646425450382</v>
      </c>
      <c r="J24" s="985">
        <v>1.2046260106988557E-3</v>
      </c>
      <c r="K24" s="332">
        <v>0.20797421228302132</v>
      </c>
      <c r="L24" s="446">
        <v>0.27386656855524028</v>
      </c>
      <c r="M24" s="986">
        <v>0.48184080127019624</v>
      </c>
      <c r="N24" s="987">
        <v>3.9349005049568793E-2</v>
      </c>
      <c r="O24" s="988">
        <v>0.3612619424914183</v>
      </c>
      <c r="P24" s="985">
        <v>1</v>
      </c>
    </row>
    <row r="25" spans="1:16" ht="20" customHeight="1" thickBot="1">
      <c r="A25" s="698" t="s">
        <v>230</v>
      </c>
      <c r="B25" s="985">
        <v>0.23286119786800497</v>
      </c>
      <c r="C25" s="332">
        <v>6.365568762942031E-2</v>
      </c>
      <c r="D25" s="446">
        <v>1.5748797797328271E-2</v>
      </c>
      <c r="E25" s="332">
        <v>6.1480269639154872E-2</v>
      </c>
      <c r="F25" s="446">
        <v>9.2668311551950544E-3</v>
      </c>
      <c r="G25" s="332">
        <v>6.0065871681151572E-2</v>
      </c>
      <c r="H25" s="788" t="s">
        <v>35</v>
      </c>
      <c r="I25" s="986">
        <v>0.21021745790225008</v>
      </c>
      <c r="J25" s="985">
        <v>9.3344061951413607E-4</v>
      </c>
      <c r="K25" s="332">
        <v>0.20774855373397857</v>
      </c>
      <c r="L25" s="446">
        <v>0.34823929902972106</v>
      </c>
      <c r="M25" s="986">
        <v>0.55598800530329318</v>
      </c>
      <c r="N25" s="987">
        <v>6.5074814314823926E-2</v>
      </c>
      <c r="O25" s="988">
        <v>0.41378678269845087</v>
      </c>
      <c r="P25" s="985">
        <v>1</v>
      </c>
    </row>
    <row r="26" spans="1:16" ht="20" customHeight="1" thickBot="1">
      <c r="A26" s="698" t="s">
        <v>231</v>
      </c>
      <c r="B26" s="985">
        <v>0.28544153334406142</v>
      </c>
      <c r="C26" s="332">
        <v>0.14878154812984545</v>
      </c>
      <c r="D26" s="446">
        <v>1.3664237083252557E-2</v>
      </c>
      <c r="E26" s="332">
        <v>6.9544778185290645E-2</v>
      </c>
      <c r="F26" s="446">
        <v>5.1891821366781892E-3</v>
      </c>
      <c r="G26" s="332">
        <v>8.8597581909449025E-2</v>
      </c>
      <c r="H26" s="788" t="s">
        <v>35</v>
      </c>
      <c r="I26" s="986">
        <v>0.32577732744451587</v>
      </c>
      <c r="J26" s="985">
        <v>5.1971619296360249E-4</v>
      </c>
      <c r="K26" s="332">
        <v>0.12503272818309902</v>
      </c>
      <c r="L26" s="446">
        <v>0.26322895224803644</v>
      </c>
      <c r="M26" s="986">
        <v>0.38826175397761425</v>
      </c>
      <c r="N26" s="987">
        <v>1.2908142507187699E-3</v>
      </c>
      <c r="O26" s="988">
        <v>0.26001614786490163</v>
      </c>
      <c r="P26" s="985">
        <v>1</v>
      </c>
    </row>
    <row r="27" spans="1:16" ht="20" customHeight="1" thickBot="1">
      <c r="A27" s="698" t="s">
        <v>232</v>
      </c>
      <c r="B27" s="985">
        <v>0.22380883239222985</v>
      </c>
      <c r="C27" s="332">
        <v>0.16652066167052526</v>
      </c>
      <c r="D27" s="446">
        <v>2.472136377044707E-2</v>
      </c>
      <c r="E27" s="332">
        <v>7.376087220508043E-2</v>
      </c>
      <c r="F27" s="446">
        <v>6.882492048359461E-3</v>
      </c>
      <c r="G27" s="332">
        <v>8.106217615585809E-2</v>
      </c>
      <c r="H27" s="788" t="s">
        <v>35</v>
      </c>
      <c r="I27" s="986">
        <v>0.35294756585027032</v>
      </c>
      <c r="J27" s="985">
        <v>2.3901032796988075E-4</v>
      </c>
      <c r="K27" s="332">
        <v>0.11625412996593774</v>
      </c>
      <c r="L27" s="446">
        <v>0.30675053458338702</v>
      </c>
      <c r="M27" s="986">
        <v>0.42300468282927339</v>
      </c>
      <c r="N27" s="987">
        <v>5.9018276457131749E-3</v>
      </c>
      <c r="O27" s="988">
        <v>0.25868629796656234</v>
      </c>
      <c r="P27" s="985">
        <v>1</v>
      </c>
    </row>
    <row r="28" spans="1:16" ht="20" customHeight="1" thickBot="1">
      <c r="A28" s="698" t="s">
        <v>233</v>
      </c>
      <c r="B28" s="985">
        <v>0.41521909774693078</v>
      </c>
      <c r="C28" s="332">
        <v>0.16444255054399454</v>
      </c>
      <c r="D28" s="446">
        <v>2.4368602387901155E-2</v>
      </c>
      <c r="E28" s="332">
        <v>6.0388718199729498E-2</v>
      </c>
      <c r="F28" s="446">
        <v>1.0697077582416344E-2</v>
      </c>
      <c r="G28" s="332">
        <v>4.7693257273680852E-2</v>
      </c>
      <c r="H28" s="788" t="s">
        <v>35</v>
      </c>
      <c r="I28" s="986">
        <v>0.30759020598772235</v>
      </c>
      <c r="J28" s="985">
        <v>2.7267904019345892E-4</v>
      </c>
      <c r="K28" s="332">
        <v>0.1160097169880463</v>
      </c>
      <c r="L28" s="446">
        <v>0.16090877384377716</v>
      </c>
      <c r="M28" s="986">
        <v>0.27691845136460097</v>
      </c>
      <c r="N28" s="987">
        <v>8.1223543887413288E-5</v>
      </c>
      <c r="O28" s="988">
        <v>0.19877062759316919</v>
      </c>
      <c r="P28" s="985">
        <v>1</v>
      </c>
    </row>
    <row r="29" spans="1:16" ht="20" customHeight="1" thickBot="1">
      <c r="A29" s="698" t="s">
        <v>234</v>
      </c>
      <c r="B29" s="985">
        <v>0.25244092137819113</v>
      </c>
      <c r="C29" s="332">
        <v>0.13403836380118583</v>
      </c>
      <c r="D29" s="446">
        <v>1.3708579435662468E-2</v>
      </c>
      <c r="E29" s="332">
        <v>5.145449334741125E-2</v>
      </c>
      <c r="F29" s="446">
        <v>5.3599419837600413E-3</v>
      </c>
      <c r="G29" s="332">
        <v>7.2182719304506426E-2</v>
      </c>
      <c r="H29" s="788" t="s">
        <v>35</v>
      </c>
      <c r="I29" s="986">
        <v>0.27674409787252607</v>
      </c>
      <c r="J29" s="985">
        <v>3.409411099660367E-4</v>
      </c>
      <c r="K29" s="332">
        <v>0.14344196816309884</v>
      </c>
      <c r="L29" s="446">
        <v>0.32703177926185334</v>
      </c>
      <c r="M29" s="986">
        <v>0.47047374742495218</v>
      </c>
      <c r="N29" s="987">
        <v>2.4030248277743327E-3</v>
      </c>
      <c r="O29" s="988">
        <v>0.38697707234957368</v>
      </c>
      <c r="P29" s="985">
        <v>1</v>
      </c>
    </row>
    <row r="30" spans="1:16" ht="20" customHeight="1" thickBot="1">
      <c r="A30" s="698" t="s">
        <v>235</v>
      </c>
      <c r="B30" s="985">
        <v>0.29585776757358218</v>
      </c>
      <c r="C30" s="332">
        <v>0.18818631941359823</v>
      </c>
      <c r="D30" s="446">
        <v>2.1550054291928675E-2</v>
      </c>
      <c r="E30" s="332">
        <v>7.0462194492062452E-2</v>
      </c>
      <c r="F30" s="446">
        <v>4.8218876127294899E-3</v>
      </c>
      <c r="G30" s="332">
        <v>7.7161026023571361E-2</v>
      </c>
      <c r="H30" s="788" t="s">
        <v>35</v>
      </c>
      <c r="I30" s="986">
        <v>0.36218148183389021</v>
      </c>
      <c r="J30" s="985">
        <v>1.2701828993834041E-4</v>
      </c>
      <c r="K30" s="332">
        <v>0.10198534636460568</v>
      </c>
      <c r="L30" s="446">
        <v>0.23984844640848615</v>
      </c>
      <c r="M30" s="986">
        <v>0.34183382300834286</v>
      </c>
      <c r="N30" s="987">
        <v>9.0559324026862592E-2</v>
      </c>
      <c r="O30" s="988">
        <v>0.19811294541324745</v>
      </c>
      <c r="P30" s="985">
        <v>1</v>
      </c>
    </row>
    <row r="31" spans="1:16" ht="20" customHeight="1" thickBot="1">
      <c r="A31" s="383" t="s">
        <v>236</v>
      </c>
      <c r="B31" s="985">
        <v>0.24188647794037021</v>
      </c>
      <c r="C31" s="332">
        <v>0.145054644705435</v>
      </c>
      <c r="D31" s="446">
        <v>1.6036099589320722E-2</v>
      </c>
      <c r="E31" s="332">
        <v>8.1421412326932327E-2</v>
      </c>
      <c r="F31" s="446">
        <v>8.6979239531225338E-3</v>
      </c>
      <c r="G31" s="332">
        <v>6.8541254011320565E-2</v>
      </c>
      <c r="H31" s="788" t="s">
        <v>35</v>
      </c>
      <c r="I31" s="986">
        <v>0.31975133458613114</v>
      </c>
      <c r="J31" s="985">
        <v>4.3212340580222903E-4</v>
      </c>
      <c r="K31" s="332">
        <v>0.12045259885318049</v>
      </c>
      <c r="L31" s="446">
        <v>0.31747746521451597</v>
      </c>
      <c r="M31" s="986">
        <v>0.43793096432479184</v>
      </c>
      <c r="N31" s="987">
        <v>2.0885964613774407E-5</v>
      </c>
      <c r="O31" s="988">
        <v>0.35349675160232269</v>
      </c>
      <c r="P31" s="985">
        <v>1</v>
      </c>
    </row>
    <row r="32" spans="1:16" ht="20" customHeight="1" thickBot="1">
      <c r="A32" s="698" t="s">
        <v>494</v>
      </c>
      <c r="B32" s="985">
        <v>0.8038628983903624</v>
      </c>
      <c r="C32" s="332">
        <v>2.4667398539537064E-2</v>
      </c>
      <c r="D32" s="446">
        <v>2.1121966903511542E-2</v>
      </c>
      <c r="E32" s="332">
        <v>3.2465030863214117E-2</v>
      </c>
      <c r="F32" s="446">
        <v>2.3867938464746997E-3</v>
      </c>
      <c r="G32" s="332">
        <v>7.0170001129671852E-2</v>
      </c>
      <c r="H32" s="788" t="s">
        <v>35</v>
      </c>
      <c r="I32" s="986">
        <v>0.15081119128240927</v>
      </c>
      <c r="J32" s="985">
        <v>2.8965944738770625E-4</v>
      </c>
      <c r="K32" s="332">
        <v>1.6458449800569472E-2</v>
      </c>
      <c r="L32" s="446">
        <v>2.8580697673744979E-2</v>
      </c>
      <c r="M32" s="986">
        <v>4.5033354285366693E-2</v>
      </c>
      <c r="N32" s="987">
        <v>0</v>
      </c>
      <c r="O32" s="988">
        <v>3.3768498376458796E-2</v>
      </c>
      <c r="P32" s="985">
        <v>1</v>
      </c>
    </row>
    <row r="33" spans="1:16" ht="3" customHeight="1" thickBot="1">
      <c r="A33" s="383"/>
      <c r="B33" s="985"/>
      <c r="C33" s="332"/>
      <c r="D33" s="446"/>
      <c r="E33" s="332"/>
      <c r="F33" s="446"/>
      <c r="G33" s="332"/>
      <c r="H33" s="788"/>
      <c r="I33" s="332"/>
      <c r="J33" s="446"/>
      <c r="K33" s="332"/>
      <c r="L33" s="446"/>
      <c r="M33" s="332"/>
      <c r="N33" s="987"/>
      <c r="O33" s="988"/>
      <c r="P33" s="985"/>
    </row>
    <row r="34" spans="1:16" ht="30" customHeight="1" thickBot="1">
      <c r="A34" s="989" t="s">
        <v>0</v>
      </c>
      <c r="B34" s="449">
        <v>0.27473767655425224</v>
      </c>
      <c r="C34" s="990">
        <v>0.11571544376978686</v>
      </c>
      <c r="D34" s="991">
        <v>1.8577245111824712E-2</v>
      </c>
      <c r="E34" s="990">
        <v>6.2515097277482792E-2</v>
      </c>
      <c r="F34" s="991">
        <v>8.6046678880387431E-3</v>
      </c>
      <c r="G34" s="990">
        <v>6.3447525501310317E-2</v>
      </c>
      <c r="H34" s="955" t="s">
        <v>35</v>
      </c>
      <c r="I34" s="992">
        <v>0.26885997954844343</v>
      </c>
      <c r="J34" s="993">
        <v>9.0022590436266803E-4</v>
      </c>
      <c r="K34" s="339">
        <v>0.16597753378975416</v>
      </c>
      <c r="L34" s="860">
        <v>0.28952458739043124</v>
      </c>
      <c r="M34" s="994">
        <v>0.45550212277380753</v>
      </c>
      <c r="N34" s="995">
        <v>4.2888184359587286E-2</v>
      </c>
      <c r="O34" s="996">
        <v>0.29483877488123394</v>
      </c>
      <c r="P34" s="993">
        <v>1</v>
      </c>
    </row>
    <row r="35" spans="1:16" ht="20" customHeight="1">
      <c r="A35" s="352" t="s">
        <v>678</v>
      </c>
      <c r="B35" s="997"/>
      <c r="C35" s="470"/>
      <c r="D35" s="470"/>
      <c r="E35" s="470"/>
      <c r="F35" s="470"/>
      <c r="G35" s="470"/>
      <c r="H35" s="998"/>
      <c r="I35" s="998"/>
      <c r="M35" s="57"/>
    </row>
    <row r="36" spans="1:16" ht="13.5" customHeight="1">
      <c r="B36" s="999"/>
      <c r="C36" s="352"/>
      <c r="D36" s="352"/>
      <c r="E36" s="352"/>
      <c r="F36" s="352"/>
      <c r="G36" s="352"/>
      <c r="H36" s="1000"/>
      <c r="I36" s="1000"/>
      <c r="M36" s="4"/>
    </row>
    <row r="37" spans="1:16" ht="14.25" customHeight="1">
      <c r="A37" s="352" t="s">
        <v>1683</v>
      </c>
      <c r="B37" s="178"/>
      <c r="C37" s="138"/>
      <c r="D37" s="138"/>
      <c r="E37" s="138"/>
      <c r="F37" s="138"/>
      <c r="G37" s="138"/>
      <c r="H37" s="1001"/>
      <c r="I37" s="1001"/>
      <c r="M37" s="4"/>
    </row>
    <row r="38" spans="1:16" ht="12" customHeight="1">
      <c r="M38" s="4"/>
    </row>
    <row r="39" spans="1:16" ht="12" customHeight="1">
      <c r="A39" s="324" t="s">
        <v>1697</v>
      </c>
      <c r="M39" s="4"/>
    </row>
    <row r="40" spans="1:16" ht="12" customHeight="1">
      <c r="A40" s="324" t="s">
        <v>1684</v>
      </c>
      <c r="M40" s="4"/>
    </row>
    <row r="41" spans="1:16" ht="12" customHeight="1">
      <c r="A41" s="352" t="s">
        <v>1685</v>
      </c>
      <c r="M41" s="4"/>
    </row>
    <row r="42" spans="1:16" ht="12" customHeight="1">
      <c r="A42" s="352" t="s">
        <v>621</v>
      </c>
      <c r="M42" s="4"/>
    </row>
    <row r="43" spans="1:16" ht="12" customHeight="1">
      <c r="M43" s="4"/>
    </row>
    <row r="44" spans="1:16" ht="12" customHeight="1"/>
    <row r="45" spans="1:16" ht="12" customHeight="1">
      <c r="A45" s="3" t="s">
        <v>677</v>
      </c>
    </row>
    <row r="49" spans="1:12">
      <c r="A49" s="57"/>
      <c r="B49" s="57"/>
      <c r="C49" s="404"/>
      <c r="D49" s="405"/>
      <c r="E49" s="406"/>
      <c r="F49" s="405"/>
      <c r="G49" s="425"/>
      <c r="H49" s="1002"/>
      <c r="I49" s="1002"/>
      <c r="J49" s="57"/>
      <c r="K49" s="4"/>
      <c r="L49" s="4"/>
    </row>
    <row r="50" spans="1:12">
      <c r="A50" s="406"/>
      <c r="B50" s="406"/>
      <c r="C50" s="406"/>
      <c r="D50" s="407"/>
      <c r="E50" s="406"/>
      <c r="F50" s="48"/>
      <c r="G50" s="4"/>
      <c r="H50" s="1002"/>
      <c r="I50" s="1002"/>
      <c r="J50" s="57"/>
      <c r="K50" s="4"/>
      <c r="L50" s="4"/>
    </row>
  </sheetData>
  <pageMargins left="0.59055118110236227" right="0.51181102362204722" top="0.47244094488188981" bottom="0.44" header="0.31496062992125984" footer="0.32"/>
  <pageSetup paperSize="9" scale="59" orientation="landscape" horizontalDpi="4294967292" verticalDpi="4294967292"/>
  <headerFooter alignWithMargins="0"/>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89223-6373-9740-81CA-8C373E60C317}">
  <sheetPr>
    <pageSetUpPr fitToPage="1"/>
  </sheetPr>
  <dimension ref="A1:P45"/>
  <sheetViews>
    <sheetView topLeftCell="A21" zoomScaleNormal="100" workbookViewId="0">
      <selection activeCell="A40" sqref="A40"/>
    </sheetView>
  </sheetViews>
  <sheetFormatPr baseColWidth="10" defaultColWidth="11.3984375" defaultRowHeight="13"/>
  <cols>
    <col min="1" max="1" width="14.796875" style="3" customWidth="1"/>
    <col min="2" max="2" width="14.796875" style="248" customWidth="1"/>
    <col min="3" max="4" width="12.3984375" style="3" customWidth="1"/>
    <col min="5" max="7" width="12.59765625" style="3" customWidth="1"/>
    <col min="8" max="8" width="14.59765625" style="872" customWidth="1"/>
    <col min="9" max="9" width="17" style="872" customWidth="1"/>
    <col min="10" max="10" width="16" style="248" customWidth="1"/>
    <col min="11" max="14" width="13.3984375" style="3" customWidth="1"/>
    <col min="15" max="15" width="15.19921875" style="3" customWidth="1"/>
    <col min="16" max="16" width="13.3984375" style="3" customWidth="1"/>
    <col min="17" max="16384" width="11.3984375" style="3"/>
  </cols>
  <sheetData>
    <row r="1" spans="1:16" s="2" customFormat="1" ht="14" customHeight="1">
      <c r="A1" s="242"/>
      <c r="B1" s="243"/>
      <c r="C1" s="242"/>
      <c r="D1" s="242"/>
      <c r="E1" s="242"/>
      <c r="F1" s="242"/>
      <c r="G1" s="242"/>
      <c r="H1" s="967"/>
      <c r="I1" s="967"/>
      <c r="J1" s="17"/>
    </row>
    <row r="2" spans="1:16" s="2" customFormat="1" ht="28" customHeight="1">
      <c r="A2" s="71" t="s">
        <v>1688</v>
      </c>
      <c r="B2" s="243"/>
      <c r="C2" s="242"/>
      <c r="D2" s="242"/>
      <c r="E2" s="242"/>
      <c r="F2" s="242"/>
      <c r="G2" s="242"/>
      <c r="H2" s="967"/>
      <c r="I2" s="967"/>
      <c r="J2" s="968"/>
      <c r="K2" s="371"/>
      <c r="P2" s="371">
        <v>2010</v>
      </c>
    </row>
    <row r="3" spans="1:16" ht="57.75" customHeight="1">
      <c r="A3" s="969" t="s">
        <v>203</v>
      </c>
      <c r="B3" s="970" t="s">
        <v>1669</v>
      </c>
      <c r="C3" s="971"/>
      <c r="D3" s="971"/>
      <c r="E3" s="971"/>
      <c r="F3" s="971"/>
      <c r="G3" s="971"/>
      <c r="H3" s="972"/>
      <c r="I3" s="971"/>
      <c r="J3" s="973" t="s">
        <v>1670</v>
      </c>
      <c r="K3" s="974" t="s">
        <v>1671</v>
      </c>
      <c r="L3" s="975"/>
      <c r="M3" s="971"/>
      <c r="N3" s="971"/>
      <c r="O3" s="971"/>
      <c r="P3" s="976"/>
    </row>
    <row r="4" spans="1:16" ht="84.75" customHeight="1">
      <c r="A4" s="78"/>
      <c r="B4" s="973" t="s">
        <v>1689</v>
      </c>
      <c r="C4" s="377" t="s">
        <v>1690</v>
      </c>
      <c r="D4" s="376" t="s">
        <v>1691</v>
      </c>
      <c r="E4" s="377" t="s">
        <v>1692</v>
      </c>
      <c r="F4" s="376" t="s">
        <v>1693</v>
      </c>
      <c r="G4" s="377" t="s">
        <v>1694</v>
      </c>
      <c r="H4" s="376" t="s">
        <v>1695</v>
      </c>
      <c r="I4" s="977" t="s">
        <v>1678</v>
      </c>
      <c r="J4" s="973"/>
      <c r="K4" s="377" t="s">
        <v>1679</v>
      </c>
      <c r="L4" s="376" t="s">
        <v>1680</v>
      </c>
      <c r="M4" s="978" t="s">
        <v>609</v>
      </c>
      <c r="N4" s="979" t="s">
        <v>1681</v>
      </c>
      <c r="O4" s="980" t="s">
        <v>1682</v>
      </c>
      <c r="P4" s="981" t="s">
        <v>190</v>
      </c>
    </row>
    <row r="5" spans="1:16" ht="24" customHeight="1">
      <c r="A5" s="80"/>
      <c r="B5" s="982"/>
      <c r="C5" s="80"/>
      <c r="D5" s="79"/>
      <c r="E5" s="82"/>
      <c r="F5" s="81"/>
      <c r="G5" s="82"/>
      <c r="H5" s="982"/>
      <c r="I5" s="983"/>
      <c r="J5" s="201"/>
      <c r="K5" s="80"/>
      <c r="L5" s="81"/>
      <c r="M5" s="199"/>
      <c r="N5" s="81"/>
      <c r="O5" s="983"/>
      <c r="P5" s="201"/>
    </row>
    <row r="6" spans="1:16" ht="30" customHeight="1" thickBot="1">
      <c r="A6" s="984" t="s">
        <v>211</v>
      </c>
      <c r="B6" s="985">
        <v>0.52583112053486969</v>
      </c>
      <c r="C6" s="332">
        <v>2.014776980231853E-3</v>
      </c>
      <c r="D6" s="446">
        <v>1.1690656521815222E-2</v>
      </c>
      <c r="E6" s="332">
        <v>4.9197995972128069E-3</v>
      </c>
      <c r="F6" s="446">
        <v>8.4060510110869971E-3</v>
      </c>
      <c r="G6" s="332">
        <v>1.0296956933040701E-2</v>
      </c>
      <c r="H6" s="446">
        <v>6.3536681712614883E-3</v>
      </c>
      <c r="I6" s="986">
        <v>3.7328241043387583E-2</v>
      </c>
      <c r="J6" s="985">
        <v>3.2039071006310765E-5</v>
      </c>
      <c r="K6" s="332">
        <v>0.39819855517406361</v>
      </c>
      <c r="L6" s="446">
        <v>3.225641605424983E-2</v>
      </c>
      <c r="M6" s="986">
        <v>0.43045493117947464</v>
      </c>
      <c r="N6" s="987">
        <v>5.2408871570703029E-2</v>
      </c>
      <c r="O6" s="988">
        <v>0.2822872836967224</v>
      </c>
      <c r="P6" s="985">
        <v>1</v>
      </c>
    </row>
    <row r="7" spans="1:16" ht="20" customHeight="1" thickBot="1">
      <c r="A7" s="698" t="s">
        <v>212</v>
      </c>
      <c r="B7" s="985">
        <v>0.36900863583168525</v>
      </c>
      <c r="C7" s="332">
        <v>1.000499185231781E-3</v>
      </c>
      <c r="D7" s="446">
        <v>1.3253421121815042E-2</v>
      </c>
      <c r="E7" s="332">
        <v>3.4955290402731193E-3</v>
      </c>
      <c r="F7" s="446">
        <v>8.0965928745299551E-3</v>
      </c>
      <c r="G7" s="332">
        <v>8.07088015750748E-3</v>
      </c>
      <c r="H7" s="446">
        <v>6.5834078806060528E-3</v>
      </c>
      <c r="I7" s="986">
        <v>3.3916922379357381E-2</v>
      </c>
      <c r="J7" s="985">
        <v>3.9213293934056367E-5</v>
      </c>
      <c r="K7" s="332">
        <v>0.53125548811055745</v>
      </c>
      <c r="L7" s="446">
        <v>5.9196388522851494E-2</v>
      </c>
      <c r="M7" s="986">
        <v>0.59045176459542636</v>
      </c>
      <c r="N7" s="987">
        <v>2.6345171434639096E-2</v>
      </c>
      <c r="O7" s="988">
        <v>0.2707500926133975</v>
      </c>
      <c r="P7" s="985">
        <v>1</v>
      </c>
    </row>
    <row r="8" spans="1:16" ht="20" customHeight="1" thickBot="1">
      <c r="A8" s="698" t="s">
        <v>213</v>
      </c>
      <c r="B8" s="985">
        <v>0.33285769257341241</v>
      </c>
      <c r="C8" s="332">
        <v>6.0329143229734619E-4</v>
      </c>
      <c r="D8" s="446">
        <v>3.1715401791169223E-3</v>
      </c>
      <c r="E8" s="332">
        <v>2.2253224148195958E-3</v>
      </c>
      <c r="F8" s="446">
        <v>1.3940034654581639E-2</v>
      </c>
      <c r="G8" s="332">
        <v>4.950371452888778E-3</v>
      </c>
      <c r="H8" s="446">
        <v>3.6754939374296835E-3</v>
      </c>
      <c r="I8" s="986">
        <v>2.4890560133704283E-2</v>
      </c>
      <c r="J8" s="985">
        <v>0</v>
      </c>
      <c r="K8" s="332">
        <v>0.54720474749538939</v>
      </c>
      <c r="L8" s="446">
        <v>9.1372166349917752E-2</v>
      </c>
      <c r="M8" s="986">
        <v>0.63857717804124858</v>
      </c>
      <c r="N8" s="987">
        <v>5.1776592213168077E-2</v>
      </c>
      <c r="O8" s="988">
        <v>0.50885987694545642</v>
      </c>
      <c r="P8" s="985">
        <v>1</v>
      </c>
    </row>
    <row r="9" spans="1:16" ht="20" customHeight="1" thickBot="1">
      <c r="A9" s="698" t="s">
        <v>214</v>
      </c>
      <c r="B9" s="985">
        <v>0.34772288748575353</v>
      </c>
      <c r="C9" s="332">
        <v>7.0266069498764005E-4</v>
      </c>
      <c r="D9" s="446">
        <v>4.0051659614295486E-3</v>
      </c>
      <c r="E9" s="332">
        <v>1.2683025544526903E-2</v>
      </c>
      <c r="F9" s="446">
        <v>4.7204745489269659E-2</v>
      </c>
      <c r="G9" s="332">
        <v>4.9186248649134802E-3</v>
      </c>
      <c r="H9" s="446">
        <v>5.0591570039110086E-3</v>
      </c>
      <c r="I9" s="986">
        <v>6.9514222555127236E-2</v>
      </c>
      <c r="J9" s="985">
        <v>0</v>
      </c>
      <c r="K9" s="332">
        <v>0.50795903769212492</v>
      </c>
      <c r="L9" s="446">
        <v>6.9740479298913249E-2</v>
      </c>
      <c r="M9" s="986">
        <v>0.5777009223124282</v>
      </c>
      <c r="N9" s="987">
        <v>3.8826219362237034E-2</v>
      </c>
      <c r="O9" s="988">
        <v>0.45738854747386448</v>
      </c>
      <c r="P9" s="985">
        <v>1</v>
      </c>
    </row>
    <row r="10" spans="1:16" ht="20" customHeight="1" thickBot="1">
      <c r="A10" s="698" t="s">
        <v>215</v>
      </c>
      <c r="B10" s="985">
        <v>0.41136481204243897</v>
      </c>
      <c r="C10" s="332">
        <v>7.1085744824443892E-4</v>
      </c>
      <c r="D10" s="446">
        <v>5.8636318477840073E-3</v>
      </c>
      <c r="E10" s="332">
        <v>3.2685739343133453E-3</v>
      </c>
      <c r="F10" s="446">
        <v>2.5950921716609392E-2</v>
      </c>
      <c r="G10" s="332">
        <v>8.2161417740946405E-3</v>
      </c>
      <c r="H10" s="446">
        <v>5.4587000387117538E-3</v>
      </c>
      <c r="I10" s="986">
        <v>4.4010126721045824E-2</v>
      </c>
      <c r="J10" s="985">
        <v>0</v>
      </c>
      <c r="K10" s="332">
        <v>0.47317035570278959</v>
      </c>
      <c r="L10" s="446">
        <v>6.5995320331208168E-2</v>
      </c>
      <c r="M10" s="986">
        <v>0.53916567603399768</v>
      </c>
      <c r="N10" s="987">
        <v>1.1475808578936007E-2</v>
      </c>
      <c r="O10" s="988">
        <v>0.47103915368566734</v>
      </c>
      <c r="P10" s="985">
        <v>1</v>
      </c>
    </row>
    <row r="11" spans="1:16" ht="20" customHeight="1" thickBot="1">
      <c r="A11" s="698" t="s">
        <v>216</v>
      </c>
      <c r="B11" s="985">
        <v>0.2822557703144063</v>
      </c>
      <c r="C11" s="332">
        <v>1.0941577447220565E-3</v>
      </c>
      <c r="D11" s="446">
        <v>3.2373392271963851E-3</v>
      </c>
      <c r="E11" s="332">
        <v>2.5986246437148842E-3</v>
      </c>
      <c r="F11" s="446">
        <v>1.3496435781146569E-2</v>
      </c>
      <c r="G11" s="332">
        <v>3.2140883751210409E-3</v>
      </c>
      <c r="H11" s="446">
        <v>2.4618549256246272E-3</v>
      </c>
      <c r="I11" s="986">
        <v>2.3640645771900937E-2</v>
      </c>
      <c r="J11" s="985">
        <v>1.3676971809025706E-4</v>
      </c>
      <c r="K11" s="332">
        <v>0.63155879183101826</v>
      </c>
      <c r="L11" s="446">
        <v>5.9950270530502378E-2</v>
      </c>
      <c r="M11" s="986">
        <v>0.69150906236152065</v>
      </c>
      <c r="N11" s="987">
        <v>1.2993123218574421E-3</v>
      </c>
      <c r="O11" s="988">
        <v>0.62078680883422965</v>
      </c>
      <c r="P11" s="985">
        <v>1</v>
      </c>
    </row>
    <row r="12" spans="1:16" ht="20" customHeight="1" thickBot="1">
      <c r="A12" s="698" t="s">
        <v>217</v>
      </c>
      <c r="B12" s="985">
        <v>0.3629004053049949</v>
      </c>
      <c r="C12" s="332">
        <v>1.0228309055946871E-3</v>
      </c>
      <c r="D12" s="446">
        <v>3.9923399863534556E-3</v>
      </c>
      <c r="E12" s="332">
        <v>2.3756072646070152E-3</v>
      </c>
      <c r="F12" s="446">
        <v>1.976901178697138E-2</v>
      </c>
      <c r="G12" s="332">
        <v>4.3777162759452608E-3</v>
      </c>
      <c r="H12" s="446">
        <v>4.1982259492860637E-3</v>
      </c>
      <c r="I12" s="986">
        <v>3.1537506219471802E-2</v>
      </c>
      <c r="J12" s="985">
        <v>0</v>
      </c>
      <c r="K12" s="332">
        <v>0.52660350190906446</v>
      </c>
      <c r="L12" s="446">
        <v>7.4763000180810113E-2</v>
      </c>
      <c r="M12" s="986">
        <v>0.60136650208987452</v>
      </c>
      <c r="N12" s="987">
        <v>3.4327524973571375E-3</v>
      </c>
      <c r="O12" s="988">
        <v>0.50746138648358663</v>
      </c>
      <c r="P12" s="985">
        <v>1</v>
      </c>
    </row>
    <row r="13" spans="1:16" ht="20" customHeight="1" thickBot="1">
      <c r="A13" s="698" t="s">
        <v>218</v>
      </c>
      <c r="B13" s="985">
        <v>0.53902792225009699</v>
      </c>
      <c r="C13" s="332">
        <v>8.607150869893328E-4</v>
      </c>
      <c r="D13" s="446">
        <v>5.6089253299067892E-3</v>
      </c>
      <c r="E13" s="332">
        <v>1.1500676470388273E-2</v>
      </c>
      <c r="F13" s="446">
        <v>2.1653851122124999E-2</v>
      </c>
      <c r="G13" s="332">
        <v>3.7052900664232731E-3</v>
      </c>
      <c r="H13" s="446">
        <v>1.9818202832337324E-2</v>
      </c>
      <c r="I13" s="986">
        <v>4.3329458075832661E-2</v>
      </c>
      <c r="J13" s="985">
        <v>1.3597394739167974E-4</v>
      </c>
      <c r="K13" s="332">
        <v>0.36678292439168653</v>
      </c>
      <c r="L13" s="446">
        <v>3.0909597721076643E-2</v>
      </c>
      <c r="M13" s="986">
        <v>0.39769252211276312</v>
      </c>
      <c r="N13" s="987">
        <v>0</v>
      </c>
      <c r="O13" s="988">
        <v>0.31210780014549211</v>
      </c>
      <c r="P13" s="985">
        <v>1</v>
      </c>
    </row>
    <row r="14" spans="1:16" ht="20" customHeight="1" thickBot="1">
      <c r="A14" s="698" t="s">
        <v>219</v>
      </c>
      <c r="B14" s="985">
        <v>0.46370081674496566</v>
      </c>
      <c r="C14" s="332">
        <v>1.1759939446057657E-3</v>
      </c>
      <c r="D14" s="446">
        <v>8.4695696484037974E-3</v>
      </c>
      <c r="E14" s="332">
        <v>3.4616175346544619E-3</v>
      </c>
      <c r="F14" s="446">
        <v>1.5984514378080659E-2</v>
      </c>
      <c r="G14" s="332">
        <v>1.0117074977271386E-2</v>
      </c>
      <c r="H14" s="446">
        <v>5.123973615782265E-3</v>
      </c>
      <c r="I14" s="986">
        <v>3.9208770483016069E-2</v>
      </c>
      <c r="J14" s="985">
        <v>0</v>
      </c>
      <c r="K14" s="332">
        <v>0.44295060314938051</v>
      </c>
      <c r="L14" s="446">
        <v>4.9015371920847345E-2</v>
      </c>
      <c r="M14" s="986">
        <v>0.49196597507022777</v>
      </c>
      <c r="N14" s="987">
        <v>6.5035620921554141E-2</v>
      </c>
      <c r="O14" s="988">
        <v>0.35499238202817646</v>
      </c>
      <c r="P14" s="985">
        <v>1</v>
      </c>
    </row>
    <row r="15" spans="1:16" ht="20" customHeight="1" thickBot="1">
      <c r="A15" s="698" t="s">
        <v>220</v>
      </c>
      <c r="B15" s="985">
        <v>0.48442754381577008</v>
      </c>
      <c r="C15" s="332">
        <v>1.5649269865321089E-3</v>
      </c>
      <c r="D15" s="446">
        <v>2.0809789413957745E-2</v>
      </c>
      <c r="E15" s="332">
        <v>7.2416927501321353E-3</v>
      </c>
      <c r="F15" s="446">
        <v>1.0380774077932295E-2</v>
      </c>
      <c r="G15" s="332">
        <v>6.0325855128911783E-3</v>
      </c>
      <c r="H15" s="446">
        <v>8.0252084856049198E-3</v>
      </c>
      <c r="I15" s="986">
        <v>4.6029768741445459E-2</v>
      </c>
      <c r="J15" s="985">
        <v>4.8565024925999036E-5</v>
      </c>
      <c r="K15" s="332">
        <v>0.42084184233040878</v>
      </c>
      <c r="L15" s="446">
        <v>4.0626424068178804E-2</v>
      </c>
      <c r="M15" s="986">
        <v>0.46146842828200407</v>
      </c>
      <c r="N15" s="987">
        <v>5.3661114874900533E-3</v>
      </c>
      <c r="O15" s="988">
        <v>0.31652918717527195</v>
      </c>
      <c r="P15" s="985">
        <v>1</v>
      </c>
    </row>
    <row r="16" spans="1:16" ht="20" customHeight="1" thickBot="1">
      <c r="A16" s="698" t="s">
        <v>221</v>
      </c>
      <c r="B16" s="985">
        <v>0.47525486245973569</v>
      </c>
      <c r="C16" s="332">
        <v>1.4841090583633928E-3</v>
      </c>
      <c r="D16" s="446">
        <v>9.5414819940084789E-3</v>
      </c>
      <c r="E16" s="332">
        <v>4.0347835301107627E-3</v>
      </c>
      <c r="F16" s="446">
        <v>1.0813665576974465E-2</v>
      </c>
      <c r="G16" s="332">
        <v>6.40170515910284E-3</v>
      </c>
      <c r="H16" s="446">
        <v>7.7319159555704941E-3</v>
      </c>
      <c r="I16" s="986">
        <v>3.2275745318559944E-2</v>
      </c>
      <c r="J16" s="985">
        <v>4.2048705435993557E-5</v>
      </c>
      <c r="K16" s="332">
        <v>0.44496129311542848</v>
      </c>
      <c r="L16" s="446">
        <v>3.9734554932323661E-2</v>
      </c>
      <c r="M16" s="986">
        <v>0.48469542756069778</v>
      </c>
      <c r="N16" s="987">
        <v>1.5120714474783284E-2</v>
      </c>
      <c r="O16" s="988">
        <v>0.32278709752293172</v>
      </c>
      <c r="P16" s="985">
        <v>1</v>
      </c>
    </row>
    <row r="17" spans="1:16" ht="20" customHeight="1" thickBot="1">
      <c r="A17" s="698" t="s">
        <v>222</v>
      </c>
      <c r="B17" s="985">
        <v>0.50256759140272622</v>
      </c>
      <c r="C17" s="332">
        <v>1.4999514054620257E-3</v>
      </c>
      <c r="D17" s="446">
        <v>1.8267586723252301E-2</v>
      </c>
      <c r="E17" s="332">
        <v>4.0769017562425972E-3</v>
      </c>
      <c r="F17" s="446">
        <v>1.5985443236180247E-2</v>
      </c>
      <c r="G17" s="332">
        <v>5.303283910888414E-3</v>
      </c>
      <c r="H17" s="446">
        <v>1.1659809437419229E-2</v>
      </c>
      <c r="I17" s="986">
        <v>4.5133167032025578E-2</v>
      </c>
      <c r="J17" s="985">
        <v>0</v>
      </c>
      <c r="K17" s="332">
        <v>0.39298510847380741</v>
      </c>
      <c r="L17" s="446">
        <v>4.7655763492183457E-2</v>
      </c>
      <c r="M17" s="986">
        <v>0.44064087196599083</v>
      </c>
      <c r="N17" s="987">
        <v>0.1576039653142986</v>
      </c>
      <c r="O17" s="988">
        <v>0.2175480276016975</v>
      </c>
      <c r="P17" s="985">
        <v>1</v>
      </c>
    </row>
    <row r="18" spans="1:16" ht="20" customHeight="1" thickBot="1">
      <c r="A18" s="698" t="s">
        <v>223</v>
      </c>
      <c r="B18" s="985">
        <v>0.44298498696794508</v>
      </c>
      <c r="C18" s="332">
        <v>1.3749054840718089E-3</v>
      </c>
      <c r="D18" s="446">
        <v>1.3439262435916231E-2</v>
      </c>
      <c r="E18" s="332">
        <v>4.2404852284890398E-3</v>
      </c>
      <c r="F18" s="446">
        <v>1.5190517286759048E-2</v>
      </c>
      <c r="G18" s="332">
        <v>1.0069261594878257E-2</v>
      </c>
      <c r="H18" s="446">
        <v>1.1479260749806524E-2</v>
      </c>
      <c r="I18" s="986">
        <v>4.4314432030114384E-2</v>
      </c>
      <c r="J18" s="985">
        <v>2.0168776354287942E-5</v>
      </c>
      <c r="K18" s="332">
        <v>0.44480360553181109</v>
      </c>
      <c r="L18" s="446">
        <v>5.6398151007258923E-2</v>
      </c>
      <c r="M18" s="986">
        <v>0.50120175653906984</v>
      </c>
      <c r="N18" s="987">
        <v>2.4109553566152266E-2</v>
      </c>
      <c r="O18" s="988">
        <v>0.34407791278980759</v>
      </c>
      <c r="P18" s="985">
        <v>1</v>
      </c>
    </row>
    <row r="19" spans="1:16" ht="20" customHeight="1" thickBot="1">
      <c r="A19" s="698" t="s">
        <v>224</v>
      </c>
      <c r="B19" s="985">
        <v>0.41967020092726631</v>
      </c>
      <c r="C19" s="332">
        <v>1.1069644802405372E-3</v>
      </c>
      <c r="D19" s="446">
        <v>7.1879285082992973E-3</v>
      </c>
      <c r="E19" s="332">
        <v>3.1806877273754955E-3</v>
      </c>
      <c r="F19" s="446">
        <v>1.1952720578087975E-2</v>
      </c>
      <c r="G19" s="332">
        <v>1.2639067918290166E-2</v>
      </c>
      <c r="H19" s="446">
        <v>3.8288638786038737E-3</v>
      </c>
      <c r="I19" s="986">
        <v>3.6067369212293476E-2</v>
      </c>
      <c r="J19" s="985">
        <v>1.4681226528389087E-4</v>
      </c>
      <c r="K19" s="332">
        <v>0.4969470389434214</v>
      </c>
      <c r="L19" s="446">
        <v>4.334044883445743E-2</v>
      </c>
      <c r="M19" s="986">
        <v>0.54028748777787883</v>
      </c>
      <c r="N19" s="987">
        <v>1.3433322273476015E-4</v>
      </c>
      <c r="O19" s="988">
        <v>0.44291498688966474</v>
      </c>
      <c r="P19" s="985">
        <v>1</v>
      </c>
    </row>
    <row r="20" spans="1:16" ht="20" customHeight="1" thickBot="1">
      <c r="A20" s="698" t="s">
        <v>225</v>
      </c>
      <c r="B20" s="985">
        <v>0.41534579949084743</v>
      </c>
      <c r="C20" s="332">
        <v>9.158307067523337E-4</v>
      </c>
      <c r="D20" s="446">
        <v>4.987346951145593E-3</v>
      </c>
      <c r="E20" s="332">
        <v>7.4819675112134812E-3</v>
      </c>
      <c r="F20" s="446">
        <v>9.8260016365620088E-3</v>
      </c>
      <c r="G20" s="332">
        <v>9.0209798157352417E-3</v>
      </c>
      <c r="H20" s="446">
        <v>5.4220587343920476E-3</v>
      </c>
      <c r="I20" s="986">
        <v>3.223212662140866E-2</v>
      </c>
      <c r="J20" s="985">
        <v>0</v>
      </c>
      <c r="K20" s="332">
        <v>0.4993114695720694</v>
      </c>
      <c r="L20" s="446">
        <v>4.7694228088253125E-2</v>
      </c>
      <c r="M20" s="986">
        <v>0.54700380349133226</v>
      </c>
      <c r="N20" s="987">
        <v>4.7951835070917694E-2</v>
      </c>
      <c r="O20" s="988">
        <v>0.38474739362346949</v>
      </c>
      <c r="P20" s="985">
        <v>1</v>
      </c>
    </row>
    <row r="21" spans="1:16" ht="20" customHeight="1" thickBot="1">
      <c r="A21" s="698" t="s">
        <v>226</v>
      </c>
      <c r="B21" s="985">
        <v>0.32349211267767281</v>
      </c>
      <c r="C21" s="332">
        <v>0</v>
      </c>
      <c r="D21" s="446">
        <v>1.4345802705044558E-3</v>
      </c>
      <c r="E21" s="332">
        <v>1.1476642164035646E-3</v>
      </c>
      <c r="F21" s="446">
        <v>4.8775729197151497E-3</v>
      </c>
      <c r="G21" s="332">
        <v>7.96192050129973E-3</v>
      </c>
      <c r="H21" s="446">
        <v>5.1644889738160409E-3</v>
      </c>
      <c r="I21" s="986">
        <v>1.54217379079229E-2</v>
      </c>
      <c r="J21" s="985">
        <v>0</v>
      </c>
      <c r="K21" s="332">
        <v>0.57745011964399451</v>
      </c>
      <c r="L21" s="446">
        <v>7.8471540796593728E-2</v>
      </c>
      <c r="M21" s="986">
        <v>0.65592452960112924</v>
      </c>
      <c r="N21" s="987">
        <v>3.5376749470639878E-3</v>
      </c>
      <c r="O21" s="988">
        <v>0.59196520282095855</v>
      </c>
      <c r="P21" s="985">
        <v>1</v>
      </c>
    </row>
    <row r="22" spans="1:16" ht="20" customHeight="1" thickBot="1">
      <c r="A22" s="698" t="s">
        <v>227</v>
      </c>
      <c r="B22" s="985">
        <v>0.35131917987611638</v>
      </c>
      <c r="C22" s="332">
        <v>4.8307428474813713E-4</v>
      </c>
      <c r="D22" s="446">
        <v>4.1495874617862956E-3</v>
      </c>
      <c r="E22" s="332">
        <v>2.4368413919517145E-3</v>
      </c>
      <c r="F22" s="446">
        <v>1.4003373881639164E-2</v>
      </c>
      <c r="G22" s="332">
        <v>4.9512017556653624E-3</v>
      </c>
      <c r="H22" s="446">
        <v>5.7661315586753073E-3</v>
      </c>
      <c r="I22" s="986">
        <v>2.6024078775790674E-2</v>
      </c>
      <c r="J22" s="985">
        <v>5.1610500507279613E-5</v>
      </c>
      <c r="K22" s="332">
        <v>0.55037675149265319</v>
      </c>
      <c r="L22" s="446">
        <v>6.6461834912253367E-2</v>
      </c>
      <c r="M22" s="986">
        <v>0.61683910250991159</v>
      </c>
      <c r="N22" s="987">
        <v>0.11481870624655306</v>
      </c>
      <c r="O22" s="988">
        <v>0.41216630843818258</v>
      </c>
      <c r="P22" s="985">
        <v>1</v>
      </c>
    </row>
    <row r="23" spans="1:16" ht="20" customHeight="1" thickBot="1">
      <c r="A23" s="698" t="s">
        <v>228</v>
      </c>
      <c r="B23" s="985">
        <v>0.51765124616947178</v>
      </c>
      <c r="C23" s="332">
        <v>7.5236053116653468E-4</v>
      </c>
      <c r="D23" s="446">
        <v>4.697623408829817E-3</v>
      </c>
      <c r="E23" s="332">
        <v>1.9329878262278658E-3</v>
      </c>
      <c r="F23" s="446">
        <v>5.5509738728337062E-3</v>
      </c>
      <c r="G23" s="332">
        <v>5.6716409272554152E-3</v>
      </c>
      <c r="H23" s="446">
        <v>8.2947748561110462E-3</v>
      </c>
      <c r="I23" s="986">
        <v>1.8605586566313337E-2</v>
      </c>
      <c r="J23" s="985">
        <v>0</v>
      </c>
      <c r="K23" s="332">
        <v>0.42735814386869547</v>
      </c>
      <c r="L23" s="446">
        <v>2.8090248539407763E-2</v>
      </c>
      <c r="M23" s="986">
        <v>0.45544897114697336</v>
      </c>
      <c r="N23" s="987">
        <v>6.2405412365913408E-3</v>
      </c>
      <c r="O23" s="988">
        <v>0.38073175742738985</v>
      </c>
      <c r="P23" s="985">
        <v>1</v>
      </c>
    </row>
    <row r="24" spans="1:16" ht="20" customHeight="1" thickBot="1">
      <c r="A24" s="698" t="s">
        <v>229</v>
      </c>
      <c r="B24" s="985">
        <v>0.4868278944081581</v>
      </c>
      <c r="C24" s="332">
        <v>1.4582016895420323E-3</v>
      </c>
      <c r="D24" s="446">
        <v>8.6014835478434269E-3</v>
      </c>
      <c r="E24" s="332">
        <v>3.50201879008312E-3</v>
      </c>
      <c r="F24" s="446">
        <v>7.1820821336321802E-3</v>
      </c>
      <c r="G24" s="332">
        <v>8.9583285042947377E-3</v>
      </c>
      <c r="H24" s="446">
        <v>4.2660986709477985E-3</v>
      </c>
      <c r="I24" s="986">
        <v>2.9702114665395497E-2</v>
      </c>
      <c r="J24" s="985">
        <v>5.0389967962058368E-5</v>
      </c>
      <c r="K24" s="332">
        <v>0.44210259867783436</v>
      </c>
      <c r="L24" s="446">
        <v>3.7050987592982088E-2</v>
      </c>
      <c r="M24" s="986">
        <v>0.47915333432097668</v>
      </c>
      <c r="N24" s="987">
        <v>4.4525751457193882E-2</v>
      </c>
      <c r="O24" s="988">
        <v>0.34000320144263113</v>
      </c>
      <c r="P24" s="985">
        <v>1</v>
      </c>
    </row>
    <row r="25" spans="1:16" ht="20" customHeight="1" thickBot="1">
      <c r="A25" s="698" t="s">
        <v>230</v>
      </c>
      <c r="B25" s="985">
        <v>0.34996413363046325</v>
      </c>
      <c r="C25" s="332">
        <v>6.05774116971177E-4</v>
      </c>
      <c r="D25" s="446">
        <v>5.5489785604567925E-3</v>
      </c>
      <c r="E25" s="332">
        <v>2.8286722989117768E-3</v>
      </c>
      <c r="F25" s="446">
        <v>1.1478433465344677E-2</v>
      </c>
      <c r="G25" s="332">
        <v>1.1342776716361653E-2</v>
      </c>
      <c r="H25" s="446">
        <v>1.0617282032373155E-2</v>
      </c>
      <c r="I25" s="986">
        <v>3.1804635158046074E-2</v>
      </c>
      <c r="J25" s="985">
        <v>0</v>
      </c>
      <c r="K25" s="332">
        <v>0.53462105651707148</v>
      </c>
      <c r="L25" s="446">
        <v>7.2992095852947261E-2</v>
      </c>
      <c r="M25" s="986">
        <v>0.60761355077456813</v>
      </c>
      <c r="N25" s="987">
        <v>8.2336873755359252E-2</v>
      </c>
      <c r="O25" s="988">
        <v>0.4358806722598681</v>
      </c>
      <c r="P25" s="985">
        <v>1</v>
      </c>
    </row>
    <row r="26" spans="1:16" ht="20" customHeight="1" thickBot="1">
      <c r="A26" s="698" t="s">
        <v>231</v>
      </c>
      <c r="B26" s="985">
        <v>0.50444843836592956</v>
      </c>
      <c r="C26" s="332">
        <v>1.7989651741496578E-3</v>
      </c>
      <c r="D26" s="446">
        <v>2.3735321020650433E-2</v>
      </c>
      <c r="E26" s="332">
        <v>4.3192849440780142E-3</v>
      </c>
      <c r="F26" s="446">
        <v>1.4291221495482693E-2</v>
      </c>
      <c r="G26" s="332">
        <v>8.9759502554414925E-3</v>
      </c>
      <c r="H26" s="446">
        <v>1.0613367370659096E-2</v>
      </c>
      <c r="I26" s="986">
        <v>5.3120742889802286E-2</v>
      </c>
      <c r="J26" s="985">
        <v>1.700505883495281E-5</v>
      </c>
      <c r="K26" s="332">
        <v>0.39948556296012494</v>
      </c>
      <c r="L26" s="446">
        <v>3.2315563557002575E-2</v>
      </c>
      <c r="M26" s="986">
        <v>0.43180146661830426</v>
      </c>
      <c r="N26" s="987">
        <v>7.8699412288161608E-4</v>
      </c>
      <c r="O26" s="988">
        <v>0.32826735625581255</v>
      </c>
      <c r="P26" s="985">
        <v>1</v>
      </c>
    </row>
    <row r="27" spans="1:16" ht="20" customHeight="1" thickBot="1">
      <c r="A27" s="698" t="s">
        <v>232</v>
      </c>
      <c r="B27" s="985">
        <v>0.42814686384067474</v>
      </c>
      <c r="C27" s="332">
        <v>5.7555013179838794E-3</v>
      </c>
      <c r="D27" s="446">
        <v>3.784319172754786E-2</v>
      </c>
      <c r="E27" s="332">
        <v>1.4825064779923128E-2</v>
      </c>
      <c r="F27" s="446">
        <v>2.2019492457986012E-2</v>
      </c>
      <c r="G27" s="332">
        <v>1.0358800111777391E-2</v>
      </c>
      <c r="H27" s="446">
        <v>1.9178926083833453E-2</v>
      </c>
      <c r="I27" s="986">
        <v>9.080205039521827E-2</v>
      </c>
      <c r="J27" s="985">
        <v>2.0412233214663414E-6</v>
      </c>
      <c r="K27" s="332">
        <v>0.38824285304777445</v>
      </c>
      <c r="L27" s="446">
        <v>7.3627537572287391E-2</v>
      </c>
      <c r="M27" s="986">
        <v>0.46187032257928451</v>
      </c>
      <c r="N27" s="987">
        <v>1.2498614519670558E-2</v>
      </c>
      <c r="O27" s="988">
        <v>0.26979345337495525</v>
      </c>
      <c r="P27" s="985">
        <v>1</v>
      </c>
    </row>
    <row r="28" spans="1:16" ht="20" customHeight="1" thickBot="1">
      <c r="A28" s="698" t="s">
        <v>233</v>
      </c>
      <c r="B28" s="985">
        <v>0.64069775768373727</v>
      </c>
      <c r="C28" s="332">
        <v>2.7120714030440638E-3</v>
      </c>
      <c r="D28" s="446">
        <v>3.7239287703918614E-2</v>
      </c>
      <c r="E28" s="332">
        <v>6.8834024449209563E-3</v>
      </c>
      <c r="F28" s="446">
        <v>8.3439759922637104E-3</v>
      </c>
      <c r="G28" s="332">
        <v>4.6632255402791808E-3</v>
      </c>
      <c r="H28" s="446">
        <v>7.3818664858728567E-3</v>
      </c>
      <c r="I28" s="986">
        <v>5.9841963084426533E-2</v>
      </c>
      <c r="J28" s="985">
        <v>0</v>
      </c>
      <c r="K28" s="332">
        <v>0.26869626114194423</v>
      </c>
      <c r="L28" s="446">
        <v>2.3381494649764547E-2</v>
      </c>
      <c r="M28" s="986">
        <v>0.2920777557917088</v>
      </c>
      <c r="N28" s="987">
        <v>-1.3139085099226373E-6</v>
      </c>
      <c r="O28" s="988">
        <v>0.21548428039858736</v>
      </c>
      <c r="P28" s="985">
        <v>1</v>
      </c>
    </row>
    <row r="29" spans="1:16" ht="20" customHeight="1" thickBot="1">
      <c r="A29" s="698" t="s">
        <v>234</v>
      </c>
      <c r="B29" s="985">
        <v>0.42733808250198685</v>
      </c>
      <c r="C29" s="332">
        <v>2.2887907318351833E-3</v>
      </c>
      <c r="D29" s="446">
        <v>1.7328538197178802E-2</v>
      </c>
      <c r="E29" s="332">
        <v>7.4350106539453932E-3</v>
      </c>
      <c r="F29" s="446">
        <v>1.9505946138185563E-2</v>
      </c>
      <c r="G29" s="332">
        <v>1.3683333980042102E-2</v>
      </c>
      <c r="H29" s="446">
        <v>4.2615781573601547E-3</v>
      </c>
      <c r="I29" s="986">
        <v>6.0241619701187042E-2</v>
      </c>
      <c r="J29" s="985">
        <v>0</v>
      </c>
      <c r="K29" s="332">
        <v>0.4511767912879116</v>
      </c>
      <c r="L29" s="446">
        <v>5.6982207506418463E-2</v>
      </c>
      <c r="M29" s="986">
        <v>0.50815871963946568</v>
      </c>
      <c r="N29" s="987">
        <v>4.1292587517143594E-3</v>
      </c>
      <c r="O29" s="988">
        <v>0.4274134543153294</v>
      </c>
      <c r="P29" s="985">
        <v>1</v>
      </c>
    </row>
    <row r="30" spans="1:16" ht="20" customHeight="1" thickBot="1">
      <c r="A30" s="698" t="s">
        <v>235</v>
      </c>
      <c r="B30" s="985">
        <v>0.60239441270258232</v>
      </c>
      <c r="C30" s="332">
        <v>7.0338324467502907E-3</v>
      </c>
      <c r="D30" s="446">
        <v>3.0876257816889588E-2</v>
      </c>
      <c r="E30" s="332">
        <v>1.0851293024817028E-2</v>
      </c>
      <c r="F30" s="446">
        <v>1.5343724232540152E-2</v>
      </c>
      <c r="G30" s="332">
        <v>6.659862233021752E-3</v>
      </c>
      <c r="H30" s="446">
        <v>1.0707291689469727E-2</v>
      </c>
      <c r="I30" s="986">
        <v>7.0764969754018817E-2</v>
      </c>
      <c r="J30" s="985">
        <v>0</v>
      </c>
      <c r="K30" s="332">
        <v>0.29161467568573363</v>
      </c>
      <c r="L30" s="446">
        <v>2.4518878198813508E-2</v>
      </c>
      <c r="M30" s="986">
        <v>0.31613366789985625</v>
      </c>
      <c r="N30" s="987">
        <v>8.7230604627744582E-2</v>
      </c>
      <c r="O30" s="988">
        <v>0.18276551429113488</v>
      </c>
      <c r="P30" s="985">
        <v>1</v>
      </c>
    </row>
    <row r="31" spans="1:16" ht="20" customHeight="1" thickBot="1">
      <c r="A31" s="383" t="s">
        <v>236</v>
      </c>
      <c r="B31" s="985">
        <v>0.398870326724587</v>
      </c>
      <c r="C31" s="332">
        <v>2.4647901397735856E-3</v>
      </c>
      <c r="D31" s="446">
        <v>1.5854596034219282E-2</v>
      </c>
      <c r="E31" s="332">
        <v>1.3874770008433577E-2</v>
      </c>
      <c r="F31" s="446">
        <v>2.4649899876227562E-2</v>
      </c>
      <c r="G31" s="332">
        <v>7.4829696324531592E-3</v>
      </c>
      <c r="H31" s="446">
        <v>1.7420070852724127E-2</v>
      </c>
      <c r="I31" s="986">
        <v>6.4327025691107168E-2</v>
      </c>
      <c r="J31" s="985">
        <v>0</v>
      </c>
      <c r="K31" s="332">
        <v>0.45334685193006391</v>
      </c>
      <c r="L31" s="446">
        <v>6.6035058642020542E-2</v>
      </c>
      <c r="M31" s="986">
        <v>0.51938257673158161</v>
      </c>
      <c r="N31" s="987">
        <v>0</v>
      </c>
      <c r="O31" s="988">
        <v>0.42819733243090929</v>
      </c>
      <c r="P31" s="985">
        <v>1</v>
      </c>
    </row>
    <row r="32" spans="1:16" ht="20" customHeight="1" thickBot="1">
      <c r="A32" s="698" t="s">
        <v>494</v>
      </c>
      <c r="B32" s="985">
        <v>0.83139150801753636</v>
      </c>
      <c r="C32" s="332">
        <v>3.0028226532940959E-3</v>
      </c>
      <c r="D32" s="446">
        <v>5.2549396432646682E-3</v>
      </c>
      <c r="E32" s="332">
        <v>9.0084679598822891E-3</v>
      </c>
      <c r="F32" s="446">
        <v>8.4979881088222929E-3</v>
      </c>
      <c r="G32" s="332">
        <v>3.3031049186235055E-2</v>
      </c>
      <c r="H32" s="446">
        <v>1.501411326647048E-2</v>
      </c>
      <c r="I32" s="986">
        <v>5.8795267551498401E-2</v>
      </c>
      <c r="J32" s="985">
        <v>0</v>
      </c>
      <c r="K32" s="332">
        <v>8.2787820551318225E-2</v>
      </c>
      <c r="L32" s="446">
        <v>1.2011290613176384E-2</v>
      </c>
      <c r="M32" s="986">
        <v>9.4799111164494618E-2</v>
      </c>
      <c r="N32" s="987">
        <v>0</v>
      </c>
      <c r="O32" s="988">
        <v>9.0294877184553465E-2</v>
      </c>
      <c r="P32" s="985">
        <v>1</v>
      </c>
    </row>
    <row r="33" spans="1:16" ht="3" customHeight="1" thickBot="1">
      <c r="A33" s="383"/>
      <c r="B33" s="985"/>
      <c r="C33" s="332"/>
      <c r="D33" s="446"/>
      <c r="E33" s="332"/>
      <c r="F33" s="446"/>
      <c r="G33" s="332"/>
      <c r="H33" s="446"/>
      <c r="I33" s="332"/>
      <c r="J33" s="446"/>
      <c r="K33" s="332"/>
      <c r="L33" s="446"/>
      <c r="M33" s="332"/>
      <c r="N33" s="987"/>
      <c r="O33" s="988"/>
      <c r="P33" s="985"/>
    </row>
    <row r="34" spans="1:16" ht="30" customHeight="1" thickBot="1">
      <c r="A34" s="989" t="s">
        <v>0</v>
      </c>
      <c r="B34" s="449">
        <v>0.45777834015382296</v>
      </c>
      <c r="C34" s="990">
        <v>2.1488353532237679E-3</v>
      </c>
      <c r="D34" s="991">
        <v>1.5773666660902318E-2</v>
      </c>
      <c r="E34" s="990">
        <v>5.7388918742316587E-3</v>
      </c>
      <c r="F34" s="991">
        <v>1.2670262290382654E-2</v>
      </c>
      <c r="G34" s="990">
        <v>8.2583189810249442E-3</v>
      </c>
      <c r="H34" s="991">
        <v>8.3508123981879609E-3</v>
      </c>
      <c r="I34" s="992">
        <v>4.4589975159765344E-2</v>
      </c>
      <c r="J34" s="993">
        <v>2.4789857441837458E-5</v>
      </c>
      <c r="K34" s="339">
        <v>0.4394408904857075</v>
      </c>
      <c r="L34" s="860">
        <v>4.9815185299000468E-2</v>
      </c>
      <c r="M34" s="994">
        <v>0.48925605584648474</v>
      </c>
      <c r="N34" s="995">
        <v>4.077807932198773E-2</v>
      </c>
      <c r="O34" s="996">
        <v>0.32444098771777563</v>
      </c>
      <c r="P34" s="993">
        <v>1</v>
      </c>
    </row>
    <row r="35" spans="1:16" ht="20" customHeight="1">
      <c r="A35" s="352" t="s">
        <v>678</v>
      </c>
      <c r="B35" s="997"/>
      <c r="C35" s="470"/>
      <c r="D35" s="470"/>
      <c r="E35" s="470"/>
      <c r="F35" s="470"/>
      <c r="G35" s="470"/>
      <c r="H35" s="998"/>
      <c r="I35" s="998"/>
      <c r="M35" s="57"/>
    </row>
    <row r="36" spans="1:16" ht="13.5" customHeight="1">
      <c r="B36" s="999"/>
      <c r="C36" s="352"/>
      <c r="D36" s="352"/>
      <c r="E36" s="352"/>
      <c r="F36" s="352"/>
      <c r="G36" s="352"/>
      <c r="H36" s="1000"/>
      <c r="I36" s="1000"/>
      <c r="M36" s="4"/>
    </row>
    <row r="37" spans="1:16" ht="14.25" customHeight="1">
      <c r="A37" s="352" t="s">
        <v>1696</v>
      </c>
      <c r="B37" s="178"/>
      <c r="C37" s="138"/>
      <c r="D37" s="138"/>
      <c r="E37" s="138"/>
      <c r="F37" s="138"/>
      <c r="G37" s="138"/>
      <c r="H37" s="1001"/>
      <c r="I37" s="1001"/>
      <c r="M37" s="4"/>
    </row>
    <row r="38" spans="1:16" ht="12" customHeight="1">
      <c r="M38" s="4"/>
    </row>
    <row r="39" spans="1:16" ht="12" customHeight="1">
      <c r="A39" s="324" t="s">
        <v>1697</v>
      </c>
      <c r="M39" s="4"/>
    </row>
    <row r="40" spans="1:16" ht="12" customHeight="1">
      <c r="A40" s="324" t="s">
        <v>1684</v>
      </c>
      <c r="M40" s="4"/>
    </row>
    <row r="41" spans="1:16" ht="12" customHeight="1">
      <c r="A41" s="352" t="s">
        <v>1685</v>
      </c>
      <c r="M41" s="4"/>
    </row>
    <row r="42" spans="1:16" ht="12" customHeight="1">
      <c r="A42" s="352" t="s">
        <v>621</v>
      </c>
      <c r="M42" s="4"/>
    </row>
    <row r="43" spans="1:16" ht="12" customHeight="1">
      <c r="M43" s="4"/>
    </row>
    <row r="44" spans="1:16" ht="12" customHeight="1"/>
    <row r="45" spans="1:16" ht="12" customHeight="1">
      <c r="A45" s="3" t="s">
        <v>677</v>
      </c>
    </row>
  </sheetData>
  <pageMargins left="0.59055118110236227" right="0.51181102362204722" top="0.47244094488188981" bottom="0.44" header="0.31496062992125984" footer="0.32"/>
  <pageSetup paperSize="9" scale="59" orientation="landscape" horizontalDpi="4294967292" verticalDpi="4294967292"/>
  <headerFooter alignWithMargins="0"/>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684E-3DAD-3C46-9AD5-FF5F0CB94252}">
  <sheetPr>
    <pageSetUpPr fitToPage="1"/>
  </sheetPr>
  <dimension ref="A1:G40"/>
  <sheetViews>
    <sheetView zoomScaleNormal="100" workbookViewId="0">
      <selection activeCell="J41" sqref="J41"/>
    </sheetView>
  </sheetViews>
  <sheetFormatPr baseColWidth="10" defaultColWidth="11.3984375" defaultRowHeight="13"/>
  <cols>
    <col min="1" max="1" width="34.796875" style="3" customWidth="1"/>
    <col min="2" max="2" width="19.3984375" style="3" customWidth="1"/>
    <col min="3" max="4" width="19.796875" style="3" customWidth="1"/>
    <col min="5" max="5" width="20.3984375" style="414" customWidth="1"/>
    <col min="6" max="6" width="3.19921875" style="3" customWidth="1"/>
    <col min="7" max="7" width="6.19921875" style="3" customWidth="1"/>
    <col min="8" max="16384" width="11.3984375" style="3"/>
  </cols>
  <sheetData>
    <row r="1" spans="1:7" ht="19.5" customHeight="1">
      <c r="A1" s="47" t="s">
        <v>2385</v>
      </c>
      <c r="B1" s="1578"/>
      <c r="C1" s="1578"/>
      <c r="D1" s="1578"/>
      <c r="E1" s="358">
        <v>2010</v>
      </c>
    </row>
    <row r="2" spans="1:7" ht="33" customHeight="1">
      <c r="A2" s="47"/>
      <c r="B2" s="1578"/>
      <c r="C2" s="1578"/>
      <c r="D2" s="1578"/>
      <c r="E2" s="358"/>
    </row>
    <row r="3" spans="1:7" ht="19.5" customHeight="1">
      <c r="A3" s="47" t="s">
        <v>2386</v>
      </c>
      <c r="B3" s="1578"/>
      <c r="C3" s="1578"/>
      <c r="D3" s="1578"/>
      <c r="E3" s="358"/>
    </row>
    <row r="4" spans="1:7" ht="10.75" customHeight="1">
      <c r="A4" s="1599"/>
      <c r="B4" s="137"/>
      <c r="C4" s="137"/>
      <c r="D4" s="137"/>
      <c r="E4" s="1579"/>
    </row>
    <row r="5" spans="1:7" ht="24" customHeight="1">
      <c r="A5" s="276" t="s">
        <v>1358</v>
      </c>
      <c r="B5" s="651" t="s">
        <v>1359</v>
      </c>
      <c r="C5" s="327" t="s">
        <v>1360</v>
      </c>
      <c r="D5" s="651" t="s">
        <v>190</v>
      </c>
      <c r="E5" s="1600" t="s">
        <v>2387</v>
      </c>
    </row>
    <row r="6" spans="1:7" ht="15" customHeight="1">
      <c r="A6" s="328"/>
      <c r="B6" s="76"/>
      <c r="C6" s="77"/>
      <c r="D6" s="105"/>
      <c r="E6" s="1601" t="s">
        <v>2388</v>
      </c>
    </row>
    <row r="7" spans="1:7" ht="15" customHeight="1">
      <c r="A7" s="75"/>
      <c r="B7" s="76"/>
      <c r="C7" s="77"/>
      <c r="D7" s="76"/>
      <c r="E7" s="1601" t="s">
        <v>2389</v>
      </c>
    </row>
    <row r="8" spans="1:7" ht="24" customHeight="1">
      <c r="A8" s="264"/>
      <c r="B8" s="359"/>
      <c r="C8" s="360"/>
      <c r="D8" s="359"/>
      <c r="E8" s="1602"/>
    </row>
    <row r="9" spans="1:7" ht="45" customHeight="1" thickBot="1">
      <c r="A9" s="361" t="s">
        <v>204</v>
      </c>
      <c r="B9" s="408">
        <v>160354</v>
      </c>
      <c r="C9" s="409">
        <v>152161</v>
      </c>
      <c r="D9" s="408">
        <v>312515</v>
      </c>
      <c r="E9" s="1603">
        <v>0.20769980180607875</v>
      </c>
    </row>
    <row r="10" spans="1:7" ht="34.5" customHeight="1" thickBot="1">
      <c r="A10" s="361" t="s">
        <v>1362</v>
      </c>
      <c r="B10" s="408">
        <v>76271</v>
      </c>
      <c r="C10" s="409">
        <v>73996</v>
      </c>
      <c r="D10" s="408">
        <v>150267</v>
      </c>
      <c r="E10" s="1603">
        <v>0.22894177364414536</v>
      </c>
    </row>
    <row r="11" spans="1:7" ht="32.25" customHeight="1" thickBot="1">
      <c r="A11" s="361" t="s">
        <v>206</v>
      </c>
      <c r="B11" s="408">
        <v>392679</v>
      </c>
      <c r="C11" s="409">
        <v>365433</v>
      </c>
      <c r="D11" s="408">
        <v>758112</v>
      </c>
      <c r="E11" s="1603">
        <v>0.13492756397304259</v>
      </c>
    </row>
    <row r="12" spans="1:7" s="115" customFormat="1" ht="36" customHeight="1" thickBot="1">
      <c r="A12" s="400" t="s">
        <v>609</v>
      </c>
      <c r="B12" s="366">
        <v>629304</v>
      </c>
      <c r="C12" s="367">
        <v>591590</v>
      </c>
      <c r="D12" s="366">
        <v>1220894</v>
      </c>
      <c r="E12" s="1604">
        <v>0.15693407941893203</v>
      </c>
      <c r="G12" s="1605" t="s">
        <v>2390</v>
      </c>
    </row>
    <row r="13" spans="1:7" ht="16.5" customHeight="1">
      <c r="B13" s="95"/>
      <c r="C13" s="95"/>
      <c r="D13" s="95"/>
      <c r="E13" s="469"/>
      <c r="G13" s="49"/>
    </row>
    <row r="14" spans="1:7" s="52" customFormat="1" ht="24" customHeight="1" thickBot="1">
      <c r="A14" s="1606" t="s">
        <v>2391</v>
      </c>
      <c r="B14" s="1607">
        <v>39572</v>
      </c>
      <c r="C14" s="1608">
        <v>38082</v>
      </c>
      <c r="D14" s="1607">
        <v>77654</v>
      </c>
      <c r="E14" s="1609">
        <v>9.9816683538437798E-3</v>
      </c>
      <c r="G14" s="1605" t="s">
        <v>2392</v>
      </c>
    </row>
    <row r="15" spans="1:7" ht="16.5" customHeight="1">
      <c r="B15" s="95"/>
      <c r="C15" s="95"/>
      <c r="D15" s="95"/>
      <c r="E15" s="469"/>
      <c r="G15" s="49"/>
    </row>
    <row r="16" spans="1:7" s="52" customFormat="1" ht="24" customHeight="1" thickBot="1">
      <c r="A16" s="1610" t="s">
        <v>2393</v>
      </c>
      <c r="B16" s="1611">
        <v>489244</v>
      </c>
      <c r="C16" s="1612">
        <v>471458</v>
      </c>
      <c r="D16" s="1611">
        <v>960702</v>
      </c>
      <c r="E16" s="1613">
        <v>0.12348892202429272</v>
      </c>
      <c r="G16" s="1605" t="s">
        <v>1114</v>
      </c>
    </row>
    <row r="17" spans="1:7" ht="36.5" customHeight="1">
      <c r="A17" s="47"/>
      <c r="B17" s="1578"/>
      <c r="C17" s="1578"/>
      <c r="D17" s="1578"/>
      <c r="E17" s="358"/>
    </row>
    <row r="18" spans="1:7" ht="22.25" customHeight="1">
      <c r="A18" s="47" t="s">
        <v>2394</v>
      </c>
      <c r="B18" s="1578"/>
      <c r="C18" s="1578"/>
      <c r="D18" s="1578"/>
      <c r="E18" s="358"/>
    </row>
    <row r="19" spans="1:7" ht="10.25" customHeight="1">
      <c r="A19" s="1599"/>
      <c r="B19" s="137"/>
      <c r="C19" s="137"/>
      <c r="D19" s="137"/>
      <c r="E19" s="1579"/>
    </row>
    <row r="20" spans="1:7" ht="24" customHeight="1">
      <c r="A20" s="276" t="s">
        <v>1358</v>
      </c>
      <c r="B20" s="651" t="s">
        <v>1359</v>
      </c>
      <c r="C20" s="327" t="s">
        <v>1360</v>
      </c>
      <c r="D20" s="651" t="s">
        <v>190</v>
      </c>
      <c r="E20" s="1600" t="s">
        <v>2387</v>
      </c>
    </row>
    <row r="21" spans="1:7" ht="15" customHeight="1">
      <c r="A21" s="328"/>
      <c r="B21" s="76"/>
      <c r="C21" s="77"/>
      <c r="D21" s="105"/>
      <c r="E21" s="1601" t="s">
        <v>2388</v>
      </c>
    </row>
    <row r="22" spans="1:7" ht="15" customHeight="1">
      <c r="A22" s="75"/>
      <c r="B22" s="76"/>
      <c r="C22" s="77"/>
      <c r="D22" s="76"/>
      <c r="E22" s="1601" t="s">
        <v>2389</v>
      </c>
    </row>
    <row r="23" spans="1:7" ht="24" customHeight="1">
      <c r="A23" s="264"/>
      <c r="B23" s="359"/>
      <c r="C23" s="360"/>
      <c r="D23" s="359"/>
      <c r="E23" s="1602"/>
    </row>
    <row r="24" spans="1:7" ht="45" customHeight="1" thickBot="1">
      <c r="A24" s="361" t="s">
        <v>204</v>
      </c>
      <c r="B24" s="408">
        <v>124250</v>
      </c>
      <c r="C24" s="409">
        <v>117515</v>
      </c>
      <c r="D24" s="408">
        <v>241765</v>
      </c>
      <c r="E24" s="1603">
        <v>0.16067882368413239</v>
      </c>
    </row>
    <row r="25" spans="1:7" ht="34.5" customHeight="1" thickBot="1">
      <c r="A25" s="361" t="s">
        <v>1362</v>
      </c>
      <c r="B25" s="408">
        <v>75070</v>
      </c>
      <c r="C25" s="409">
        <v>72378</v>
      </c>
      <c r="D25" s="408">
        <v>147448</v>
      </c>
      <c r="E25" s="1603">
        <v>0.22464683956079476</v>
      </c>
    </row>
    <row r="26" spans="1:7" ht="32.25" customHeight="1" thickBot="1">
      <c r="A26" s="361" t="s">
        <v>206</v>
      </c>
      <c r="B26" s="408">
        <v>370869</v>
      </c>
      <c r="C26" s="409">
        <v>357256</v>
      </c>
      <c r="D26" s="408">
        <v>728125</v>
      </c>
      <c r="E26" s="1603">
        <v>0.12959052556597395</v>
      </c>
    </row>
    <row r="27" spans="1:7" s="115" customFormat="1" ht="36" customHeight="1" thickBot="1">
      <c r="A27" s="400" t="s">
        <v>609</v>
      </c>
      <c r="B27" s="366">
        <v>570189</v>
      </c>
      <c r="C27" s="367">
        <v>547149</v>
      </c>
      <c r="D27" s="366">
        <v>1117338</v>
      </c>
      <c r="E27" s="1604">
        <v>0.14362296024862983</v>
      </c>
      <c r="G27" s="1605" t="s">
        <v>2395</v>
      </c>
    </row>
    <row r="28" spans="1:7" ht="16.5" customHeight="1">
      <c r="B28" s="95"/>
      <c r="C28" s="95"/>
      <c r="D28" s="95"/>
      <c r="E28" s="469"/>
      <c r="G28" s="49"/>
    </row>
    <row r="29" spans="1:7" s="52" customFormat="1" ht="24" customHeight="1" thickBot="1">
      <c r="A29" s="1606" t="s">
        <v>2396</v>
      </c>
      <c r="B29" s="1607">
        <v>28890</v>
      </c>
      <c r="C29" s="1608">
        <v>29398</v>
      </c>
      <c r="D29" s="1607">
        <v>58288</v>
      </c>
      <c r="E29" s="1609">
        <v>7.492356929570225E-3</v>
      </c>
      <c r="G29" s="1605" t="s">
        <v>2397</v>
      </c>
    </row>
    <row r="30" spans="1:7" ht="16.5" customHeight="1">
      <c r="B30" s="95"/>
      <c r="C30" s="95"/>
      <c r="D30" s="95"/>
      <c r="E30" s="469"/>
      <c r="G30" s="49"/>
    </row>
    <row r="31" spans="1:7" s="52" customFormat="1" ht="24" customHeight="1" thickBot="1">
      <c r="A31" s="1610" t="s">
        <v>2398</v>
      </c>
      <c r="B31" s="1611">
        <v>452598</v>
      </c>
      <c r="C31" s="1612">
        <v>443623</v>
      </c>
      <c r="D31" s="1611">
        <v>896221</v>
      </c>
      <c r="E31" s="1613">
        <v>0.11520051502498553</v>
      </c>
      <c r="G31" s="1605" t="s">
        <v>2399</v>
      </c>
    </row>
    <row r="32" spans="1:7" ht="7.75" customHeight="1">
      <c r="D32"/>
      <c r="E32"/>
      <c r="F32"/>
      <c r="G32" s="52"/>
    </row>
    <row r="33" spans="1:7">
      <c r="A33" s="96" t="s">
        <v>678</v>
      </c>
      <c r="D33"/>
      <c r="E33"/>
      <c r="F33"/>
      <c r="G33" s="49"/>
    </row>
    <row r="34" spans="1:7">
      <c r="D34"/>
      <c r="E34" s="1614"/>
      <c r="F34" s="1614"/>
      <c r="G34" s="1615" t="s">
        <v>2400</v>
      </c>
    </row>
    <row r="35" spans="1:7">
      <c r="A35" s="3" t="s">
        <v>2401</v>
      </c>
      <c r="D35"/>
      <c r="E35"/>
      <c r="F35"/>
    </row>
    <row r="36" spans="1:7">
      <c r="D36"/>
      <c r="E36"/>
      <c r="F36"/>
    </row>
    <row r="37" spans="1:7">
      <c r="A37" s="52" t="s">
        <v>2402</v>
      </c>
      <c r="D37"/>
      <c r="E37"/>
      <c r="F37"/>
    </row>
    <row r="40" spans="1:7">
      <c r="A40" s="324" t="s">
        <v>677</v>
      </c>
    </row>
  </sheetData>
  <pageMargins left="0.51181102362204722" right="0.6692913385826772" top="0.94488188976377963" bottom="0.47244094488188981" header="0.55118110236220474" footer="0.51181102362204722"/>
  <pageSetup paperSize="9" scale="74" orientation="portrait" horizontalDpi="1200" verticalDpi="1200"/>
  <headerFooter alignWithMargins="0"/>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FA817-F917-4B4D-AC89-0096633A60A1}">
  <sheetPr>
    <pageSetUpPr fitToPage="1"/>
  </sheetPr>
  <dimension ref="A1:I38"/>
  <sheetViews>
    <sheetView topLeftCell="A13" zoomScaleNormal="100" workbookViewId="0">
      <selection activeCell="A36" sqref="A36"/>
    </sheetView>
  </sheetViews>
  <sheetFormatPr baseColWidth="10" defaultColWidth="11.3984375" defaultRowHeight="13"/>
  <cols>
    <col min="1" max="1" width="25.796875" style="3" customWidth="1"/>
    <col min="2" max="5" width="22.59765625" style="3" customWidth="1"/>
    <col min="6" max="16384" width="11.3984375" style="3"/>
  </cols>
  <sheetData>
    <row r="1" spans="1:9" s="2" customFormat="1" ht="14" customHeight="1"/>
    <row r="2" spans="1:9" s="2" customFormat="1" ht="24" customHeight="1">
      <c r="A2" s="71" t="s">
        <v>2419</v>
      </c>
      <c r="C2" s="482"/>
      <c r="E2" s="482"/>
    </row>
    <row r="3" spans="1:9" ht="24" customHeight="1">
      <c r="A3" s="72" t="s">
        <v>680</v>
      </c>
      <c r="B3" s="73" t="s">
        <v>2420</v>
      </c>
      <c r="C3" s="1137" t="s">
        <v>2421</v>
      </c>
      <c r="D3" s="73" t="s">
        <v>2422</v>
      </c>
      <c r="E3" s="1137" t="s">
        <v>2421</v>
      </c>
    </row>
    <row r="4" spans="1:9" ht="20.25" customHeight="1">
      <c r="A4" s="328"/>
      <c r="B4" s="76" t="s">
        <v>2423</v>
      </c>
      <c r="C4" s="1137" t="s">
        <v>2424</v>
      </c>
      <c r="D4" s="76" t="s">
        <v>2425</v>
      </c>
      <c r="E4" s="1137" t="s">
        <v>2426</v>
      </c>
    </row>
    <row r="5" spans="1:9" ht="18.75" customHeight="1">
      <c r="A5" s="328"/>
      <c r="B5" s="76"/>
      <c r="C5" s="1137" t="s">
        <v>2427</v>
      </c>
      <c r="D5" s="76" t="s">
        <v>2428</v>
      </c>
      <c r="E5" s="1137" t="s">
        <v>2429</v>
      </c>
    </row>
    <row r="6" spans="1:9" ht="18.75" customHeight="1">
      <c r="A6" s="328"/>
      <c r="B6" s="76"/>
      <c r="C6" s="1137"/>
      <c r="D6" s="76"/>
      <c r="E6" s="1137" t="s">
        <v>2430</v>
      </c>
    </row>
    <row r="7" spans="1:9" ht="15" customHeight="1">
      <c r="A7" s="329"/>
      <c r="B7" s="82"/>
      <c r="C7" s="81"/>
      <c r="D7" s="82"/>
      <c r="E7" s="81"/>
    </row>
    <row r="8" spans="1:9" ht="1.25" customHeight="1" thickBot="1">
      <c r="A8" s="427">
        <v>1996</v>
      </c>
      <c r="B8" s="123" t="s">
        <v>35</v>
      </c>
      <c r="C8" s="124" t="s">
        <v>35</v>
      </c>
      <c r="D8" s="123" t="s">
        <v>35</v>
      </c>
      <c r="E8" s="124" t="s">
        <v>35</v>
      </c>
    </row>
    <row r="9" spans="1:9" ht="0.75" hidden="1" customHeight="1" thickBot="1">
      <c r="A9" s="333">
        <v>1997</v>
      </c>
      <c r="B9" s="133" t="s">
        <v>35</v>
      </c>
      <c r="C9" s="132" t="s">
        <v>35</v>
      </c>
      <c r="D9" s="133" t="s">
        <v>35</v>
      </c>
      <c r="E9" s="132" t="s">
        <v>35</v>
      </c>
      <c r="G9" s="9"/>
      <c r="H9" s="9"/>
      <c r="I9" s="9"/>
    </row>
    <row r="10" spans="1:9" ht="19.5" hidden="1" customHeight="1" thickBot="1">
      <c r="A10" s="333">
        <v>1998</v>
      </c>
      <c r="B10" s="133" t="s">
        <v>35</v>
      </c>
      <c r="C10" s="132" t="s">
        <v>35</v>
      </c>
      <c r="D10" s="133" t="s">
        <v>35</v>
      </c>
      <c r="E10" s="132" t="s">
        <v>35</v>
      </c>
    </row>
    <row r="11" spans="1:9" ht="0.5" customHeight="1" thickBot="1">
      <c r="A11" s="333">
        <v>1999</v>
      </c>
      <c r="B11" s="133" t="s">
        <v>35</v>
      </c>
      <c r="C11" s="132" t="s">
        <v>35</v>
      </c>
      <c r="D11" s="133" t="s">
        <v>35</v>
      </c>
      <c r="E11" s="132" t="s">
        <v>35</v>
      </c>
    </row>
    <row r="12" spans="1:9" ht="20" customHeight="1" thickBot="1">
      <c r="A12" s="333">
        <v>2000</v>
      </c>
      <c r="B12" s="133" t="s">
        <v>35</v>
      </c>
      <c r="C12" s="132" t="s">
        <v>35</v>
      </c>
      <c r="D12" s="133" t="s">
        <v>35</v>
      </c>
      <c r="E12" s="132" t="s">
        <v>35</v>
      </c>
    </row>
    <row r="13" spans="1:9" ht="20" customHeight="1" thickBot="1">
      <c r="A13" s="333">
        <v>2001</v>
      </c>
      <c r="B13" s="133" t="s">
        <v>35</v>
      </c>
      <c r="C13" s="132" t="s">
        <v>35</v>
      </c>
      <c r="D13" s="133" t="s">
        <v>35</v>
      </c>
      <c r="E13" s="132" t="s">
        <v>35</v>
      </c>
    </row>
    <row r="14" spans="1:9" ht="20" customHeight="1" thickBot="1">
      <c r="A14" s="333">
        <v>2002</v>
      </c>
      <c r="B14" s="133" t="s">
        <v>35</v>
      </c>
      <c r="C14" s="132" t="s">
        <v>35</v>
      </c>
      <c r="D14" s="133" t="s">
        <v>35</v>
      </c>
      <c r="E14" s="132" t="s">
        <v>35</v>
      </c>
    </row>
    <row r="15" spans="1:9" ht="20" customHeight="1" thickBot="1">
      <c r="A15" s="333">
        <v>2003</v>
      </c>
      <c r="B15" s="133" t="s">
        <v>35</v>
      </c>
      <c r="C15" s="132" t="s">
        <v>35</v>
      </c>
      <c r="D15" s="133" t="s">
        <v>35</v>
      </c>
      <c r="E15" s="132" t="s">
        <v>35</v>
      </c>
    </row>
    <row r="16" spans="1:9" ht="20" customHeight="1" thickBot="1">
      <c r="A16" s="333">
        <v>2004</v>
      </c>
      <c r="B16" s="133" t="s">
        <v>35</v>
      </c>
      <c r="C16" s="132" t="s">
        <v>35</v>
      </c>
      <c r="D16" s="133" t="s">
        <v>35</v>
      </c>
      <c r="E16" s="132" t="s">
        <v>35</v>
      </c>
    </row>
    <row r="17" spans="1:5" ht="20" customHeight="1" thickBot="1">
      <c r="A17" s="333">
        <v>2005</v>
      </c>
      <c r="B17" s="133">
        <v>333989</v>
      </c>
      <c r="C17" s="752">
        <v>1660.1051811123543</v>
      </c>
      <c r="D17" s="133">
        <v>22830</v>
      </c>
      <c r="E17" s="752">
        <v>2667.0642261250127</v>
      </c>
    </row>
    <row r="18" spans="1:5" ht="20" customHeight="1" thickBot="1">
      <c r="A18" s="333">
        <v>2006</v>
      </c>
      <c r="B18" s="133">
        <v>421280</v>
      </c>
      <c r="C18" s="752">
        <v>1557.9783633108323</v>
      </c>
      <c r="D18" s="133">
        <v>89081</v>
      </c>
      <c r="E18" s="752">
        <v>1978.6264621248356</v>
      </c>
    </row>
    <row r="19" spans="1:5" ht="20" customHeight="1" thickBot="1">
      <c r="A19" s="333">
        <v>2007</v>
      </c>
      <c r="B19" s="133">
        <v>379340</v>
      </c>
      <c r="C19" s="752">
        <v>1590.2978354727945</v>
      </c>
      <c r="D19" s="133">
        <v>89884</v>
      </c>
      <c r="E19" s="752">
        <v>1754.1422340537217</v>
      </c>
    </row>
    <row r="20" spans="1:5" ht="20" customHeight="1" thickBot="1">
      <c r="A20" s="333">
        <v>2008</v>
      </c>
      <c r="B20" s="133">
        <v>366771.18</v>
      </c>
      <c r="C20" s="752">
        <v>1578.120089644023</v>
      </c>
      <c r="D20" s="133">
        <v>93001</v>
      </c>
      <c r="E20" s="752">
        <v>1868.7691993608462</v>
      </c>
    </row>
    <row r="21" spans="1:5" ht="20" customHeight="1" thickBot="1">
      <c r="A21" s="333">
        <v>2009</v>
      </c>
      <c r="B21" s="133">
        <v>362663</v>
      </c>
      <c r="C21" s="752">
        <v>1612.3001722893655</v>
      </c>
      <c r="D21" s="133">
        <v>134413</v>
      </c>
      <c r="E21" s="752">
        <v>2044.9746449067488</v>
      </c>
    </row>
    <row r="22" spans="1:5" ht="26.25" customHeight="1" thickBot="1">
      <c r="A22" s="431">
        <v>2010</v>
      </c>
      <c r="B22" s="435">
        <v>395046</v>
      </c>
      <c r="C22" s="1623">
        <v>1691.2252211550283</v>
      </c>
      <c r="D22" s="435">
        <v>146763</v>
      </c>
      <c r="E22" s="1623">
        <v>2257.3946408066636</v>
      </c>
    </row>
    <row r="23" spans="1:5" ht="18.5" customHeight="1">
      <c r="A23" s="95" t="s">
        <v>678</v>
      </c>
      <c r="B23" s="135"/>
      <c r="C23" s="135"/>
      <c r="D23" s="135"/>
      <c r="E23" s="135"/>
    </row>
    <row r="24" spans="1:5" ht="12.75" customHeight="1">
      <c r="A24" s="96"/>
      <c r="B24" s="136"/>
      <c r="C24" s="136"/>
      <c r="D24" s="136"/>
      <c r="E24" s="136"/>
    </row>
    <row r="25" spans="1:5" ht="12.75" customHeight="1">
      <c r="A25" s="3" t="s">
        <v>2431</v>
      </c>
      <c r="B25" s="136"/>
      <c r="C25" s="136"/>
      <c r="D25" s="136"/>
      <c r="E25" s="136"/>
    </row>
    <row r="26" spans="1:5" ht="12" customHeight="1"/>
    <row r="27" spans="1:5" ht="12" customHeight="1">
      <c r="A27" s="99" t="s">
        <v>2432</v>
      </c>
    </row>
    <row r="28" spans="1:5" ht="12" customHeight="1">
      <c r="A28" s="99" t="s">
        <v>2433</v>
      </c>
    </row>
    <row r="29" spans="1:5" ht="12" customHeight="1">
      <c r="A29" s="99" t="s">
        <v>2434</v>
      </c>
    </row>
    <row r="30" spans="1:5" ht="12" customHeight="1">
      <c r="A30" s="4" t="s">
        <v>2435</v>
      </c>
    </row>
    <row r="31" spans="1:5" ht="12" customHeight="1">
      <c r="A31" s="99" t="s">
        <v>2436</v>
      </c>
    </row>
    <row r="32" spans="1:5" ht="12" customHeight="1">
      <c r="A32" s="99" t="s">
        <v>2437</v>
      </c>
    </row>
    <row r="33" spans="1:1" ht="12" customHeight="1">
      <c r="A33" s="99" t="s">
        <v>2438</v>
      </c>
    </row>
    <row r="34" spans="1:1" ht="12" customHeight="1">
      <c r="A34" s="99" t="s">
        <v>2439</v>
      </c>
    </row>
    <row r="35" spans="1:1" ht="12" customHeight="1">
      <c r="A35" s="4" t="s">
        <v>2440</v>
      </c>
    </row>
    <row r="38" spans="1:1">
      <c r="A38" s="3" t="s">
        <v>677</v>
      </c>
    </row>
  </sheetData>
  <pageMargins left="0.51181102362204722" right="0.47244094488188981" top="0.70866141732283472" bottom="0.47244094488188981" header="0.55118110236220474" footer="0.51181102362204722"/>
  <pageSetup paperSize="9" scale="73" orientation="portrait" horizontalDpi="1200" verticalDpi="1200"/>
  <headerFooter alignWithMargins="0"/>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5DBC6-7BF4-6B4F-88B9-B446BF348196}">
  <sheetPr>
    <pageSetUpPr fitToPage="1"/>
  </sheetPr>
  <dimension ref="A1:G52"/>
  <sheetViews>
    <sheetView zoomScaleNormal="100" workbookViewId="0">
      <selection activeCell="A2" sqref="A2"/>
    </sheetView>
  </sheetViews>
  <sheetFormatPr baseColWidth="10" defaultColWidth="11.3984375" defaultRowHeight="13"/>
  <cols>
    <col min="1" max="1" width="33" style="3" customWidth="1"/>
    <col min="2" max="4" width="18.796875" style="3" customWidth="1"/>
    <col min="5" max="5" width="2.3984375" style="414" customWidth="1"/>
    <col min="6" max="6" width="6" style="3" customWidth="1"/>
    <col min="7" max="16384" width="11.3984375" style="3"/>
  </cols>
  <sheetData>
    <row r="1" spans="1:7" ht="19.25" customHeight="1">
      <c r="A1" s="47" t="s">
        <v>2403</v>
      </c>
      <c r="B1" s="1578"/>
      <c r="C1" s="1578"/>
      <c r="D1" s="1578"/>
      <c r="E1" s="1578"/>
    </row>
    <row r="2" spans="1:7" ht="28.75" customHeight="1">
      <c r="A2" s="47"/>
      <c r="B2" s="1578"/>
      <c r="C2" s="1578"/>
      <c r="D2" s="1578"/>
      <c r="E2" s="1578"/>
    </row>
    <row r="3" spans="1:7" ht="19.25" customHeight="1">
      <c r="A3" s="47" t="s">
        <v>2404</v>
      </c>
      <c r="B3" s="1578"/>
      <c r="C3" s="1578"/>
      <c r="D3" s="1578"/>
      <c r="E3" s="1578"/>
    </row>
    <row r="4" spans="1:7" ht="11.5" customHeight="1">
      <c r="A4" s="1599"/>
      <c r="B4" s="137"/>
      <c r="C4" s="137"/>
      <c r="D4" s="137"/>
      <c r="E4" s="1579"/>
    </row>
    <row r="5" spans="1:7" ht="24" customHeight="1">
      <c r="A5" s="276" t="s">
        <v>1358</v>
      </c>
      <c r="B5" s="651" t="s">
        <v>1359</v>
      </c>
      <c r="C5" s="327" t="s">
        <v>1360</v>
      </c>
      <c r="D5" s="651" t="s">
        <v>2405</v>
      </c>
      <c r="E5" s="323"/>
    </row>
    <row r="6" spans="1:7" ht="15" customHeight="1">
      <c r="A6" s="328"/>
      <c r="B6" s="76"/>
      <c r="C6" s="77"/>
      <c r="D6" s="105"/>
      <c r="E6" s="323"/>
    </row>
    <row r="7" spans="1:7" ht="15" customHeight="1">
      <c r="A7" s="75"/>
      <c r="B7" s="76"/>
      <c r="C7" s="77"/>
      <c r="D7" s="76"/>
      <c r="E7" s="323"/>
    </row>
    <row r="8" spans="1:7" ht="20.5" customHeight="1">
      <c r="A8" s="264"/>
      <c r="B8" s="359"/>
      <c r="C8" s="360"/>
      <c r="D8" s="359"/>
      <c r="E8" s="323"/>
    </row>
    <row r="9" spans="1:7" ht="42" customHeight="1" thickBot="1">
      <c r="A9" s="361" t="s">
        <v>204</v>
      </c>
      <c r="B9" s="408">
        <v>754155</v>
      </c>
      <c r="C9" s="409">
        <v>716487</v>
      </c>
      <c r="D9" s="408">
        <v>1470642</v>
      </c>
      <c r="E9" s="323"/>
    </row>
    <row r="10" spans="1:7" ht="34.5" customHeight="1" thickBot="1">
      <c r="A10" s="361" t="s">
        <v>1362</v>
      </c>
      <c r="B10" s="408">
        <v>340050</v>
      </c>
      <c r="C10" s="409">
        <v>326917</v>
      </c>
      <c r="D10" s="408">
        <v>666967</v>
      </c>
      <c r="E10" s="323"/>
    </row>
    <row r="11" spans="1:7" ht="32.25" customHeight="1" thickBot="1">
      <c r="A11" s="361" t="s">
        <v>206</v>
      </c>
      <c r="B11" s="408">
        <v>2775618</v>
      </c>
      <c r="C11" s="409">
        <v>2947564</v>
      </c>
      <c r="D11" s="408">
        <v>5723182</v>
      </c>
      <c r="E11" s="323"/>
    </row>
    <row r="12" spans="1:7" s="115" customFormat="1" ht="36" customHeight="1" thickBot="1">
      <c r="A12" s="400" t="s">
        <v>609</v>
      </c>
      <c r="B12" s="403">
        <v>3869823</v>
      </c>
      <c r="C12" s="402">
        <v>3990968</v>
      </c>
      <c r="D12" s="403">
        <v>7860791</v>
      </c>
      <c r="E12" s="323"/>
      <c r="F12" s="1605" t="s">
        <v>2406</v>
      </c>
    </row>
    <row r="13" spans="1:7" ht="16.5" customHeight="1">
      <c r="B13" s="95"/>
      <c r="C13" s="95"/>
      <c r="D13" s="95"/>
      <c r="E13" s="469"/>
      <c r="G13" s="49"/>
    </row>
    <row r="14" spans="1:7" s="52" customFormat="1" ht="24" customHeight="1" thickBot="1">
      <c r="A14" s="1610" t="s">
        <v>2407</v>
      </c>
      <c r="B14" s="1611">
        <v>468878</v>
      </c>
      <c r="C14" s="1612">
        <v>465501</v>
      </c>
      <c r="D14" s="1611">
        <v>934379</v>
      </c>
      <c r="E14" s="1616"/>
      <c r="F14" s="1605" t="s">
        <v>2408</v>
      </c>
      <c r="G14" s="1617"/>
    </row>
    <row r="15" spans="1:7" ht="28.25" customHeight="1">
      <c r="A15" s="47"/>
      <c r="B15" s="1578"/>
      <c r="C15" s="1578"/>
      <c r="D15" s="1578"/>
      <c r="E15" s="1578"/>
    </row>
    <row r="16" spans="1:7" ht="19.25" customHeight="1">
      <c r="A16" s="47" t="s">
        <v>2409</v>
      </c>
      <c r="B16" s="1578"/>
      <c r="C16" s="1578"/>
      <c r="D16" s="1578"/>
      <c r="E16" s="1578"/>
    </row>
    <row r="17" spans="1:7" ht="11.5" customHeight="1">
      <c r="A17" s="1599"/>
      <c r="B17" s="137"/>
      <c r="C17" s="137"/>
      <c r="D17" s="137"/>
      <c r="E17" s="1579"/>
    </row>
    <row r="18" spans="1:7" ht="24" customHeight="1">
      <c r="A18" s="276"/>
      <c r="B18" s="651" t="s">
        <v>1359</v>
      </c>
      <c r="C18" s="327" t="s">
        <v>1360</v>
      </c>
      <c r="D18" s="651" t="s">
        <v>2405</v>
      </c>
      <c r="E18" s="323"/>
    </row>
    <row r="19" spans="1:7" ht="15" customHeight="1">
      <c r="A19" s="328"/>
      <c r="B19" s="76"/>
      <c r="C19" s="77"/>
      <c r="D19" s="105"/>
      <c r="E19" s="323"/>
    </row>
    <row r="20" spans="1:7" ht="15" customHeight="1">
      <c r="A20" s="75"/>
      <c r="B20" s="76"/>
      <c r="C20" s="77"/>
      <c r="D20" s="76"/>
      <c r="E20" s="323"/>
    </row>
    <row r="21" spans="1:7" ht="15.5" customHeight="1">
      <c r="A21" s="264"/>
      <c r="B21" s="359"/>
      <c r="C21" s="360"/>
      <c r="D21" s="359"/>
      <c r="E21" s="323"/>
    </row>
    <row r="22" spans="1:7" s="115" customFormat="1" ht="36" customHeight="1" thickBot="1">
      <c r="A22" s="1618" t="s">
        <v>609</v>
      </c>
      <c r="B22" s="1619">
        <v>3814546</v>
      </c>
      <c r="C22" s="1620">
        <v>3934376</v>
      </c>
      <c r="D22" s="1619">
        <v>7748922</v>
      </c>
      <c r="E22" s="323"/>
      <c r="F22" s="1605" t="s">
        <v>1112</v>
      </c>
    </row>
    <row r="23" spans="1:7" ht="16.5" customHeight="1">
      <c r="B23" s="95"/>
      <c r="C23" s="95"/>
      <c r="D23" s="95"/>
      <c r="E23" s="469"/>
      <c r="G23" s="49"/>
    </row>
    <row r="24" spans="1:7" s="52" customFormat="1" ht="24" customHeight="1" thickBot="1">
      <c r="A24" s="1606" t="s">
        <v>2410</v>
      </c>
      <c r="B24" s="1607">
        <v>472339</v>
      </c>
      <c r="C24" s="1608">
        <v>453727</v>
      </c>
      <c r="D24" s="1607">
        <v>926066</v>
      </c>
      <c r="E24" s="1616"/>
      <c r="F24" s="1605" t="s">
        <v>1113</v>
      </c>
      <c r="G24" s="1617"/>
    </row>
    <row r="25" spans="1:7" ht="31.75" customHeight="1">
      <c r="A25" s="47"/>
      <c r="B25" s="1578"/>
      <c r="C25" s="1578"/>
      <c r="D25" s="1578"/>
      <c r="E25" s="1578"/>
    </row>
    <row r="26" spans="1:7" ht="19.25" customHeight="1">
      <c r="A26" s="47" t="s">
        <v>2411</v>
      </c>
      <c r="B26" s="1578"/>
      <c r="C26" s="1578"/>
      <c r="D26" s="1578"/>
      <c r="E26" s="1578"/>
    </row>
    <row r="27" spans="1:7" ht="11.5" customHeight="1">
      <c r="A27" s="1599"/>
      <c r="B27" s="137"/>
      <c r="C27" s="137"/>
      <c r="D27" s="137"/>
      <c r="E27" s="1579"/>
    </row>
    <row r="28" spans="1:7" ht="24" customHeight="1">
      <c r="A28" s="276"/>
      <c r="B28" s="651" t="s">
        <v>1359</v>
      </c>
      <c r="C28" s="327" t="s">
        <v>1360</v>
      </c>
      <c r="D28" s="651" t="s">
        <v>2405</v>
      </c>
      <c r="E28" s="323"/>
    </row>
    <row r="29" spans="1:7" ht="15" customHeight="1">
      <c r="A29" s="328"/>
      <c r="B29" s="76"/>
      <c r="C29" s="77"/>
      <c r="D29" s="105"/>
      <c r="E29" s="323"/>
    </row>
    <row r="30" spans="1:7" ht="15" customHeight="1">
      <c r="A30" s="75"/>
      <c r="B30" s="76"/>
      <c r="C30" s="77"/>
      <c r="D30" s="76"/>
      <c r="E30" s="323"/>
    </row>
    <row r="31" spans="1:7" ht="15.5" customHeight="1">
      <c r="A31" s="264"/>
      <c r="B31" s="359"/>
      <c r="C31" s="360"/>
      <c r="D31" s="359"/>
      <c r="E31" s="323"/>
    </row>
    <row r="32" spans="1:7" s="115" customFormat="1" ht="36" customHeight="1" thickBot="1">
      <c r="A32" s="1618" t="s">
        <v>190</v>
      </c>
      <c r="B32" s="1619">
        <v>3853170</v>
      </c>
      <c r="C32" s="1620">
        <v>3969463</v>
      </c>
      <c r="D32" s="1619">
        <v>7822633</v>
      </c>
      <c r="E32" s="323"/>
      <c r="F32" s="1605" t="s">
        <v>2412</v>
      </c>
    </row>
    <row r="33" spans="1:6" ht="31.75" customHeight="1">
      <c r="A33" s="47"/>
      <c r="B33" s="1578"/>
      <c r="C33" s="1578"/>
      <c r="D33" s="1578"/>
      <c r="E33" s="1578"/>
    </row>
    <row r="34" spans="1:6" ht="19.25" customHeight="1">
      <c r="A34" s="47" t="s">
        <v>2413</v>
      </c>
      <c r="B34" s="1578"/>
      <c r="C34" s="1578"/>
      <c r="D34" s="1578"/>
      <c r="E34" s="1578"/>
    </row>
    <row r="35" spans="1:6" ht="11.5" customHeight="1">
      <c r="A35" s="1599"/>
      <c r="B35" s="137"/>
      <c r="C35" s="137"/>
      <c r="D35" s="137"/>
      <c r="E35" s="1579"/>
    </row>
    <row r="36" spans="1:6" ht="24" customHeight="1">
      <c r="A36" s="276"/>
      <c r="B36" s="651" t="s">
        <v>1359</v>
      </c>
      <c r="C36" s="327" t="s">
        <v>1360</v>
      </c>
      <c r="D36" s="651" t="s">
        <v>2405</v>
      </c>
      <c r="E36" s="323"/>
    </row>
    <row r="37" spans="1:6" ht="15" customHeight="1">
      <c r="A37" s="328"/>
      <c r="B37" s="76"/>
      <c r="C37" s="77"/>
      <c r="D37" s="105"/>
      <c r="E37" s="323"/>
    </row>
    <row r="38" spans="1:6" ht="15" customHeight="1">
      <c r="A38" s="75"/>
      <c r="B38" s="76"/>
      <c r="C38" s="77"/>
      <c r="D38" s="76"/>
      <c r="E38" s="323"/>
    </row>
    <row r="39" spans="1:6" ht="15.5" customHeight="1">
      <c r="A39" s="264"/>
      <c r="B39" s="359"/>
      <c r="C39" s="360"/>
      <c r="D39" s="359"/>
      <c r="E39" s="323"/>
    </row>
    <row r="40" spans="1:6" s="115" customFormat="1" ht="36" customHeight="1" thickBot="1">
      <c r="A40" s="1618" t="s">
        <v>190</v>
      </c>
      <c r="B40" s="1619">
        <v>3833982</v>
      </c>
      <c r="C40" s="1620">
        <v>3949576</v>
      </c>
      <c r="D40" s="1619">
        <v>7783558</v>
      </c>
      <c r="E40" s="323"/>
      <c r="F40" s="1605" t="s">
        <v>1115</v>
      </c>
    </row>
    <row r="41" spans="1:6" ht="7.25" customHeight="1">
      <c r="D41"/>
      <c r="E41"/>
      <c r="F41"/>
    </row>
    <row r="42" spans="1:6" ht="15.5" customHeight="1">
      <c r="A42" s="96" t="s">
        <v>678</v>
      </c>
      <c r="D42"/>
      <c r="E42"/>
      <c r="F42"/>
    </row>
    <row r="43" spans="1:6" ht="15" customHeight="1">
      <c r="D43" s="1614"/>
      <c r="E43" s="1614"/>
      <c r="F43" s="1615" t="s">
        <v>2414</v>
      </c>
    </row>
    <row r="44" spans="1:6">
      <c r="D44" s="24"/>
      <c r="E44" s="24"/>
      <c r="F44" s="1621"/>
    </row>
    <row r="45" spans="1:6">
      <c r="A45" s="3" t="s">
        <v>2415</v>
      </c>
      <c r="D45"/>
      <c r="E45"/>
      <c r="F45"/>
    </row>
    <row r="46" spans="1:6">
      <c r="D46"/>
      <c r="E46"/>
      <c r="F46"/>
    </row>
    <row r="47" spans="1:6" ht="15" customHeight="1">
      <c r="A47" s="1821" t="s">
        <v>2416</v>
      </c>
      <c r="B47" s="1835"/>
      <c r="C47" s="1835"/>
      <c r="D47" s="1835"/>
      <c r="E47" s="1622"/>
    </row>
    <row r="48" spans="1:6" ht="14.5" customHeight="1">
      <c r="A48" s="3" t="s">
        <v>2417</v>
      </c>
      <c r="D48"/>
      <c r="E48"/>
      <c r="F48"/>
    </row>
    <row r="49" spans="1:6" ht="15.5" customHeight="1">
      <c r="A49" s="3" t="s">
        <v>2418</v>
      </c>
      <c r="D49"/>
      <c r="E49"/>
      <c r="F49"/>
    </row>
    <row r="52" spans="1:6">
      <c r="A52" s="324" t="s">
        <v>677</v>
      </c>
    </row>
  </sheetData>
  <mergeCells count="1">
    <mergeCell ref="A47:D47"/>
  </mergeCells>
  <pageMargins left="0.67" right="0.67" top="0.87" bottom="0.49" header="0.56000000000000005" footer="0.4921259845"/>
  <pageSetup paperSize="9" scale="76" orientation="portrait" horizontalDpi="1200" verticalDpi="1200"/>
  <headerFooter alignWithMargins="0"/>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8FF59-3DDE-064B-89DC-A134FC50DA16}">
  <sheetPr>
    <pageSetUpPr fitToPage="1"/>
  </sheetPr>
  <dimension ref="A1:G36"/>
  <sheetViews>
    <sheetView zoomScaleNormal="100" workbookViewId="0">
      <selection activeCell="H18" sqref="H18"/>
    </sheetView>
  </sheetViews>
  <sheetFormatPr baseColWidth="10" defaultColWidth="11.3984375" defaultRowHeight="13"/>
  <cols>
    <col min="1" max="1" width="19.3984375" style="3" customWidth="1"/>
    <col min="2" max="2" width="17.3984375" style="3" customWidth="1"/>
    <col min="3" max="3" width="16.3984375" style="3" customWidth="1"/>
    <col min="4" max="4" width="17.796875" style="3" customWidth="1"/>
    <col min="5" max="5" width="18.796875" style="414" customWidth="1"/>
    <col min="6" max="6" width="19.59765625" style="414" customWidth="1"/>
    <col min="7" max="7" width="18.19921875" style="3" customWidth="1"/>
    <col min="8" max="16384" width="11.3984375" style="3"/>
  </cols>
  <sheetData>
    <row r="1" spans="1:6" ht="54.75" customHeight="1">
      <c r="A1" s="1809" t="s">
        <v>2441</v>
      </c>
      <c r="B1" s="1825"/>
      <c r="C1" s="1825"/>
      <c r="D1" s="1825"/>
      <c r="E1" s="358">
        <v>2010</v>
      </c>
      <c r="F1" s="1578"/>
    </row>
    <row r="2" spans="1:6" ht="28.25" customHeight="1">
      <c r="A2" s="1577"/>
      <c r="B2" s="1578"/>
      <c r="C2" s="1578"/>
      <c r="D2" s="1578"/>
      <c r="E2" s="1578"/>
      <c r="F2" s="1578"/>
    </row>
    <row r="3" spans="1:6" ht="39.75" customHeight="1">
      <c r="A3" s="1836" t="s">
        <v>2442</v>
      </c>
      <c r="B3" s="1810"/>
      <c r="C3" s="1810"/>
      <c r="D3" s="1810"/>
      <c r="E3" s="1810"/>
      <c r="F3" s="533"/>
    </row>
    <row r="4" spans="1:6" ht="12.75" customHeight="1">
      <c r="A4" s="1599"/>
      <c r="B4" s="137"/>
      <c r="C4" s="137"/>
      <c r="D4" s="137"/>
      <c r="E4" s="137"/>
      <c r="F4" s="1579"/>
    </row>
    <row r="5" spans="1:6" ht="24" customHeight="1">
      <c r="A5" s="276" t="s">
        <v>1358</v>
      </c>
      <c r="B5" s="651" t="s">
        <v>1359</v>
      </c>
      <c r="C5" s="327" t="s">
        <v>1360</v>
      </c>
      <c r="D5" s="651" t="s">
        <v>190</v>
      </c>
      <c r="E5" s="455" t="s">
        <v>641</v>
      </c>
      <c r="F5" s="323"/>
    </row>
    <row r="6" spans="1:6" ht="15" customHeight="1">
      <c r="A6" s="328"/>
      <c r="B6" s="76"/>
      <c r="C6" s="77"/>
      <c r="D6" s="105"/>
      <c r="E6" s="458" t="s">
        <v>1361</v>
      </c>
      <c r="F6" s="323"/>
    </row>
    <row r="7" spans="1:6" ht="15" customHeight="1">
      <c r="A7" s="75"/>
      <c r="B7" s="76"/>
      <c r="C7" s="77"/>
      <c r="D7" s="76"/>
      <c r="E7" s="458"/>
      <c r="F7" s="323"/>
    </row>
    <row r="8" spans="1:6" ht="24" customHeight="1">
      <c r="A8" s="264"/>
      <c r="B8" s="359"/>
      <c r="C8" s="360"/>
      <c r="D8" s="359"/>
      <c r="E8" s="808"/>
      <c r="F8" s="323"/>
    </row>
    <row r="9" spans="1:6" ht="45" customHeight="1" thickBot="1">
      <c r="A9" s="361" t="s">
        <v>204</v>
      </c>
      <c r="B9" s="408">
        <v>771778.26</v>
      </c>
      <c r="C9" s="409">
        <v>732869.33</v>
      </c>
      <c r="D9" s="408">
        <v>1504647.56</v>
      </c>
      <c r="E9" s="809">
        <v>0.19340784677338271</v>
      </c>
      <c r="F9" s="323"/>
    </row>
    <row r="10" spans="1:6" ht="34.5" customHeight="1" thickBot="1">
      <c r="A10" s="361" t="s">
        <v>1362</v>
      </c>
      <c r="B10" s="408">
        <v>331462.15999999997</v>
      </c>
      <c r="C10" s="409">
        <v>324892.52</v>
      </c>
      <c r="D10" s="408">
        <v>656354.66</v>
      </c>
      <c r="E10" s="809">
        <v>8.4368024037652853E-2</v>
      </c>
      <c r="F10" s="323"/>
    </row>
    <row r="11" spans="1:6" ht="32.25" customHeight="1" thickBot="1">
      <c r="A11" s="361" t="s">
        <v>206</v>
      </c>
      <c r="B11" s="408">
        <v>2724998.21</v>
      </c>
      <c r="C11" s="409">
        <v>2893660.99</v>
      </c>
      <c r="D11" s="408">
        <v>5618659.21</v>
      </c>
      <c r="E11" s="809">
        <v>0.72222413304517341</v>
      </c>
      <c r="F11" s="323"/>
    </row>
    <row r="12" spans="1:6" s="115" customFormat="1" ht="36" customHeight="1" thickBot="1">
      <c r="A12" s="400" t="s">
        <v>190</v>
      </c>
      <c r="B12" s="366">
        <v>3828238.58</v>
      </c>
      <c r="C12" s="367">
        <v>3951422.82</v>
      </c>
      <c r="D12" s="366">
        <v>7779661.4000000004</v>
      </c>
      <c r="E12" s="369">
        <v>1</v>
      </c>
      <c r="F12" s="323"/>
    </row>
    <row r="13" spans="1:6" ht="17.25" customHeight="1">
      <c r="B13" s="95"/>
      <c r="C13" s="95"/>
      <c r="D13" s="95"/>
      <c r="E13" s="468"/>
      <c r="F13" s="469"/>
    </row>
    <row r="14" spans="1:6" ht="19.5" customHeight="1" thickBot="1">
      <c r="A14" s="1606" t="s">
        <v>2443</v>
      </c>
      <c r="B14" s="1624">
        <v>39.677543980000003</v>
      </c>
      <c r="C14" s="1625">
        <v>42.051212569999997</v>
      </c>
      <c r="D14" s="1624">
        <v>40.880000000000003</v>
      </c>
      <c r="E14" s="1626" t="s">
        <v>35</v>
      </c>
      <c r="F14" s="469"/>
    </row>
    <row r="15" spans="1:6" ht="46.5" customHeight="1">
      <c r="A15" s="1627"/>
      <c r="B15" s="96"/>
      <c r="C15" s="96"/>
      <c r="D15" s="96"/>
      <c r="E15" s="469"/>
      <c r="F15" s="469"/>
    </row>
    <row r="16" spans="1:6" ht="38.25" customHeight="1">
      <c r="A16" s="1837" t="s">
        <v>2444</v>
      </c>
      <c r="B16" s="1810"/>
      <c r="C16" s="1810"/>
      <c r="D16" s="1810"/>
      <c r="E16" s="1810"/>
      <c r="F16" s="533"/>
    </row>
    <row r="17" spans="1:7" ht="15" customHeight="1">
      <c r="A17" s="1628"/>
      <c r="B17" s="1578"/>
      <c r="C17" s="1578"/>
      <c r="D17" s="1578"/>
      <c r="E17" s="1578"/>
      <c r="F17" s="1578"/>
    </row>
    <row r="18" spans="1:7" ht="38.25" customHeight="1">
      <c r="A18" s="1629"/>
      <c r="B18" s="1630" t="s">
        <v>237</v>
      </c>
      <c r="C18" s="1631" t="s">
        <v>238</v>
      </c>
      <c r="D18" s="1630" t="s">
        <v>204</v>
      </c>
      <c r="E18" s="1631" t="s">
        <v>190</v>
      </c>
    </row>
    <row r="19" spans="1:7" ht="39" customHeight="1" thickBot="1">
      <c r="A19" s="1632" t="s">
        <v>190</v>
      </c>
      <c r="B19" s="1607">
        <v>16440.990000000002</v>
      </c>
      <c r="C19" s="1608">
        <v>10281.24</v>
      </c>
      <c r="D19" s="1607">
        <v>3422.42</v>
      </c>
      <c r="E19" s="1633">
        <v>30144.66</v>
      </c>
      <c r="F19" s="810"/>
      <c r="G19" s="810"/>
    </row>
    <row r="20" spans="1:7" ht="39.75" customHeight="1">
      <c r="D20"/>
      <c r="E20"/>
      <c r="F20"/>
      <c r="G20"/>
    </row>
    <row r="21" spans="1:7" ht="42" customHeight="1">
      <c r="A21" s="1837" t="s">
        <v>2445</v>
      </c>
      <c r="B21" s="1810"/>
      <c r="C21" s="1810"/>
      <c r="D21" s="1810"/>
      <c r="E21" s="1810"/>
      <c r="F21" s="533"/>
    </row>
    <row r="22" spans="1:7" ht="15" customHeight="1">
      <c r="A22" s="1628"/>
      <c r="B22" s="1578"/>
      <c r="C22" s="1578"/>
      <c r="D22" s="1578"/>
      <c r="E22" s="1578"/>
      <c r="F22" s="1578"/>
    </row>
    <row r="23" spans="1:7" ht="38.25" customHeight="1">
      <c r="A23" s="1629"/>
      <c r="B23" s="1630" t="s">
        <v>237</v>
      </c>
      <c r="C23" s="1631" t="s">
        <v>238</v>
      </c>
      <c r="D23" s="1630" t="s">
        <v>204</v>
      </c>
      <c r="E23" s="1631" t="s">
        <v>190</v>
      </c>
    </row>
    <row r="24" spans="1:7" ht="39" customHeight="1" thickBot="1">
      <c r="A24" s="1632" t="s">
        <v>190</v>
      </c>
      <c r="B24" s="1607">
        <v>13293.73</v>
      </c>
      <c r="C24" s="1608">
        <v>7303.06</v>
      </c>
      <c r="D24" s="1607">
        <v>3120.55</v>
      </c>
      <c r="E24" s="1633">
        <v>23717.34</v>
      </c>
      <c r="F24" s="810"/>
      <c r="G24" s="810"/>
    </row>
    <row r="25" spans="1:7">
      <c r="D25"/>
      <c r="E25"/>
      <c r="F25"/>
      <c r="G25"/>
    </row>
    <row r="26" spans="1:7">
      <c r="A26" s="96" t="s">
        <v>678</v>
      </c>
      <c r="D26"/>
      <c r="E26"/>
      <c r="F26"/>
      <c r="G26"/>
    </row>
    <row r="27" spans="1:7">
      <c r="D27"/>
      <c r="E27"/>
      <c r="F27"/>
      <c r="G27"/>
    </row>
    <row r="28" spans="1:7">
      <c r="A28" s="3" t="s">
        <v>2446</v>
      </c>
      <c r="D28"/>
      <c r="E28"/>
      <c r="F28"/>
      <c r="G28"/>
    </row>
    <row r="29" spans="1:7">
      <c r="A29" s="3" t="s">
        <v>2447</v>
      </c>
      <c r="D29"/>
      <c r="E29"/>
      <c r="F29"/>
      <c r="G29"/>
    </row>
    <row r="30" spans="1:7">
      <c r="A30" s="3" t="s">
        <v>2448</v>
      </c>
      <c r="D30"/>
      <c r="E30"/>
      <c r="F30"/>
      <c r="G30"/>
    </row>
    <row r="31" spans="1:7">
      <c r="A31" s="3" t="s">
        <v>2449</v>
      </c>
      <c r="D31"/>
      <c r="E31"/>
      <c r="F31"/>
      <c r="G31"/>
    </row>
    <row r="32" spans="1:7">
      <c r="D32"/>
      <c r="E32"/>
      <c r="F32"/>
      <c r="G32"/>
    </row>
    <row r="33" spans="1:7">
      <c r="A33" s="3" t="s">
        <v>2450</v>
      </c>
      <c r="D33"/>
      <c r="E33"/>
      <c r="F33"/>
      <c r="G33"/>
    </row>
    <row r="36" spans="1:7">
      <c r="A36" s="324" t="s">
        <v>677</v>
      </c>
    </row>
  </sheetData>
  <mergeCells count="4">
    <mergeCell ref="A1:D1"/>
    <mergeCell ref="A3:E3"/>
    <mergeCell ref="A16:E16"/>
    <mergeCell ref="A21:E21"/>
  </mergeCells>
  <pageMargins left="0.5" right="0.45" top="0.71" bottom="0.47244094488188981" header="0.47244094488188981" footer="0.51181102362204722"/>
  <pageSetup paperSize="9" scale="85" orientation="portrait" horizontalDpi="1200" verticalDpi="1200"/>
  <headerFooter alignWithMargins="0"/>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00E2D-DD30-C248-A7C9-B355CE59E8C2}">
  <sheetPr>
    <pageSetUpPr fitToPage="1"/>
  </sheetPr>
  <dimension ref="A1:H43"/>
  <sheetViews>
    <sheetView topLeftCell="A13" zoomScale="75" workbookViewId="0">
      <selection activeCell="A41" sqref="A41"/>
    </sheetView>
  </sheetViews>
  <sheetFormatPr baseColWidth="10" defaultColWidth="11.3984375" defaultRowHeight="13"/>
  <cols>
    <col min="1" max="1" width="14.796875" style="3" customWidth="1"/>
    <col min="2" max="6" width="21" style="3" customWidth="1"/>
    <col min="7" max="7" width="20.19921875" style="3" customWidth="1"/>
    <col min="8" max="8" width="12.19921875" style="3" customWidth="1"/>
    <col min="9" max="16384" width="11.3984375" style="3"/>
  </cols>
  <sheetData>
    <row r="1" spans="1:8" s="2" customFormat="1" ht="14" customHeight="1"/>
    <row r="2" spans="1:8" s="2" customFormat="1" ht="27.75" customHeight="1">
      <c r="A2" s="1807" t="s">
        <v>663</v>
      </c>
      <c r="B2" s="1811"/>
      <c r="C2" s="1811"/>
      <c r="D2" s="1811"/>
      <c r="E2" s="1811"/>
      <c r="F2" s="71">
        <v>2010</v>
      </c>
    </row>
    <row r="3" spans="1:8" ht="27" customHeight="1">
      <c r="A3" s="72" t="s">
        <v>203</v>
      </c>
      <c r="B3" s="73" t="s">
        <v>204</v>
      </c>
      <c r="C3" s="74" t="s">
        <v>205</v>
      </c>
      <c r="D3" s="73" t="s">
        <v>206</v>
      </c>
      <c r="E3" s="74" t="s">
        <v>190</v>
      </c>
      <c r="F3" s="299" t="s">
        <v>585</v>
      </c>
    </row>
    <row r="4" spans="1:8" ht="15" customHeight="1">
      <c r="A4" s="75"/>
      <c r="B4" s="76"/>
      <c r="C4" s="77" t="s">
        <v>206</v>
      </c>
      <c r="D4" s="78"/>
      <c r="E4" s="77"/>
      <c r="F4" s="78" t="s">
        <v>586</v>
      </c>
    </row>
    <row r="5" spans="1:8" ht="15" customHeight="1">
      <c r="A5" s="75"/>
      <c r="B5" s="76" t="s">
        <v>207</v>
      </c>
      <c r="C5" s="77" t="s">
        <v>208</v>
      </c>
      <c r="D5" s="76" t="s">
        <v>209</v>
      </c>
      <c r="E5" s="77"/>
      <c r="F5" s="78" t="s">
        <v>210</v>
      </c>
    </row>
    <row r="6" spans="1:8" ht="24" customHeight="1">
      <c r="A6" s="79"/>
      <c r="B6" s="80"/>
      <c r="C6" s="79"/>
      <c r="D6" s="80"/>
      <c r="E6" s="81"/>
      <c r="F6" s="82"/>
      <c r="H6" s="83"/>
    </row>
    <row r="7" spans="1:8" ht="30" customHeight="1" thickBot="1">
      <c r="A7" s="84" t="s">
        <v>211</v>
      </c>
      <c r="B7" s="85">
        <v>249695.24</v>
      </c>
      <c r="C7" s="86">
        <v>104091.29</v>
      </c>
      <c r="D7" s="85">
        <v>1002203.53</v>
      </c>
      <c r="E7" s="86">
        <v>1355990.1</v>
      </c>
      <c r="F7" s="87">
        <v>1.1486761753332641E-2</v>
      </c>
      <c r="H7" s="88"/>
    </row>
    <row r="8" spans="1:8" ht="20" customHeight="1" thickBot="1">
      <c r="A8" s="89" t="s">
        <v>212</v>
      </c>
      <c r="B8" s="85">
        <v>178510.87</v>
      </c>
      <c r="C8" s="86">
        <v>80860.03</v>
      </c>
      <c r="D8" s="85">
        <v>716921.63</v>
      </c>
      <c r="E8" s="86">
        <v>976292.55</v>
      </c>
      <c r="F8" s="87">
        <v>4.7694959574418111E-3</v>
      </c>
      <c r="H8" s="88"/>
    </row>
    <row r="9" spans="1:8" ht="20" customHeight="1" thickBot="1">
      <c r="A9" s="89" t="s">
        <v>213</v>
      </c>
      <c r="B9" s="85">
        <v>75701.39</v>
      </c>
      <c r="C9" s="86">
        <v>34986.559999999998</v>
      </c>
      <c r="D9" s="85">
        <v>265656.28000000003</v>
      </c>
      <c r="E9" s="86">
        <v>376344.26</v>
      </c>
      <c r="F9" s="87">
        <v>8.8787779950036134E-3</v>
      </c>
      <c r="H9" s="88"/>
    </row>
    <row r="10" spans="1:8" ht="20" customHeight="1" thickBot="1">
      <c r="A10" s="89" t="s">
        <v>214</v>
      </c>
      <c r="B10" s="85">
        <v>7115.81</v>
      </c>
      <c r="C10" s="86">
        <v>3250.78</v>
      </c>
      <c r="D10" s="85">
        <v>25093.26</v>
      </c>
      <c r="E10" s="86">
        <v>35459.83</v>
      </c>
      <c r="F10" s="87">
        <v>-2.2950284439733702E-4</v>
      </c>
      <c r="H10" s="88"/>
    </row>
    <row r="11" spans="1:8" ht="20" customHeight="1" thickBot="1">
      <c r="A11" s="89" t="s">
        <v>215</v>
      </c>
      <c r="B11" s="85">
        <v>29190.12</v>
      </c>
      <c r="C11" s="86">
        <v>12790.82</v>
      </c>
      <c r="D11" s="85">
        <v>104096.35</v>
      </c>
      <c r="E11" s="86">
        <v>146077.24</v>
      </c>
      <c r="F11" s="87">
        <v>9.4065644176357533E-3</v>
      </c>
      <c r="H11" s="88"/>
    </row>
    <row r="12" spans="1:8" ht="20" customHeight="1" thickBot="1">
      <c r="A12" s="89" t="s">
        <v>216</v>
      </c>
      <c r="B12" s="85">
        <v>7311.57</v>
      </c>
      <c r="C12" s="86">
        <v>3442.59</v>
      </c>
      <c r="D12" s="85">
        <v>25091.98</v>
      </c>
      <c r="E12" s="86">
        <v>35846.15</v>
      </c>
      <c r="F12" s="87">
        <v>1.4297040707532018E-2</v>
      </c>
      <c r="H12" s="88"/>
    </row>
    <row r="13" spans="1:8" ht="20" customHeight="1" thickBot="1">
      <c r="A13" s="89" t="s">
        <v>217</v>
      </c>
      <c r="B13" s="85">
        <v>7577.03</v>
      </c>
      <c r="C13" s="86">
        <v>3577.14</v>
      </c>
      <c r="D13" s="85">
        <v>29464.5</v>
      </c>
      <c r="E13" s="86">
        <v>40618.65</v>
      </c>
      <c r="F13" s="87">
        <v>3.2734675488784509E-3</v>
      </c>
      <c r="H13" s="88"/>
    </row>
    <row r="14" spans="1:8" ht="20" customHeight="1" thickBot="1">
      <c r="A14" s="89" t="s">
        <v>218</v>
      </c>
      <c r="B14" s="85">
        <v>7354.36</v>
      </c>
      <c r="C14" s="86">
        <v>3698.67</v>
      </c>
      <c r="D14" s="85">
        <v>27717.88</v>
      </c>
      <c r="E14" s="86">
        <v>38770.910000000003</v>
      </c>
      <c r="F14" s="87">
        <v>3.5061064385171238E-3</v>
      </c>
      <c r="H14" s="88"/>
    </row>
    <row r="15" spans="1:8" ht="20" customHeight="1" thickBot="1">
      <c r="A15" s="89" t="s">
        <v>219</v>
      </c>
      <c r="B15" s="85">
        <v>21547.73</v>
      </c>
      <c r="C15" s="86">
        <v>8768.7900000000009</v>
      </c>
      <c r="D15" s="85">
        <v>81535.199999999997</v>
      </c>
      <c r="E15" s="86">
        <v>111851.71</v>
      </c>
      <c r="F15" s="87">
        <v>9.1962220096692346E-3</v>
      </c>
      <c r="H15" s="88"/>
    </row>
    <row r="16" spans="1:8" ht="20" customHeight="1" thickBot="1">
      <c r="A16" s="89" t="s">
        <v>220</v>
      </c>
      <c r="B16" s="85">
        <v>61772.84</v>
      </c>
      <c r="C16" s="86">
        <v>24401.63</v>
      </c>
      <c r="D16" s="85">
        <v>189769.27</v>
      </c>
      <c r="E16" s="86">
        <v>275943.73</v>
      </c>
      <c r="F16" s="87">
        <v>1.6553491858619387E-2</v>
      </c>
      <c r="H16" s="88"/>
    </row>
    <row r="17" spans="1:8" ht="20" customHeight="1" thickBot="1">
      <c r="A17" s="89" t="s">
        <v>221</v>
      </c>
      <c r="B17" s="85">
        <v>47563.9</v>
      </c>
      <c r="C17" s="86">
        <v>22645.08</v>
      </c>
      <c r="D17" s="85">
        <v>185939.69</v>
      </c>
      <c r="E17" s="86">
        <v>256148.7</v>
      </c>
      <c r="F17" s="87">
        <v>4.5340934287724788E-3</v>
      </c>
      <c r="H17" s="88"/>
    </row>
    <row r="18" spans="1:8" ht="20" customHeight="1" thickBot="1">
      <c r="A18" s="89" t="s">
        <v>222</v>
      </c>
      <c r="B18" s="85">
        <v>27780.91</v>
      </c>
      <c r="C18" s="86">
        <v>13050.79</v>
      </c>
      <c r="D18" s="85">
        <v>137105.4</v>
      </c>
      <c r="E18" s="86">
        <v>177937.15</v>
      </c>
      <c r="F18" s="87">
        <v>6.5429165854218613E-3</v>
      </c>
      <c r="H18" s="88"/>
    </row>
    <row r="19" spans="1:8" ht="20" customHeight="1" thickBot="1">
      <c r="A19" s="89" t="s">
        <v>223</v>
      </c>
      <c r="B19" s="85">
        <v>49581.57</v>
      </c>
      <c r="C19" s="86">
        <v>21671.69</v>
      </c>
      <c r="D19" s="85">
        <v>201345.4</v>
      </c>
      <c r="E19" s="86">
        <v>272598.65000000002</v>
      </c>
      <c r="F19" s="87">
        <v>4.5487563801691038E-3</v>
      </c>
      <c r="H19" s="88"/>
    </row>
    <row r="20" spans="1:8" ht="20" customHeight="1" thickBot="1">
      <c r="A20" s="89" t="s">
        <v>224</v>
      </c>
      <c r="B20" s="85">
        <v>13622.85</v>
      </c>
      <c r="C20" s="86">
        <v>6705.74</v>
      </c>
      <c r="D20" s="85">
        <v>55391.13</v>
      </c>
      <c r="E20" s="86">
        <v>75719.740000000005</v>
      </c>
      <c r="F20" s="87">
        <v>4.5502088442115384E-3</v>
      </c>
      <c r="H20" s="88"/>
    </row>
    <row r="21" spans="1:8" ht="20" customHeight="1" thickBot="1">
      <c r="A21" s="89" t="s">
        <v>225</v>
      </c>
      <c r="B21" s="85">
        <v>10558.73</v>
      </c>
      <c r="C21" s="86">
        <v>4938.28</v>
      </c>
      <c r="D21" s="85">
        <v>38160.67</v>
      </c>
      <c r="E21" s="86">
        <v>53657.71</v>
      </c>
      <c r="F21" s="87">
        <v>-1.6182066764561843E-3</v>
      </c>
      <c r="H21" s="88"/>
    </row>
    <row r="22" spans="1:8" ht="20" customHeight="1" thickBot="1">
      <c r="A22" s="89" t="s">
        <v>226</v>
      </c>
      <c r="B22" s="85">
        <v>3485.34</v>
      </c>
      <c r="C22" s="86">
        <v>1592.79</v>
      </c>
      <c r="D22" s="85">
        <v>10661.94</v>
      </c>
      <c r="E22" s="86">
        <v>15740.04</v>
      </c>
      <c r="F22" s="87">
        <v>4.9416956528402275E-3</v>
      </c>
      <c r="H22" s="88"/>
    </row>
    <row r="23" spans="1:8" ht="20" customHeight="1" thickBot="1">
      <c r="A23" s="89" t="s">
        <v>227</v>
      </c>
      <c r="B23" s="85">
        <v>96879.41</v>
      </c>
      <c r="C23" s="86">
        <v>46515.68</v>
      </c>
      <c r="D23" s="85">
        <v>334509.59999999998</v>
      </c>
      <c r="E23" s="86">
        <v>477904.68</v>
      </c>
      <c r="F23" s="87">
        <v>5.3455925251992943E-3</v>
      </c>
      <c r="H23" s="88"/>
    </row>
    <row r="24" spans="1:8" ht="20" customHeight="1" thickBot="1">
      <c r="A24" s="89" t="s">
        <v>228</v>
      </c>
      <c r="B24" s="85">
        <v>34557.99</v>
      </c>
      <c r="C24" s="86">
        <v>18620.080000000002</v>
      </c>
      <c r="D24" s="85">
        <v>143455.26999999999</v>
      </c>
      <c r="E24" s="86">
        <v>196633.36</v>
      </c>
      <c r="F24" s="87">
        <v>1.9598086612015926E-3</v>
      </c>
      <c r="H24" s="88"/>
    </row>
    <row r="25" spans="1:8" ht="20" customHeight="1" thickBot="1">
      <c r="A25" s="89" t="s">
        <v>229</v>
      </c>
      <c r="B25" s="85">
        <v>119071.32</v>
      </c>
      <c r="C25" s="86">
        <v>53196.06</v>
      </c>
      <c r="D25" s="85">
        <v>436233.91</v>
      </c>
      <c r="E25" s="86">
        <v>608501.22</v>
      </c>
      <c r="F25" s="87">
        <v>1.3198849174922303E-2</v>
      </c>
      <c r="H25" s="88"/>
    </row>
    <row r="26" spans="1:8" ht="20" customHeight="1" thickBot="1">
      <c r="A26" s="89" t="s">
        <v>230</v>
      </c>
      <c r="B26" s="85">
        <v>50200.22</v>
      </c>
      <c r="C26" s="86">
        <v>23607.4</v>
      </c>
      <c r="D26" s="85">
        <v>173062.9</v>
      </c>
      <c r="E26" s="86">
        <v>246870.51</v>
      </c>
      <c r="F26" s="87">
        <v>1.179200219153528E-2</v>
      </c>
      <c r="H26" s="88"/>
    </row>
    <row r="27" spans="1:8" ht="20" customHeight="1" thickBot="1">
      <c r="A27" s="89" t="s">
        <v>231</v>
      </c>
      <c r="B27" s="85">
        <v>58806.05</v>
      </c>
      <c r="C27" s="86">
        <v>23355.65</v>
      </c>
      <c r="D27" s="85">
        <v>248581.25</v>
      </c>
      <c r="E27" s="86">
        <v>330742.94</v>
      </c>
      <c r="F27" s="87">
        <v>8.1170778251601714E-3</v>
      </c>
      <c r="H27" s="88"/>
    </row>
    <row r="28" spans="1:8" ht="20" customHeight="1" thickBot="1">
      <c r="A28" s="89" t="s">
        <v>232</v>
      </c>
      <c r="B28" s="85">
        <v>146970.69</v>
      </c>
      <c r="C28" s="86">
        <v>57723.02</v>
      </c>
      <c r="D28" s="85">
        <v>489324.49</v>
      </c>
      <c r="E28" s="86">
        <v>694018.18</v>
      </c>
      <c r="F28" s="87">
        <v>1.5028700427859967E-2</v>
      </c>
      <c r="H28" s="88"/>
    </row>
    <row r="29" spans="1:8" ht="20" customHeight="1" thickBot="1">
      <c r="A29" s="89" t="s">
        <v>233</v>
      </c>
      <c r="B29" s="85">
        <v>60887.01</v>
      </c>
      <c r="C29" s="86">
        <v>28349.58</v>
      </c>
      <c r="D29" s="85">
        <v>225025.11</v>
      </c>
      <c r="E29" s="86">
        <v>314261.71000000002</v>
      </c>
      <c r="F29" s="87">
        <v>1.1272834365506511E-2</v>
      </c>
      <c r="H29" s="88"/>
    </row>
    <row r="30" spans="1:8" ht="20" customHeight="1" thickBot="1">
      <c r="A30" s="89" t="s">
        <v>234</v>
      </c>
      <c r="B30" s="85">
        <v>35822.410000000003</v>
      </c>
      <c r="C30" s="86">
        <v>14690.08</v>
      </c>
      <c r="D30" s="85">
        <v>122195.7</v>
      </c>
      <c r="E30" s="86">
        <v>172708.22</v>
      </c>
      <c r="F30" s="87">
        <v>3.4920092254119264E-3</v>
      </c>
      <c r="H30" s="88"/>
    </row>
    <row r="31" spans="1:8" ht="20" customHeight="1" thickBot="1">
      <c r="A31" s="89" t="s">
        <v>235</v>
      </c>
      <c r="B31" s="85">
        <v>87707.53</v>
      </c>
      <c r="C31" s="86">
        <v>33247.19</v>
      </c>
      <c r="D31" s="85">
        <v>297492.62</v>
      </c>
      <c r="E31" s="86">
        <v>418447.32</v>
      </c>
      <c r="F31" s="87">
        <v>1.0828288077350801E-2</v>
      </c>
      <c r="H31" s="88"/>
    </row>
    <row r="32" spans="1:8" ht="20" customHeight="1" thickBot="1">
      <c r="A32" s="90" t="s">
        <v>236</v>
      </c>
      <c r="B32" s="85">
        <v>15011.27</v>
      </c>
      <c r="C32" s="86">
        <v>6190.01</v>
      </c>
      <c r="D32" s="85">
        <v>49349.56</v>
      </c>
      <c r="E32" s="86">
        <v>70550.81</v>
      </c>
      <c r="F32" s="87">
        <v>3.7020602615513852E-3</v>
      </c>
      <c r="H32" s="88"/>
    </row>
    <row r="33" spans="1:8" ht="20" customHeight="1" thickBot="1">
      <c r="A33" s="289" t="s">
        <v>664</v>
      </c>
      <c r="B33" s="85">
        <v>333.02</v>
      </c>
      <c r="C33" s="86">
        <v>369.91</v>
      </c>
      <c r="D33" s="85">
        <v>3082.52</v>
      </c>
      <c r="E33" s="86">
        <v>3785.45</v>
      </c>
      <c r="F33" s="87">
        <v>5.3562482605065354E-2</v>
      </c>
      <c r="H33" s="88"/>
    </row>
    <row r="34" spans="1:8" ht="20" customHeight="1" thickBot="1">
      <c r="A34" s="90" t="s">
        <v>495</v>
      </c>
      <c r="B34" s="85">
        <v>30.5</v>
      </c>
      <c r="C34" s="86">
        <v>16.829999999999998</v>
      </c>
      <c r="D34" s="85">
        <v>192.92</v>
      </c>
      <c r="E34" s="86">
        <v>240.25</v>
      </c>
      <c r="F34" s="87" t="s">
        <v>35</v>
      </c>
      <c r="H34" s="88"/>
    </row>
    <row r="35" spans="1:8" ht="30" customHeight="1" thickBot="1">
      <c r="A35" s="91" t="s">
        <v>0</v>
      </c>
      <c r="B35" s="92">
        <v>1504647.61</v>
      </c>
      <c r="C35" s="93">
        <v>656354.13</v>
      </c>
      <c r="D35" s="92">
        <v>5618659.8899999997</v>
      </c>
      <c r="E35" s="93">
        <v>7779661.5899999999</v>
      </c>
      <c r="F35" s="94">
        <v>9.1859517259571897E-3</v>
      </c>
      <c r="H35" s="88"/>
    </row>
    <row r="36" spans="1:8" ht="20" customHeight="1">
      <c r="A36" s="95" t="s">
        <v>678</v>
      </c>
      <c r="B36" s="95"/>
      <c r="C36" s="95"/>
      <c r="D36" s="95"/>
      <c r="E36" s="95"/>
      <c r="F36" s="95"/>
      <c r="H36" s="83"/>
    </row>
    <row r="37" spans="1:8">
      <c r="F37" s="414"/>
    </row>
    <row r="38" spans="1:8">
      <c r="A38" s="96" t="s">
        <v>665</v>
      </c>
      <c r="F38" s="414"/>
    </row>
    <row r="39" spans="1:8" ht="11.25" customHeight="1">
      <c r="A39" s="96"/>
      <c r="B39" s="96"/>
      <c r="C39" s="96"/>
      <c r="D39" s="96"/>
      <c r="E39" s="96"/>
      <c r="F39" s="96"/>
      <c r="H39" s="83"/>
    </row>
    <row r="40" spans="1:8" ht="14.25" customHeight="1">
      <c r="A40" s="96" t="s">
        <v>666</v>
      </c>
      <c r="B40" s="96"/>
      <c r="C40" s="96"/>
      <c r="D40" s="96"/>
      <c r="E40" s="96"/>
      <c r="F40" s="96"/>
      <c r="H40" s="83"/>
    </row>
    <row r="41" spans="1:8" ht="12" customHeight="1">
      <c r="A41" s="50"/>
    </row>
    <row r="42" spans="1:8" ht="12" customHeight="1"/>
    <row r="43" spans="1:8" ht="12" customHeight="1">
      <c r="A43" s="96" t="s">
        <v>677</v>
      </c>
    </row>
  </sheetData>
  <mergeCells count="1">
    <mergeCell ref="A2:E2"/>
  </mergeCells>
  <pageMargins left="0.5" right="0.36" top="0.87" bottom="0.49" header="0.51" footer="0.4921259845"/>
  <pageSetup paperSize="9" scale="67" orientation="portrait"/>
  <headerFooter alignWithMargins="0"/>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1500D-D590-4D44-94CB-99FE84DA697B}">
  <dimension ref="A1:K48"/>
  <sheetViews>
    <sheetView zoomScale="75" workbookViewId="0">
      <selection activeCell="A37" sqref="A37"/>
    </sheetView>
  </sheetViews>
  <sheetFormatPr baseColWidth="10" defaultColWidth="11.3984375" defaultRowHeight="13"/>
  <cols>
    <col min="1" max="1" width="18.59765625" style="3" customWidth="1"/>
    <col min="2" max="2" width="14.796875" style="128" customWidth="1"/>
    <col min="3" max="3" width="14.796875" style="49" customWidth="1"/>
    <col min="4" max="4" width="16" style="128" customWidth="1"/>
    <col min="5" max="5" width="15.796875" style="49" customWidth="1"/>
    <col min="6" max="6" width="16" style="128" customWidth="1"/>
    <col min="7" max="7" width="14.796875" style="49" customWidth="1"/>
    <col min="8" max="8" width="7.3984375" style="3" customWidth="1"/>
    <col min="9" max="9" width="8" style="3" customWidth="1"/>
    <col min="10" max="10" width="7.796875" style="3" customWidth="1"/>
    <col min="11" max="11" width="9" style="3" customWidth="1"/>
    <col min="12" max="16384" width="11.3984375" style="3"/>
  </cols>
  <sheetData>
    <row r="1" spans="1:11" s="2" customFormat="1" ht="18.75" customHeight="1">
      <c r="A1" s="303"/>
      <c r="B1" s="304"/>
      <c r="C1" s="261"/>
      <c r="D1" s="122"/>
      <c r="E1" s="261"/>
      <c r="F1" s="122"/>
      <c r="G1" s="261"/>
    </row>
    <row r="2" spans="1:11" s="2" customFormat="1" ht="33.75" customHeight="1">
      <c r="A2" s="1838" t="s">
        <v>667</v>
      </c>
      <c r="B2" s="1811"/>
      <c r="C2" s="1811"/>
      <c r="D2" s="1811"/>
      <c r="E2" s="1811"/>
      <c r="F2" s="1811"/>
      <c r="G2" s="307">
        <v>2010</v>
      </c>
    </row>
    <row r="3" spans="1:11" ht="27" customHeight="1">
      <c r="A3" s="72" t="s">
        <v>504</v>
      </c>
      <c r="B3" s="103" t="s">
        <v>505</v>
      </c>
      <c r="C3" s="277"/>
      <c r="D3" s="103" t="s">
        <v>507</v>
      </c>
      <c r="E3" s="277"/>
      <c r="F3" s="103" t="s">
        <v>190</v>
      </c>
      <c r="G3" s="277" t="s">
        <v>585</v>
      </c>
    </row>
    <row r="4" spans="1:11" ht="15" customHeight="1">
      <c r="A4" s="75"/>
      <c r="B4" s="105" t="s">
        <v>640</v>
      </c>
      <c r="C4" s="75" t="s">
        <v>641</v>
      </c>
      <c r="D4" s="105" t="s">
        <v>640</v>
      </c>
      <c r="E4" s="75" t="s">
        <v>641</v>
      </c>
      <c r="F4" s="105"/>
      <c r="G4" s="75" t="s">
        <v>586</v>
      </c>
    </row>
    <row r="5" spans="1:11" ht="15" customHeight="1">
      <c r="A5" s="75"/>
      <c r="B5" s="105"/>
      <c r="C5" s="75"/>
      <c r="D5" s="105"/>
      <c r="E5" s="75"/>
      <c r="F5" s="105"/>
      <c r="G5" s="75" t="s">
        <v>210</v>
      </c>
    </row>
    <row r="6" spans="1:11" ht="19.5" customHeight="1">
      <c r="A6" s="79"/>
      <c r="B6" s="110"/>
      <c r="C6" s="79"/>
      <c r="D6" s="110"/>
      <c r="E6" s="79"/>
      <c r="F6" s="110"/>
      <c r="G6" s="79"/>
    </row>
    <row r="7" spans="1:11" ht="30" customHeight="1" thickBot="1">
      <c r="A7" s="84" t="s">
        <v>508</v>
      </c>
      <c r="B7" s="123">
        <v>221646.40000000002</v>
      </c>
      <c r="C7" s="309">
        <v>5.7897749935950975E-2</v>
      </c>
      <c r="D7" s="123">
        <v>210054.68999999989</v>
      </c>
      <c r="E7" s="309">
        <v>5.3159254164554297E-2</v>
      </c>
      <c r="F7" s="123">
        <v>431701.10999999993</v>
      </c>
      <c r="G7" s="309">
        <v>1.6644550328226509E-2</v>
      </c>
      <c r="I7" s="51"/>
      <c r="J7" s="51"/>
      <c r="K7" s="51"/>
    </row>
    <row r="8" spans="1:11" ht="20" customHeight="1" thickBot="1">
      <c r="A8" s="89" t="s">
        <v>509</v>
      </c>
      <c r="B8" s="123">
        <v>198099.14000000004</v>
      </c>
      <c r="C8" s="309">
        <v>5.1746811453950728E-2</v>
      </c>
      <c r="D8" s="123">
        <v>188100.57000000007</v>
      </c>
      <c r="E8" s="309">
        <v>4.7603250416010927E-2</v>
      </c>
      <c r="F8" s="123">
        <v>386199.67</v>
      </c>
      <c r="G8" s="309">
        <v>-4.5614938848655825E-3</v>
      </c>
      <c r="I8" s="51"/>
      <c r="J8" s="51"/>
      <c r="K8" s="51"/>
    </row>
    <row r="9" spans="1:11" ht="20" customHeight="1" thickBot="1">
      <c r="A9" s="89" t="s">
        <v>510</v>
      </c>
      <c r="B9" s="123">
        <v>214766.33999999997</v>
      </c>
      <c r="C9" s="309">
        <v>5.610056309499916E-2</v>
      </c>
      <c r="D9" s="123">
        <v>204470.02</v>
      </c>
      <c r="E9" s="309">
        <v>5.1745922750934557E-2</v>
      </c>
      <c r="F9" s="123">
        <v>419236.35000000009</v>
      </c>
      <c r="G9" s="309">
        <v>-7.7929778613357384E-3</v>
      </c>
      <c r="I9" s="51"/>
      <c r="J9" s="51"/>
      <c r="K9" s="51"/>
    </row>
    <row r="10" spans="1:11" ht="20" customHeight="1" thickBot="1">
      <c r="A10" s="89" t="s">
        <v>511</v>
      </c>
      <c r="B10" s="123">
        <v>137266.40000000002</v>
      </c>
      <c r="C10" s="309">
        <v>3.5856281454642265E-2</v>
      </c>
      <c r="D10" s="123">
        <v>130244.07999999999</v>
      </c>
      <c r="E10" s="309">
        <v>3.2961311895242838E-2</v>
      </c>
      <c r="F10" s="123">
        <v>267510.47000000009</v>
      </c>
      <c r="G10" s="309">
        <v>-1.5934107025318854E-2</v>
      </c>
      <c r="I10" s="51"/>
      <c r="J10" s="51"/>
      <c r="K10" s="51"/>
    </row>
    <row r="11" spans="1:11" ht="20" customHeight="1" thickBot="1">
      <c r="A11" s="310" t="s">
        <v>512</v>
      </c>
      <c r="B11" s="415">
        <v>771778.25999999978</v>
      </c>
      <c r="C11" s="312">
        <v>0.20160140071520827</v>
      </c>
      <c r="D11" s="415">
        <v>732869.32999999984</v>
      </c>
      <c r="E11" s="312">
        <v>0.18546973163454067</v>
      </c>
      <c r="F11" s="415">
        <v>1504647.5599999991</v>
      </c>
      <c r="G11" s="312">
        <v>-1.5436499294154431E-3</v>
      </c>
      <c r="I11" s="51"/>
      <c r="J11" s="51"/>
      <c r="K11" s="51"/>
    </row>
    <row r="12" spans="1:11" ht="20" customHeight="1" thickBot="1">
      <c r="A12" s="89" t="s">
        <v>513</v>
      </c>
      <c r="B12" s="123">
        <v>93350.46</v>
      </c>
      <c r="C12" s="309">
        <v>2.4384702794568256E-2</v>
      </c>
      <c r="D12" s="123">
        <v>90850.92</v>
      </c>
      <c r="E12" s="309">
        <v>2.2991951036006823E-2</v>
      </c>
      <c r="F12" s="123">
        <v>184201.38999999996</v>
      </c>
      <c r="G12" s="309">
        <v>6.8937812697740268E-3</v>
      </c>
      <c r="I12" s="51"/>
      <c r="J12" s="51"/>
      <c r="K12" s="51"/>
    </row>
    <row r="13" spans="1:11" ht="20" customHeight="1" thickBot="1">
      <c r="A13" s="89" t="s">
        <v>514</v>
      </c>
      <c r="B13" s="123">
        <v>238111.67999999991</v>
      </c>
      <c r="C13" s="309">
        <v>6.2198756692954056E-2</v>
      </c>
      <c r="D13" s="123">
        <v>234041.57999999996</v>
      </c>
      <c r="E13" s="309">
        <v>5.9229697924354237E-2</v>
      </c>
      <c r="F13" s="123">
        <v>472153.26</v>
      </c>
      <c r="G13" s="309">
        <v>6.1586113977602323E-3</v>
      </c>
      <c r="I13" s="51"/>
      <c r="J13" s="51"/>
      <c r="K13" s="51"/>
    </row>
    <row r="14" spans="1:11" ht="20" customHeight="1" thickBot="1">
      <c r="A14" s="310" t="s">
        <v>515</v>
      </c>
      <c r="B14" s="415">
        <v>331462.15999999997</v>
      </c>
      <c r="C14" s="312">
        <v>8.6583464711857114E-2</v>
      </c>
      <c r="D14" s="415">
        <v>324892.52000000008</v>
      </c>
      <c r="E14" s="312">
        <v>8.2221654021829058E-2</v>
      </c>
      <c r="F14" s="415">
        <v>656354.66</v>
      </c>
      <c r="G14" s="312">
        <v>6.3648078189582624E-3</v>
      </c>
      <c r="I14" s="51"/>
      <c r="J14" s="51"/>
      <c r="K14" s="51"/>
    </row>
    <row r="15" spans="1:11" ht="20" customHeight="1" thickBot="1">
      <c r="A15" s="89" t="s">
        <v>516</v>
      </c>
      <c r="B15" s="123">
        <v>262450.56000000006</v>
      </c>
      <c r="C15" s="309">
        <v>6.8556479570298909E-2</v>
      </c>
      <c r="D15" s="123">
        <v>256658.73999999996</v>
      </c>
      <c r="E15" s="309">
        <v>6.4953499458708888E-2</v>
      </c>
      <c r="F15" s="123">
        <v>519109.31999999995</v>
      </c>
      <c r="G15" s="309">
        <v>1.4003783488626811E-2</v>
      </c>
      <c r="I15" s="51"/>
      <c r="J15" s="51"/>
      <c r="K15" s="51"/>
    </row>
    <row r="16" spans="1:11" ht="20" customHeight="1" thickBot="1">
      <c r="A16" s="89" t="s">
        <v>517</v>
      </c>
      <c r="B16" s="123">
        <v>263043.12</v>
      </c>
      <c r="C16" s="309">
        <v>6.8711266161473147E-2</v>
      </c>
      <c r="D16" s="123">
        <v>261989.33</v>
      </c>
      <c r="E16" s="309">
        <v>6.6302529983364319E-2</v>
      </c>
      <c r="F16" s="123">
        <v>525032.45999999985</v>
      </c>
      <c r="G16" s="309">
        <v>8.8584400288892872E-3</v>
      </c>
      <c r="I16" s="51"/>
      <c r="J16" s="51"/>
      <c r="K16" s="51"/>
    </row>
    <row r="17" spans="1:11" ht="20" customHeight="1" thickBot="1">
      <c r="A17" s="89" t="s">
        <v>518</v>
      </c>
      <c r="B17" s="123">
        <v>284451.39000000007</v>
      </c>
      <c r="C17" s="309">
        <v>7.4303464649792053E-2</v>
      </c>
      <c r="D17" s="123">
        <v>282787.92</v>
      </c>
      <c r="E17" s="309">
        <v>7.1566099828314494E-2</v>
      </c>
      <c r="F17" s="123">
        <v>567239.31000000006</v>
      </c>
      <c r="G17" s="309">
        <v>-1.7291985074683616E-2</v>
      </c>
      <c r="I17" s="51"/>
      <c r="J17" s="51"/>
      <c r="K17" s="51"/>
    </row>
    <row r="18" spans="1:11" ht="20" customHeight="1" thickBot="1">
      <c r="A18" s="89" t="s">
        <v>519</v>
      </c>
      <c r="B18" s="123">
        <v>322202.53999999998</v>
      </c>
      <c r="C18" s="309">
        <v>8.416469696619587E-2</v>
      </c>
      <c r="D18" s="123">
        <v>318549.63000000006</v>
      </c>
      <c r="E18" s="309">
        <v>8.0616437296376214E-2</v>
      </c>
      <c r="F18" s="123">
        <v>640752.19000000006</v>
      </c>
      <c r="G18" s="309">
        <v>-1.2240209657484289E-2</v>
      </c>
      <c r="I18" s="51"/>
      <c r="J18" s="51"/>
      <c r="K18" s="51"/>
    </row>
    <row r="19" spans="1:11" ht="20" customHeight="1" thickBot="1">
      <c r="A19" s="89" t="s">
        <v>520</v>
      </c>
      <c r="B19" s="123">
        <v>319927.55999999994</v>
      </c>
      <c r="C19" s="309">
        <v>8.3570434108106176E-2</v>
      </c>
      <c r="D19" s="123">
        <v>312740.84999999998</v>
      </c>
      <c r="E19" s="309">
        <v>7.9146389603530196E-2</v>
      </c>
      <c r="F19" s="123">
        <v>632668.41999999981</v>
      </c>
      <c r="G19" s="309">
        <v>3.2192841715710865E-2</v>
      </c>
      <c r="I19" s="51"/>
      <c r="J19" s="51"/>
      <c r="K19" s="51"/>
    </row>
    <row r="20" spans="1:11" ht="20" customHeight="1" thickBot="1">
      <c r="A20" s="89" t="s">
        <v>521</v>
      </c>
      <c r="B20" s="123">
        <v>276036.09999999998</v>
      </c>
      <c r="C20" s="309">
        <v>7.2105250033815821E-2</v>
      </c>
      <c r="D20" s="123">
        <v>269341.33999999997</v>
      </c>
      <c r="E20" s="309">
        <v>6.8163128136208923E-2</v>
      </c>
      <c r="F20" s="123">
        <v>545377.50999999989</v>
      </c>
      <c r="G20" s="309">
        <v>2.9458993215162467E-2</v>
      </c>
      <c r="I20" s="51"/>
      <c r="J20" s="51"/>
      <c r="K20" s="51"/>
    </row>
    <row r="21" spans="1:11" ht="20" customHeight="1" thickBot="1">
      <c r="A21" s="89" t="s">
        <v>522</v>
      </c>
      <c r="B21" s="123">
        <v>237430.52999999997</v>
      </c>
      <c r="C21" s="309">
        <v>6.2020828910825089E-2</v>
      </c>
      <c r="D21" s="123">
        <v>238404.07000000007</v>
      </c>
      <c r="E21" s="309">
        <v>6.0333728092403963E-2</v>
      </c>
      <c r="F21" s="123">
        <v>475834.56999999983</v>
      </c>
      <c r="G21" s="309">
        <v>9.8648649394318822E-3</v>
      </c>
      <c r="I21" s="51"/>
      <c r="J21" s="51"/>
      <c r="K21" s="51"/>
    </row>
    <row r="22" spans="1:11" ht="20" customHeight="1" thickBot="1">
      <c r="A22" s="89" t="s">
        <v>523</v>
      </c>
      <c r="B22" s="123">
        <v>221895.38000000009</v>
      </c>
      <c r="C22" s="309">
        <v>5.7962787679758487E-2</v>
      </c>
      <c r="D22" s="123">
        <v>228384.11000000007</v>
      </c>
      <c r="E22" s="309">
        <v>5.7797942767359958E-2</v>
      </c>
      <c r="F22" s="123">
        <v>450279.48999999987</v>
      </c>
      <c r="G22" s="309">
        <v>7.9452897385977484E-3</v>
      </c>
      <c r="I22" s="51"/>
      <c r="J22" s="51"/>
      <c r="K22" s="51"/>
    </row>
    <row r="23" spans="1:11" ht="20" customHeight="1" thickBot="1">
      <c r="A23" s="89" t="s">
        <v>524</v>
      </c>
      <c r="B23" s="123">
        <v>179918.63</v>
      </c>
      <c r="C23" s="309">
        <v>4.6997757908808294E-2</v>
      </c>
      <c r="D23" s="123">
        <v>196028.48</v>
      </c>
      <c r="E23" s="309">
        <v>4.960959353876486E-2</v>
      </c>
      <c r="F23" s="123">
        <v>375947.11000000004</v>
      </c>
      <c r="G23" s="309">
        <v>4.4819734485627878E-2</v>
      </c>
      <c r="I23" s="51"/>
      <c r="J23" s="51"/>
      <c r="K23" s="51"/>
    </row>
    <row r="24" spans="1:11" ht="20" customHeight="1" thickBot="1">
      <c r="A24" s="89" t="s">
        <v>525</v>
      </c>
      <c r="B24" s="123">
        <v>134057.28000000003</v>
      </c>
      <c r="C24" s="309">
        <v>3.5018005591490604E-2</v>
      </c>
      <c r="D24" s="123">
        <v>160365.16999999998</v>
      </c>
      <c r="E24" s="309">
        <v>4.0584158493066555E-2</v>
      </c>
      <c r="F24" s="123">
        <v>294422.46000000002</v>
      </c>
      <c r="G24" s="309">
        <v>1.1381467456835185E-2</v>
      </c>
      <c r="I24" s="51"/>
      <c r="J24" s="51"/>
      <c r="K24" s="51"/>
    </row>
    <row r="25" spans="1:11" ht="20" customHeight="1" thickBot="1">
      <c r="A25" s="89" t="s">
        <v>526</v>
      </c>
      <c r="B25" s="123">
        <v>105347.22</v>
      </c>
      <c r="C25" s="309">
        <v>2.7518457326659095E-2</v>
      </c>
      <c r="D25" s="123">
        <v>142623.99</v>
      </c>
      <c r="E25" s="309">
        <v>3.6094337785901633E-2</v>
      </c>
      <c r="F25" s="123">
        <v>247971.26</v>
      </c>
      <c r="G25" s="309">
        <v>1.4393125021016334E-2</v>
      </c>
      <c r="I25" s="51"/>
      <c r="J25" s="51"/>
      <c r="K25" s="51"/>
    </row>
    <row r="26" spans="1:11" ht="20" customHeight="1" thickBot="1">
      <c r="A26" s="89" t="s">
        <v>527</v>
      </c>
      <c r="B26" s="123">
        <v>69428.400000000009</v>
      </c>
      <c r="C26" s="309">
        <v>1.8135860278593194E-2</v>
      </c>
      <c r="D26" s="123">
        <v>114832.75999999998</v>
      </c>
      <c r="E26" s="309">
        <v>2.9061116775146827E-2</v>
      </c>
      <c r="F26" s="123">
        <v>184261.13</v>
      </c>
      <c r="G26" s="309">
        <v>1.7622949869039648E-2</v>
      </c>
      <c r="I26" s="51"/>
      <c r="J26" s="51"/>
      <c r="K26" s="51"/>
    </row>
    <row r="27" spans="1:11" ht="20" customHeight="1" thickBot="1">
      <c r="A27" s="89" t="s">
        <v>528</v>
      </c>
      <c r="B27" s="123">
        <v>36201.94</v>
      </c>
      <c r="C27" s="309">
        <v>9.4565527313608556E-3</v>
      </c>
      <c r="D27" s="123">
        <v>75080.73000000001</v>
      </c>
      <c r="E27" s="309">
        <v>1.9000935465569847E-2</v>
      </c>
      <c r="F27" s="123">
        <v>111282.69</v>
      </c>
      <c r="G27" s="309">
        <v>4.2468315696516094E-2</v>
      </c>
      <c r="I27" s="51"/>
      <c r="J27" s="51"/>
      <c r="K27" s="51"/>
    </row>
    <row r="28" spans="1:11" ht="20" customHeight="1" thickBot="1">
      <c r="A28" s="89" t="s">
        <v>529</v>
      </c>
      <c r="B28" s="123">
        <v>10291.17</v>
      </c>
      <c r="C28" s="309">
        <v>2.6882258733205706E-3</v>
      </c>
      <c r="D28" s="123">
        <v>27510.93</v>
      </c>
      <c r="E28" s="309">
        <v>6.9622845372948475E-3</v>
      </c>
      <c r="F28" s="123">
        <v>37802.089999999997</v>
      </c>
      <c r="G28" s="309">
        <v>1.2440003524596135E-2</v>
      </c>
      <c r="I28" s="51"/>
      <c r="J28" s="51"/>
      <c r="K28" s="51"/>
    </row>
    <row r="29" spans="1:11" ht="20" customHeight="1" thickBot="1">
      <c r="A29" s="89" t="s">
        <v>530</v>
      </c>
      <c r="B29" s="123">
        <v>2155.4500000000003</v>
      </c>
      <c r="C29" s="309">
        <v>5.6303962121399462E-4</v>
      </c>
      <c r="D29" s="123">
        <v>7492.9</v>
      </c>
      <c r="E29" s="309">
        <v>1.8962536638891E-3</v>
      </c>
      <c r="F29" s="123">
        <v>9648.32</v>
      </c>
      <c r="G29" s="309">
        <v>3.9738953140019594E-2</v>
      </c>
      <c r="I29" s="51"/>
      <c r="J29" s="51"/>
      <c r="K29" s="51"/>
    </row>
    <row r="30" spans="1:11" ht="20" customHeight="1" thickBot="1">
      <c r="A30" s="89" t="s">
        <v>531</v>
      </c>
      <c r="B30" s="123">
        <v>160.85999999999999</v>
      </c>
      <c r="C30" s="309">
        <v>4.2019324720352202E-5</v>
      </c>
      <c r="D30" s="123">
        <v>866.99000000000012</v>
      </c>
      <c r="E30" s="309">
        <v>2.1941210533374411E-4</v>
      </c>
      <c r="F30" s="123">
        <v>1027.8300000000002</v>
      </c>
      <c r="G30" s="309">
        <v>7.7796652824965576E-2</v>
      </c>
      <c r="I30" s="51"/>
      <c r="J30" s="51"/>
      <c r="K30" s="51"/>
    </row>
    <row r="31" spans="1:11" ht="20" customHeight="1" thickBot="1">
      <c r="A31" s="310" t="s">
        <v>532</v>
      </c>
      <c r="B31" s="415">
        <v>2724998.04</v>
      </c>
      <c r="C31" s="312">
        <v>0.71181510322692587</v>
      </c>
      <c r="D31" s="415">
        <v>2893657.99</v>
      </c>
      <c r="E31" s="312">
        <v>0.73230786018490435</v>
      </c>
      <c r="F31" s="415">
        <v>5618656.0399999982</v>
      </c>
      <c r="G31" s="312">
        <v>1.2430399009875437E-2</v>
      </c>
      <c r="I31" s="51"/>
      <c r="J31" s="51"/>
      <c r="K31" s="51"/>
    </row>
    <row r="32" spans="1:11" ht="20" customHeight="1" thickBot="1">
      <c r="A32" s="89" t="s">
        <v>495</v>
      </c>
      <c r="B32" s="123">
        <v>0.17</v>
      </c>
      <c r="C32" s="309">
        <v>4.44068457196312E-8</v>
      </c>
      <c r="D32" s="123">
        <v>3</v>
      </c>
      <c r="E32" s="309">
        <v>7.5922019400596571E-7</v>
      </c>
      <c r="F32" s="123">
        <v>3.17</v>
      </c>
      <c r="G32" s="309" t="s">
        <v>35</v>
      </c>
      <c r="I32" s="51"/>
      <c r="J32" s="51"/>
      <c r="K32" s="51"/>
    </row>
    <row r="33" spans="1:11" s="248" customFormat="1" ht="21" customHeight="1" thickBot="1">
      <c r="A33" s="91" t="s">
        <v>190</v>
      </c>
      <c r="B33" s="270">
        <v>3828238.5799999996</v>
      </c>
      <c r="C33" s="314">
        <v>1</v>
      </c>
      <c r="D33" s="270">
        <v>3951422.82</v>
      </c>
      <c r="E33" s="314">
        <v>1</v>
      </c>
      <c r="F33" s="270">
        <v>7779661.4000000004</v>
      </c>
      <c r="G33" s="314">
        <v>9.1859008964228026E-3</v>
      </c>
      <c r="I33" s="315"/>
      <c r="J33" s="315"/>
      <c r="K33" s="315"/>
    </row>
    <row r="34" spans="1:11" ht="20" customHeight="1">
      <c r="A34" s="95" t="s">
        <v>678</v>
      </c>
      <c r="B34" s="126"/>
      <c r="C34" s="292"/>
      <c r="D34" s="126"/>
      <c r="E34" s="292"/>
      <c r="F34" s="126"/>
      <c r="G34" s="292"/>
    </row>
    <row r="35" spans="1:11" ht="12.75" customHeight="1">
      <c r="A35" s="96"/>
      <c r="B35" s="127"/>
      <c r="C35" s="316"/>
      <c r="D35" s="127"/>
      <c r="E35" s="316"/>
      <c r="F35" s="127"/>
      <c r="G35" s="316"/>
    </row>
    <row r="36" spans="1:11" ht="16.5" customHeight="1">
      <c r="A36" s="96" t="s">
        <v>668</v>
      </c>
      <c r="B36" s="127"/>
      <c r="C36" s="316"/>
      <c r="D36" s="127"/>
      <c r="E36" s="316"/>
      <c r="F36" s="127"/>
      <c r="G36" s="316"/>
    </row>
    <row r="37" spans="1:11" ht="12" customHeight="1">
      <c r="A37" s="96"/>
      <c r="B37" s="127"/>
      <c r="C37" s="316"/>
      <c r="D37" s="127"/>
      <c r="E37" s="316"/>
      <c r="F37" s="127"/>
      <c r="G37" s="316"/>
    </row>
    <row r="38" spans="1:11" ht="14.25" customHeight="1">
      <c r="A38" s="96"/>
      <c r="B38" s="127"/>
      <c r="C38" s="316"/>
      <c r="D38" s="127"/>
      <c r="E38" s="316"/>
      <c r="F38" s="127"/>
      <c r="G38" s="316"/>
    </row>
    <row r="39" spans="1:11" ht="15.75" customHeight="1">
      <c r="A39" s="96" t="s">
        <v>677</v>
      </c>
      <c r="B39" s="127"/>
      <c r="C39" s="316"/>
      <c r="D39" s="127"/>
      <c r="E39" s="316"/>
      <c r="F39" s="127"/>
      <c r="G39" s="316"/>
    </row>
    <row r="40" spans="1:11" ht="18" customHeight="1">
      <c r="A40"/>
    </row>
    <row r="41" spans="1:11" ht="30" customHeight="1"/>
    <row r="42" spans="1:11" ht="30" customHeight="1">
      <c r="I42" s="317"/>
    </row>
    <row r="43" spans="1:11" ht="30" customHeight="1"/>
    <row r="44" spans="1:11" ht="30" customHeight="1"/>
    <row r="45" spans="1:11" ht="30" customHeight="1"/>
    <row r="46" spans="1:11" ht="30" customHeight="1"/>
    <row r="47" spans="1:11" ht="30" customHeight="1"/>
    <row r="48" spans="1:11" ht="30" customHeight="1"/>
  </sheetData>
  <mergeCells count="1">
    <mergeCell ref="A2:F2"/>
  </mergeCells>
  <pageMargins left="0.65" right="0.54" top="0.85" bottom="0.49" header="0.44" footer="0.4921259845"/>
  <pageSetup paperSize="9" scale="80" orientation="portrait"/>
  <headerFooter alignWithMargins="0"/>
  <rowBreaks count="1" manualBreakCount="1">
    <brk id="39" max="16383" man="1"/>
  </rowBreaks>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59388-8C08-8E4D-9C5A-454DF381EAD9}">
  <sheetPr>
    <pageSetUpPr fitToPage="1"/>
  </sheetPr>
  <dimension ref="A1:I51"/>
  <sheetViews>
    <sheetView zoomScale="75" workbookViewId="0">
      <selection activeCell="A5" sqref="A5"/>
    </sheetView>
  </sheetViews>
  <sheetFormatPr baseColWidth="10" defaultColWidth="11.3984375" defaultRowHeight="13"/>
  <cols>
    <col min="1" max="1" width="25.796875" style="3" customWidth="1"/>
    <col min="2" max="2" width="20.19921875" style="3" customWidth="1"/>
    <col min="3" max="3" width="16.19921875" style="3" customWidth="1"/>
    <col min="4" max="4" width="16" style="3" customWidth="1"/>
    <col min="5" max="6" width="14.796875" style="3" customWidth="1"/>
    <col min="7" max="7" width="16.3984375" style="3" customWidth="1"/>
    <col min="8" max="8" width="15.3984375" style="3" customWidth="1"/>
    <col min="9" max="9" width="14.59765625" style="3" customWidth="1"/>
    <col min="10" max="16384" width="11.3984375" style="3"/>
  </cols>
  <sheetData>
    <row r="1" spans="1:9" s="2" customFormat="1" ht="14" customHeight="1">
      <c r="A1" s="242"/>
      <c r="B1" s="242"/>
      <c r="C1" s="242"/>
      <c r="D1" s="242"/>
      <c r="E1" s="242"/>
      <c r="F1" s="242"/>
      <c r="G1" s="242"/>
    </row>
    <row r="2" spans="1:9" s="2" customFormat="1" ht="22.5" customHeight="1">
      <c r="A2" s="371" t="s">
        <v>669</v>
      </c>
      <c r="B2" s="371"/>
      <c r="C2" s="242"/>
      <c r="D2" s="242"/>
      <c r="E2" s="242"/>
      <c r="F2" s="242"/>
      <c r="G2" s="307"/>
      <c r="H2" s="307">
        <v>2010</v>
      </c>
      <c r="I2" s="307"/>
    </row>
    <row r="3" spans="1:9" s="2" customFormat="1" ht="10.5" customHeight="1">
      <c r="A3" s="372"/>
      <c r="B3" s="372"/>
      <c r="C3" s="373"/>
      <c r="D3" s="373"/>
      <c r="E3" s="373"/>
      <c r="F3" s="373"/>
      <c r="G3" s="416"/>
      <c r="H3" s="416"/>
      <c r="I3" s="246"/>
    </row>
    <row r="4" spans="1:9" s="2" customFormat="1" ht="81.75" customHeight="1">
      <c r="A4" s="374" t="s">
        <v>593</v>
      </c>
      <c r="B4" s="375"/>
      <c r="C4" s="376" t="s">
        <v>594</v>
      </c>
      <c r="D4" s="377" t="s">
        <v>595</v>
      </c>
      <c r="E4" s="376" t="s">
        <v>596</v>
      </c>
      <c r="F4" s="378" t="s">
        <v>609</v>
      </c>
      <c r="G4" s="417" t="s">
        <v>670</v>
      </c>
      <c r="H4" s="418" t="s">
        <v>671</v>
      </c>
    </row>
    <row r="5" spans="1:9" ht="8.25" customHeight="1" thickBot="1">
      <c r="A5" s="379"/>
      <c r="B5" s="380"/>
      <c r="C5" s="360"/>
      <c r="D5" s="359"/>
      <c r="E5" s="360"/>
      <c r="F5" s="359"/>
      <c r="G5" s="419"/>
      <c r="H5" s="420"/>
    </row>
    <row r="6" spans="1:9" ht="48.75" customHeight="1" thickBot="1">
      <c r="A6" s="381" t="s">
        <v>597</v>
      </c>
      <c r="B6" s="387" t="s">
        <v>598</v>
      </c>
      <c r="C6" s="291">
        <v>688795.18999999971</v>
      </c>
      <c r="D6" s="290">
        <v>177562.46000000005</v>
      </c>
      <c r="E6" s="291">
        <v>1546420.7199999995</v>
      </c>
      <c r="F6" s="290">
        <v>2412778.3200000012</v>
      </c>
      <c r="G6" s="421">
        <v>1622308.6800000009</v>
      </c>
      <c r="H6" s="422">
        <v>1723983.1799999995</v>
      </c>
    </row>
    <row r="7" spans="1:9" ht="19.5" customHeight="1" thickBot="1">
      <c r="A7" s="90"/>
      <c r="B7" s="383"/>
      <c r="C7" s="384"/>
      <c r="D7" s="385"/>
      <c r="E7" s="384"/>
      <c r="F7" s="385"/>
      <c r="G7" s="394"/>
      <c r="H7" s="395"/>
    </row>
    <row r="8" spans="1:9" ht="21" customHeight="1" thickBot="1">
      <c r="A8" s="386" t="s">
        <v>599</v>
      </c>
      <c r="B8" s="387" t="s">
        <v>600</v>
      </c>
      <c r="C8" s="384">
        <v>3233.24</v>
      </c>
      <c r="D8" s="385">
        <v>24818.060000000009</v>
      </c>
      <c r="E8" s="384">
        <v>701300.05000000016</v>
      </c>
      <c r="F8" s="385">
        <v>729351.39999999979</v>
      </c>
      <c r="G8" s="394">
        <v>414727.66999999981</v>
      </c>
      <c r="H8" s="395">
        <v>726118.11000000022</v>
      </c>
    </row>
    <row r="9" spans="1:9" ht="20" customHeight="1" thickBot="1">
      <c r="A9" s="388" t="s">
        <v>601</v>
      </c>
      <c r="B9" s="387" t="s">
        <v>602</v>
      </c>
      <c r="C9" s="384">
        <v>23733.800000000003</v>
      </c>
      <c r="D9" s="385">
        <v>11941.87</v>
      </c>
      <c r="E9" s="384">
        <v>104628.36</v>
      </c>
      <c r="F9" s="385">
        <v>140304.00000000003</v>
      </c>
      <c r="G9" s="394">
        <v>77823.420000000013</v>
      </c>
      <c r="H9" s="395">
        <v>116570.23</v>
      </c>
    </row>
    <row r="10" spans="1:9" ht="20" customHeight="1" thickBot="1">
      <c r="A10" s="388" t="s">
        <v>603</v>
      </c>
      <c r="B10" s="387" t="s">
        <v>604</v>
      </c>
      <c r="C10" s="384">
        <v>8635.0300000000007</v>
      </c>
      <c r="D10" s="385">
        <v>32587.61</v>
      </c>
      <c r="E10" s="384">
        <v>359700.1399999999</v>
      </c>
      <c r="F10" s="385">
        <v>400922.74000000011</v>
      </c>
      <c r="G10" s="394">
        <v>173365.8299999999</v>
      </c>
      <c r="H10" s="395">
        <v>392287.74999999988</v>
      </c>
    </row>
    <row r="11" spans="1:9" ht="20" customHeight="1" thickBot="1">
      <c r="A11" s="388"/>
      <c r="B11" s="387" t="s">
        <v>605</v>
      </c>
      <c r="C11" s="384">
        <v>19068.599999999999</v>
      </c>
      <c r="D11" s="385">
        <v>5527.5099999999993</v>
      </c>
      <c r="E11" s="384">
        <v>48464.87000000001</v>
      </c>
      <c r="F11" s="385">
        <v>73060.989999999991</v>
      </c>
      <c r="G11" s="394">
        <v>39143.449999999997</v>
      </c>
      <c r="H11" s="395">
        <v>53992.380000000012</v>
      </c>
    </row>
    <row r="12" spans="1:9" ht="20" customHeight="1" thickBot="1">
      <c r="A12" s="388"/>
      <c r="B12" s="387" t="s">
        <v>606</v>
      </c>
      <c r="C12" s="384">
        <v>12421.53</v>
      </c>
      <c r="D12" s="385">
        <v>39408.670000000006</v>
      </c>
      <c r="E12" s="384">
        <v>358723.31000000011</v>
      </c>
      <c r="F12" s="385">
        <v>410553.48</v>
      </c>
      <c r="G12" s="394">
        <v>169770.48</v>
      </c>
      <c r="H12" s="395">
        <v>398131.9800000001</v>
      </c>
    </row>
    <row r="13" spans="1:9" ht="20" customHeight="1" thickBot="1">
      <c r="A13" s="388"/>
      <c r="B13" s="387" t="s">
        <v>607</v>
      </c>
      <c r="C13" s="384">
        <v>12565.04</v>
      </c>
      <c r="D13" s="268" t="s">
        <v>35</v>
      </c>
      <c r="E13" s="269" t="s">
        <v>35</v>
      </c>
      <c r="F13" s="385">
        <v>12565.04</v>
      </c>
      <c r="G13" s="394">
        <v>11989.17</v>
      </c>
      <c r="H13" s="423" t="s">
        <v>35</v>
      </c>
    </row>
    <row r="14" spans="1:9" ht="20" customHeight="1" thickBot="1">
      <c r="A14" s="389"/>
      <c r="B14" s="387" t="s">
        <v>190</v>
      </c>
      <c r="C14" s="384">
        <v>79657.240000000005</v>
      </c>
      <c r="D14" s="385">
        <v>114283.77</v>
      </c>
      <c r="E14" s="384">
        <v>1572816.71</v>
      </c>
      <c r="F14" s="385">
        <v>1766757.71</v>
      </c>
      <c r="G14" s="394">
        <v>886820.01000000013</v>
      </c>
      <c r="H14" s="395">
        <v>1687100.48</v>
      </c>
    </row>
    <row r="15" spans="1:9" ht="18.75" customHeight="1" thickBot="1">
      <c r="A15" s="390"/>
      <c r="B15" s="391"/>
      <c r="C15" s="384"/>
      <c r="D15" s="385"/>
      <c r="E15" s="384"/>
      <c r="F15" s="385"/>
      <c r="G15" s="394"/>
      <c r="H15" s="395"/>
    </row>
    <row r="16" spans="1:9" ht="20" customHeight="1" thickBot="1">
      <c r="A16" s="390" t="s">
        <v>589</v>
      </c>
      <c r="B16" s="391"/>
      <c r="C16" s="384">
        <v>37.299999999999997</v>
      </c>
      <c r="D16" s="385">
        <v>184</v>
      </c>
      <c r="E16" s="384">
        <v>5464.93</v>
      </c>
      <c r="F16" s="385">
        <v>5686.23</v>
      </c>
      <c r="G16" s="394">
        <v>3051.64</v>
      </c>
      <c r="H16" s="395">
        <v>5648.93</v>
      </c>
    </row>
    <row r="17" spans="1:8" ht="20.25" customHeight="1" thickBot="1">
      <c r="A17" s="390"/>
      <c r="B17" s="391"/>
      <c r="C17" s="384"/>
      <c r="D17" s="385"/>
      <c r="E17" s="384"/>
      <c r="F17" s="385"/>
      <c r="G17" s="394"/>
      <c r="H17" s="395"/>
    </row>
    <row r="18" spans="1:8" ht="58.5" customHeight="1" thickBot="1">
      <c r="A18" s="386" t="s">
        <v>608</v>
      </c>
      <c r="B18" s="387" t="s">
        <v>598</v>
      </c>
      <c r="C18" s="384">
        <v>663386.4</v>
      </c>
      <c r="D18" s="385">
        <v>144298.46</v>
      </c>
      <c r="E18" s="384">
        <v>903191.17</v>
      </c>
      <c r="F18" s="385">
        <v>1710875.9899999998</v>
      </c>
      <c r="G18" s="394">
        <v>1115353.6200000001</v>
      </c>
      <c r="H18" s="395">
        <v>1047489.63</v>
      </c>
    </row>
    <row r="19" spans="1:8" ht="20" customHeight="1" thickBot="1">
      <c r="A19" s="91"/>
      <c r="B19" s="387" t="s">
        <v>600</v>
      </c>
      <c r="C19" s="384">
        <v>2751.21</v>
      </c>
      <c r="D19" s="385">
        <v>40014.480000000003</v>
      </c>
      <c r="E19" s="384">
        <v>409860.71</v>
      </c>
      <c r="F19" s="385">
        <v>452626.37000000005</v>
      </c>
      <c r="G19" s="394">
        <v>213016.52</v>
      </c>
      <c r="H19" s="395">
        <v>449875.19</v>
      </c>
    </row>
    <row r="20" spans="1:8" ht="20" customHeight="1" thickBot="1">
      <c r="A20" s="91"/>
      <c r="B20" s="387" t="s">
        <v>602</v>
      </c>
      <c r="C20" s="384">
        <v>13233.309999999998</v>
      </c>
      <c r="D20" s="385">
        <v>36461.769999999997</v>
      </c>
      <c r="E20" s="384">
        <v>165515.08000000002</v>
      </c>
      <c r="F20" s="385">
        <v>215210.19000000006</v>
      </c>
      <c r="G20" s="394">
        <v>91339.58</v>
      </c>
      <c r="H20" s="395">
        <v>201976.85</v>
      </c>
    </row>
    <row r="21" spans="1:8" ht="20" customHeight="1" thickBot="1">
      <c r="A21" s="91"/>
      <c r="B21" s="387" t="s">
        <v>604</v>
      </c>
      <c r="C21" s="384">
        <v>12117.77</v>
      </c>
      <c r="D21" s="385">
        <v>84484.299999999988</v>
      </c>
      <c r="E21" s="384">
        <v>501591.92</v>
      </c>
      <c r="F21" s="385">
        <v>598194.03</v>
      </c>
      <c r="G21" s="394">
        <v>197361.85000000003</v>
      </c>
      <c r="H21" s="395">
        <v>586076.22</v>
      </c>
    </row>
    <row r="22" spans="1:8" ht="20" customHeight="1" thickBot="1">
      <c r="A22" s="91"/>
      <c r="B22" s="387" t="s">
        <v>605</v>
      </c>
      <c r="C22" s="384">
        <v>25318.78</v>
      </c>
      <c r="D22" s="385">
        <v>21567.180000000004</v>
      </c>
      <c r="E22" s="384">
        <v>179795.71</v>
      </c>
      <c r="F22" s="385">
        <v>226681.65</v>
      </c>
      <c r="G22" s="394">
        <v>80577.340000000026</v>
      </c>
      <c r="H22" s="395">
        <v>201362.88999999998</v>
      </c>
    </row>
    <row r="23" spans="1:8" ht="20" customHeight="1" thickBot="1">
      <c r="A23" s="91"/>
      <c r="B23" s="387" t="s">
        <v>606</v>
      </c>
      <c r="C23" s="384">
        <v>9218.2300000000014</v>
      </c>
      <c r="D23" s="385">
        <v>37498.020000000004</v>
      </c>
      <c r="E23" s="384">
        <v>334002.65000000008</v>
      </c>
      <c r="F23" s="385">
        <v>380718.90000000014</v>
      </c>
      <c r="G23" s="394">
        <v>128054.41</v>
      </c>
      <c r="H23" s="395">
        <v>371500.6700000001</v>
      </c>
    </row>
    <row r="24" spans="1:8" ht="20" customHeight="1" thickBot="1">
      <c r="A24" s="91"/>
      <c r="B24" s="387" t="s">
        <v>607</v>
      </c>
      <c r="C24" s="384">
        <v>10132.339999999998</v>
      </c>
      <c r="D24" s="268" t="s">
        <v>35</v>
      </c>
      <c r="E24" s="269" t="s">
        <v>35</v>
      </c>
      <c r="F24" s="385">
        <v>10132.339999999998</v>
      </c>
      <c r="G24" s="394">
        <v>8974.880000000001</v>
      </c>
      <c r="H24" s="423" t="s">
        <v>35</v>
      </c>
    </row>
    <row r="25" spans="1:8" ht="20" customHeight="1" thickBot="1">
      <c r="A25" s="91"/>
      <c r="B25" s="387" t="s">
        <v>609</v>
      </c>
      <c r="C25" s="384">
        <v>736157.98</v>
      </c>
      <c r="D25" s="385">
        <v>364324.22</v>
      </c>
      <c r="E25" s="384">
        <v>2493957.2800000003</v>
      </c>
      <c r="F25" s="385">
        <v>3594439.45</v>
      </c>
      <c r="G25" s="394">
        <v>1834678.1700000002</v>
      </c>
      <c r="H25" s="395">
        <v>2858281.5</v>
      </c>
    </row>
    <row r="26" spans="1:8" ht="39.75" customHeight="1" thickBot="1">
      <c r="A26" s="392"/>
      <c r="B26" s="393" t="s">
        <v>610</v>
      </c>
      <c r="C26" s="394">
        <v>61356.650000000016</v>
      </c>
      <c r="D26" s="395">
        <v>35334.1</v>
      </c>
      <c r="E26" s="394">
        <v>233789.48</v>
      </c>
      <c r="F26" s="395">
        <v>330480.29000000004</v>
      </c>
      <c r="G26" s="394">
        <v>190146.19999999992</v>
      </c>
      <c r="H26" s="395">
        <v>269123.58</v>
      </c>
    </row>
    <row r="27" spans="1:8" ht="45" customHeight="1" thickBot="1">
      <c r="A27" s="392"/>
      <c r="B27" s="396" t="s">
        <v>611</v>
      </c>
      <c r="C27" s="394">
        <v>488169.41000000009</v>
      </c>
      <c r="D27" s="395">
        <v>216558.17</v>
      </c>
      <c r="E27" s="394">
        <v>1633559.0700000003</v>
      </c>
      <c r="F27" s="395">
        <v>2338286.6500000004</v>
      </c>
      <c r="G27" s="394">
        <v>1383217.02</v>
      </c>
      <c r="H27" s="395">
        <v>1850117.2400000002</v>
      </c>
    </row>
    <row r="28" spans="1:8" ht="45" customHeight="1" thickBot="1">
      <c r="A28" s="397"/>
      <c r="B28" s="396" t="s">
        <v>612</v>
      </c>
      <c r="C28" s="394">
        <v>72771.64</v>
      </c>
      <c r="D28" s="395">
        <v>220025.75</v>
      </c>
      <c r="E28" s="394">
        <v>1590766.07</v>
      </c>
      <c r="F28" s="395">
        <v>1883563.4800000002</v>
      </c>
      <c r="G28" s="394">
        <v>719324.58000000007</v>
      </c>
      <c r="H28" s="395">
        <v>1810791.82</v>
      </c>
    </row>
    <row r="29" spans="1:8" ht="15.75" customHeight="1" thickBot="1">
      <c r="A29" s="398"/>
      <c r="B29" s="399"/>
      <c r="C29" s="384"/>
      <c r="D29" s="385"/>
      <c r="E29" s="384"/>
      <c r="F29" s="385"/>
      <c r="G29" s="394"/>
      <c r="H29" s="395"/>
    </row>
    <row r="30" spans="1:8" ht="27.75" customHeight="1" thickBot="1">
      <c r="A30" s="400" t="s">
        <v>613</v>
      </c>
      <c r="B30" s="401"/>
      <c r="C30" s="402">
        <v>1504647.7399999993</v>
      </c>
      <c r="D30" s="403">
        <v>656354.38</v>
      </c>
      <c r="E30" s="402">
        <v>5618659.6399999987</v>
      </c>
      <c r="F30" s="403">
        <v>7779661.7200000016</v>
      </c>
      <c r="G30" s="98">
        <v>4346858.5399999991</v>
      </c>
      <c r="H30" s="424">
        <v>6275014.0199999986</v>
      </c>
    </row>
    <row r="31" spans="1:8" ht="15.75" customHeight="1">
      <c r="A31" s="352" t="s">
        <v>678</v>
      </c>
      <c r="B31" s="352"/>
      <c r="C31" s="352"/>
      <c r="D31" s="352"/>
      <c r="E31" s="352"/>
      <c r="F31" s="352"/>
      <c r="G31" s="352"/>
    </row>
    <row r="32" spans="1:8" ht="13.5" customHeight="1">
      <c r="A32" s="324"/>
      <c r="B32" s="324"/>
      <c r="C32" s="352"/>
      <c r="D32" s="352"/>
      <c r="E32" s="352"/>
      <c r="F32" s="352"/>
      <c r="G32" s="352"/>
    </row>
    <row r="33" spans="1:7" ht="13.5" customHeight="1">
      <c r="A33" s="352" t="s">
        <v>672</v>
      </c>
      <c r="B33" s="352"/>
      <c r="C33" s="352"/>
      <c r="D33" s="352"/>
      <c r="E33" s="352"/>
      <c r="F33" s="352"/>
      <c r="G33" s="352"/>
    </row>
    <row r="34" spans="1:7" ht="16.5" customHeight="1">
      <c r="A34" s="352"/>
      <c r="B34" s="352"/>
      <c r="C34" s="352"/>
      <c r="D34" s="352"/>
      <c r="E34" s="352"/>
      <c r="F34" s="352"/>
      <c r="G34" s="352"/>
    </row>
    <row r="35" spans="1:7" ht="12" customHeight="1">
      <c r="A35" s="352" t="s">
        <v>673</v>
      </c>
      <c r="B35" s="352"/>
      <c r="C35" s="138"/>
      <c r="D35" s="138"/>
      <c r="E35" s="138"/>
      <c r="F35" s="138"/>
      <c r="G35" s="138"/>
    </row>
    <row r="36" spans="1:7" ht="12" customHeight="1">
      <c r="A36" s="96" t="s">
        <v>674</v>
      </c>
      <c r="B36" s="96"/>
    </row>
    <row r="37" spans="1:7" ht="12" customHeight="1">
      <c r="A37" s="96" t="s">
        <v>617</v>
      </c>
      <c r="B37" s="96"/>
    </row>
    <row r="38" spans="1:7" ht="12" customHeight="1">
      <c r="A38" s="96" t="s">
        <v>618</v>
      </c>
      <c r="B38" s="96"/>
    </row>
    <row r="39" spans="1:7" ht="12" customHeight="1">
      <c r="A39" s="96" t="s">
        <v>619</v>
      </c>
      <c r="B39" s="96"/>
    </row>
    <row r="40" spans="1:7" ht="12" customHeight="1">
      <c r="A40" s="96" t="s">
        <v>620</v>
      </c>
      <c r="B40" s="96"/>
    </row>
    <row r="41" spans="1:7" ht="12" customHeight="1">
      <c r="A41" s="3" t="s">
        <v>621</v>
      </c>
    </row>
    <row r="42" spans="1:7" ht="12" customHeight="1"/>
    <row r="43" spans="1:7" ht="12" customHeight="1"/>
    <row r="44" spans="1:7" ht="12" customHeight="1">
      <c r="A44" s="352" t="s">
        <v>677</v>
      </c>
      <c r="B44" s="352"/>
      <c r="C44" s="96"/>
      <c r="D44" s="96"/>
      <c r="E44" s="96"/>
      <c r="F44" s="96"/>
    </row>
    <row r="49" spans="1:9">
      <c r="A49" s="57"/>
      <c r="B49" s="57"/>
      <c r="C49" s="404"/>
      <c r="D49" s="405"/>
      <c r="E49" s="404"/>
      <c r="F49" s="405"/>
      <c r="G49" s="425"/>
      <c r="H49" s="405"/>
      <c r="I49" s="405"/>
    </row>
    <row r="50" spans="1:9">
      <c r="A50" s="406"/>
      <c r="B50" s="406"/>
      <c r="C50" s="406"/>
      <c r="D50" s="407"/>
      <c r="E50" s="406"/>
      <c r="F50" s="48"/>
      <c r="G50" s="4"/>
      <c r="H50" s="48"/>
      <c r="I50" s="4"/>
    </row>
    <row r="51" spans="1:9">
      <c r="A51" s="4"/>
      <c r="B51" s="4"/>
      <c r="C51" s="4"/>
      <c r="D51" s="4"/>
      <c r="E51" s="4"/>
      <c r="F51" s="4"/>
      <c r="G51" s="4"/>
      <c r="H51" s="4"/>
      <c r="I51" s="4"/>
    </row>
  </sheetData>
  <pageMargins left="0.55118110236220474" right="0.45" top="0.59055118110236227" bottom="0.47244094488188981" header="0.43307086614173229" footer="0.31496062992125984"/>
  <pageSetup paperSize="9" scale="66" orientation="portrait"/>
  <headerFooter alignWithMargins="0"/>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C41EE-1353-2941-BE24-35DEDF5EE672}">
  <sheetPr>
    <pageSetUpPr fitToPage="1"/>
  </sheetPr>
  <dimension ref="A1:M27"/>
  <sheetViews>
    <sheetView topLeftCell="A2" zoomScaleNormal="100" workbookViewId="0">
      <selection activeCell="I28" sqref="I28"/>
    </sheetView>
  </sheetViews>
  <sheetFormatPr baseColWidth="10" defaultColWidth="11.3984375" defaultRowHeight="13"/>
  <cols>
    <col min="1" max="1" width="12.796875" style="3" customWidth="1"/>
    <col min="2" max="8" width="11.796875" style="3" customWidth="1"/>
    <col min="9" max="9" width="18.3984375" style="3" customWidth="1"/>
    <col min="10" max="16384" width="11.3984375" style="3"/>
  </cols>
  <sheetData>
    <row r="1" spans="1:13" s="2" customFormat="1" ht="14" customHeight="1"/>
    <row r="2" spans="1:13" s="2" customFormat="1" ht="28" customHeight="1">
      <c r="A2" s="71" t="s">
        <v>1698</v>
      </c>
      <c r="I2" s="358"/>
      <c r="K2" s="246"/>
    </row>
    <row r="3" spans="1:13" ht="24" customHeight="1">
      <c r="A3" s="706" t="s">
        <v>695</v>
      </c>
      <c r="B3" s="707" t="s">
        <v>1128</v>
      </c>
      <c r="C3" s="708" t="s">
        <v>1129</v>
      </c>
      <c r="D3" s="73" t="s">
        <v>1130</v>
      </c>
      <c r="E3" s="708" t="s">
        <v>1131</v>
      </c>
      <c r="F3" s="73" t="s">
        <v>1132</v>
      </c>
      <c r="G3" s="708" t="s">
        <v>1133</v>
      </c>
      <c r="H3" s="73" t="s">
        <v>190</v>
      </c>
      <c r="I3" s="708" t="s">
        <v>190</v>
      </c>
      <c r="K3" s="1003"/>
    </row>
    <row r="4" spans="1:13" ht="15" customHeight="1">
      <c r="A4" s="710"/>
      <c r="B4" s="711"/>
      <c r="C4" s="712">
        <v>10000</v>
      </c>
      <c r="D4" s="105">
        <v>50000</v>
      </c>
      <c r="E4" s="712">
        <v>100000</v>
      </c>
      <c r="F4" s="105">
        <v>500000</v>
      </c>
      <c r="G4" s="712">
        <v>500000</v>
      </c>
      <c r="H4" s="1004" t="s">
        <v>1699</v>
      </c>
      <c r="I4" s="1005" t="s">
        <v>1700</v>
      </c>
      <c r="K4" s="1003"/>
    </row>
    <row r="5" spans="1:13" ht="15" customHeight="1">
      <c r="A5" s="710"/>
      <c r="B5" s="711"/>
      <c r="C5" s="714"/>
      <c r="D5" s="76"/>
      <c r="E5" s="714"/>
      <c r="F5" s="76"/>
      <c r="G5" s="714"/>
      <c r="H5" s="76"/>
      <c r="I5" s="1005" t="s">
        <v>1701</v>
      </c>
      <c r="K5" s="4"/>
    </row>
    <row r="6" spans="1:13" ht="24" customHeight="1">
      <c r="A6" s="715"/>
      <c r="B6" s="716"/>
      <c r="C6" s="717"/>
      <c r="D6" s="82"/>
      <c r="E6" s="717"/>
      <c r="F6" s="82"/>
      <c r="G6" s="717"/>
      <c r="H6" s="82"/>
      <c r="I6" s="717"/>
      <c r="K6" s="1006"/>
    </row>
    <row r="7" spans="1:13" ht="2.25" customHeight="1" thickBot="1">
      <c r="A7" s="719">
        <v>1996</v>
      </c>
      <c r="B7" s="1007">
        <v>2.0177619127218216E-2</v>
      </c>
      <c r="C7" s="1008">
        <v>1.2597566015413125E-2</v>
      </c>
      <c r="D7" s="462">
        <v>7.1120514742348845E-2</v>
      </c>
      <c r="E7" s="1008">
        <v>5.3778502452829641E-2</v>
      </c>
      <c r="F7" s="462">
        <v>0.36511082288179453</v>
      </c>
      <c r="G7" s="1008">
        <v>0.47721497478039565</v>
      </c>
      <c r="H7" s="462">
        <v>1</v>
      </c>
      <c r="I7" s="1009">
        <v>7232667</v>
      </c>
    </row>
    <row r="8" spans="1:13" ht="19.5" hidden="1" customHeight="1" thickBot="1">
      <c r="A8" s="723">
        <v>1997</v>
      </c>
      <c r="B8" s="1010">
        <v>1.7402128744798396E-2</v>
      </c>
      <c r="C8" s="1011">
        <v>1.4513151507136559E-2</v>
      </c>
      <c r="D8" s="335">
        <v>8.0494622309686584E-2</v>
      </c>
      <c r="E8" s="1011">
        <v>3.5460102030395756E-2</v>
      </c>
      <c r="F8" s="335">
        <v>0.34210501223593653</v>
      </c>
      <c r="G8" s="1011">
        <v>0.51002498317204614</v>
      </c>
      <c r="H8" s="335">
        <v>1</v>
      </c>
      <c r="I8" s="1012">
        <v>7236471</v>
      </c>
      <c r="K8" s="9"/>
      <c r="L8" s="9"/>
      <c r="M8" s="9"/>
    </row>
    <row r="9" spans="1:13" ht="0.75" customHeight="1" thickBot="1">
      <c r="A9" s="723">
        <v>1998</v>
      </c>
      <c r="B9" s="1010">
        <v>1.490840183853178E-2</v>
      </c>
      <c r="C9" s="1011">
        <v>1.032214600618327E-2</v>
      </c>
      <c r="D9" s="335">
        <v>7.6140816476353498E-2</v>
      </c>
      <c r="E9" s="1011">
        <v>5.6174768706983583E-2</v>
      </c>
      <c r="F9" s="335">
        <v>0.34220161255156173</v>
      </c>
      <c r="G9" s="1011">
        <v>0.50025225442038612</v>
      </c>
      <c r="H9" s="335">
        <v>1</v>
      </c>
      <c r="I9" s="1012">
        <v>7246652</v>
      </c>
    </row>
    <row r="10" spans="1:13" ht="19.75" hidden="1" customHeight="1" thickBot="1">
      <c r="A10" s="723">
        <v>1999</v>
      </c>
      <c r="B10" s="1010">
        <v>1.1856091803011722E-2</v>
      </c>
      <c r="C10" s="1011">
        <v>1.2297050391416079E-2</v>
      </c>
      <c r="D10" s="335">
        <v>6.9524424924530884E-2</v>
      </c>
      <c r="E10" s="1011">
        <v>7.5584785910891711E-2</v>
      </c>
      <c r="F10" s="335">
        <v>0.360776059607258</v>
      </c>
      <c r="G10" s="1011">
        <v>0.46996158736289156</v>
      </c>
      <c r="H10" s="335">
        <v>1</v>
      </c>
      <c r="I10" s="1012">
        <v>7270524</v>
      </c>
    </row>
    <row r="11" spans="1:13" ht="20" customHeight="1" thickBot="1">
      <c r="A11" s="723">
        <v>2000</v>
      </c>
      <c r="B11" s="1010">
        <v>1.0957985099474708E-2</v>
      </c>
      <c r="C11" s="1011">
        <v>1.2166775657859692E-2</v>
      </c>
      <c r="D11" s="335">
        <v>6.756095879031751E-2</v>
      </c>
      <c r="E11" s="1011">
        <v>8.7049575140813365E-2</v>
      </c>
      <c r="F11" s="335">
        <v>0.3644487016237738</v>
      </c>
      <c r="G11" s="1011">
        <v>0.45781600368776093</v>
      </c>
      <c r="H11" s="335">
        <v>1</v>
      </c>
      <c r="I11" s="1012">
        <v>7265113</v>
      </c>
    </row>
    <row r="12" spans="1:13" ht="20" customHeight="1" thickBot="1">
      <c r="A12" s="723">
        <v>2001</v>
      </c>
      <c r="B12" s="1010">
        <v>9.7170954862656738E-3</v>
      </c>
      <c r="C12" s="1011">
        <v>8.4238568425089536E-3</v>
      </c>
      <c r="D12" s="335">
        <v>7.0587792166880103E-2</v>
      </c>
      <c r="E12" s="1011">
        <v>8.5394018668547678E-2</v>
      </c>
      <c r="F12" s="335">
        <v>0.38803350203052983</v>
      </c>
      <c r="G12" s="1011">
        <v>0.43784373480526773</v>
      </c>
      <c r="H12" s="335">
        <v>1</v>
      </c>
      <c r="I12" s="1012">
        <v>7301050</v>
      </c>
    </row>
    <row r="13" spans="1:13" ht="20" customHeight="1" thickBot="1">
      <c r="A13" s="723">
        <v>2002</v>
      </c>
      <c r="B13" s="1010">
        <v>7.1399045507496896E-3</v>
      </c>
      <c r="C13" s="1011">
        <v>8.4501124357966827E-3</v>
      </c>
      <c r="D13" s="335">
        <v>8.2630643642516793E-2</v>
      </c>
      <c r="E13" s="1011">
        <v>8.6587817285975782E-2</v>
      </c>
      <c r="F13" s="335">
        <v>0.46525750220977596</v>
      </c>
      <c r="G13" s="1011">
        <v>0.34993401987518508</v>
      </c>
      <c r="H13" s="335">
        <v>1</v>
      </c>
      <c r="I13" s="1012">
        <v>7344636</v>
      </c>
    </row>
    <row r="14" spans="1:13" ht="20" customHeight="1" thickBot="1">
      <c r="A14" s="723">
        <v>2003</v>
      </c>
      <c r="B14" s="1010">
        <v>7.150880180844566E-3</v>
      </c>
      <c r="C14" s="1011">
        <v>8.7914320736236836E-3</v>
      </c>
      <c r="D14" s="335">
        <v>9.1365786917605774E-2</v>
      </c>
      <c r="E14" s="1011">
        <v>9.1794541322986076E-2</v>
      </c>
      <c r="F14" s="335">
        <v>0.39422862118090168</v>
      </c>
      <c r="G14" s="1011">
        <v>0.40666873832403821</v>
      </c>
      <c r="H14" s="335">
        <v>1</v>
      </c>
      <c r="I14" s="1012">
        <v>7372519</v>
      </c>
    </row>
    <row r="15" spans="1:13" ht="20" customHeight="1" thickBot="1">
      <c r="A15" s="723">
        <v>2004</v>
      </c>
      <c r="B15" s="1010">
        <v>7.7472964436898599E-3</v>
      </c>
      <c r="C15" s="1011">
        <v>9.9496072922614521E-3</v>
      </c>
      <c r="D15" s="335">
        <v>8.4360383162269723E-2</v>
      </c>
      <c r="E15" s="1011">
        <v>8.7130573562410135E-2</v>
      </c>
      <c r="F15" s="335">
        <v>0.4055192258310571</v>
      </c>
      <c r="G15" s="1011">
        <v>0.40529291370831172</v>
      </c>
      <c r="H15" s="335">
        <v>1</v>
      </c>
      <c r="I15" s="1012">
        <v>7383608</v>
      </c>
    </row>
    <row r="16" spans="1:13" ht="20" customHeight="1" thickBot="1">
      <c r="A16" s="723">
        <v>2005</v>
      </c>
      <c r="B16" s="1010">
        <v>6.7133654607136909E-3</v>
      </c>
      <c r="C16" s="1011">
        <v>1.2687692501726945E-2</v>
      </c>
      <c r="D16" s="335">
        <v>6.1558517163579914E-2</v>
      </c>
      <c r="E16" s="1011">
        <v>7.6843120678933355E-2</v>
      </c>
      <c r="F16" s="335">
        <v>0.44768226437071562</v>
      </c>
      <c r="G16" s="1011">
        <v>0.39451503982433056</v>
      </c>
      <c r="H16" s="335">
        <v>1</v>
      </c>
      <c r="I16" s="1012">
        <v>7435865.1099999994</v>
      </c>
    </row>
    <row r="17" spans="1:9" ht="20" customHeight="1" thickBot="1">
      <c r="A17" s="723">
        <v>2006</v>
      </c>
      <c r="B17" s="1010">
        <v>7.1853695026195359E-3</v>
      </c>
      <c r="C17" s="1011">
        <v>1.372064238505178E-2</v>
      </c>
      <c r="D17" s="335">
        <v>6.1945155197761226E-2</v>
      </c>
      <c r="E17" s="1011">
        <v>6.457386448023035E-2</v>
      </c>
      <c r="F17" s="335">
        <v>0.46584421080154392</v>
      </c>
      <c r="G17" s="1011">
        <v>0.38673075763279313</v>
      </c>
      <c r="H17" s="335">
        <v>1</v>
      </c>
      <c r="I17" s="1012">
        <v>7478426.8200000003</v>
      </c>
    </row>
    <row r="18" spans="1:9" ht="20" customHeight="1" thickBot="1">
      <c r="A18" s="723">
        <v>2007</v>
      </c>
      <c r="B18" s="1010">
        <v>7.1980711154289783E-3</v>
      </c>
      <c r="C18" s="1011">
        <v>1.2343838327748843E-2</v>
      </c>
      <c r="D18" s="335">
        <v>6.7439082875348361E-2</v>
      </c>
      <c r="E18" s="1011">
        <v>7.4639267399113043E-2</v>
      </c>
      <c r="F18" s="335">
        <v>0.46148331085748551</v>
      </c>
      <c r="G18" s="1011">
        <v>0.37689642942487517</v>
      </c>
      <c r="H18" s="335">
        <v>1</v>
      </c>
      <c r="I18" s="1012">
        <v>7537587.3800000008</v>
      </c>
    </row>
    <row r="19" spans="1:9" ht="20" customHeight="1" thickBot="1">
      <c r="A19" s="723">
        <v>2008</v>
      </c>
      <c r="B19" s="1010">
        <v>6.9627679229906266E-3</v>
      </c>
      <c r="C19" s="1011">
        <v>1.2572266289028763E-2</v>
      </c>
      <c r="D19" s="335">
        <v>5.983244585510189E-2</v>
      </c>
      <c r="E19" s="1011">
        <v>8.6450164267034141E-2</v>
      </c>
      <c r="F19" s="335">
        <v>0.47186244785894577</v>
      </c>
      <c r="G19" s="1011">
        <v>0.36231990780689871</v>
      </c>
      <c r="H19" s="335">
        <v>1</v>
      </c>
      <c r="I19" s="1012">
        <v>7615563.3200000012</v>
      </c>
    </row>
    <row r="20" spans="1:9" ht="20" customHeight="1" thickBot="1">
      <c r="A20" s="723">
        <v>2009</v>
      </c>
      <c r="B20" s="1010">
        <v>6.3913502466724755E-3</v>
      </c>
      <c r="C20" s="1011">
        <v>9.8410456994261122E-3</v>
      </c>
      <c r="D20" s="335">
        <v>6.2372686693507221E-2</v>
      </c>
      <c r="E20" s="1011">
        <v>7.9508990308726282E-2</v>
      </c>
      <c r="F20" s="335">
        <v>0.49598894141884953</v>
      </c>
      <c r="G20" s="1011">
        <v>0.34589698563281829</v>
      </c>
      <c r="H20" s="335">
        <v>1</v>
      </c>
      <c r="I20" s="1012">
        <v>7708851.5100000007</v>
      </c>
    </row>
    <row r="21" spans="1:9" ht="26.25" customHeight="1" thickBot="1">
      <c r="A21" s="727">
        <v>2010</v>
      </c>
      <c r="B21" s="1013">
        <v>5.7207975361098567E-3</v>
      </c>
      <c r="C21" s="1014">
        <v>9.3032219077996709E-3</v>
      </c>
      <c r="D21" s="466">
        <v>6.5866593411382734E-2</v>
      </c>
      <c r="E21" s="1014">
        <v>8.3353119647634463E-2</v>
      </c>
      <c r="F21" s="466">
        <v>0.42223916523240013</v>
      </c>
      <c r="G21" s="1014">
        <v>0.41351710226467314</v>
      </c>
      <c r="H21" s="466">
        <v>1</v>
      </c>
      <c r="I21" s="1015">
        <v>7779661.79</v>
      </c>
    </row>
    <row r="22" spans="1:9" ht="20" customHeight="1">
      <c r="A22" s="95" t="s">
        <v>678</v>
      </c>
      <c r="B22" s="135"/>
      <c r="C22" s="135"/>
      <c r="D22" s="135"/>
      <c r="E22" s="135"/>
      <c r="F22" s="135"/>
      <c r="G22" s="135"/>
      <c r="H22" s="135"/>
      <c r="I22" s="731"/>
    </row>
    <row r="23" spans="1:9" ht="13.5" customHeight="1">
      <c r="A23" s="96"/>
      <c r="B23" s="136"/>
      <c r="C23" s="136"/>
      <c r="D23" s="136"/>
      <c r="E23" s="136"/>
      <c r="F23" s="136"/>
      <c r="G23" s="136"/>
      <c r="H23" s="136"/>
      <c r="I23" s="732"/>
    </row>
    <row r="24" spans="1:9">
      <c r="A24" s="3" t="s">
        <v>1134</v>
      </c>
    </row>
    <row r="27" spans="1:9">
      <c r="A27" s="3" t="s">
        <v>677</v>
      </c>
    </row>
  </sheetData>
  <pageMargins left="0.53" right="0.61" top="1.03" bottom="0.49" header="0.56000000000000005" footer="0.4921259845"/>
  <pageSetup paperSize="9" scale="79" orientation="portrait" horizontalDpi="4294967292" verticalDpi="4294967292"/>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Arbeitsblätter</vt:lpstr>
      </vt:variant>
      <vt:variant>
        <vt:i4>152</vt:i4>
      </vt:variant>
      <vt:variant>
        <vt:lpstr>Benannte Bereiche</vt:lpstr>
      </vt:variant>
      <vt:variant>
        <vt:i4>152</vt:i4>
      </vt:variant>
    </vt:vector>
  </HeadingPairs>
  <TitlesOfParts>
    <vt:vector size="304" baseType="lpstr">
      <vt:lpstr>Info</vt:lpstr>
      <vt:lpstr>Ad</vt:lpstr>
      <vt:lpstr>Bd</vt:lpstr>
      <vt:lpstr>B1d</vt:lpstr>
      <vt:lpstr>F1d</vt:lpstr>
      <vt:lpstr>F2d</vt:lpstr>
      <vt:lpstr>F3d</vt:lpstr>
      <vt:lpstr>Jd</vt:lpstr>
      <vt:lpstr>T1d</vt:lpstr>
      <vt:lpstr>101d</vt:lpstr>
      <vt:lpstr>102d</vt:lpstr>
      <vt:lpstr>103d</vt:lpstr>
      <vt:lpstr>104d</vt:lpstr>
      <vt:lpstr>105d</vt:lpstr>
      <vt:lpstr>106d</vt:lpstr>
      <vt:lpstr>107d</vt:lpstr>
      <vt:lpstr>108d</vt:lpstr>
      <vt:lpstr>109d</vt:lpstr>
      <vt:lpstr>110d</vt:lpstr>
      <vt:lpstr>111d</vt:lpstr>
      <vt:lpstr>112d</vt:lpstr>
      <vt:lpstr>113d</vt:lpstr>
      <vt:lpstr>T2d</vt:lpstr>
      <vt:lpstr>201d</vt:lpstr>
      <vt:lpstr>202d</vt:lpstr>
      <vt:lpstr>203d</vt:lpstr>
      <vt:lpstr>204d</vt:lpstr>
      <vt:lpstr>205d</vt:lpstr>
      <vt:lpstr>206d</vt:lpstr>
      <vt:lpstr>207d</vt:lpstr>
      <vt:lpstr>208d</vt:lpstr>
      <vt:lpstr>209d</vt:lpstr>
      <vt:lpstr>210d</vt:lpstr>
      <vt:lpstr>211d</vt:lpstr>
      <vt:lpstr>212d</vt:lpstr>
      <vt:lpstr>213d</vt:lpstr>
      <vt:lpstr>214d</vt:lpstr>
      <vt:lpstr>215d</vt:lpstr>
      <vt:lpstr>216d</vt:lpstr>
      <vt:lpstr>217d</vt:lpstr>
      <vt:lpstr>218d</vt:lpstr>
      <vt:lpstr>219d</vt:lpstr>
      <vt:lpstr>220d</vt:lpstr>
      <vt:lpstr>221d</vt:lpstr>
      <vt:lpstr>222d</vt:lpstr>
      <vt:lpstr>223d</vt:lpstr>
      <vt:lpstr>224d</vt:lpstr>
      <vt:lpstr>225d</vt:lpstr>
      <vt:lpstr>226d</vt:lpstr>
      <vt:lpstr>T3d</vt:lpstr>
      <vt:lpstr>301d</vt:lpstr>
      <vt:lpstr>302d</vt:lpstr>
      <vt:lpstr>303d</vt:lpstr>
      <vt:lpstr>304d</vt:lpstr>
      <vt:lpstr>305d</vt:lpstr>
      <vt:lpstr>306d</vt:lpstr>
      <vt:lpstr>307d</vt:lpstr>
      <vt:lpstr>308d</vt:lpstr>
      <vt:lpstr>309d</vt:lpstr>
      <vt:lpstr>310d</vt:lpstr>
      <vt:lpstr>311d</vt:lpstr>
      <vt:lpstr>312d</vt:lpstr>
      <vt:lpstr>313d</vt:lpstr>
      <vt:lpstr>314d</vt:lpstr>
      <vt:lpstr>315d</vt:lpstr>
      <vt:lpstr>T4d</vt:lpstr>
      <vt:lpstr>401d</vt:lpstr>
      <vt:lpstr>402d</vt:lpstr>
      <vt:lpstr>403d</vt:lpstr>
      <vt:lpstr>404d</vt:lpstr>
      <vt:lpstr>405d</vt:lpstr>
      <vt:lpstr>406d</vt:lpstr>
      <vt:lpstr>407d</vt:lpstr>
      <vt:lpstr>408d</vt:lpstr>
      <vt:lpstr>409d</vt:lpstr>
      <vt:lpstr>T5d</vt:lpstr>
      <vt:lpstr>501d</vt:lpstr>
      <vt:lpstr>502d</vt:lpstr>
      <vt:lpstr>503d</vt:lpstr>
      <vt:lpstr>504d</vt:lpstr>
      <vt:lpstr>505d</vt:lpstr>
      <vt:lpstr>T6d</vt:lpstr>
      <vt:lpstr>601d</vt:lpstr>
      <vt:lpstr>602d</vt:lpstr>
      <vt:lpstr>603d</vt:lpstr>
      <vt:lpstr>604d</vt:lpstr>
      <vt:lpstr>605d</vt:lpstr>
      <vt:lpstr>606d</vt:lpstr>
      <vt:lpstr>T7d</vt:lpstr>
      <vt:lpstr>701d</vt:lpstr>
      <vt:lpstr>702d</vt:lpstr>
      <vt:lpstr>703d</vt:lpstr>
      <vt:lpstr>704d</vt:lpstr>
      <vt:lpstr>705d</vt:lpstr>
      <vt:lpstr>T8d</vt:lpstr>
      <vt:lpstr>801d</vt:lpstr>
      <vt:lpstr>802d</vt:lpstr>
      <vt:lpstr>803d</vt:lpstr>
      <vt:lpstr>804d</vt:lpstr>
      <vt:lpstr>805d</vt:lpstr>
      <vt:lpstr>806d</vt:lpstr>
      <vt:lpstr>807d</vt:lpstr>
      <vt:lpstr>808d</vt:lpstr>
      <vt:lpstr>809d</vt:lpstr>
      <vt:lpstr>810d</vt:lpstr>
      <vt:lpstr>811d</vt:lpstr>
      <vt:lpstr>812d</vt:lpstr>
      <vt:lpstr>T9d</vt:lpstr>
      <vt:lpstr>901d</vt:lpstr>
      <vt:lpstr>902d</vt:lpstr>
      <vt:lpstr>903d</vt:lpstr>
      <vt:lpstr>904d</vt:lpstr>
      <vt:lpstr>905d</vt:lpstr>
      <vt:lpstr>906d</vt:lpstr>
      <vt:lpstr>907d</vt:lpstr>
      <vt:lpstr>908d</vt:lpstr>
      <vt:lpstr>909d</vt:lpstr>
      <vt:lpstr>910d</vt:lpstr>
      <vt:lpstr>911d</vt:lpstr>
      <vt:lpstr>912d</vt:lpstr>
      <vt:lpstr>913d</vt:lpstr>
      <vt:lpstr>914d</vt:lpstr>
      <vt:lpstr>915d</vt:lpstr>
      <vt:lpstr>916d</vt:lpstr>
      <vt:lpstr>917d</vt:lpstr>
      <vt:lpstr>918d</vt:lpstr>
      <vt:lpstr>919d</vt:lpstr>
      <vt:lpstr>920d</vt:lpstr>
      <vt:lpstr>T10d</vt:lpstr>
      <vt:lpstr>1001d</vt:lpstr>
      <vt:lpstr>1002d</vt:lpstr>
      <vt:lpstr>1003d</vt:lpstr>
      <vt:lpstr>1004d</vt:lpstr>
      <vt:lpstr>1005d</vt:lpstr>
      <vt:lpstr>T11d</vt:lpstr>
      <vt:lpstr>1101d</vt:lpstr>
      <vt:lpstr>1102d</vt:lpstr>
      <vt:lpstr>1103d</vt:lpstr>
      <vt:lpstr>1104d</vt:lpstr>
      <vt:lpstr>1105d</vt:lpstr>
      <vt:lpstr>1106d</vt:lpstr>
      <vt:lpstr>1107d</vt:lpstr>
      <vt:lpstr>1108d</vt:lpstr>
      <vt:lpstr>1109d</vt:lpstr>
      <vt:lpstr>1110d</vt:lpstr>
      <vt:lpstr>1111d</vt:lpstr>
      <vt:lpstr>1112d</vt:lpstr>
      <vt:lpstr>1113d</vt:lpstr>
      <vt:lpstr>1114d</vt:lpstr>
      <vt:lpstr>1115d</vt:lpstr>
      <vt:lpstr>1116d</vt:lpstr>
      <vt:lpstr>1117d</vt:lpstr>
      <vt:lpstr>'1001d'!Druckbereich</vt:lpstr>
      <vt:lpstr>'1002d'!Druckbereich</vt:lpstr>
      <vt:lpstr>'1003d'!Druckbereich</vt:lpstr>
      <vt:lpstr>'1004d'!Druckbereich</vt:lpstr>
      <vt:lpstr>'1005d'!Druckbereich</vt:lpstr>
      <vt:lpstr>'101d'!Druckbereich</vt:lpstr>
      <vt:lpstr>'102d'!Druckbereich</vt:lpstr>
      <vt:lpstr>'103d'!Druckbereich</vt:lpstr>
      <vt:lpstr>'104d'!Druckbereich</vt:lpstr>
      <vt:lpstr>'105d'!Druckbereich</vt:lpstr>
      <vt:lpstr>'106d'!Druckbereich</vt:lpstr>
      <vt:lpstr>'107d'!Druckbereich</vt:lpstr>
      <vt:lpstr>'108d'!Druckbereich</vt:lpstr>
      <vt:lpstr>'109d'!Druckbereich</vt:lpstr>
      <vt:lpstr>'1101d'!Druckbereich</vt:lpstr>
      <vt:lpstr>'1102d'!Druckbereich</vt:lpstr>
      <vt:lpstr>'1103d'!Druckbereich</vt:lpstr>
      <vt:lpstr>'1104d'!Druckbereich</vt:lpstr>
      <vt:lpstr>'1105d'!Druckbereich</vt:lpstr>
      <vt:lpstr>'1106d'!Druckbereich</vt:lpstr>
      <vt:lpstr>'1107d'!Druckbereich</vt:lpstr>
      <vt:lpstr>'1108d'!Druckbereich</vt:lpstr>
      <vt:lpstr>'1109d'!Druckbereich</vt:lpstr>
      <vt:lpstr>'110d'!Druckbereich</vt:lpstr>
      <vt:lpstr>'1110d'!Druckbereich</vt:lpstr>
      <vt:lpstr>'1111d'!Druckbereich</vt:lpstr>
      <vt:lpstr>'1112d'!Druckbereich</vt:lpstr>
      <vt:lpstr>'1113d'!Druckbereich</vt:lpstr>
      <vt:lpstr>'1114d'!Druckbereich</vt:lpstr>
      <vt:lpstr>'1115d'!Druckbereich</vt:lpstr>
      <vt:lpstr>'1116d'!Druckbereich</vt:lpstr>
      <vt:lpstr>'1117d'!Druckbereich</vt:lpstr>
      <vt:lpstr>'111d'!Druckbereich</vt:lpstr>
      <vt:lpstr>'112d'!Druckbereich</vt:lpstr>
      <vt:lpstr>'113d'!Druckbereich</vt:lpstr>
      <vt:lpstr>'201d'!Druckbereich</vt:lpstr>
      <vt:lpstr>'202d'!Druckbereich</vt:lpstr>
      <vt:lpstr>'203d'!Druckbereich</vt:lpstr>
      <vt:lpstr>'204d'!Druckbereich</vt:lpstr>
      <vt:lpstr>'205d'!Druckbereich</vt:lpstr>
      <vt:lpstr>'206d'!Druckbereich</vt:lpstr>
      <vt:lpstr>'207d'!Druckbereich</vt:lpstr>
      <vt:lpstr>'208d'!Druckbereich</vt:lpstr>
      <vt:lpstr>'209d'!Druckbereich</vt:lpstr>
      <vt:lpstr>'210d'!Druckbereich</vt:lpstr>
      <vt:lpstr>'211d'!Druckbereich</vt:lpstr>
      <vt:lpstr>'212d'!Druckbereich</vt:lpstr>
      <vt:lpstr>'213d'!Druckbereich</vt:lpstr>
      <vt:lpstr>'214d'!Druckbereich</vt:lpstr>
      <vt:lpstr>'215d'!Druckbereich</vt:lpstr>
      <vt:lpstr>'216d'!Druckbereich</vt:lpstr>
      <vt:lpstr>'217d'!Druckbereich</vt:lpstr>
      <vt:lpstr>'218d'!Druckbereich</vt:lpstr>
      <vt:lpstr>'219d'!Druckbereich</vt:lpstr>
      <vt:lpstr>'220d'!Druckbereich</vt:lpstr>
      <vt:lpstr>'221d'!Druckbereich</vt:lpstr>
      <vt:lpstr>'222d'!Druckbereich</vt:lpstr>
      <vt:lpstr>'223d'!Druckbereich</vt:lpstr>
      <vt:lpstr>'224d'!Druckbereich</vt:lpstr>
      <vt:lpstr>'225d'!Druckbereich</vt:lpstr>
      <vt:lpstr>'226d'!Druckbereich</vt:lpstr>
      <vt:lpstr>'301d'!Druckbereich</vt:lpstr>
      <vt:lpstr>'302d'!Druckbereich</vt:lpstr>
      <vt:lpstr>'303d'!Druckbereich</vt:lpstr>
      <vt:lpstr>'304d'!Druckbereich</vt:lpstr>
      <vt:lpstr>'305d'!Druckbereich</vt:lpstr>
      <vt:lpstr>'306d'!Druckbereich</vt:lpstr>
      <vt:lpstr>'307d'!Druckbereich</vt:lpstr>
      <vt:lpstr>'308d'!Druckbereich</vt:lpstr>
      <vt:lpstr>'309d'!Druckbereich</vt:lpstr>
      <vt:lpstr>'310d'!Druckbereich</vt:lpstr>
      <vt:lpstr>'311d'!Druckbereich</vt:lpstr>
      <vt:lpstr>'312d'!Druckbereich</vt:lpstr>
      <vt:lpstr>'313d'!Druckbereich</vt:lpstr>
      <vt:lpstr>'314d'!Druckbereich</vt:lpstr>
      <vt:lpstr>'315d'!Druckbereich</vt:lpstr>
      <vt:lpstr>'402d'!Druckbereich</vt:lpstr>
      <vt:lpstr>'403d'!Druckbereich</vt:lpstr>
      <vt:lpstr>'404d'!Druckbereich</vt:lpstr>
      <vt:lpstr>'405d'!Druckbereich</vt:lpstr>
      <vt:lpstr>'406d'!Druckbereich</vt:lpstr>
      <vt:lpstr>'407d'!Druckbereich</vt:lpstr>
      <vt:lpstr>'408d'!Druckbereich</vt:lpstr>
      <vt:lpstr>'409d'!Druckbereich</vt:lpstr>
      <vt:lpstr>'501d'!Druckbereich</vt:lpstr>
      <vt:lpstr>'502d'!Druckbereich</vt:lpstr>
      <vt:lpstr>'503d'!Druckbereich</vt:lpstr>
      <vt:lpstr>'504d'!Druckbereich</vt:lpstr>
      <vt:lpstr>'505d'!Druckbereich</vt:lpstr>
      <vt:lpstr>'601d'!Druckbereich</vt:lpstr>
      <vt:lpstr>'602d'!Druckbereich</vt:lpstr>
      <vt:lpstr>'603d'!Druckbereich</vt:lpstr>
      <vt:lpstr>'604d'!Druckbereich</vt:lpstr>
      <vt:lpstr>'605d'!Druckbereich</vt:lpstr>
      <vt:lpstr>'606d'!Druckbereich</vt:lpstr>
      <vt:lpstr>'701d'!Druckbereich</vt:lpstr>
      <vt:lpstr>'702d'!Druckbereich</vt:lpstr>
      <vt:lpstr>'703d'!Druckbereich</vt:lpstr>
      <vt:lpstr>'704d'!Druckbereich</vt:lpstr>
      <vt:lpstr>'705d'!Druckbereich</vt:lpstr>
      <vt:lpstr>'801d'!Druckbereich</vt:lpstr>
      <vt:lpstr>'802d'!Druckbereich</vt:lpstr>
      <vt:lpstr>'803d'!Druckbereich</vt:lpstr>
      <vt:lpstr>'804d'!Druckbereich</vt:lpstr>
      <vt:lpstr>'805d'!Druckbereich</vt:lpstr>
      <vt:lpstr>'806d'!Druckbereich</vt:lpstr>
      <vt:lpstr>'807d'!Druckbereich</vt:lpstr>
      <vt:lpstr>'808d'!Druckbereich</vt:lpstr>
      <vt:lpstr>'809d'!Druckbereich</vt:lpstr>
      <vt:lpstr>'810d'!Druckbereich</vt:lpstr>
      <vt:lpstr>'811d'!Druckbereich</vt:lpstr>
      <vt:lpstr>'901d'!Druckbereich</vt:lpstr>
      <vt:lpstr>'902d'!Druckbereich</vt:lpstr>
      <vt:lpstr>'903d'!Druckbereich</vt:lpstr>
      <vt:lpstr>'904d'!Druckbereich</vt:lpstr>
      <vt:lpstr>'905d'!Druckbereich</vt:lpstr>
      <vt:lpstr>'906d'!Druckbereich</vt:lpstr>
      <vt:lpstr>'907d'!Druckbereich</vt:lpstr>
      <vt:lpstr>'908d'!Druckbereich</vt:lpstr>
      <vt:lpstr>'909d'!Druckbereich</vt:lpstr>
      <vt:lpstr>'910d'!Druckbereich</vt:lpstr>
      <vt:lpstr>'911d'!Druckbereich</vt:lpstr>
      <vt:lpstr>'912d'!Druckbereich</vt:lpstr>
      <vt:lpstr>'913d'!Druckbereich</vt:lpstr>
      <vt:lpstr>'914d'!Druckbereich</vt:lpstr>
      <vt:lpstr>'915d'!Druckbereich</vt:lpstr>
      <vt:lpstr>'916d'!Druckbereich</vt:lpstr>
      <vt:lpstr>'917d'!Druckbereich</vt:lpstr>
      <vt:lpstr>'918d'!Druckbereich</vt:lpstr>
      <vt:lpstr>'919d'!Druckbereich</vt:lpstr>
      <vt:lpstr>'920d'!Druckbereich</vt:lpstr>
      <vt:lpstr>Ad!Druckbereich</vt:lpstr>
      <vt:lpstr>B1d!Druckbereich</vt:lpstr>
      <vt:lpstr>F1d!Druckbereich</vt:lpstr>
      <vt:lpstr>F2d!Druckbereich</vt:lpstr>
      <vt:lpstr>F3d!Druckbereich</vt:lpstr>
      <vt:lpstr>Info!Druckbereich</vt:lpstr>
      <vt:lpstr>Jd!Druckbereich</vt:lpstr>
      <vt:lpstr>T10d!Druckbereich</vt:lpstr>
      <vt:lpstr>T11d!Druckbereich</vt:lpstr>
      <vt:lpstr>T1d!Druckbereich</vt:lpstr>
      <vt:lpstr>T2d!Druckbereich</vt:lpstr>
      <vt:lpstr>T3d!Druckbereich</vt:lpstr>
      <vt:lpstr>T4d!Druckbereich</vt:lpstr>
      <vt:lpstr>T5d!Druckbereich</vt:lpstr>
      <vt:lpstr>T8d!Druckbereich</vt:lpstr>
      <vt:lpstr>'501d'!Drucktitel</vt:lpstr>
      <vt:lpstr>'503d'!Drucktitel</vt:lpstr>
      <vt:lpstr>'504d'!Drucktitel</vt:lpstr>
      <vt:lpstr>'505d'!Drucktitel</vt:lpstr>
      <vt:lpstr>'907d'!Drucktitel</vt:lpstr>
      <vt:lpstr>B1d!Drucktitel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Informatikdienst</dc:creator>
  <cp:lastModifiedBy>Smaili Kenan (smailken)</cp:lastModifiedBy>
  <cp:lastPrinted>2012-03-08T11:10:24Z</cp:lastPrinted>
  <dcterms:created xsi:type="dcterms:W3CDTF">1999-10-15T08:29:27Z</dcterms:created>
  <dcterms:modified xsi:type="dcterms:W3CDTF">2026-05-02T10:04:36Z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-2021548164</vt:i4>
  </property>
  <property fmtid="{D5CDD505-2E9C-101B-9397-08002B2CF9AE}" pid="3" name="_EmailSubject">
    <vt:lpwstr>enlever liaisons</vt:lpwstr>
  </property>
  <property fmtid="{D5CDD505-2E9C-101B-9397-08002B2CF9AE}" pid="4" name="_AuthorEmail">
    <vt:lpwstr>Yves-Alain.Gerber@bfs.admin.ch</vt:lpwstr>
  </property>
  <property fmtid="{D5CDD505-2E9C-101B-9397-08002B2CF9AE}" pid="5" name="_AuthorEmailDisplayName">
    <vt:lpwstr>Gerber Yves-Alain BFS</vt:lpwstr>
  </property>
  <property fmtid="{D5CDD505-2E9C-101B-9397-08002B2CF9AE}" pid="6" name="_PreviousAdHocReviewCycleID">
    <vt:i4>1897203600</vt:i4>
  </property>
  <property fmtid="{D5CDD505-2E9C-101B-9397-08002B2CF9AE}" pid="7" name="_ReviewingToolsShownOnce">
    <vt:lpwstr/>
  </property>
</Properties>
</file>